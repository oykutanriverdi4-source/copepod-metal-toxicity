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559273a845ee3bd/Dokumente/ECOTOX_Thesis/"/>
    </mc:Choice>
  </mc:AlternateContent>
  <xr:revisionPtr revIDLastSave="0" documentId="11_49218BBAEA8BD1E5F896897811367F61946E1F69" xr6:coauthVersionLast="47" xr6:coauthVersionMax="47" xr10:uidLastSave="{00000000-0000-0000-0000-000000000000}"/>
  <bookViews>
    <workbookView xWindow="-98" yWindow="-98" windowWidth="19396" windowHeight="11475" xr2:uid="{00000000-000D-0000-FFFF-FFFF00000000}"/>
  </bookViews>
  <sheets>
    <sheet name="Aquatic-Export" sheetId="1" r:id="rId1"/>
    <sheet name="References" sheetId="2" r:id="rId2"/>
    <sheet name="Search_Paramete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1" i="2" l="1"/>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<sst xmlns="http://schemas.openxmlformats.org/spreadsheetml/2006/main" count="91873" uniqueCount="4111">
  <si>
    <t>Test Number</t>
  </si>
  <si>
    <t>Result Number</t>
  </si>
  <si>
    <t>CAS Number</t>
  </si>
  <si>
    <t>Chemical Name</t>
  </si>
  <si>
    <t>Chemical Grade</t>
  </si>
  <si>
    <t>Chemical Analysis</t>
  </si>
  <si>
    <t>Test Method</t>
  </si>
  <si>
    <t>Chemical Purity Mean Op</t>
  </si>
  <si>
    <t>Chemical Purity Mean(%)</t>
  </si>
  <si>
    <t>Chemical Purity Min Op</t>
  </si>
  <si>
    <t>Chemical Purity Min(%)</t>
  </si>
  <si>
    <t>Chemical Purity Max Op</t>
  </si>
  <si>
    <t>Chemical Purity Max(%)</t>
  </si>
  <si>
    <t>Species Scientific Name</t>
  </si>
  <si>
    <t>Species Common Name</t>
  </si>
  <si>
    <t>Species Kingdom</t>
  </si>
  <si>
    <t>Species Phylum</t>
  </si>
  <si>
    <t>Species Sub Phylum</t>
  </si>
  <si>
    <t>Species Superclass</t>
  </si>
  <si>
    <t>Species Class</t>
  </si>
  <si>
    <t>Species Order</t>
  </si>
  <si>
    <t>Species Family</t>
  </si>
  <si>
    <t>Species Genus</t>
  </si>
  <si>
    <t>Species</t>
  </si>
  <si>
    <t>Variety</t>
  </si>
  <si>
    <t>Organism Lifestage</t>
  </si>
  <si>
    <t>Organism Age Mean Op</t>
  </si>
  <si>
    <t>Organism Age Mean</t>
  </si>
  <si>
    <t>Organism Age Min Op</t>
  </si>
  <si>
    <t>Organism Age Min</t>
  </si>
  <si>
    <t>Organism Age Max Op</t>
  </si>
  <si>
    <t>Organism Age Max</t>
  </si>
  <si>
    <t>Age Units</t>
  </si>
  <si>
    <t>Organism Strain</t>
  </si>
  <si>
    <t>Number of Replicates</t>
  </si>
  <si>
    <t>Organism Source</t>
  </si>
  <si>
    <t>Gender</t>
  </si>
  <si>
    <t>Organism Comment</t>
  </si>
  <si>
    <t>Exposure Type</t>
  </si>
  <si>
    <t>Media Type</t>
  </si>
  <si>
    <t>Test Location</t>
  </si>
  <si>
    <t>Number of Doses</t>
  </si>
  <si>
    <t>Conc 1 Type (Author)</t>
  </si>
  <si>
    <t>Conc 1 Mean Op (Author)</t>
  </si>
  <si>
    <t>Conc 1 Mean (Author)</t>
  </si>
  <si>
    <t>Conc 1 Min Op (Author)</t>
  </si>
  <si>
    <t>Conc Min 1 (Author)</t>
  </si>
  <si>
    <t>Conc 1 Max Op (Author)</t>
  </si>
  <si>
    <t>Conc 1 Max (Author)</t>
  </si>
  <si>
    <t>Conc 1 Units (Author)</t>
  </si>
  <si>
    <t>Conc 2 Type (Author)</t>
  </si>
  <si>
    <t>Conc 2 Mean Op (Author)</t>
  </si>
  <si>
    <t>Conc 2 Mean (Author)</t>
  </si>
  <si>
    <t>Conc 2 Min Op (Author)</t>
  </si>
  <si>
    <t>Conc Min 2 (Author)</t>
  </si>
  <si>
    <t>Conc 2 Max Op (Author)</t>
  </si>
  <si>
    <t>Conc 2 Max (Author)</t>
  </si>
  <si>
    <t>Conc 2 Units (Author)</t>
  </si>
  <si>
    <t>Conc 3 Type (Author)</t>
  </si>
  <si>
    <t>Conc 3 Mean Op (Author)</t>
  </si>
  <si>
    <t>Conc 3 Mean (Author)</t>
  </si>
  <si>
    <t>Conc 3 Min Op (Author)</t>
  </si>
  <si>
    <t>Conc Min 3 (Author)</t>
  </si>
  <si>
    <t>Conc 3 Max Op (Author)</t>
  </si>
  <si>
    <t>Conc 3 Max (Author)</t>
  </si>
  <si>
    <t>Conc 3 Units (Author)</t>
  </si>
  <si>
    <t>Conc 1 Type (Standardized)</t>
  </si>
  <si>
    <t>Conc 1 Mean Op (Standardized)</t>
  </si>
  <si>
    <t>Conc 1 Mean (Standardized)</t>
  </si>
  <si>
    <t>Conc 1 Min Op (Standardized)</t>
  </si>
  <si>
    <t>Conc Min 1 (Standardized)</t>
  </si>
  <si>
    <t>Conc 1 Max Op (Standardized)</t>
  </si>
  <si>
    <t>Conc 1 Max (Standardized)</t>
  </si>
  <si>
    <t>Conc 1 Units (Standardized)</t>
  </si>
  <si>
    <t>Conc 2 Type (Standardized)</t>
  </si>
  <si>
    <t>Conc 2 Mean Op (Standardized)</t>
  </si>
  <si>
    <t>Conc 2 Mean (Standardized)</t>
  </si>
  <si>
    <t>Conc 2 Min Op (Standardized)</t>
  </si>
  <si>
    <t>Conc Min 2 (Standardized)</t>
  </si>
  <si>
    <t>Conc 2 Max Op (Standardized)</t>
  </si>
  <si>
    <t>Conc 2 Max (Standardized)</t>
  </si>
  <si>
    <t>Conc 2 Units (Standardized)</t>
  </si>
  <si>
    <t>Conc 3 Type (Standardized)</t>
  </si>
  <si>
    <t>Conc 3 Mean Op (Standardized)</t>
  </si>
  <si>
    <t>Conc 3 Mean (Standardized)</t>
  </si>
  <si>
    <t>Conc 3 Min Op (Standardized)</t>
  </si>
  <si>
    <t>Conc Min 3 (Standardized)</t>
  </si>
  <si>
    <t>Conc 3 Max Op (Standardized)</t>
  </si>
  <si>
    <t>Conc 3 Max (Standardized)</t>
  </si>
  <si>
    <t>Conc 3 Units (Standardized)</t>
  </si>
  <si>
    <t>Effect</t>
  </si>
  <si>
    <t>Effect Measurement</t>
  </si>
  <si>
    <t>EE Comment</t>
  </si>
  <si>
    <t>Endpoint</t>
  </si>
  <si>
    <t>Ionic Fraction 1</t>
  </si>
  <si>
    <t>Ionic Fraction 2</t>
  </si>
  <si>
    <t>Ionic Fraction 3</t>
  </si>
  <si>
    <t>Statistical Significance</t>
  </si>
  <si>
    <t>Significance Level Mean Op</t>
  </si>
  <si>
    <t>Significance Level Mean</t>
  </si>
  <si>
    <t>Significance Level Min Op</t>
  </si>
  <si>
    <t>Significance Level Min</t>
  </si>
  <si>
    <t>Significance Level Max Op</t>
  </si>
  <si>
    <t>Significance Level Max</t>
  </si>
  <si>
    <t>Observed Duration Mean Op (Days)</t>
  </si>
  <si>
    <t>Observed Duration Mean (Days)</t>
  </si>
  <si>
    <t>Observed Duration Min Op (Days)</t>
  </si>
  <si>
    <t>Observed Duration Min (Days)</t>
  </si>
  <si>
    <t>Observed Duration Max Op (Days)</t>
  </si>
  <si>
    <t>Observed Duration Max (Days)</t>
  </si>
  <si>
    <t>Observed Duration Units (Days)</t>
  </si>
  <si>
    <t>Observed Duration Mean Op (Author)</t>
  </si>
  <si>
    <t>Observed Duration Mean (Author)</t>
  </si>
  <si>
    <t>Observed Duration Min Op (Author)</t>
  </si>
  <si>
    <t>Observed Duration Min (Author)</t>
  </si>
  <si>
    <t>Observed Duration Max Op (Author)</t>
  </si>
  <si>
    <t>Observed Duration Max (Author)</t>
  </si>
  <si>
    <t>Observed Duration Units (Author)</t>
  </si>
  <si>
    <t>Chemical Formulation</t>
  </si>
  <si>
    <t>Chemical Comment</t>
  </si>
  <si>
    <t>Chemical Carrier</t>
  </si>
  <si>
    <t>Species NCBI TaxID</t>
  </si>
  <si>
    <t>Species ECOTOX Number</t>
  </si>
  <si>
    <t>DOI</t>
  </si>
  <si>
    <t>Study Duration Mean Op (Author)</t>
  </si>
  <si>
    <t>Study Duration Mean (Author)</t>
  </si>
  <si>
    <t>Study Duration Min Op (Author)</t>
  </si>
  <si>
    <t>Study Duration Min (Author)</t>
  </si>
  <si>
    <t>Study Duration Max Op (Author)</t>
  </si>
  <si>
    <t>Study Duration Max (Author)</t>
  </si>
  <si>
    <t>Study Duration Unit (Author)</t>
  </si>
  <si>
    <t>Study Duration Mean Op (Days)</t>
  </si>
  <si>
    <t>Study Duration Mean (Days)</t>
  </si>
  <si>
    <t>Study Duration Min Op (Days)</t>
  </si>
  <si>
    <t>Study Duration Min (Days)</t>
  </si>
  <si>
    <t>Study Duration Max Op (Days)</t>
  </si>
  <si>
    <t>Study Duration Max (Days)</t>
  </si>
  <si>
    <t>Study Duration Unit (Days)</t>
  </si>
  <si>
    <t>Exposure Duration Mean Op (Author)</t>
  </si>
  <si>
    <t>Exposure Duration Mean (Author)</t>
  </si>
  <si>
    <t>Exposure Duration Min Op (Author)</t>
  </si>
  <si>
    <t>Exposure Duration Min (Author)</t>
  </si>
  <si>
    <t>Exposure Duration Max Op (Author)</t>
  </si>
  <si>
    <t>Exposure Duration Max (Author)</t>
  </si>
  <si>
    <t>Exposure Duration Units (Author)</t>
  </si>
  <si>
    <t>Exposure Duration Mean Op (Days)</t>
  </si>
  <si>
    <t>Exposure Duration Mean (Days)</t>
  </si>
  <si>
    <t>Exposure Duration Min Op (Days)</t>
  </si>
  <si>
    <t>Exposure Duration Min (Days)</t>
  </si>
  <si>
    <t>Exposure Duration Max Op (Days)</t>
  </si>
  <si>
    <t>Exposure Duration Max (Days)</t>
  </si>
  <si>
    <t>Exposure Duration Units (Days)</t>
  </si>
  <si>
    <t>Control</t>
  </si>
  <si>
    <t>Study Type</t>
  </si>
  <si>
    <t>Test Type</t>
  </si>
  <si>
    <t>Exposure Sample Number</t>
  </si>
  <si>
    <t>Experimental Design</t>
  </si>
  <si>
    <t>Application Season</t>
  </si>
  <si>
    <t>Application Season Description</t>
  </si>
  <si>
    <t>Result Sample Number Mean Op</t>
  </si>
  <si>
    <t>Result Sample Number Mean</t>
  </si>
  <si>
    <t>Result Sample Number Min Op</t>
  </si>
  <si>
    <t>Result Sample Number Min</t>
  </si>
  <si>
    <t>Result Sample Number Max Op</t>
  </si>
  <si>
    <t>Result Sample Number Max</t>
  </si>
  <si>
    <t>Result Sample Unit</t>
  </si>
  <si>
    <t>Result Comment</t>
  </si>
  <si>
    <t>Temperature Mean Op</t>
  </si>
  <si>
    <t>Temperature Mean</t>
  </si>
  <si>
    <t>Temperature Min Op</t>
  </si>
  <si>
    <t>Temperature Min</t>
  </si>
  <si>
    <t>Temperature Max Op</t>
  </si>
  <si>
    <t>Temperature Max</t>
  </si>
  <si>
    <t>Temperature Units</t>
  </si>
  <si>
    <t>Hardness Mean Op</t>
  </si>
  <si>
    <t>Hardness Mean</t>
  </si>
  <si>
    <t>Hardness Min Op</t>
  </si>
  <si>
    <t>Hardness Min</t>
  </si>
  <si>
    <t>Hardness Max Op</t>
  </si>
  <si>
    <t>Hardness Max</t>
  </si>
  <si>
    <t>Hardness Units</t>
  </si>
  <si>
    <t>Alkalinity Mean Op</t>
  </si>
  <si>
    <t>Alkalinity Mean</t>
  </si>
  <si>
    <t>Alkalinity Min Op</t>
  </si>
  <si>
    <t>Alkalinity Min</t>
  </si>
  <si>
    <t>Alkalinity Max Op</t>
  </si>
  <si>
    <t>Alkalinity Max</t>
  </si>
  <si>
    <t>Alkalinity Units</t>
  </si>
  <si>
    <t>Dissolved Oxygen Mean Op</t>
  </si>
  <si>
    <t>Dissolved Oxygen Mean</t>
  </si>
  <si>
    <t>Dissolved Oxygen Min Op</t>
  </si>
  <si>
    <t>Dissolved Oxygen Min</t>
  </si>
  <si>
    <t>Dissolved Oxygen Max Op</t>
  </si>
  <si>
    <t>Dissolved Oxygen Max</t>
  </si>
  <si>
    <t>Dissolved Oxygen Units</t>
  </si>
  <si>
    <t>pH Mean Op</t>
  </si>
  <si>
    <t>pH Mean</t>
  </si>
  <si>
    <t>pH Min Op</t>
  </si>
  <si>
    <t>pH Min</t>
  </si>
  <si>
    <t>pH Max Op</t>
  </si>
  <si>
    <t>pH Max</t>
  </si>
  <si>
    <t>Salinity Mean Op</t>
  </si>
  <si>
    <t>Salinity Mean</t>
  </si>
  <si>
    <t>Salinity Min Op</t>
  </si>
  <si>
    <t>Salinity Min</t>
  </si>
  <si>
    <t>Salinity Max Op</t>
  </si>
  <si>
    <t>Salinity Max</t>
  </si>
  <si>
    <t>Salinity Units</t>
  </si>
  <si>
    <t>Conductivity Mean Op</t>
  </si>
  <si>
    <t>Conductivity Mean</t>
  </si>
  <si>
    <t>Conductivity Min Op</t>
  </si>
  <si>
    <t>Conductivity Min</t>
  </si>
  <si>
    <t>Conductivity Max Op</t>
  </si>
  <si>
    <t>Conductivity Max</t>
  </si>
  <si>
    <t>Conductivity Units</t>
  </si>
  <si>
    <t>Organic Carbon Type</t>
  </si>
  <si>
    <t>Organic Carbon Mean Op</t>
  </si>
  <si>
    <t>Organic Carbon Mean</t>
  </si>
  <si>
    <t>Organic Carbon Min Op</t>
  </si>
  <si>
    <t>Organic Carbon Min</t>
  </si>
  <si>
    <t>Organic Carbon Max Op</t>
  </si>
  <si>
    <t>Organic Carbon Max</t>
  </si>
  <si>
    <t>Organic Carbon Units</t>
  </si>
  <si>
    <t>Humic Acid Mean Op</t>
  </si>
  <si>
    <t>Humic Acid Mean</t>
  </si>
  <si>
    <t>Humic Acid Min Op</t>
  </si>
  <si>
    <t>Humic Acid Min</t>
  </si>
  <si>
    <t>Humic Acid Max Op</t>
  </si>
  <si>
    <t>Humic Acid Max</t>
  </si>
  <si>
    <t>Humic Acid Units</t>
  </si>
  <si>
    <t>Dissolved Inorganic Carbon Mean Op</t>
  </si>
  <si>
    <t>Dissolved Inorganic Carbon Mean</t>
  </si>
  <si>
    <t>Dissolved Inorganic Carbon Min Op</t>
  </si>
  <si>
    <t>Dissolved Inorganic Carbon Min</t>
  </si>
  <si>
    <t>Dissolved Inorganic Carbon Max Op</t>
  </si>
  <si>
    <t>Dissolved Inorganic Carbon Max</t>
  </si>
  <si>
    <t>Dissolved Inorganic Carbon Units</t>
  </si>
  <si>
    <t>General Comments</t>
  </si>
  <si>
    <t>Author</t>
  </si>
  <si>
    <t>Reference Number</t>
  </si>
  <si>
    <t>Title</t>
  </si>
  <si>
    <t>Source</t>
  </si>
  <si>
    <t>Publication Year</t>
  </si>
  <si>
    <t>Citation</t>
  </si>
  <si>
    <t>(Acetato-kappaO)phenylmercury</t>
  </si>
  <si>
    <t>Unmeasured</t>
  </si>
  <si>
    <t>Not coded</t>
  </si>
  <si>
    <t>Scylla serrata</t>
  </si>
  <si>
    <t>Crab</t>
  </si>
  <si>
    <t>Animalia</t>
  </si>
  <si>
    <t>Arthropoda</t>
  </si>
  <si>
    <t>Crustacea</t>
  </si>
  <si>
    <t>Malacostraca</t>
  </si>
  <si>
    <t>Decapoda</t>
  </si>
  <si>
    <t>Portunidae</t>
  </si>
  <si>
    <t>Scylla</t>
  </si>
  <si>
    <t>serrata</t>
  </si>
  <si>
    <t>40-50 MM CARAPACE, 60-70 MM BREADTH</t>
  </si>
  <si>
    <t>Renewal</t>
  </si>
  <si>
    <t>Salt water</t>
  </si>
  <si>
    <t>Lab</t>
  </si>
  <si>
    <t>Total</t>
  </si>
  <si>
    <t>ug/L</t>
  </si>
  <si>
    <t>AI mg/L</t>
  </si>
  <si>
    <t>Mortality</t>
  </si>
  <si>
    <t>LC50</t>
  </si>
  <si>
    <t>Hg</t>
  </si>
  <si>
    <t>Day(s)</t>
  </si>
  <si>
    <t>Hour(s)</t>
  </si>
  <si>
    <t xml:space="preserve">CAS #: 67641 | Chem Name: Propan-2-one | Chem Grade: NR | Chem Formulation: NR | Chem Radiolabel: NR | Chem Characteristics: NR | Chem Purity: NR | </t>
  </si>
  <si>
    <t>10.1016/0141-1136(87)90045-6</t>
  </si>
  <si>
    <t>Insufficient</t>
  </si>
  <si>
    <t>Not reported</t>
  </si>
  <si>
    <t>Krishnaja,A.P., M.S. Rege, and A.G. Joshi</t>
  </si>
  <si>
    <t>Toxic Effects of Certain Heavy Metals (Hg, Cd, Pb, As and Se) on the Intertidal Crab Scylla serrata</t>
  </si>
  <si>
    <t>Mar. Environ. Res.21(2): 109-119</t>
  </si>
  <si>
    <t>Krishnaja,A.P., M.S. Rege, and A.G. Joshi (1987). Toxic Effects of Certain Heavy Metals (Hg, Cd, Pb, As and Se) on the Intertidal Crab Scylla serrata. Mar. Environ. Res., 21, (2), 109-119. doi:10.1016/0141-1136(87)90045-6. ECOREF#:12413</t>
  </si>
  <si>
    <t>Chloromethylmercury</t>
  </si>
  <si>
    <t>&gt;=</t>
  </si>
  <si>
    <t>Cancer anthonyi</t>
  </si>
  <si>
    <t>Yellow Rock Crab</t>
  </si>
  <si>
    <t>Cancridae</t>
  </si>
  <si>
    <t>Cancer</t>
  </si>
  <si>
    <t>anthonyi</t>
  </si>
  <si>
    <t>Larva</t>
  </si>
  <si>
    <t>Wild</t>
  </si>
  <si>
    <t>NEWLY HATCHED</t>
  </si>
  <si>
    <t>Aquatic, unspecified</t>
  </si>
  <si>
    <t>&gt;</t>
  </si>
  <si>
    <t>&lt;</t>
  </si>
  <si>
    <t>ppb</t>
  </si>
  <si>
    <t>Powder</t>
  </si>
  <si>
    <t>Methylmercuric chloride</t>
  </si>
  <si>
    <t>Concurrent control</t>
  </si>
  <si>
    <t>10 REPLICATES, ANTIBIOTICS USED TO PREVENT FUNGAL GROWTH, INSTANT OCEAN SALTWATER</t>
  </si>
  <si>
    <t>C</t>
  </si>
  <si>
    <t>0/00</t>
  </si>
  <si>
    <t xml:space="preserve">SOURCE/HARVESTED, FROM QUALITY SEAFOOD FISH MARKET, REDONDO PIER, REDONDO BEACH, CALIFORNIA//   </t>
  </si>
  <si>
    <t>Trask,T.</t>
  </si>
  <si>
    <t>The Effect of Methylmercuric Chloride on the Larval Development of Cancer anthonyi Ranthbun (Decapoda, Brachyura) with a Description of the Internal and External Anatomy of the Larval Stages</t>
  </si>
  <si>
    <t>Ph.D.Thesis, University of Southern California, Los Angeles, CA:90 p.</t>
  </si>
  <si>
    <t>Trask,T. (1973). The Effect of Methylmercuric Chloride on the Larval Development of Cancer anthonyi Ranthbun (Decapoda, Brachyura) with a Description of the Internal and External Anatomy of the Larval Stages. Ph.D.Thesis, University of Southern California, Los Angeles, CA, 90 p. ECOREF#:9006</t>
  </si>
  <si>
    <t>Palaemon elegans</t>
  </si>
  <si>
    <t>Rockpool Prawn</t>
  </si>
  <si>
    <t>Palaemonidae</t>
  </si>
  <si>
    <t>Palaemon</t>
  </si>
  <si>
    <t>elegans</t>
  </si>
  <si>
    <t>Flow-through</t>
  </si>
  <si>
    <t>Lucu,C., V. Obersnel, and O. Jelisavcic</t>
  </si>
  <si>
    <t>Transport and Toxicity of Metal Pollutants to Marine Organisms</t>
  </si>
  <si>
    <t>MAP Tech. Rep. Ser. (Multiple Languages)52:55-62</t>
  </si>
  <si>
    <t>Lucu,C., V. Obersnel, and O. Jelisavcic (1991). Transport and Toxicity of Metal Pollutants to Marine Organisms. MAP Tech. Rep. Ser. (Multiple Languages), 52, 55-62. ECOREF#:14770</t>
  </si>
  <si>
    <t>Palaemon pugio</t>
  </si>
  <si>
    <t>Daggerblade Grass Shrimp</t>
  </si>
  <si>
    <t>pugio</t>
  </si>
  <si>
    <t>Adult</t>
  </si>
  <si>
    <t>30-40 MM, PILES CREEK POPULATION</t>
  </si>
  <si>
    <t>Static</t>
  </si>
  <si>
    <t>Methyl mercuric chloride</t>
  </si>
  <si>
    <t>10.1016/0141-1136(86)90027-9</t>
  </si>
  <si>
    <t>INSTANT OCEAN</t>
  </si>
  <si>
    <t xml:space="preserve"> TESTID/2//MSMT/NR//DOSES/0.025/0.05/0.1/0.5/1.0/1.5/2.0/2.5 MG/L//SOURCE/WLD//WTINT/NR//DNUM/9//SEX/NR//TMETH/NR//STYPE/ACUTE//ETIME/96 H//AP RATE/NR//SAMPN/NR//WTAT/NR//INTAKE/NR//COMPEP/NR//LD/NR//DW/NR//STST/NR//HMA/NR//NA/NR//CL/NR//DIC/NR//CA/NR//POT/NR//MG/NR//SO4/NR//SULF/NR//</t>
  </si>
  <si>
    <t xml:space="preserve">   TESTID/2//MSMT/NR//DOSES/0.025/0.05/0.1/0.5/1.0/1.5/2.0/2.5 MG/L//SOURCE/WLD//WTINT/NR//DNUM/9//SEX/NR//TMETH/NR//STYPE/ACUTE//ETIME/96 H//AP RATE/NR//SAMPN/NR//WTAT/NR//INTAKE/NR//COMPEP/NR//LD/NR//DW/NR//STST/NR//HMA/NR//NA/NR//CL/NR//DIC/NR//CA/NR//POT/NR//MG/NR//SO4/NR//SULF/NR//</t>
  </si>
  <si>
    <t>Kraus,M.L., and D.B. Kraus</t>
  </si>
  <si>
    <t>Differences in the Effects of Mercury on Predator Avoidance in Two Populations of the Grass Shrimp Palaemonetes pugio</t>
  </si>
  <si>
    <t>Mar. Environ. Res.18(4): 277-289</t>
  </si>
  <si>
    <t>Kraus,M.L., and D.B. Kraus (1986). Differences in the Effects of Mercury on Predator Avoidance in Two Populations of the Grass Shrimp Palaemonetes pugio. Mar. Environ. Res., 18, (4), 277-289. doi:10.1016/0141-1136(86)90027-9. ECOREF#:12227</t>
  </si>
  <si>
    <t>Measured</t>
  </si>
  <si>
    <t>Palaemonetes vulgaris</t>
  </si>
  <si>
    <t>Marsh Grass Shrimp</t>
  </si>
  <si>
    <t>Palaemonetes</t>
  </si>
  <si>
    <t>vulgaris</t>
  </si>
  <si>
    <t>10.2134/jeq1976.00472425000500020017x</t>
  </si>
  <si>
    <t>Satisfactory</t>
  </si>
  <si>
    <t xml:space="preserve"> AERATION// CONTR/NO MORT// CONC/AS HG// FILTRATION// </t>
  </si>
  <si>
    <t xml:space="preserve">   AERATION// CONTR/NO MORT// CONC/AS HG// FILTRATION// </t>
  </si>
  <si>
    <t>Ray,G.L., and M.R. Tripp</t>
  </si>
  <si>
    <t>The Uptake of Mercury From Water by the Grass Shrimp, Palaemonetes vulgaris (Say)</t>
  </si>
  <si>
    <t>J. Environ. Qual.5(2): 193-196</t>
  </si>
  <si>
    <t>Ray,G.L., and M.R. Tripp (1976). The Uptake of Mercury From Water by the Grass Shrimp, Palaemonetes vulgaris (Say). J. Environ. Qual., 5, (2), 193-196. doi:10.2134/jeq1976.00472425000500020017x. ECOREF#:8425</t>
  </si>
  <si>
    <t>30-40 MM, BIG SHEEPSHEAD CREEK</t>
  </si>
  <si>
    <t xml:space="preserve"> LIFESTG/POPULATION//TESTID/1//MSMT/NR//DOSES/0.025/0.05/0.1/0.5/1.0/1.5/2.0/2.5 MG/L//SOURCE/WLD//WTINT/NR//DNUM/9//SEX/NR//TMETH/NR//STYPE/ACUTE//ETIME/96 H//AP RATE/NR//SAMPN/NR//WTAT/NR//INTAKE/NR//COMPEP/NR//LD/NR//DW/NR//STST/NR//HMA/NR//NA/NR//CL/NR//DIC/NR//CA/NR//POT/NR//MG/NR//SO4/NR//SULF/NR//</t>
  </si>
  <si>
    <t xml:space="preserve">   LIFESTG/POPULATION//TESTID/1//MSMT/NR//DOSES/0.025/0.05/0.1/0.5/1.0/1.5/2.0/2.5 MG/L//SOURCE/WLD//WTINT/NR//DNUM/9//SEX/NR//TMETH/NR//STYPE/ACUTE//ETIME/96 H//AP RATE/NR//SAMPN/NR//WTAT/NR//INTAKE/NR//COMPEP/NR//LD/NR//DW/NR//STST/NR//HMA/NR//NA/NR//CL/NR//DIC/NR//CA/NR//POT/NR//MG/NR//SO4/NR//SULF/NR//</t>
  </si>
  <si>
    <t>(T-4)-Bis(dimethylcarbamodithioato-kappaS,kappaS')zinc</t>
  </si>
  <si>
    <t>Organization for Economic Cooperation and Development</t>
  </si>
  <si>
    <t>Artemia sp.</t>
  </si>
  <si>
    <t>Brine Shrimp</t>
  </si>
  <si>
    <t>Branchiopoda</t>
  </si>
  <si>
    <t>Anostraca</t>
  </si>
  <si>
    <t>Artemiidae</t>
  </si>
  <si>
    <t>Artemia</t>
  </si>
  <si>
    <t>sp.</t>
  </si>
  <si>
    <t>&lt;=</t>
  </si>
  <si>
    <t>Hours post hatch</t>
  </si>
  <si>
    <t>Laboratory</t>
  </si>
  <si>
    <t>Active ingredient</t>
  </si>
  <si>
    <t>mg/L</t>
  </si>
  <si>
    <t>Ziram</t>
  </si>
  <si>
    <t xml:space="preserve">CAS #: 67685 | Chem Name: Sulfinyl bis(methane) | Chem Grade: NR | Chem Formulation: NR | Chem Radiolabel: NR | Chem Characteristics: 0.1 PERCENT V/V | Chem Purity: 99.9 | </t>
  </si>
  <si>
    <t>10.1016/j.marpolbul.2016.11.047</t>
  </si>
  <si>
    <t>Carrier or solvent control</t>
  </si>
  <si>
    <t>SIX REPLICATES, RUN IN TRIPLICATE</t>
  </si>
  <si>
    <t>PSU</t>
  </si>
  <si>
    <t xml:space="preserve">SOURCE/OBTAINED FROM DEPARTMENT OF MARINE BIOTECHNOLOGY, SOONCHUNHYANG UNIVERSITY, ASAN, SOUTH KOREA//TMETH/MODIFIED 202, 2004//MEDIA/FILTERED SEAWATER//   </t>
  </si>
  <si>
    <t>Jung,S.M., J.S. Bae, S.G. Kang, J.S. Son, J.H. Jeon, H.J. Lee, J.Y. Jeon, M. Sidharthan, S.H. Ryu, and H.W. Shin</t>
  </si>
  <si>
    <t>Acute Toxicity of Organic Antifouling Biocides to Phytoplankton Nitzschia pungens and Zooplankton Artemia Larvae</t>
  </si>
  <si>
    <t>Mar. Pollut. Bull.124(2): 811-818</t>
  </si>
  <si>
    <t>Jung,S.M., J.S. Bae, S.G. Kang, J.S. Son, J.H. Jeon, H.J. Lee, J.Y. Jeon, M. Sidharthan, S.H. Ryu, and H.W. Shin (2016). Acute Toxicity of Organic Antifouling Biocides to Phytoplankton Nitzschia pungens and Zooplankton Artemia Larvae. Mar. Pollut. Bull., 124, (2), 811-818. doi:10.1016/j.marpolbul.2016.11.047. ECOREF#:175889</t>
  </si>
  <si>
    <t>United States Environmental Protection Agency</t>
  </si>
  <si>
    <t>Americamysis bahia</t>
  </si>
  <si>
    <t>Opossum Shrimp</t>
  </si>
  <si>
    <t>Mysida</t>
  </si>
  <si>
    <t>Mysidae</t>
  </si>
  <si>
    <t>Americamysis</t>
  </si>
  <si>
    <t>bahia</t>
  </si>
  <si>
    <t>&lt;24 hr</t>
  </si>
  <si>
    <t>Control data is presented but without accompanying methodology</t>
  </si>
  <si>
    <t>Acute</t>
  </si>
  <si>
    <t>--</t>
  </si>
  <si>
    <t>Unspecified</t>
  </si>
  <si>
    <t xml:space="preserve">CONTR/STD METHODS USED//   </t>
  </si>
  <si>
    <t>U.S. Environmental Protection Agency</t>
  </si>
  <si>
    <t>Pesticide Ecotoxicity Database (Formerly: Environmental Effects Database (EEDB))</t>
  </si>
  <si>
    <t>Environmental Fate and Effects Division, U.S.EPA, Washington, D.C.:</t>
  </si>
  <si>
    <t>U.S. Environmental Protection Agency (1992). Pesticide Ecotoxicity Database (Formerly: Environmental Effects Database (EEDB)). Environmental Fate and Effects Division, U.S.EPA, Washington, D.C., ECOREF#:344</t>
  </si>
  <si>
    <t>Acetic acid, Copper(2+) salt</t>
  </si>
  <si>
    <t>Reagent Grade, Purissium, Purum, Puriss, Puris, Reinst</t>
  </si>
  <si>
    <t>Tigriopus japonicus</t>
  </si>
  <si>
    <t>Harpacticoid Copepod</t>
  </si>
  <si>
    <t>Maxillopoda</t>
  </si>
  <si>
    <t>Harpacticoida</t>
  </si>
  <si>
    <t>Harpacticidae</t>
  </si>
  <si>
    <t>Tigriopus</t>
  </si>
  <si>
    <t>japonicus</t>
  </si>
  <si>
    <t>Cu</t>
  </si>
  <si>
    <t>COPPER ACETATE</t>
  </si>
  <si>
    <t>10.1016/j.marpolbul.2008.03.026</t>
  </si>
  <si>
    <t>3 REPLICATES</t>
  </si>
  <si>
    <t xml:space="preserve"> DNUM/2//DOSES/500/800/1000/1200/1500 ug/L//TESTID/10//</t>
  </si>
  <si>
    <t xml:space="preserve">   DNUM/2//DOSES/500/800/1000/1200/1500 ug/L//TESTID/10//</t>
  </si>
  <si>
    <t>Kwok,K.W.H., K.M.Y. Leung, V.W.W. Bao, and J.S. Lee</t>
  </si>
  <si>
    <t>Copper Toxicity in the Marine Copepod Tigropus japonicus:  Low Variability and High Reproducibility of Repeated Acute and Life-Cycle Tests</t>
  </si>
  <si>
    <t>Mar. Pollut. Bull.57(6-12): 632-636</t>
  </si>
  <si>
    <t>Kwok,K.W.H., K.M.Y. Leung, V.W.W. Bao, and J.S. Lee (2008). Copper Toxicity in the Marine Copepod Tigropus japonicus:  Low Variability and High Reproducibility of Repeated Acute and Life-Cycle Tests. Mar. Pollut. Bull., 57, (6-12), 632-636. doi:10.1016/j.marpolbul.2008.03.026. ECOREF#:115854</t>
  </si>
  <si>
    <t>Cupric acetate</t>
  </si>
  <si>
    <t xml:space="preserve">CAS #: 67641 | Chem Name: Propan-2-one | Chem Grade: NR | Chem Formulation: NR | Chem Radiolabel: NR | Chem Characteristics: AS NEEDED | Chem Purity: NR | </t>
  </si>
  <si>
    <t>10.1016/0043-1354(79)90084-8</t>
  </si>
  <si>
    <t>CONCENTRATIONS ARRANGED IN GEOMETRIC SERIES</t>
  </si>
  <si>
    <t xml:space="preserve">CONC1/BASED ON MEASURED VALUES// </t>
  </si>
  <si>
    <t xml:space="preserve">SOURCE/FROM AN ESTUARY IN THE GALVESTON BAY SYSTEM, TEXAS//TMETH/EPA-660-3-75-009//MEDIA/INSTANT OCEAN SYNTHETIC SEAWATER//  CONC1/BASED ON MEASURED VALUES// </t>
  </si>
  <si>
    <t>Curtis,M.W., T.L. Copeland, and C.H. Ward</t>
  </si>
  <si>
    <t>Acute Toxicity of 12 Industrial Chemicals to Freshwater and Saltwater Organisms</t>
  </si>
  <si>
    <t>Water Res.13(2): 137-141</t>
  </si>
  <si>
    <t>Curtis,M.W., T.L. Copeland, and C.H. Ward (1979). Acute Toxicity of 12 Industrial Chemicals to Freshwater and Saltwater Organisms. Water Res., 13, (2), 137-141. doi:10.1016/0043-1354(79)90084-8. ECOREF#:875</t>
  </si>
  <si>
    <t>Acetic acid, Lead(2+) salt (2:1)</t>
  </si>
  <si>
    <t>A.R. grade (Analytical Reagent grade)</t>
  </si>
  <si>
    <t>Penaeus indicus</t>
  </si>
  <si>
    <t>Indian Prawn</t>
  </si>
  <si>
    <t>Penaeidae</t>
  </si>
  <si>
    <t>Penaeus</t>
  </si>
  <si>
    <t>indicus</t>
  </si>
  <si>
    <t>Post-larva</t>
  </si>
  <si>
    <t>ppm</t>
  </si>
  <si>
    <t>Pb</t>
  </si>
  <si>
    <t>10.1080/02757540008037670</t>
  </si>
  <si>
    <t xml:space="preserve"> TESTID/7//MSMT/NR//DOSES/1/5/10/20 PPM//SOURCE/WLD//WTINT/NR//DNUM/5//SEX/NR//TMETH/FAO//STYPE/ELS//ETIME/96 H//AP RATE/NR//SAMPN/NR//WTAT/NR//INTAKE/NR//COMPEP/NR//LD/NR//DW/NR//STST/NR//HMA/NR//NA/NR//CL/NR//DIC/NR//CA/NR//POT/NR//MG/NR//SO4/NR//SULF/NR//</t>
  </si>
  <si>
    <t xml:space="preserve">   TESTID/7//MSMT/NR//DOSES/1/5/10/20 PPM//SOURCE/WLD//WTINT/NR//DNUM/5//SEX/NR//TMETH/FAO//STYPE/ELS//ETIME/96 H//AP RATE/NR//SAMPN/NR//WTAT/NR//INTAKE/NR//COMPEP/NR//LD/NR//DW/NR//STST/NR//HMA/NR//NA/NR//CL/NR//DIC/NR//CA/NR//POT/NR//MG/NR//SO4/NR//SULF/NR//</t>
  </si>
  <si>
    <t>Chinni,S., R.N. Khan, V.U. Devi, and P.R. Yallaprgada</t>
  </si>
  <si>
    <t>Effect of Water Variables on Lead Tolerance in Postlarvae of Penaeus indicus (H. Milne Edwards)</t>
  </si>
  <si>
    <t>Chem. Ecol.17(3): 157-170</t>
  </si>
  <si>
    <t>Chinni,S., R.N. Khan, V.U. Devi, and P.R. Yallaprgada (2000). Effect of Water Variables on Lead Tolerance in Postlarvae of Penaeus indicus (H. Milne Edwards). Chem. Ecol., 17, (3), 157-170. doi:10.1080/02757540008037670. ECOREF#:82291</t>
  </si>
  <si>
    <t>10 TO 12 MM</t>
  </si>
  <si>
    <t>LEAD ACETATE, LEAD ACEATE X/</t>
  </si>
  <si>
    <t xml:space="preserve"> CHAR/3H2O//DNUM/5//DOSES/1/5/10/20 ppm//TESTID/3//</t>
  </si>
  <si>
    <t xml:space="preserve">   CHAR/3H2O//DNUM/5//DOSES/1/5/10/20 ppm//TESTID/3//</t>
  </si>
  <si>
    <t>Chinni,S., and P.R. Yallapragda</t>
  </si>
  <si>
    <t>Toxicity of Copper, Cadmium, Zinc and Lead to Penaeus indicus Postlarvae:  Effects of Individual Metals</t>
  </si>
  <si>
    <t>J. Environ. Biol.21(3): 255-258</t>
  </si>
  <si>
    <t>Chinni,S., and P.R. Yallapragda (2000). Toxicity of Copper, Cadmium, Zinc and Lead to Penaeus indicus Postlarvae:  Effects of Individual Metals. J. Environ. Biol., 21, (3), 255-258. ECOREF#:59783</t>
  </si>
  <si>
    <t>Analytical grade</t>
  </si>
  <si>
    <t>1-1.2 CM</t>
  </si>
  <si>
    <t>10.1006/eesa.2000.2019</t>
  </si>
  <si>
    <t xml:space="preserve"> TESTID/1//MSMT/NR//DOSES/NR//SOURCE/WLD//WTINT/NR//DNUM/NR//SEX/NR//TMETH/NR//STYPE/ACUTE//ETIME/96 H//AP RATE/NR//SAMPN/NR//WTAT/NR//INTAKE/NR//COMPEP/NR//LD/NR//DW/NR//STST/NR//HMA/NR//NA/NR//CL/NR//DIC/NR//CA/NR//POT/NR//MG/NR//SO4/NR//SULF/NR//</t>
  </si>
  <si>
    <t xml:space="preserve">   TESTID/1//MSMT/NR//DOSES/NR//SOURCE/WLD//WTINT/NR//DNUM/NR//SEX/NR//TMETH/NR//STYPE/ACUTE//ETIME/96 H//AP RATE/NR//SAMPN/NR//WTAT/NR//INTAKE/NR//COMPEP/NR//LD/NR//DW/NR//STST/NR//HMA/NR//NA/NR//CL/NR//DIC/NR//CA/NR//POT/NR//MG/NR//SO4/NR//SULF/NR//</t>
  </si>
  <si>
    <t>Chinni,S., R.N. Khan, and P.R. Yallapragada</t>
  </si>
  <si>
    <t>Acute Toxicity of Lead on Tolerance, Oxygen Consumption, Ammonia-N Excretion, and Metal Accumulation in Penaeus indicus Postlarvae</t>
  </si>
  <si>
    <t>Ecotoxicol. Environ. Saf.51(2): 79-84</t>
  </si>
  <si>
    <t>Chinni,S., R.N. Khan, and P.R. Yallapragada (2002). Acute Toxicity of Lead on Tolerance, Oxygen Consumption, Ammonia-N Excretion, and Metal Accumulation in Penaeus indicus Postlarvae. Ecotoxicol. Environ. Saf., 51, (2), 79-84. doi:10.1006/eesa.2000.2019. ECOREF#:65824</t>
  </si>
  <si>
    <t xml:space="preserve"> TESTID/4//MSMT/NR//DOSES/1/5/10/20 PPM//SOURCE/WLD//WTINT/NR//DNUM/5//SEX/NR//TMETH/FAO//STYPE/ELS//ETIME/96 H//AP RATE/NR//SAMPN/NR//WTAT/NR//INTAKE/NR//COMPEP/NR//LD/NR//DW/NR//STST/NR//HMA/NR//NA/NR//CL/NR//DIC/NR//CA/NR//POT/NR//MG/NR//SO4/NR//SULF/NR//</t>
  </si>
  <si>
    <t xml:space="preserve">   TESTID/4//MSMT/NR//DOSES/1/5/10/20 PPM//SOURCE/WLD//WTINT/NR//DNUM/5//SEX/NR//TMETH/FAO//STYPE/ELS//ETIME/96 H//AP RATE/NR//SAMPN/NR//WTAT/NR//INTAKE/NR//COMPEP/NR//LD/NR//DW/NR//STST/NR//HMA/NR//NA/NR//CL/NR//DIC/NR//CA/NR//POT/NR//MG/NR//SO4/NR//SULF/NR//</t>
  </si>
  <si>
    <t xml:space="preserve"> TESTID/2//MSMT/NR//DOSES/1/5/10/20 PPM//SOURCE/WLD//WTINT/NR//DNUM/5//SEX/NR//TMETH/FAO//STYPE/ELS//ETIME/96 H//AP RATE/NR//SAMPN/NR//WTAT/NR//INTAKE/NR//COMPEP/NR//LD/NR//DW/NR//STST/NR//HMA/NR//NA/NR//CL/NR//DIC/NR//CA/NR//POT/NR//MG/NR//SO4/NR//SULF/NR//</t>
  </si>
  <si>
    <t xml:space="preserve">   TESTID/2//MSMT/NR//DOSES/1/5/10/20 PPM//SOURCE/WLD//WTINT/NR//DNUM/5//SEX/NR//TMETH/FAO//STYPE/ELS//ETIME/96 H//AP RATE/NR//SAMPN/NR//WTAT/NR//INTAKE/NR//COMPEP/NR//LD/NR//DW/NR//STST/NR//HMA/NR//NA/NR//CL/NR//DIC/NR//CA/NR//POT/NR//MG/NR//SO4/NR//SULF/NR//</t>
  </si>
  <si>
    <t>Artemia salina</t>
  </si>
  <si>
    <t>salina</t>
  </si>
  <si>
    <t>Taneeva,A.I.</t>
  </si>
  <si>
    <t>Toxicity of Some Heavy Metals for Hydrobionts</t>
  </si>
  <si>
    <t>In: V.N.Greze (Ed.), Proc. Mater. Vses. Simp. Izuch. Chern. Sredizemnogo Morei, IspolZ Okhr. Ikh. Resur. Kiev, USSR Ser. 4:114-117</t>
  </si>
  <si>
    <t>Taneeva,A.I. (1973). Toxicity of Some Heavy Metals for Hydrobionts. In: V.N.Greze (Ed.), Proc. Mater. Vses. Simp. Izuch. Chern. Sredizemnogo Morei, IspolZ Okhr. Ikh. Resur. Kiev, USSR Ser. 4, 114-117. ECOREF#:9001</t>
  </si>
  <si>
    <t xml:space="preserve"> TESTID/6//MSMT/NR//DOSES/1/5/10/20 PPM//SOURCE/WLD//WTINT/NR//DNUM/5//SEX/NR//TMETH/FAO//STYPE/ELS//ETIME/96 H//AP RATE/NR//SAMPN/NR//WTAT/NR//INTAKE/NR//COMPEP/NR//LD/NR//DW/NR//STST/NR//HMA/NR//NA/NR//CL/NR//DIC/NR//CA/NR//POT/NR//MG/NR//SO4/NR//SULF/NR//</t>
  </si>
  <si>
    <t xml:space="preserve">   TESTID/6//MSMT/NR//DOSES/1/5/10/20 PPM//SOURCE/WLD//WTINT/NR//DNUM/5//SEX/NR//TMETH/FAO//STYPE/ELS//ETIME/96 H//AP RATE/NR//SAMPN/NR//WTAT/NR//INTAKE/NR//COMPEP/NR//LD/NR//DW/NR//STST/NR//HMA/NR//NA/NR//CL/NR//DIC/NR//CA/NR//POT/NR//MG/NR//SO4/NR//SULF/NR//</t>
  </si>
  <si>
    <t>Balanus eburneus</t>
  </si>
  <si>
    <t>Barnacle</t>
  </si>
  <si>
    <t>Sessilia</t>
  </si>
  <si>
    <t>Balanidae</t>
  </si>
  <si>
    <t>Balanus</t>
  </si>
  <si>
    <t>eburneus</t>
  </si>
  <si>
    <t xml:space="preserve"> TESTID/5//MSMT/NR//DOSES/1/5/10/20 PPM//SOURCE/WLD//WTINT/NR//DNUM/5//SEX/NR//TMETH/FAO//STYPE/ELS//ETIME/96 H//AP RATE/NR//SAMPN/NR//WTAT/NR//INTAKE/NR//COMPEP/NR//LD/NR//DW/NR//STST/NR//HMA/NR//NA/NR//CL/NR//DIC/NR//CA/NR//POT/NR//MG/NR//SO4/NR//SULF/NR//</t>
  </si>
  <si>
    <t xml:space="preserve">   TESTID/5//MSMT/NR//DOSES/1/5/10/20 PPM//SOURCE/WLD//WTINT/NR//DNUM/5//SEX/NR//TMETH/FAO//STYPE/ELS//ETIME/96 H//AP RATE/NR//SAMPN/NR//WTAT/NR//INTAKE/NR//COMPEP/NR//LD/NR//DW/NR//STST/NR//HMA/NR//NA/NR//CL/NR//DIC/NR//CA/NR//POT/NR//MG/NR//SO4/NR//SULF/NR//</t>
  </si>
  <si>
    <t xml:space="preserve"> TESTID/1//MSMT/NR//DOSES/1/5/10/20 PPM//SOURCE/WLD//WTINT/NR//DNUM/5//SEX/NR//TMETH/FAO//STYPE/ELS//ETIME/96 H//AP RATE/NR//SAMPN/NR//WTAT/NR//INTAKE/NR//COMPEP/NR//LD/NR//DW/NR//STST/NR//HMA/NR//NA/NR//CL/NR//DIC/NR//CA/NR//POT/NR//MG/NR//SO4/NR//SULF/NR//</t>
  </si>
  <si>
    <t xml:space="preserve">   TESTID/1//MSMT/NR//DOSES/1/5/10/20 PPM//SOURCE/WLD//WTINT/NR//DNUM/5//SEX/NR//TMETH/FAO//STYPE/ELS//ETIME/96 H//AP RATE/NR//SAMPN/NR//WTAT/NR//INTAKE/NR//COMPEP/NR//LD/NR//DW/NR//STST/NR//HMA/NR//NA/NR//CL/NR//DIC/NR//CA/NR//POT/NR//MG/NR//SO4/NR//SULF/NR//</t>
  </si>
  <si>
    <t>Acetic acid, Nickel(2+)salt</t>
  </si>
  <si>
    <t>Tisbe holothuriae</t>
  </si>
  <si>
    <t>Tisbidae</t>
  </si>
  <si>
    <t>Tisbe</t>
  </si>
  <si>
    <t>holothuriae</t>
  </si>
  <si>
    <t>OVIGEROUS FEMALE</t>
  </si>
  <si>
    <t>10.1007/BF01688882</t>
  </si>
  <si>
    <t>SYNTHETIC SEA WATER</t>
  </si>
  <si>
    <t xml:space="preserve"> CONC/AS NI// </t>
  </si>
  <si>
    <t xml:space="preserve">   CONC/AS NI// </t>
  </si>
  <si>
    <t>Verriopoulos,G., and S. Dimas</t>
  </si>
  <si>
    <t>Combined Toxicity of Copper, Cadmium, Zinc, Lead, Nickel, and Chrome to the Copepod Tisbe holothuriae</t>
  </si>
  <si>
    <t>Bull. Environ. Contam. Toxicol.41(3): 378-384</t>
  </si>
  <si>
    <t>Verriopoulos,G., and S. Dimas (1988). Combined Toxicity of Copper, Cadmium, Zinc, Lead, Nickel, and Chrome to the Copepod Tisbe holothuriae. Bull. Environ. Contam. Toxicol., 41, (3), 378-384. doi:10.1007/BF01688882. ECOREF#:13179</t>
  </si>
  <si>
    <t>Thiocyanic acid, Mercury (2+) salt</t>
  </si>
  <si>
    <t>Mercuric thiocyanate</t>
  </si>
  <si>
    <t>Zinc oxide (ZnO)</t>
  </si>
  <si>
    <t>10-55 NM MEASURED PARTICLE SIZE, 10-30 NM NOMINAL PARTICLE SIZE, OTHER PARTICLE PARAMETERS REPORTED</t>
  </si>
  <si>
    <t>10.1039/C2EM30540B</t>
  </si>
  <si>
    <t>11200-12700</t>
  </si>
  <si>
    <t>INSTANT OCEAN, 3 REPLICATES</t>
  </si>
  <si>
    <t>Ates,M., J. Daniels, Z. Arslan, I.O. Farah, and H.F. Rivera</t>
  </si>
  <si>
    <t>Comparative Evaluation of Impact of Zn and ZnO Nanoparticles on Brine Shrimp (Artemia salina) Larvae:  Effects of Particle Size and Solubility on Toxicity</t>
  </si>
  <si>
    <t>Environ. Sci. Proc. Impacts15:225-233</t>
  </si>
  <si>
    <t>Ates,M., J. Daniels, Z. Arslan, I.O. Farah, and H.F. Rivera (2013). Comparative Evaluation of Impact of Zn and ZnO Nanoparticles on Brine Shrimp (Artemia salina) Larvae:  Effects of Particle Size and Solubility on Toxicity. Environ. Sci. Proc. Impacts, 15, 225-233. doi:10.1039/C2EM30540B. ECOREF#:164307</t>
  </si>
  <si>
    <t>90-230 NM MEASURED PARTICLE SIZE, 200 NM NOMINAL PARTICLE SIZE, OTHER PARTICLE PARAMETERS REPORTED</t>
  </si>
  <si>
    <t>13300-21700</t>
  </si>
  <si>
    <t>Elasmopus rapax</t>
  </si>
  <si>
    <t>Scud</t>
  </si>
  <si>
    <t>Amphipoda</t>
  </si>
  <si>
    <t>Gammaridae</t>
  </si>
  <si>
    <t>Elasmopus</t>
  </si>
  <si>
    <t>rapax</t>
  </si>
  <si>
    <t>0.39 MM</t>
  </si>
  <si>
    <t>Dissolved</t>
  </si>
  <si>
    <t>26.2 NM MEASURED PARTICLE SIZE, OTHER PARTICLE PARAMETERS REPORTED</t>
  </si>
  <si>
    <t>10.1007/s00216-009-3249-z</t>
  </si>
  <si>
    <t xml:space="preserve">SOURCE/GOVERNMENT AGENCY//   </t>
  </si>
  <si>
    <t>Wong,S.W.Y., P.T.Y. Leung, A.B. Djurisic, and K.M.Y. Leung</t>
  </si>
  <si>
    <t>Toxicities of Nano Zinc Oxide to Five Marine Organisms: Influences of Aggregate Size and Ion Solubility</t>
  </si>
  <si>
    <t>Anal. Bioanal. Chem.396(2): 609-618</t>
  </si>
  <si>
    <t>Wong,S.W.Y., P.T.Y. Leung, A.B. Djurisic, and K.M.Y. Leung (2010). Toxicities of Nano Zinc Oxide to Five Marine Organisms: Influences of Aggregate Size and Ion Solubility. Anal. Bioanal. Chem., 396, (2), 609-618. doi:10.1007/s00216-009-3249-z. ECOREF#:150008</t>
  </si>
  <si>
    <t>12300-14500</t>
  </si>
  <si>
    <t>BULK, 216.2 NM MEASURED PARTICLE SIZE, OTHER PARTICLE PARAMETERS REPORTED</t>
  </si>
  <si>
    <t>15800-21500</t>
  </si>
  <si>
    <t>~</t>
  </si>
  <si>
    <t>Week(s)</t>
  </si>
  <si>
    <t>Female</t>
  </si>
  <si>
    <t>Zn</t>
  </si>
  <si>
    <t>20-30 NM PARTICLE SIZE, OTHER PARTICLE PARAMETERS REPORTED</t>
  </si>
  <si>
    <t>10.1016/j.marpolbul.2014.04.038</t>
  </si>
  <si>
    <t>Park,J., S. Kim, J. Yoo, J.S. Lee, J.W. Park, and J. Jung</t>
  </si>
  <si>
    <t>Effect of Salinity on Acute Copper and Zinc Toxicity to Tigriopus japonicus: The Difference Between Metal Ions and Nanoparticles</t>
  </si>
  <si>
    <t>Mar. Pollut. Bull.85(2): 526-531</t>
  </si>
  <si>
    <t>Park,J., S. Kim, J. Yoo, J.S. Lee, J.W. Park, and J. Jung (2014). Effect of Salinity on Acute Copper and Zinc Toxicity to Tigriopus japonicus: The Difference Between Metal Ions and Nanoparticles. Mar. Pollut. Bull., 85, (2), 526-531. doi:10.1016/j.marpolbul.2014.04.038. ECOREF#:169694</t>
  </si>
  <si>
    <t>Nauplii</t>
  </si>
  <si>
    <t>Copper oxide (Cu2O)</t>
  </si>
  <si>
    <t>Balanus improvisus</t>
  </si>
  <si>
    <t>improvisus</t>
  </si>
  <si>
    <t>STAGE II</t>
  </si>
  <si>
    <t>Koryakova,M.D., and O.M. Korn</t>
  </si>
  <si>
    <t>Using Barnacle Larvae for Evaluation of the Toxicity of Antifouling Paint Compounds</t>
  </si>
  <si>
    <t>Russ. J. Mar. Biol.19(3): 212-216</t>
  </si>
  <si>
    <t>Koryakova,M.D., and O.M. Korn (1993). Using Barnacle Larvae for Evaluation of the Toxicity of Antifouling Paint Compounds. Russ. J. Mar. Biol., 19, (3), 212-216. ECOREF#:16408</t>
  </si>
  <si>
    <t>Chromium oxide (CrO3)</t>
  </si>
  <si>
    <t>Palaemon northropi</t>
  </si>
  <si>
    <t>Carribean Bait Prawn</t>
  </si>
  <si>
    <t>northropi</t>
  </si>
  <si>
    <t>Cr</t>
  </si>
  <si>
    <t>CHROMIUM TRIOXIDE</t>
  </si>
  <si>
    <t xml:space="preserve"> DNUM/6//DOSES/0.5/1/2/4/8 mg/L//</t>
  </si>
  <si>
    <t xml:space="preserve">   DNUM/6//DOSES/0.5/1/2/4/8 mg/L//</t>
  </si>
  <si>
    <t>Chung,K.S.</t>
  </si>
  <si>
    <t>Effects of Selected Heavy Metals on the Survival of Tropical Grass Shrimp (Palaemon northropi)</t>
  </si>
  <si>
    <t>Bol. Inst. Oceanogr. Univ. Oriente19(1-2): 53-57</t>
  </si>
  <si>
    <t>Chung,K.S. (1980). Effects of Selected Heavy Metals on the Survival of Tropical Grass Shrimp (Palaemon northropi). Bol. Inst. Oceanogr. Univ. Oriente, 19, (1-2), 53-57. ECOREF#:48249</t>
  </si>
  <si>
    <t>Crangon crangon</t>
  </si>
  <si>
    <t>Sand Shrimp</t>
  </si>
  <si>
    <t>Crangonidae</t>
  </si>
  <si>
    <t>Crangon</t>
  </si>
  <si>
    <t>crangon</t>
  </si>
  <si>
    <t>SOLVENTS OR WATER USED</t>
  </si>
  <si>
    <t>Portmann,J.E., and K.W. Wilson</t>
  </si>
  <si>
    <t>The Toxicity of 140 Substances to the Brown Shrimp and Other Marine Animals</t>
  </si>
  <si>
    <t>Shellfish Information Leaflet No.22, Ministry of Agriculture Fishery and Food, Fishery Laboratory, Burnham-on-Crouch, Essex, and Fish Experimental Station, Conway, North Wales:12 p.</t>
  </si>
  <si>
    <t>Portmann,J.E., and K.W. Wilson (1971). The Toxicity of 140 Substances to the Brown Shrimp and Other Marine Animals. Shellfish Information Leaflet No.22, Ministry of Agriculture Fishery and Food, Fishery Laboratory, Burnham-on-Crouch, Essex, and Fish Experimental Station, Conway, North Wales, 12 p. ECOREF#:906</t>
  </si>
  <si>
    <t>Copper chloride</t>
  </si>
  <si>
    <t>Other Method</t>
  </si>
  <si>
    <t>Embryo</t>
  </si>
  <si>
    <t>6-8</t>
  </si>
  <si>
    <t>FILTERED NATURAL SEAWATER FROM  ROSA SOUND USED</t>
  </si>
  <si>
    <t xml:space="preserve">SOURCE/ESTUARY NEAR GULF BREEZE, FL//TMETH/SEATOX TEST PROTOCOL//   </t>
  </si>
  <si>
    <t>Rayburn,J.R., and W.S. Fisher</t>
  </si>
  <si>
    <t>Developmental Toxicity of Copper Chloride, Methylene Chloride, and 6-Aminonicotinamide to Embryos of the Grass Shrimp Palaemonetes pugio</t>
  </si>
  <si>
    <t>Environ. Toxicol. Chem.18(5): 950-957</t>
  </si>
  <si>
    <t>Rayburn,J.R., and W.S. Fisher (1999). Developmental Toxicity of Copper Chloride, Methylene Chloride, and 6-Aminonicotinamide to Embryos of the Grass Shrimp Palaemonetes pugio. Environ. Toxicol. Chem., 18, (5), 950-957. ECOREF#:53460</t>
  </si>
  <si>
    <t>Nitocra spinipes</t>
  </si>
  <si>
    <t>Ameiridae</t>
  </si>
  <si>
    <t>Nitocra</t>
  </si>
  <si>
    <t>spinipes</t>
  </si>
  <si>
    <t>R</t>
  </si>
  <si>
    <t>10.1016/0025-326X(78)90378-8</t>
  </si>
  <si>
    <t>mg/L CaCO3</t>
  </si>
  <si>
    <t>Bengtsson,B.E.</t>
  </si>
  <si>
    <t>Use of a Harpacticoid Copepod in Toxicity Tests</t>
  </si>
  <si>
    <t>Mar. Pollut. Bull.9:238-241</t>
  </si>
  <si>
    <t>Bengtsson,B.E. (1978). Use of a Harpacticoid Copepod in Toxicity Tests. Mar. Pollut. Bull., 9, 238-241. doi:10.1016/0025-326X(78)90378-8. ECOREF#:2183</t>
  </si>
  <si>
    <t>Eohaustorius estuarius</t>
  </si>
  <si>
    <t>Amphipod</t>
  </si>
  <si>
    <t>Haustoriidae</t>
  </si>
  <si>
    <t>Eohaustorius</t>
  </si>
  <si>
    <t>estuarius</t>
  </si>
  <si>
    <t>COPPER CHLORIDE (GENERIC)</t>
  </si>
  <si>
    <t>10.1016/S0025-326X(00)00043-6</t>
  </si>
  <si>
    <t xml:space="preserve"> DOSES/3 to 100 mg/L//</t>
  </si>
  <si>
    <t xml:space="preserve">   DOSES/3 to 100 mg/L//</t>
  </si>
  <si>
    <t>McPherson,C.A., and P.M. Chapman</t>
  </si>
  <si>
    <t>Copper Effects on Potential Sediment Test Organisms:  The Importance of Appropriate Sensitivity</t>
  </si>
  <si>
    <t>Mar. Pollut. Bull.40(8): 656-665</t>
  </si>
  <si>
    <t>McPherson,C.A., and P.M. Chapman (2000). Copper Effects on Potential Sediment Test Organisms:  The Importance of Appropriate Sensitivity. Mar. Pollut. Bull., 40, (8), 656-665. doi:10.1016/S0025-326X(00)00043-6. ECOREF#:52126</t>
  </si>
  <si>
    <t>Ampelisca abdita</t>
  </si>
  <si>
    <t>Ampeliscidae</t>
  </si>
  <si>
    <t>Ampelisca</t>
  </si>
  <si>
    <t>abdita</t>
  </si>
  <si>
    <t xml:space="preserve"> DOSES/12.5 to 400 ug/L//</t>
  </si>
  <si>
    <t xml:space="preserve">   DOSES/12.5 to 400 ug/L//</t>
  </si>
  <si>
    <t>Mercuric acetate</t>
  </si>
  <si>
    <t>Nitric acid, Copper(2+) salt</t>
  </si>
  <si>
    <t>Stage</t>
  </si>
  <si>
    <t>10.1007/BF00396125</t>
  </si>
  <si>
    <t xml:space="preserve"> CONC/AS CU// CONTR/3 % MORT// TIME/MOVED TO CLEAN WATER FOR 24 H// </t>
  </si>
  <si>
    <t xml:space="preserve">   CONC/AS CU// CONTR/3 % MORT// TIME/MOVED TO CLEAN WATER FOR 24 H// </t>
  </si>
  <si>
    <t>Lang,W.H., R.B.,Jr. Forward, D.C. Miller, and M. Marcy</t>
  </si>
  <si>
    <t>Acute Toxicity and Sublethal Behavioral Effects of Copper on Barnacle Nauplii (Balanus improvisus)</t>
  </si>
  <si>
    <t>Mar. Biol. (Multiple Languages)58(2): 139-145</t>
  </si>
  <si>
    <t>Lang,W.H., R.B.,Jr. Forward, D.C. Miller, and M. Marcy (1980). Acute Toxicity and Sublethal Behavioral Effects of Copper on Barnacle Nauplii (Balanus improvisus). Mar. Biol. (Multiple Languages), 58, (2), 139-145. doi:10.1007/BF00396125. ECOREF#:5258</t>
  </si>
  <si>
    <t>Homarus americanus</t>
  </si>
  <si>
    <t>American Lobster</t>
  </si>
  <si>
    <t>Nephropidae</t>
  </si>
  <si>
    <t>Homarus</t>
  </si>
  <si>
    <t>americanus</t>
  </si>
  <si>
    <t>STAGE 1</t>
  </si>
  <si>
    <t>FCAAS</t>
  </si>
  <si>
    <t>10.1007/BF02026939</t>
  </si>
  <si>
    <t xml:space="preserve"> CONTR/CONTR MORTS CORRECTED FOR W/ABBOTT'S FORMULA//</t>
  </si>
  <si>
    <t xml:space="preserve">   CONTR/CONTR MORTS CORRECTED FOR W/ABBOTT'S FORMULA//</t>
  </si>
  <si>
    <t>Johnson,M.W., and J.H. Gentile</t>
  </si>
  <si>
    <t>Acute Toxicity of Cadmium, Copper, and Mercury to Larval American Lobster Homarus americanus</t>
  </si>
  <si>
    <t>Bull. Environ. Contam. Toxicol.22(1/2): 258-264</t>
  </si>
  <si>
    <t>Johnson,M.W., and J.H. Gentile (1979). Acute Toxicity of Cadmium, Copper, and Mercury to Larval American Lobster Homarus americanus. Bull. Environ. Contam. Toxicol., 22, (1/2), 258-264. doi:10.1007/BF02026939. ECOREF#:5391</t>
  </si>
  <si>
    <t xml:space="preserve"> CONC/AS CU// CONTR/5 % MORT// TIME/MOVED TO CLEAN WATER FOR 24 H// </t>
  </si>
  <si>
    <t xml:space="preserve">   CONC/AS CU// CONTR/5 % MORT// TIME/MOVED TO CLEAN WATER FOR 24 H// </t>
  </si>
  <si>
    <t>Analar grade</t>
  </si>
  <si>
    <t>Tisbe battagliai</t>
  </si>
  <si>
    <t>battagliai</t>
  </si>
  <si>
    <t>10.1016/0141-1136(94)90028-0</t>
  </si>
  <si>
    <t>Hutchinson,T.H., T.D. Williams, and G.J. Eales</t>
  </si>
  <si>
    <t>Toxicity of Cadmium, Hexavalent Chromium and Copper to Marine Fish Larvae (Cypinodon variegatus) and Copepods (Tisbe battagliai)</t>
  </si>
  <si>
    <t>Mar. Environ. Res.38(4): 275-290</t>
  </si>
  <si>
    <t>Hutchinson,T.H., T.D. Williams, and G.J. Eales (1994). Toxicity of Cadmium, Hexavalent Chromium and Copper to Marine Fish Larvae (Cypinodon variegatus) and Copepods (Tisbe battagliai). Mar. Environ. Res., 38, (4), 275-290. doi:10.1016/0141-1136(94)90028-0. ECOREF#:14137</t>
  </si>
  <si>
    <t>Acartia tonsa</t>
  </si>
  <si>
    <t>Calanoid Copepod</t>
  </si>
  <si>
    <t>Calanoida</t>
  </si>
  <si>
    <t>Acartiidae</t>
  </si>
  <si>
    <t>Acartia</t>
  </si>
  <si>
    <t>tonsa</t>
  </si>
  <si>
    <t>AAPS</t>
  </si>
  <si>
    <t>10.1016/0043-1354(79)90037-X</t>
  </si>
  <si>
    <t>Unsatisfactory</t>
  </si>
  <si>
    <t xml:space="preserve"> O EFCT CONT/DENSITY//SPECIES/COLLECTED FROM NARRAGANSETT BAY, RI//CONTR/&lt;= 15 % MORT//</t>
  </si>
  <si>
    <t xml:space="preserve">   O EFCT CONT/DENSITY//SPECIES/COLLECTED FROM NARRAGANSETT BAY, RI//CONTR/&lt;= 15 % MORT//</t>
  </si>
  <si>
    <t>Sosnowski,S.L., D.J. Germond, and J.H. Gentile</t>
  </si>
  <si>
    <t>The Effect of Nutrition on the Response of Field Populations of the Calanoid Copepod Acartia tonsa to Copper</t>
  </si>
  <si>
    <t>Water Res.13(5): 449-452</t>
  </si>
  <si>
    <t>Sosnowski,S.L., D.J. Germond, and J.H. Gentile (1979). The Effect of Nutrition on the Response of Field Populations of the Calanoid Copepod Acartia tonsa to Copper. Water Res., 13, (5), 449-452. doi:10.1016/0043-1354(79)90037-X. ECOREF#:8446</t>
  </si>
  <si>
    <t>Mysidopsis bigelowi</t>
  </si>
  <si>
    <t>Shrimp</t>
  </si>
  <si>
    <t>Mysidopsis</t>
  </si>
  <si>
    <t>bigelowi</t>
  </si>
  <si>
    <t>Juvenile</t>
  </si>
  <si>
    <t>Lussier,S.M.</t>
  </si>
  <si>
    <t>Results of Acute Toxicity Tests Conducted with Copper at ERL, Narragansett</t>
  </si>
  <si>
    <t>U.S.EPA, Narragansett, RI:1 p.</t>
  </si>
  <si>
    <t>Lussier,S.M. (1985). Results of Acute Toxicity Tests Conducted with Copper at ERL, Narragansett. U.S.EPA, Narragansett, RI, 1 p. ECOREF#:76240</t>
  </si>
  <si>
    <t>Carbonic acid, Zinc salt (1:1)</t>
  </si>
  <si>
    <t>Clibanarius africanus</t>
  </si>
  <si>
    <t>Hermit Crab</t>
  </si>
  <si>
    <t>Diogenidae</t>
  </si>
  <si>
    <t>Clibanarius</t>
  </si>
  <si>
    <t>africanus</t>
  </si>
  <si>
    <t>28 TO 32MM SHELL LENGTH</t>
  </si>
  <si>
    <t>mM</t>
  </si>
  <si>
    <t>ZINC CARBONATE, ZNCO3.3H2O</t>
  </si>
  <si>
    <t>10.1080/02772240600619583</t>
  </si>
  <si>
    <t xml:space="preserve"> DNUM/11//DOSES/0.06/0.08/0.16/0.40/0.64/0.88/1.12/1.36/1.60/1.9 mM//TESTID/2//OEF/MIXTURE, MODELING////</t>
  </si>
  <si>
    <t xml:space="preserve">   DNUM/11//DOSES/0.06/0.08/0.16/0.40/0.64/0.88/1.12/1.36/1.60/1.9 mM//TESTID/2//OEF/MIXTURE, MODELING////</t>
  </si>
  <si>
    <t>Otitoloju,A.A., and K.N. Don-Pedro</t>
  </si>
  <si>
    <t>Determination of Types of Interactions Exhibited by Binary Mixtures of Heavy Metals Tested Against the Hermit Crab, Clibanarius africanus</t>
  </si>
  <si>
    <t>Toxicol. Environ. Chem.88(2): 331-343</t>
  </si>
  <si>
    <t>Otitoloju,A.A., and K.N. Don-Pedro (2006). Determination of Types of Interactions Exhibited by Binary Mixtures of Heavy Metals Tested Against the Hermit Crab, Clibanarius africanus. Toxicol. Environ. Chem., 88, (2), 331-343. doi:10.1080/02772240600619583. ECOREF#:100798</t>
  </si>
  <si>
    <t>Lead</t>
  </si>
  <si>
    <t>Callianassa kraussi</t>
  </si>
  <si>
    <t>Pink Ghost Shrimp</t>
  </si>
  <si>
    <t>Callianassidae</t>
  </si>
  <si>
    <t>Callianassa</t>
  </si>
  <si>
    <t>kraussi</t>
  </si>
  <si>
    <t>LEAD</t>
  </si>
  <si>
    <t>10.4314/wsa.v31i1.5127</t>
  </si>
  <si>
    <t xml:space="preserve"> DNUM/7//DOSES/0.125/0.250/0.500/1.00/2.00/4.00 mg/l//TESTID/1//OEF/MIXTURE////</t>
  </si>
  <si>
    <t xml:space="preserve">   DNUM/7//DOSES/0.125/0.250/0.500/1.00/2.00/4.00 mg/l//TESTID/1//OEF/MIXTURE////</t>
  </si>
  <si>
    <t>Jackson,R.N., D. Baird, and S. Els</t>
  </si>
  <si>
    <t>The Effect of the Heavy Metals Lead (Pb2+) and Zinc (Zn2+) on the Brood and Larval Development of the Burrowing Crustacean, Callianassa kraussi</t>
  </si>
  <si>
    <t>Water SA31(1): 107-116</t>
  </si>
  <si>
    <t>Jackson,R.N., D. Baird, and S. Els (2005). The Effect of the Heavy Metals Lead (Pb2+) and Zinc (Zn2+) on the Brood and Larval Development of the Burrowing Crustacean, Callianassa kraussi. Water SA, 31, (1), 107-116. doi:10.4314/wsa.v31i1.5127. ECOREF#:84127</t>
  </si>
  <si>
    <t xml:space="preserve"> DNUM/7//DOSES/0.250/0.500/1.00/1.50/3.00/4.50 mg/l//TESTID/8//OEF/MIXTURE////</t>
  </si>
  <si>
    <t xml:space="preserve">   DNUM/7//DOSES/0.250/0.500/1.00/1.50/3.00/4.50 mg/l//TESTID/8//OEF/MIXTURE////</t>
  </si>
  <si>
    <t>Govindarajan,S., C.P. Valsaraj, R. Mohan, V. Hariprasad, and R. Ramasubramanian</t>
  </si>
  <si>
    <t>Toxicity of Heavy Metals in Aquaculture Organisms:  Penaeus indicus, Perna viridis, Artemia salina and Skeletonema costatum</t>
  </si>
  <si>
    <t>Pollut. Res.12(3): 187-189</t>
  </si>
  <si>
    <t>Govindarajan,S., C.P. Valsaraj, R. Mohan, V. Hariprasad, and R. Ramasubramanian (1993). Toxicity of Heavy Metals in Aquaculture Organisms:  Penaeus indicus, Perna viridis, Artemia salina and Skeletonema costatum. Pollut. Res., 12, (3), 187-189. ECOREF#:14577</t>
  </si>
  <si>
    <t>Penaeus chinensis</t>
  </si>
  <si>
    <t>Fleshy Prawn</t>
  </si>
  <si>
    <t>chinensis</t>
  </si>
  <si>
    <t>Liu,M., G. Li, S. Zhang, W. Bao, and H. Gu</t>
  </si>
  <si>
    <t>Influence of Toxicity of Metal Ions on Survival of Larval of Penaeus orientalis</t>
  </si>
  <si>
    <t>Haiyang Kexue Jikan (Multiple Languages)36(10): 165-174</t>
  </si>
  <si>
    <t>Liu,M., G. Li, S. Zhang, W. Bao, and H. Gu (1995). Influence of Toxicity of Metal Ions on Survival of Larval of Penaeus orientalis. Haiyang Kexue Jikan (Multiple Languages), 36, (10), 165-174. ECOREF#:18730</t>
  </si>
  <si>
    <t>6-9 CM</t>
  </si>
  <si>
    <t xml:space="preserve"> DNUM/7//DOSES/0.125/0.250/0.500/1.00/2.00/4.00 mg/l//TESTID/4//OEF/MIXTURE////</t>
  </si>
  <si>
    <t xml:space="preserve">   DNUM/7//DOSES/0.125/0.250/0.500/1.00/2.00/4.00 mg/l//TESTID/4//OEF/MIXTURE////</t>
  </si>
  <si>
    <t xml:space="preserve"> DNUM/7//DOSES/0.250/0.500/1.00/1.50/3.00/4.50 mg/l//TESTID/6//OEF/MIXTURE////</t>
  </si>
  <si>
    <t xml:space="preserve">   DNUM/7//DOSES/0.250/0.500/1.00/1.50/3.00/4.50 mg/l//TESTID/6//OEF/MIXTURE////</t>
  </si>
  <si>
    <t xml:space="preserve"> DNUM/7//DOSES/0.125/0.250/0.500/1.00/2.00/4.00 mg/l//TESTID/3//OEF/MIXTURE////</t>
  </si>
  <si>
    <t xml:space="preserve">   DNUM/7//DOSES/0.125/0.250/0.500/1.00/2.00/4.00 mg/l//TESTID/3//OEF/MIXTURE////</t>
  </si>
  <si>
    <t>Orchomenella pinguis</t>
  </si>
  <si>
    <t>Gammarid Amphipod</t>
  </si>
  <si>
    <t>Lysianassidae</t>
  </si>
  <si>
    <t>Orchomenella</t>
  </si>
  <si>
    <t>pinguis</t>
  </si>
  <si>
    <t>Both</t>
  </si>
  <si>
    <t>umol/L</t>
  </si>
  <si>
    <t>3 REPLICATES FOR EXPOSURES, 6 REPLICATES FOR CONTROL, WATER ONLY EXPOSURE</t>
  </si>
  <si>
    <t xml:space="preserve">SOURCE/FROM SISIMIUT, GREENLAND//   </t>
  </si>
  <si>
    <t>Bach,L., L. Ferguson, V. Feltelius, and J. Sondergaard</t>
  </si>
  <si>
    <t>Orchomenella pinguis (Amphipoda) - A Possible Species for Heavy Metal Biomonitoring of Marine Sediments</t>
  </si>
  <si>
    <t>J. Coast. Life Med.2(2): 116-123</t>
  </si>
  <si>
    <t>Bach,L., L. Ferguson, V. Feltelius, and J. Sondergaard (2014). Orchomenella pinguis (Amphipoda) - A Possible Species for Heavy Metal Biomonitoring of Marine Sediments. J. Coast. Life Med., 2, (2), 116-123. ECOREF#:169928</t>
  </si>
  <si>
    <t xml:space="preserve"> DNUM/7//DOSES/0.125/0.250/0.500/1.00/2.00/4.00 mg/l//TESTID/2//OEF/MIXTURE////</t>
  </si>
  <si>
    <t xml:space="preserve">   DNUM/7//DOSES/0.125/0.250/0.500/1.00/2.00/4.00 mg/l//TESTID/2//OEF/MIXTURE////</t>
  </si>
  <si>
    <t xml:space="preserve"> DNUM/7//DOSES/0.250/0.500/1.00/1.50/3.00/4.50 mg/l//TESTID/5//OEF/MIXTURE////</t>
  </si>
  <si>
    <t xml:space="preserve">   DNUM/7//DOSES/0.250/0.500/1.00/1.50/3.00/4.50 mg/l//TESTID/5//OEF/MIXTURE////</t>
  </si>
  <si>
    <t xml:space="preserve"> DNUM/7//DOSES/0.250/0.500/1.00/1.50/3.00/4.50 mg/l//TESTID/7//OEF/MIXTURE////</t>
  </si>
  <si>
    <t xml:space="preserve">   DNUM/7//DOSES/0.250/0.500/1.00/1.50/3.00/4.50 mg/l//TESTID/7//OEF/MIXTURE////</t>
  </si>
  <si>
    <t>Acartia clausi</t>
  </si>
  <si>
    <t>clausi</t>
  </si>
  <si>
    <t>Lussier,S.M., and J.A. Cardin</t>
  </si>
  <si>
    <t>Results of Acute Toxicity Tests Conducted with Silver at ERL, Narragansett</t>
  </si>
  <si>
    <t>U.S.EPA, Narragansett, RI:14 p.</t>
  </si>
  <si>
    <t>Lussier,S.M., and J.A. Cardin (1985). Results of Acute Toxicity Tests Conducted with Silver at ERL, Narragansett. U.S.EPA, Narragansett, RI, 14 p. ECOREF#:3825</t>
  </si>
  <si>
    <t>Rhepoxynius abronius</t>
  </si>
  <si>
    <t>Phoxocephalidae</t>
  </si>
  <si>
    <t>Rhepoxynius</t>
  </si>
  <si>
    <t>abronius</t>
  </si>
  <si>
    <t>AAPS, PU</t>
  </si>
  <si>
    <t>10.1017/S0032247400023202</t>
  </si>
  <si>
    <t>Chapman,P.M., and C. McPherson</t>
  </si>
  <si>
    <t>Comparative Zinc and Lead Toxicity Tests with Arctic Marine Invertebrates and Implications for Toxicant Discharges</t>
  </si>
  <si>
    <t>Polar Rec.29(168): 45-54</t>
  </si>
  <si>
    <t>Chapman,P.M., and C. McPherson (1993). Comparative Zinc and Lead Toxicity Tests with Arctic Marine Invertebrates and Implications for Toxicant Discharges. Polar Rec., 29, (168), 45-54. doi:10.1017/S0032247400023202. ECOREF#:4092</t>
  </si>
  <si>
    <t>METAL SALT</t>
  </si>
  <si>
    <t>Cardin,J.A.</t>
  </si>
  <si>
    <t>Unpublished Laboratory Data</t>
  </si>
  <si>
    <t>U.S.EPA, Narragansett, RI:9 p.</t>
  </si>
  <si>
    <t>Cardin,J.A. (1980). Unpublished Laboratory Data. U.S.EPA, Narragansett, RI, 9 p. ECOREF#:3751</t>
  </si>
  <si>
    <t>Mercury</t>
  </si>
  <si>
    <t>Copepod Order</t>
  </si>
  <si>
    <t>4.7 UG DRY WT</t>
  </si>
  <si>
    <t xml:space="preserve"> LOCATION/SAANICH INLET//SPEC/PARACALANUS, PSEUDOCALANUS SPP AND ACARTIA TONSA//</t>
  </si>
  <si>
    <t xml:space="preserve">   LOCATION/SAANICH INLET//SPEC/PARACALANUS, PSEUDOCALANUS SPP AND ACARTIA TONSA//</t>
  </si>
  <si>
    <t>Reeve,M.R., M.A. Walter, K. Darcy, and T. Ikeda</t>
  </si>
  <si>
    <t>Evaluation of Potential Indicators of Sub-Lethal Toxic Stress on Marine Zooplankton (Feeding, Fecundity, Respiration, and Excretion): Controlled Ecosystem Pollution Experiment</t>
  </si>
  <si>
    <t>Bull. Mar. Sci.27(1): 105-113</t>
  </si>
  <si>
    <t>Reeve,M.R., M.A. Walter, K. Darcy, and T. Ikeda (1977). Evaluation of Potential Indicators of Sub-Lethal Toxic Stress on Marine Zooplankton (Feeding, Fecundity, Respiration, and Excretion): Controlled Ecosystem Pollution Experiment. Bull. Mar. Sci., 27, (1), 105-113. ECOREF#:6079</t>
  </si>
  <si>
    <t>UTAH STRAIN</t>
  </si>
  <si>
    <t>10.1080/02772248.2012.713235</t>
  </si>
  <si>
    <t>REPLICATES RUN</t>
  </si>
  <si>
    <t xml:space="preserve">DO/FROM GRAPH// </t>
  </si>
  <si>
    <t xml:space="preserve">  DO/FROM GRAPH// </t>
  </si>
  <si>
    <t>Umarani,R., A.K. Kumaraguru, and N. Nagarani</t>
  </si>
  <si>
    <t>Investigation of Acute Toxicity of Heavy Metals in Artemia salina Acclimated to Different Salinity</t>
  </si>
  <si>
    <t>Toxicol. Environ. Chem.94(8): 1547-1556</t>
  </si>
  <si>
    <t>Umarani,R., A.K. Kumaraguru, and N. Nagarani (2012). Investigation of Acute Toxicity of Heavy Metals in Artemia salina Acclimated to Different Salinity. Toxicol. Environ. Chem., 94, (8), 1547-1556. doi:10.1080/02772248.2012.713235. ECOREF#:165375</t>
  </si>
  <si>
    <t>mg/dm3</t>
  </si>
  <si>
    <t>Xu,Z., L. Hong, and B. Zheng</t>
  </si>
  <si>
    <t>Toxic Effects of Heavy Metals on Several Marine Bivalve and Crustacean</t>
  </si>
  <si>
    <t>Taiwan Haixia (Multiple languages)13(4): 381-387</t>
  </si>
  <si>
    <t>Xu,Z., L. Hong, and B. Zheng (1994). Toxic Effects of Heavy Metals on Several Marine Bivalve and Crustacean. Taiwan Haixia (Multiple languages), 13, (4), 381-387. ECOREF#:19318</t>
  </si>
  <si>
    <t>Subadult</t>
  </si>
  <si>
    <t>08</t>
  </si>
  <si>
    <t xml:space="preserve"> LOCATION/SAANICH INLET//SPEC/PARACALANUS, PSEUDOCALANUS SPP, AND ACARTIA TONSA//CONC/AS MERCURY// CONTR/0% MORT// FED DAILY// </t>
  </si>
  <si>
    <t xml:space="preserve">   LOCATION/SAANICH INLET//SPEC/PARACALANUS, PSEUDOCALANUS SPP, AND ACARTIA TONSA//CONC/AS MERCURY// CONTR/0% MORT// FED DAILY// </t>
  </si>
  <si>
    <t>10.1007/BF01611227</t>
  </si>
  <si>
    <t xml:space="preserve"> O EFCT CONT/GRAPHS//</t>
  </si>
  <si>
    <t xml:space="preserve">   O EFCT CONT/GRAPHS//</t>
  </si>
  <si>
    <t>Portmann,J.E.</t>
  </si>
  <si>
    <t>Progress Report on a Programme of Insecticide Analysis and Toxicity-Testing in Relation to the Marine Environment</t>
  </si>
  <si>
    <t>Helgol. Wiss. Meeresunters. (Multiple Languages)17:247-256</t>
  </si>
  <si>
    <t>Portmann,J.E. (1968). Progress Report on a Programme of Insecticide Analysis and Toxicity-Testing in Relation to the Marine Environment. Helgol. Wiss. Meeresunters. (Multiple Languages), 17, 247-256. doi:10.1007/BF01611227. ECOREF#:15071</t>
  </si>
  <si>
    <t>LARGE</t>
  </si>
  <si>
    <t>5-5.5 CM CW</t>
  </si>
  <si>
    <t xml:space="preserve"> TESTID/2//MSMT/NR//DOSES/NR//SOURCE/WLD//WTINT/30-32 G//DNUM/NR//SEX/NR//TMETH/NR//STYPE/NR//ETIME/30 D//AP RATE/NR//SAMPN/NR//WTAT/NR//INTAKE/NR//COMPEP/NR//LD/NR//DW/NR//STST/NR//HMA/NR//NA/NR//CL/NR//DIC/NR//CA/NR//POT/NR//MG/NR//SO4/NR//SULF/NR//</t>
  </si>
  <si>
    <t xml:space="preserve">   TESTID/2//MSMT/NR//DOSES/NR//SOURCE/WLD//WTINT/30-32 G//DNUM/NR//SEX/NR//TMETH/NR//STYPE/NR//ETIME/30 D//AP RATE/NR//SAMPN/NR//WTAT/NR//INTAKE/NR//COMPEP/NR//LD/NR//DW/NR//STST/NR//HMA/NR//NA/NR//CL/NR//DIC/NR//CA/NR//POT/NR//MG/NR//SO4/NR//SULF/NR//</t>
  </si>
  <si>
    <t>Narayanan,K.R., P.S. Lyla, and S.A. Khan</t>
  </si>
  <si>
    <t>Pattern of Accumulation of Heavy Metals (Mercury, Cadmium and Zinc) in the Mud Crab Scylla serrata</t>
  </si>
  <si>
    <t>J. Ecotoxicol. Environ. Monit.7(3): 191-195</t>
  </si>
  <si>
    <t>Narayanan,K.R., P.S. Lyla, and S.A. Khan (1997). Pattern of Accumulation of Heavy Metals (Mercury, Cadmium and Zinc) in the Mud Crab Scylla serrata. J. Ecotoxicol. Environ. Monit., 7, (3), 191-195. ECOREF#:60036</t>
  </si>
  <si>
    <t>Results of Acute Toxicity Tests with Marine Organisms, Using a Standard Method</t>
  </si>
  <si>
    <t>In: M.Ruivo (Ed.), Marine Pollution and Sea Life, FAO, Rome, Italy / Fishing News (Books) Ltd., London, England:212-217</t>
  </si>
  <si>
    <t>Portmann,J.E. (1972). Results of Acute Toxicity Tests with Marine Organisms, Using a Standard Method. In: M.Ruivo (Ed.), Marine Pollution and Sea Life, FAO, Rome, Italy / Fishing News (Books) Ltd., London, England, 212-217. ECOREF#:9258</t>
  </si>
  <si>
    <t>Fenneropenaeus penicillatus</t>
  </si>
  <si>
    <t>Redtail Prawn</t>
  </si>
  <si>
    <t>Fenneropenaeus</t>
  </si>
  <si>
    <t>penicillatus</t>
  </si>
  <si>
    <t xml:space="preserve"> TESTID/1//MSMT/NR//DOSES/NR//SOURCE/WLD//WTINT/30-32 G//DNUM/NR//SEX/NR//TMETH/NR//STYPE/NR//ETIME/96 H//AP RATE/NR//SAMPN/NR//WTAT/NR//INTAKE/NR//COMPEP/NR//LD/NR//DW/NR//STST/NR//HMA/NR//NA/NR//CL/NR//DIC/NR//CA/NR//POT/NR//MG/NR//SO4/NR//SULF/NR//</t>
  </si>
  <si>
    <t xml:space="preserve">   TESTID/1//MSMT/NR//DOSES/NR//SOURCE/WLD//WTINT/30-32 G//DNUM/NR//SEX/NR//TMETH/NR//STYPE/NR//ETIME/96 H//AP RATE/NR//SAMPN/NR//WTAT/NR//INTAKE/NR//COMPEP/NR//LD/NR//DW/NR//STST/NR//HMA/NR//NA/NR//CL/NR//DIC/NR//CA/NR//POT/NR//MG/NR//SO4/NR//SULF/NR//</t>
  </si>
  <si>
    <t>MOSTLY, 6.0 UG DRY WT</t>
  </si>
  <si>
    <t xml:space="preserve"> LOCATION/MIAMI//SPECIES/MOSTLY ACARTIA TONSA//</t>
  </si>
  <si>
    <t xml:space="preserve">   LOCATION/MIAMI//SPECIES/MOSTLY ACARTIA TONSA//</t>
  </si>
  <si>
    <t>Pseudodiaptomus coronatus</t>
  </si>
  <si>
    <t>Pseudodiaptomidae</t>
  </si>
  <si>
    <t>Pseudodiaptomus</t>
  </si>
  <si>
    <t>coronatus</t>
  </si>
  <si>
    <t>MSMT/PROBIT////</t>
  </si>
  <si>
    <t>KESTER'S ARTIFICIAL SEAWATER</t>
  </si>
  <si>
    <t>Gentile,S., and J. Cardin</t>
  </si>
  <si>
    <t>U.S.EPA, Narragansett, RI:5 p.</t>
  </si>
  <si>
    <t>Gentile,S., and J. Cardin (1982). Unpublished Laboratory Data. U.S.EPA, Narragansett, RI, 5 p. ECOREF#:3734</t>
  </si>
  <si>
    <t xml:space="preserve"> TESTID/3//MSMT/NR//DOSES/NR//SOURCE/WLD//WTINT/30-32 G//DNUM/NR//SEX/NR//TMETH/NR//STYPE/NR//ETIME/96 H//AP RATE/NR//SAMPN/15 OR//WTAT/NR//INTAKE/NR//COMPEP/NR//LD/NR//DW/NR//STST/NR//HMA/NR//NA/NR//CL/NR//DIC/NR//CA/NR//POT/NR//MG/NR//SO4/NR//SULF/NR//</t>
  </si>
  <si>
    <t xml:space="preserve">   TESTID/3//MSMT/NR//DOSES/NR//SOURCE/WLD//WTINT/30-32 G//DNUM/NR//SEX/NR//TMETH/NR//STYPE/NR//ETIME/96 H//AP RATE/NR//SAMPN/15 OR//WTAT/NR//INTAKE/NR//COMPEP/NR//LD/NR//DW/NR//STST/NR//HMA/NR//NA/NR//CL/NR//DIC/NR//CA/NR//POT/NR//MG/NR//SO4/NR//SULF/NR//</t>
  </si>
  <si>
    <t>1.5-2.5 CM</t>
  </si>
  <si>
    <t>SMALL</t>
  </si>
  <si>
    <t>Atomic Absorption Primary Standard</t>
  </si>
  <si>
    <t>F1</t>
  </si>
  <si>
    <t>Generation</t>
  </si>
  <si>
    <t>10.1139/f78-214</t>
  </si>
  <si>
    <t xml:space="preserve">PARENTS COLLECTED FROM ESTUARY, NARRAGANSETT, RI, CULTURED IN LAB </t>
  </si>
  <si>
    <t>Sosnowski,S.L., and J.H. Gentile</t>
  </si>
  <si>
    <t>Toxicological Comparison of Natural and Cultured Populations of Acartia tonsa to Cadmium, Copper, and Mercury</t>
  </si>
  <si>
    <t>J. Fish. Res. Board Can.35(10): 1366-1369</t>
  </si>
  <si>
    <t>Sosnowski,S.L., and J.H. Gentile (1978). Toxicological Comparison of Natural and Cultured Populations of Acartia tonsa to Cadmium, Copper, and Mercury. J. Fish. Res. Board Can., 35, (10), 1366-1369. doi:10.1139/f78-214. ECOREF#:8445</t>
  </si>
  <si>
    <t>F6 generation</t>
  </si>
  <si>
    <t>F6</t>
  </si>
  <si>
    <t>F6 GENERATION</t>
  </si>
  <si>
    <t>ATOMIC ABSORPTION PRIMARY STND</t>
  </si>
  <si>
    <t xml:space="preserve"> SPECIES/PARENTS FROM ESTUARY,NARRAGANSETT,R.I.,CULTURED IN LAB//</t>
  </si>
  <si>
    <t xml:space="preserve">   SPECIES/PARENTS FROM ESTUARY,NARRAGANSETT,R.I.,CULTURED IN LAB//</t>
  </si>
  <si>
    <t>F2 generation</t>
  </si>
  <si>
    <t xml:space="preserve"> SPECIES/PARENTS FROM ESTUARY, NARRAGANSETT, R.I., CULTURED IN LAB//</t>
  </si>
  <si>
    <t xml:space="preserve">   SPECIES/PARENTS FROM ESTUARY, NARRAGANSETT, R.I., CULTURED IN LAB//</t>
  </si>
  <si>
    <t>Eurytemora affinis</t>
  </si>
  <si>
    <t>Temoridae</t>
  </si>
  <si>
    <t>Eurytemora</t>
  </si>
  <si>
    <t>affinis</t>
  </si>
  <si>
    <t xml:space="preserve">PARENTS COLLECTED FROM ESTUARY, NARRAGANSETT,RI ,CULTURED IN LAB </t>
  </si>
  <si>
    <t xml:space="preserve">PARENTS COLLECTED FROM ESTUARY, NARRAGANSETT,RI,CULTURED IN LAB </t>
  </si>
  <si>
    <t xml:space="preserve">SPECIES/PARENTS COLLECTED FROM ESTUARY, NARRAGANSETT, RI, CULTURED IN LAB </t>
  </si>
  <si>
    <t>Nickel</t>
  </si>
  <si>
    <t>Ni</t>
  </si>
  <si>
    <t>Artemia franciscana</t>
  </si>
  <si>
    <t>San Francisco Brine Shrimp</t>
  </si>
  <si>
    <t>franciscana</t>
  </si>
  <si>
    <t>Asadpour,Y.A., P.N. Manavi, and M. Baniamam</t>
  </si>
  <si>
    <t>Evaluating the Bioaccumulation of Nickel and Vanadium and Their Effects on the Growth of Artemia urmiana and A. franciscana</t>
  </si>
  <si>
    <t>Environ. Monit. Assess.12(1): 183-192</t>
  </si>
  <si>
    <t>Asadpour,Y.A., P.N. Manavi, and M. Baniamam (2013). Evaluating the Bioaccumulation of Nickel and Vanadium and Their Effects on the Growth of Artemia urmiana and A. franciscana. Environ. Monit. Assess., 12, (1), 183-192. ECOREF#:164155</t>
  </si>
  <si>
    <t>Metapenaeus ensis</t>
  </si>
  <si>
    <t>Greasyback Shrimp</t>
  </si>
  <si>
    <t>Metapenaeus</t>
  </si>
  <si>
    <t>ensis</t>
  </si>
  <si>
    <t>NICKEL CHLORIDE AND NICKEL/</t>
  </si>
  <si>
    <t>10.1016/0141-1136(93)90082-B</t>
  </si>
  <si>
    <t xml:space="preserve"> CHAR/SULFATE// </t>
  </si>
  <si>
    <t xml:space="preserve">   CHAR/SULFATE// </t>
  </si>
  <si>
    <t>Wong,C.K., K.H. Chu, K.W. Tang, T.W. Tam, and L.J. Wong</t>
  </si>
  <si>
    <t>Effects of Chromium, Copper and Nickel on Survival and Feeding Behaviour of Metapenaeus ensis Larvae and Postlarvae (Decapoda: Penaeidae)</t>
  </si>
  <si>
    <t>Mar. Environ. Res.36(2): 63-78</t>
  </si>
  <si>
    <t>Wong,C.K., K.H. Chu, K.W. Tang, T.W. Tam, and L.J. Wong (1993). Effects of Chromium, Copper and Nickel on Survival and Feeding Behaviour of Metapenaeus ensis Larvae and Postlarvae (Decapoda: Penaeidae). Mar. Environ. Res., 36, (2), 63-78. doi:10.1016/0141-1136(93)90082-B. ECOREF#:4127</t>
  </si>
  <si>
    <t>Protozoea</t>
  </si>
  <si>
    <t>MYSID</t>
  </si>
  <si>
    <t>Artemia urmiana</t>
  </si>
  <si>
    <t>urmiana</t>
  </si>
  <si>
    <t>Unmeasured values (some measured values reported in article)</t>
  </si>
  <si>
    <t>2 REPLICATES, LAB WATER</t>
  </si>
  <si>
    <t xml:space="preserve"> TESTID/11//MSMT/NR//DOSES/207-221/400/630-730/1600/3010-3060 PPB//SOURCE/NR//WTINT/NR//DNUM/6//SEX/NR//TMETH/NR//STYPE/ACUTE//ETIME/96 H//AP RATE/NR//SAMPN/NR//WTAT/NR//INTAKE/NR//COMPEP/NR//LD/NR//DW/NR//STST/NR//HMA/NR//NA/NR//CL/NR//DIC/NR//CA/NR//POT/NR//MG/NR//SO4/NR//SULF/NR//</t>
  </si>
  <si>
    <t xml:space="preserve">   TESTID/11//MSMT/NR//DOSES/207-221/400/630-730/1600/3010-3060 PPB//SOURCE/NR//WTINT/NR//DNUM/6//SEX/NR//TMETH/NR//STYPE/ACUTE//ETIME/96 H//AP RATE/NR//SAMPN/NR//WTAT/NR//INTAKE/NR//COMPEP/NR//LD/NR//DW/NR//STST/NR//HMA/NR//NA/NR//CL/NR//DIC/NR//CA/NR//POT/NR//MG/NR//SO4/NR//SULF/NR//</t>
  </si>
  <si>
    <t>Toxscan Inc.</t>
  </si>
  <si>
    <t>Results of Provision E5F Spiked Metals Toxicity Testing 2 to 9 April 1991</t>
  </si>
  <si>
    <t>Prepared for Kinnetic Lab.Inc.for "Site-Specific Water Quality Objectives for South San Francisco Bay" Report by Larry Walker Assoc.and Kinnetic Lab.Under Subcontract to CH2M Hill:42 p.</t>
  </si>
  <si>
    <t>Toxscan Inc. (1991). Results of Provision E5F Spiked Metals Toxicity Testing 2 to 9 April 1991. Prepared for Kinnetic Lab.Inc.for "Site-Specific Water Quality Objectives for South San Francisco Bay" Report by Larry Walker Assoc.and Kinnetic Lab.Under Subcontract to CH2M Hill, 42 p. ECOREF#:76025</t>
  </si>
  <si>
    <t>MSMT/MOVING AVERAGE////</t>
  </si>
  <si>
    <t>2 REPLICATES, SITE WATER</t>
  </si>
  <si>
    <t xml:space="preserve"> TESTID/10//MSMT/NR//DOSES/217.8-218.6/400/691.8-777.6/1600/3032-3097 PPB//SOURCE/NR//WTINT/NR//DNUM/6//SEX/NR//TMETH/NR//STYPE/ACUTE//ETIME/96 H//AP RATE/NR//SAMPN/NR//WTAT/NR//INTAKE/NR//COMPEP/NR//LD/NR//DW/NR//STST/NR//HMA/NR//NA/NR//CL/NR//DIC/NR//CA/NR//POT/NR//MG/NR//SO4/NR//SULF/NR//</t>
  </si>
  <si>
    <t>Total organic carbon</t>
  </si>
  <si>
    <t xml:space="preserve">   TESTID/10//MSMT/NR//DOSES/217.8-218.6/400/691.8-777.6/1600/3032-3097 PPB//SOURCE/NR//WTINT/NR//DNUM/6//SEX/NR//TMETH/NR//STYPE/ACUTE//ETIME/96 H//AP RATE/NR//SAMPN/NR//WTAT/NR//INTAKE/NR//COMPEP/NR//LD/NR//DW/NR//STST/NR//HMA/NR//NA/NR//CL/NR//DIC/NR//CA/NR//POT/NR//MG/NR//SO4/NR//SULF/NR//</t>
  </si>
  <si>
    <t>Silver</t>
  </si>
  <si>
    <t>Acartia sp.</t>
  </si>
  <si>
    <t>ACARTIA TONSA AND ACARTIA HUDSONICA</t>
  </si>
  <si>
    <t>nM</t>
  </si>
  <si>
    <t>Ag</t>
  </si>
  <si>
    <t>SILVER</t>
  </si>
  <si>
    <t>10.1002/etc.5620200316</t>
  </si>
  <si>
    <t>AQUEOUS SALTWATER EXPOSURE</t>
  </si>
  <si>
    <t xml:space="preserve"> DOSES/0.1 to 1000 nM//TESTID/1//</t>
  </si>
  <si>
    <t>Dissolved organic carbon</t>
  </si>
  <si>
    <t xml:space="preserve">   DOSES/0.1 to 1000 nM//TESTID/1//</t>
  </si>
  <si>
    <t>Hook,S.E., and N.S. Fisher</t>
  </si>
  <si>
    <t>Sublethal Effects of Silver in Zooplankton:  Importance of Exposure Pathways and Implications for Toxicity Testing</t>
  </si>
  <si>
    <t>Environ. Toxicol. Chem.20(3): 568-574</t>
  </si>
  <si>
    <t>Hook,S.E., and N.S. Fisher (2001). Sublethal Effects of Silver in Zooplankton:  Importance of Exposure Pathways and Implications for Toxicity Testing. Environ. Toxicol. Chem., 20, (3), 568-574. doi:10.1002/etc.5620200316. ECOREF#:59900</t>
  </si>
  <si>
    <t>Cadmium</t>
  </si>
  <si>
    <t>Cd</t>
  </si>
  <si>
    <t>USEPA and ASTM methods</t>
  </si>
  <si>
    <t>Gammarus aequicauda</t>
  </si>
  <si>
    <t>Gammarus</t>
  </si>
  <si>
    <t>aequicauda</t>
  </si>
  <si>
    <t>2-4 mm TL</t>
  </si>
  <si>
    <t>Cd(NO3)2.4H20 OR CdCl2 USED</t>
  </si>
  <si>
    <t>10.1007/s00128-009-9835-0</t>
  </si>
  <si>
    <t>5 REPLICATES, WINTER COLLECTED TEST</t>
  </si>
  <si>
    <t xml:space="preserve">CONC1/FROM GRAPH// </t>
  </si>
  <si>
    <t>%</t>
  </si>
  <si>
    <t xml:space="preserve">  CONC1/FROM GRAPH// </t>
  </si>
  <si>
    <t>Prato,E., F. Biandolino, and C. Scardicchio</t>
  </si>
  <si>
    <t>Effects of Temperature on the Sensitivity of Gammarus aequicauda (Martynov, 1931) to Cadmium</t>
  </si>
  <si>
    <t>Bull. Environ. Contam. Toxicol.83:469-473</t>
  </si>
  <si>
    <t>Prato,E., F. Biandolino, and C. Scardicchio (2009). Effects of Temperature on the Sensitivity of Gammarus aequicauda (Martynov, 1931) to Cadmium. Bull. Environ. Contam. Toxicol., 83, 469-473. doi:10.1007/s00128-009-9835-0. ECOREF#:118441</t>
  </si>
  <si>
    <t>5 REPLICATES, SPRING COLLECTED TEST</t>
  </si>
  <si>
    <t>LOBSTER</t>
  </si>
  <si>
    <t>CADMIUM</t>
  </si>
  <si>
    <t xml:space="preserve"> DNUM/8//DOSES/1/5.6/10/18/32/56/100 mg/L//TESTID/14//</t>
  </si>
  <si>
    <t xml:space="preserve">   DNUM/8//DOSES/1/5.6/10/18/32/56/100 mg/L//TESTID/14//</t>
  </si>
  <si>
    <t>McLeese,D.W.</t>
  </si>
  <si>
    <t>Toxicity Studies with Lobster Larvae and Adults and a Freshwater Crayfish in 1975</t>
  </si>
  <si>
    <t>Manuscr. Rep. Ser. - Fish. Res. Board Can.:15 p.</t>
  </si>
  <si>
    <t>McLeese,D.W. (1976). Toxicity Studies with Lobster Larvae and Adults and a Freshwater Crayfish in 1975. Manuscr. Rep. Ser. - Fish. Res. Board Can., 15 p. ECOREF#:82412</t>
  </si>
  <si>
    <t>5 REPLICATES, SUMMER COLLECTED TEST</t>
  </si>
  <si>
    <t>Palaemon serratus</t>
  </si>
  <si>
    <t>Pink Shrimp</t>
  </si>
  <si>
    <t>serratus</t>
  </si>
  <si>
    <t>Young</t>
  </si>
  <si>
    <t>3-4 CM</t>
  </si>
  <si>
    <t>Thebault,M.T., A. Biegniewska, J.P. Raffin, and E.F. Skorkowski</t>
  </si>
  <si>
    <t>Short Term Cadmium intoxication of the Shrimp Palaemon serratus: Effect on Adenylate Metabolism</t>
  </si>
  <si>
    <t>Comp. Biochem. Physiol. C Comp. Pharmacol. Toxicol.113(3): 345-348</t>
  </si>
  <si>
    <t>Thebault,M.T., A. Biegniewska, J.P. Raffin, and E.F. Skorkowski (1996). Short Term Cadmium intoxication of the Shrimp Palaemon serratus: Effect on Adenylate Metabolism. Comp. Biochem. Physiol. C Comp. Pharmacol. Toxicol., 113, (3), 345-348. ECOREF#:16857</t>
  </si>
  <si>
    <t>Scud Order</t>
  </si>
  <si>
    <t>PARHALELLA NATALENSIS 9 MM SL</t>
  </si>
  <si>
    <t>10.1016/S0048-9697(05)80095-6</t>
  </si>
  <si>
    <t xml:space="preserve"> TESTID/1//MSMT/NR//DOSES/0.004/0.040/0.076/0.112/0.148 UG/L//SOURCE/WLD//WTINT/NR//DNUM/5//SEX/NR//TMETH/STDMETH//STYPE/ACUTE//ETIME/48 H//AP RATE/NR//SAMPN/NR//WTAT/NR//INTAKE/NR//COMPEP/NR//LD/NR//DW/NR//STST/NR//HMA/NR//NA/NR//CL/NR//DIC/NR//CA/NR//POT/NR//MG/NR//SO4/NR//SULF/NR//</t>
  </si>
  <si>
    <t xml:space="preserve">   TESTID/1//MSMT/NR//DOSES/0.004/0.040/0.076/0.112/0.148 UG/L//SOURCE/WLD//WTINT/NR//DNUM/5//SEX/NR//TMETH/STDMETH//STYPE/ACUTE//ETIME/48 H//AP RATE/NR//SAMPN/NR//WTAT/NR//INTAKE/NR//COMPEP/NR//LD/NR//DW/NR//STST/NR//HMA/NR//NA/NR//CL/NR//DIC/NR//CA/NR//POT/NR//MG/NR//SO4/NR//SULF/NR//</t>
  </si>
  <si>
    <t>Bhat,U.G., and K. Vamsee</t>
  </si>
  <si>
    <t>Toxicity of Heavy Metals Cu, Cd and Hg to the Gammarid Amphipod Parhalella natalensis (Stebbing)</t>
  </si>
  <si>
    <t>Sci. Total Environ.Suppl:887-897</t>
  </si>
  <si>
    <t>Bhat,U.G., and K. Vamsee (1993). Toxicity of Heavy Metals Cu, Cd and Hg to the Gammarid Amphipod Parhalella natalensis (Stebbing). Sci. Total Environ., Suppl, 887-897. doi:10.1016/S0048-9697(05)80095-6. ECOREF#:4336</t>
  </si>
  <si>
    <t>Rhithropanopeus harrisii</t>
  </si>
  <si>
    <t>Mud Crab</t>
  </si>
  <si>
    <t>Panopeidae</t>
  </si>
  <si>
    <t>Rhithropanopeus</t>
  </si>
  <si>
    <t>harrisii</t>
  </si>
  <si>
    <t>MSMT/GRAPHICAL ESTIMATION////</t>
  </si>
  <si>
    <t>Thorpe,G.J.</t>
  </si>
  <si>
    <t>A Toxicological Assessment of Cadmium Toxicity to the Larvae of Two Estuarine Crustaceans, Rhithropanopeus harrisii and Palaemonetes pugio</t>
  </si>
  <si>
    <t>Ph.D. Thesis, Duke University, Durham, NC:120 p.</t>
  </si>
  <si>
    <t>Thorpe,G.J. (1988). A Toxicological Assessment of Cadmium Toxicity to the Larvae of Two Estuarine Crustaceans, Rhithropanopeus harrisii and Palaemonetes pugio. Ph.D. Thesis, Duke University, Durham, NC, 120 p. ECOREF#:3035</t>
  </si>
  <si>
    <t>Litopenaeus vannamei</t>
  </si>
  <si>
    <t>White Shrimp</t>
  </si>
  <si>
    <t>Litopenaeus</t>
  </si>
  <si>
    <t>vannamei</t>
  </si>
  <si>
    <t>0.00713 G</t>
  </si>
  <si>
    <t>10.1016/j.chemosphere.2004.07.033</t>
  </si>
  <si>
    <t>ACUTE TOXICITY TEST</t>
  </si>
  <si>
    <t xml:space="preserve"> DNUM/8//DOSES/0.5/1/2/3/4/5/8 mg/l//TESTID/1//</t>
  </si>
  <si>
    <t>uS/cm</t>
  </si>
  <si>
    <t xml:space="preserve">   DNUM/8//DOSES/0.5/1/2/3/4/5/8 mg/l//TESTID/1//</t>
  </si>
  <si>
    <t>Wu,J.P., and H.C. Chen</t>
  </si>
  <si>
    <t>Effects of Cadmium and Zinc on Oxygen Consumption, Ammonium Excretion, and Osmoregulation of White Shrimp (Litopenaeus vannamei)</t>
  </si>
  <si>
    <t>Chemosphere57(11): 1591-1598</t>
  </si>
  <si>
    <t>Wu,J.P., and H.C. Chen (2004). Effects of Cadmium and Zinc on Oxygen Consumption, Ammonium Excretion, and Osmoregulation of White Shrimp (Litopenaeus vannamei). Chemosphere, 57, (11), 1591-1598. doi:10.1016/j.chemosphere.2004.07.033. ECOREF#:76280</t>
  </si>
  <si>
    <t>Penaeus monodon</t>
  </si>
  <si>
    <t>Jumbo Tiger Prawn</t>
  </si>
  <si>
    <t>monodon</t>
  </si>
  <si>
    <t>0.006 G,WTINT, 1.3 CM, PL-25</t>
  </si>
  <si>
    <t xml:space="preserve"> DOSES/NA mg/L//TESTID/8//</t>
  </si>
  <si>
    <t xml:space="preserve">   DOSES/NA mg/L//TESTID/8//</t>
  </si>
  <si>
    <t>Sulaiman,N., and W.E.W.M. Noor</t>
  </si>
  <si>
    <t>Acute Toxicity Testings of Copper, Cadmium and Ammonia to Penaeus monodon and Lates calcarifer</t>
  </si>
  <si>
    <t>Newsl. FRI, Papua New Guinea2(2): 5-7</t>
  </si>
  <si>
    <t>Sulaiman,N., and W.E.W.M. Noor (1996). Acute Toxicity Testings of Copper, Cadmium and Ammonia to Penaeus monodon and Lates calcarifer. Newsl. FRI, Papua New Guinea, 2, (2), 5-7. ECOREF#:115825</t>
  </si>
  <si>
    <t>Penaeus merguiensis</t>
  </si>
  <si>
    <t>Banana Prawn</t>
  </si>
  <si>
    <t>merguiensis</t>
  </si>
  <si>
    <t>0.8 CM, PL-7</t>
  </si>
  <si>
    <t xml:space="preserve"> DOSES/NA mg/L//TESTID/9//</t>
  </si>
  <si>
    <t xml:space="preserve">   DOSES/NA mg/L//TESTID/9//</t>
  </si>
  <si>
    <t>SERIES A</t>
  </si>
  <si>
    <t xml:space="preserve"> DNUM/10//DOSES/0.001/0.01/0.056/0.09/0.18/0.39/0.56/0.61/1.0 mg/L//TESTID/13//</t>
  </si>
  <si>
    <t xml:space="preserve">   DNUM/10//DOSES/0.001/0.01/0.056/0.09/0.18/0.39/0.56/0.61/1.0 mg/L//TESTID/13//</t>
  </si>
  <si>
    <t>A</t>
  </si>
  <si>
    <t>10.1007/BF01701760</t>
  </si>
  <si>
    <t>Simoes Goncalves,M.L.S., M.F.C. Vilhena, L.M.V. Machado, C.M.R. Pescada, and M. De</t>
  </si>
  <si>
    <t>Effect of Speciation on Uptake and Toxicity of Cadmium to Shrimp Crangon crangon (L.)</t>
  </si>
  <si>
    <t>Bull. Environ. Contam. Toxicol.43(2): 287-294</t>
  </si>
  <si>
    <t>Simoes Goncalves,M.L.S., M.F.C. Vilhena, L.M.V. Machado, C.M.R. Pescada, and M. De (1989). Effect of Speciation on Uptake and Toxicity of Cadmium to Shrimp Crangon crangon (L.). Bull. Environ. Contam. Toxicol., 43, (2), 287-294. doi:10.1007/BF01701760. ECOREF#:2275</t>
  </si>
  <si>
    <t>Mysis</t>
  </si>
  <si>
    <t>0.5 CM, MYSIS 1</t>
  </si>
  <si>
    <t xml:space="preserve"> DOSES/NA mg/L//TESTID/7//</t>
  </si>
  <si>
    <t xml:space="preserve">   DOSES/NA mg/L//TESTID/7//</t>
  </si>
  <si>
    <t>Ward,S.H.</t>
  </si>
  <si>
    <t>The Requirements for a Balanced Medium in Toxicological Experiments Using Mysidopsis bahia with Special Reference to Calcium Carbonate</t>
  </si>
  <si>
    <t>ASTM Spec. Tech. Publ.12:402-412</t>
  </si>
  <si>
    <t>Ward,S.H. (1989). The Requirements for a Balanced Medium in Toxicological Experiments Using Mysidopsis bahia with Special Reference to Calcium Carbonate. ASTM Spec. Tech. Publ., 12, 402-412. ECOREF#:13866</t>
  </si>
  <si>
    <t>Grandidierella japonica</t>
  </si>
  <si>
    <t>Aoridae</t>
  </si>
  <si>
    <t>Grandidierella</t>
  </si>
  <si>
    <t>japonica</t>
  </si>
  <si>
    <t>10.1016/0141-1136(94)90042-6</t>
  </si>
  <si>
    <t>Kohn,N.P., J.Q. Word, D.K. Niyogi, L.T. Ross, T. Dillon, and D.W. Moore</t>
  </si>
  <si>
    <t>Acute Toxicity of Ammonia to Four Species of Marine Amphipod</t>
  </si>
  <si>
    <t>Mar. Environ. Res.38(1): 1-15</t>
  </si>
  <si>
    <t>Kohn,N.P., J.Q. Word, D.K. Niyogi, L.T. Ross, T. Dillon, and D.W. Moore (1994). Acute Toxicity of Ammonia to Four Species of Marine Amphipod. Mar. Environ. Res., 38, (1), 1-15. doi:10.1016/0141-1136(94)90042-6. ECOREF#:17293</t>
  </si>
  <si>
    <t xml:space="preserve"> SPEC/PARENTS FROM ESTUARY,NARRAGANSETT,RI, CULTURED IN LAB//</t>
  </si>
  <si>
    <t xml:space="preserve">   SPEC/PARENTS FROM ESTUARY,NARRAGANSETT,RI, CULTURED IN LAB//</t>
  </si>
  <si>
    <t xml:space="preserve"> SPEC/COLLECTED FROM NARRAGANSETT BAY,RI//</t>
  </si>
  <si>
    <t xml:space="preserve">   SPEC/COLLECTED FROM NARRAGANSETT BAY,RI//</t>
  </si>
  <si>
    <t>10.1007/BF01059820</t>
  </si>
  <si>
    <t>Voyer,R.A., and G. Modica</t>
  </si>
  <si>
    <t>Influence of Salinity and Temperature on Acute Toxicity of Cadmium to Mysidopsis bahia Molenock</t>
  </si>
  <si>
    <t>Arch. Environ. Contam. Toxicol.19(1): 124-131</t>
  </si>
  <si>
    <t>Voyer,R.A., and G. Modica (1990). Influence of Salinity and Temperature on Acute Toxicity of Cadmium to Mysidopsis bahia Molenock. Arch. Environ. Contam. Toxicol., 19, (1), 124-131. doi:10.1007/BF01059820. ECOREF#:3008</t>
  </si>
  <si>
    <t>Amphiascus tenuiremis</t>
  </si>
  <si>
    <t>Diosaccidae</t>
  </si>
  <si>
    <t>Amphiascus</t>
  </si>
  <si>
    <t>tenuiremis</t>
  </si>
  <si>
    <t>ACS</t>
  </si>
  <si>
    <t xml:space="preserve"> ENDPT/PROBIT//</t>
  </si>
  <si>
    <t xml:space="preserve">   ENDPT/PROBIT//</t>
  </si>
  <si>
    <t>Green,A.S., G.T. Chandler, and E.R. Blood</t>
  </si>
  <si>
    <t>Aqueous-, Pore-Water-, and Sediment-Phase Cadmium: Toxicity Relationships for a Meiobenthic Copepod</t>
  </si>
  <si>
    <t>Environ. Toxicol. Chem.12(8): 1497-1506</t>
  </si>
  <si>
    <t>Green,A.S., G.T. Chandler, and E.R. Blood (1993). Aqueous-, Pore-Water-, and Sediment-Phase Cadmium: Toxicity Relationships for a Meiobenthic Copepod. Environ. Toxicol. Chem., 12, (8), 1497-1506. ECOREF#:9365</t>
  </si>
  <si>
    <t xml:space="preserve"> SPEC/PARENTS COLLECTED FROM ESTUARY,NARRAGANSETT,RI,CULTURED IN LAB//</t>
  </si>
  <si>
    <t xml:space="preserve">   SPEC/PARENTS COLLECTED FROM ESTUARY,NARRAGANSETT,RI,CULTURED IN LAB//</t>
  </si>
  <si>
    <t>Leptocheirus plumulosus</t>
  </si>
  <si>
    <t>Leptocheirus</t>
  </si>
  <si>
    <t>plumulosus</t>
  </si>
  <si>
    <t>Neonate</t>
  </si>
  <si>
    <t>MSMT/REPLICATE 1//</t>
  </si>
  <si>
    <t>10.1016/j.ecoenv.2009.08.007</t>
  </si>
  <si>
    <t xml:space="preserve">SOURCE/COMMERCIAL//   </t>
  </si>
  <si>
    <t>McDonald,B.G., C.A. McPherson, R. DeWynter, P. Kickham, and C. Brown</t>
  </si>
  <si>
    <t>Incorporation of 28-D Leptocheirus plumulosus Toxicity Data in a Sediment Weight-of-Evidence Framework</t>
  </si>
  <si>
    <t>Ecotoxicol. Environ. Saf.73(1): 51-55</t>
  </si>
  <si>
    <t>McDonald,B.G., C.A. McPherson, R. DeWynter, P. Kickham, and C. Brown (2010). Incorporation of 28-D Leptocheirus plumulosus Toxicity Data in a Sediment Weight-of-Evidence Framework. Ecotoxicol. Environ. Saf., 73, (1), 51-55. doi:10.1016/j.ecoenv.2009.08.007. ECOREF#:119424</t>
  </si>
  <si>
    <t>MSMT/REPLICATE 2//</t>
  </si>
  <si>
    <t>Multiple</t>
  </si>
  <si>
    <t>NEWLY HATCHED NAUPLII</t>
  </si>
  <si>
    <t xml:space="preserve">CAS #: 7697372 | Chem Name: Nitric acid | Chem Grade: NR | Chem Formulation: NR | Chem Radiolabel: NR | Chem Characteristics: ULTRA-PURE GRADE | Chem Purity: NR | </t>
  </si>
  <si>
    <t>10.1007/BF00395819</t>
  </si>
  <si>
    <t>Sullivan,B.K., E. Buskey, D.C. Miller, and P.J. Ritacco</t>
  </si>
  <si>
    <t>Effects of Copper and Cadmium on Growth, Swimming and Predator Avoidance in Eurytemora affinis (Copepoda)</t>
  </si>
  <si>
    <t>Mar. Biol. (Multiple Languages)77(3): 299-306</t>
  </si>
  <si>
    <t>Sullivan,B.K., E. Buskey, D.C. Miller, and P.J. Ritacco (1983). Effects of Copper and Cadmium on Growth, Swimming and Predator Avoidance in Eurytemora affinis (Copepoda). Mar. Biol. (Multiple Languages), 77, (3), 299-306. doi:10.1007/BF00395819. ECOREF#:10900</t>
  </si>
  <si>
    <t>RANGE FINDING</t>
  </si>
  <si>
    <t>ADULTS FROM FIELD</t>
  </si>
  <si>
    <t>DEFINITIVE TEST</t>
  </si>
  <si>
    <t>Chromium</t>
  </si>
  <si>
    <t>Zoea</t>
  </si>
  <si>
    <t>0.000065 G,ZOEA I, WTINT</t>
  </si>
  <si>
    <t>MSMT/GEOMETRIC MEAN OF SEVERAL TESTS//</t>
  </si>
  <si>
    <t>CHROMIUM</t>
  </si>
  <si>
    <t>10.1007/s002440010114</t>
  </si>
  <si>
    <t xml:space="preserve"> DNUM/6//DOSES/4000/8000/16000/32000/64000 ug/L//TESTID/2//</t>
  </si>
  <si>
    <t xml:space="preserve">   DNUM/6//DOSES/4000/8000/16000/32000/64000 ug/L//TESTID/2//</t>
  </si>
  <si>
    <t>Marino-Balsa,J.C., E. Poza, E. Vazquez, and R. Beiras</t>
  </si>
  <si>
    <t>Comparative Toxicity of Dissolved Metals to Early Larval Stages of Palaemon serratus, Maja squinado, and Homarus gammarus (Crustacea:  Decapoda)</t>
  </si>
  <si>
    <t>Arch. Environ. Contam. Toxicol.39(3): 345-351</t>
  </si>
  <si>
    <t>Marino-Balsa,J.C., E. Poza, E. Vazquez, and R. Beiras (2000). Comparative Toxicity of Dissolved Metals to Early Larval Stages of Palaemon serratus, Maja squinado, and Homarus gammarus (Crustacea:  Decapoda). Arch. Environ. Contam. Toxicol., 39, (3), 345-351. doi:10.1007/s002440010114. ECOREF#:56995</t>
  </si>
  <si>
    <t>Intermolt</t>
  </si>
  <si>
    <t>7-9 CM CARAPACE WIDTH</t>
  </si>
  <si>
    <t>Savant,K.B., and G.V. Nilkanth</t>
  </si>
  <si>
    <t>On Comparative Studies of Acute Toxicity of Hexavalent Chromium and Selenium to Scylla serrata (Forskal)</t>
  </si>
  <si>
    <t>Pollut. Res.10(4): 239-243</t>
  </si>
  <si>
    <t>Savant,K.B., and G.V. Nilkanth (1991). On Comparative Studies of Acute Toxicity of Hexavalent Chromium and Selenium to Scylla serrata (Forskal). Pollut. Res., 10, (4), 239-243. ECOREF#:81814</t>
  </si>
  <si>
    <t>Copper</t>
  </si>
  <si>
    <t>Macrobrachium rosenbergii</t>
  </si>
  <si>
    <t>Giant River Prawn</t>
  </si>
  <si>
    <t>Macrobrachium</t>
  </si>
  <si>
    <t>rosenbergii</t>
  </si>
  <si>
    <t xml:space="preserve"> ENDPT/LITCHFIELD// </t>
  </si>
  <si>
    <t xml:space="preserve">   ENDPT/LITCHFIELD// </t>
  </si>
  <si>
    <t>Ismail,P., M.N. Mohamad, and S.H. Cheah</t>
  </si>
  <si>
    <t>Toxicity of Copper to Larval and Postlarval Stages of Macrobrachium rosenbergii (De Man)</t>
  </si>
  <si>
    <t>In: R.Hirano and I.Hanyu (Eds.), Proceedings of the 2nd Asian Fisheries Forum, Tokyo, Japan:927-930</t>
  </si>
  <si>
    <t>Ismail,P., M.N. Mohamad, and S.H. Cheah (1990). Toxicity of Copper to Larval and Postlarval Stages of Macrobrachium rosenbergii (De Man). In: R.Hirano and I.Hanyu (Eds.), Proceedings of the 2nd Asian Fisheries Forum, Tokyo, Japan, 927-930. ECOREF#:4043</t>
  </si>
  <si>
    <t>6.0 UG DRY WT, MOSTLY</t>
  </si>
  <si>
    <t xml:space="preserve"> LOCATION/MIAMI//SPEC/MOSTLY ACARTIA TONSA//</t>
  </si>
  <si>
    <t xml:space="preserve">   LOCATION/MIAMI//SPEC/MOSTLY ACARTIA TONSA//</t>
  </si>
  <si>
    <t xml:space="preserve"> TESTID/2//MSMT/NR//DOSES/0.02/0.23/0.44/0.65/0.86/1.07 UG/L//SOURCE/WLD//WTINT/NR//DNUM/6//SEX/NR//TMETH/STDMETH//STYPE/ACUTE//ETIME/48 H//AP RATE/NR//SAMPN/NR//WTAT/NR//INTAKE/NR//COMPEP/NR//LD/NR//DW/NR//STST/NR//HMA/NR//NA/NR//CL/NR//DIC/NR//CA/NR//POT/NR//MG/NR//SO4/NR//SULF/NR//</t>
  </si>
  <si>
    <t xml:space="preserve">   TESTID/2//MSMT/NR//DOSES/0.02/0.23/0.44/0.65/0.86/1.07 UG/L//SOURCE/WLD//WTINT/NR//DNUM/6//SEX/NR//TMETH/STDMETH//STYPE/ACUTE//ETIME/48 H//AP RATE/NR//SAMPN/NR//WTAT/NR//INTAKE/NR//COMPEP/NR//LD/NR//DW/NR//STST/NR//HMA/NR//NA/NR//CL/NR//DIC/NR//CA/NR//POT/NR//MG/NR//SO4/NR//SULF/NR//</t>
  </si>
  <si>
    <t xml:space="preserve"> LOC/SAANICH INLET//SPEC/PARACALANUS, PSEUDOCALANUS SPP, ACARIA TONSA//</t>
  </si>
  <si>
    <t xml:space="preserve">   LOC/SAANICH INLET//SPEC/PARACALANUS, PSEUDOCALANUS SPP, ACARIA TONSA//</t>
  </si>
  <si>
    <t xml:space="preserve">CONC1/CI REPORTED AS 0.188 - 0.536//DO/FROM GRAPH// </t>
  </si>
  <si>
    <t xml:space="preserve">  CONC1/CI REPORTED AS 0.188 - 0.536//DO/FROM GRAPH// </t>
  </si>
  <si>
    <t>COPPER</t>
  </si>
  <si>
    <t xml:space="preserve"> DOSES/NA mg/L//TESTID/1//</t>
  </si>
  <si>
    <t xml:space="preserve">   DOSES/NA mg/L//TESTID/1//</t>
  </si>
  <si>
    <t xml:space="preserve"> DOSES/NA mg/L//TESTID/3//</t>
  </si>
  <si>
    <t xml:space="preserve">   DOSES/NA mg/L//TESTID/3//</t>
  </si>
  <si>
    <t>10.1007/BF00212392</t>
  </si>
  <si>
    <t>Ahsanullah,M., and W. Ying</t>
  </si>
  <si>
    <t>Toxic Effects of Dissolved Copper on Penaeus merguiensis and Penaeus monodon</t>
  </si>
  <si>
    <t>Bull. Environ. Contam. Toxicol.55(1): 81-88</t>
  </si>
  <si>
    <t>Ahsanullah,M., and W. Ying (1995). Toxic Effects of Dissolved Copper on Penaeus merguiensis and Penaeus monodon. Bull. Environ. Contam. Toxicol., 55, (1), 81-88. doi:10.1007/BF00212392. ECOREF#:14951</t>
  </si>
  <si>
    <t>0.00818 G,WTINT, 1.3 CM, PL-14</t>
  </si>
  <si>
    <t xml:space="preserve"> DOSES/NA mg/L//TESTID/2//</t>
  </si>
  <si>
    <t xml:space="preserve">   DOSES/NA mg/L//TESTID/2//</t>
  </si>
  <si>
    <t xml:space="preserve"> LOC/SAANICH INLET//CONTR/0 % MORT//SPEC/PARACALANUS, PSEUDOCALANUS SPP, ACARTIA TONSA//</t>
  </si>
  <si>
    <t xml:space="preserve">   LOC/SAANICH INLET//CONTR/0 % MORT//SPEC/PARACALANUS, PSEUDOCALANUS SPP, ACARTIA TONSA//</t>
  </si>
  <si>
    <t>3.0 UG DRY WT</t>
  </si>
  <si>
    <t xml:space="preserve"> LOC/LOCH EWE//SPEC/TEMORA, ACARTIA, PARACALANUS SPP//</t>
  </si>
  <si>
    <t xml:space="preserve">   LOC/LOCH EWE//SPEC/TEMORA, ACARTIA, PARACALANUS SPP//</t>
  </si>
  <si>
    <t xml:space="preserve"> DNUM/7//DOSES/0.01/0.032/0.056/0.1/0.18/0.56 mg/L//TESTID/10//</t>
  </si>
  <si>
    <t xml:space="preserve">   DNUM/7//DOSES/0.01/0.032/0.056/0.1/0.18/0.56 mg/L//TESTID/10//</t>
  </si>
  <si>
    <t xml:space="preserve"> DOSES/NA mg/L//TESTID/4//</t>
  </si>
  <si>
    <t xml:space="preserve">   DOSES/NA mg/L//TESTID/4//</t>
  </si>
  <si>
    <t>Tigriopus californicus</t>
  </si>
  <si>
    <t>californicus</t>
  </si>
  <si>
    <t>M</t>
  </si>
  <si>
    <t>10.3354/meps044059</t>
  </si>
  <si>
    <t>O'Brien,P., H. Feldman, E.V. Grill, and A.G. Lewis</t>
  </si>
  <si>
    <t>Copper Tolerance of the Life History Stages of the Splashpool Copepod Tigriopus californicus (Copepoda, Harpacticoida)</t>
  </si>
  <si>
    <t>Mar. Ecol. Prog. Ser.44(1): 59-64</t>
  </si>
  <si>
    <t>O'Brien,P., H. Feldman, E.V. Grill, and A.G. Lewis (1988). Copper Tolerance of the Life History Stages of the Splashpool Copepod Tigriopus californicus (Copepoda, Harpacticoida). Mar. Ecol. Prog. Ser., 44, (1), 59-64. doi:10.3354/meps044059. ECOREF#:2977</t>
  </si>
  <si>
    <t>MALE, FEMALE</t>
  </si>
  <si>
    <t>10.1016/S0141-1136(00)00102-1</t>
  </si>
  <si>
    <t xml:space="preserve"> DNUM/6//</t>
  </si>
  <si>
    <t xml:space="preserve">   DNUM/6//</t>
  </si>
  <si>
    <t>Hagopian-Schlekat,T., G.T. Chandler, and T.J. Shaw</t>
  </si>
  <si>
    <t>Acute Toxicity of Five Sediment-Associated Metals, Individually and in a Mixture, to the Estuarine Meiobenthic Harpacticoid Copepod Amphiascus tenuiremis</t>
  </si>
  <si>
    <t>Mar. Environ. Res.51(3): 247-264</t>
  </si>
  <si>
    <t>Hagopian-Schlekat,T., G.T. Chandler, and T.J. Shaw (2001). Acute Toxicity of Five Sediment-Associated Metals, Individually and in a Mixture, to the Estuarine Meiobenthic Harpacticoid Copepod Amphiascus tenuiremis. Mar. Environ. Res., 51, (3), 247-264. doi:10.1016/S0141-1136(00)00102-1. ECOREF#:59877</t>
  </si>
  <si>
    <t xml:space="preserve">CAS #: 7697372 | Chem Name: Nitric acid | Chem Grade: NR | Chem Formulation: NR | Chem Radiolabel: NR | Chem Characteristics: ULTRA PURE GRADE | Chem Purity: NR | </t>
  </si>
  <si>
    <t>Egg</t>
  </si>
  <si>
    <t>Copepodite</t>
  </si>
  <si>
    <t>Zinc</t>
  </si>
  <si>
    <t>ZINC</t>
  </si>
  <si>
    <t xml:space="preserve"> DNUM/6//DOSES/1/5/10/50/100 mg/l//TESTID/2//</t>
  </si>
  <si>
    <t xml:space="preserve">   DNUM/6//DOSES/1/5/10/50/100 mg/l//TESTID/2//</t>
  </si>
  <si>
    <t xml:space="preserve"> DNUM/7//DOSES/0.025/0.050/0.100/0.250/0.500/0.750 mg/l//TESTID/14//OEF/MIXTURE////</t>
  </si>
  <si>
    <t xml:space="preserve">   DNUM/7//DOSES/0.025/0.050/0.100/0.250/0.500/0.750 mg/l//TESTID/14//OEF/MIXTURE////</t>
  </si>
  <si>
    <t xml:space="preserve"> DNUM/7//DOSES/0.010/0.025/0.050/0.100/0.250/0.500 mg/l//TESTID/10//OEF/MIXTURE////</t>
  </si>
  <si>
    <t xml:space="preserve">   DNUM/7//DOSES/0.010/0.025/0.050/0.100/0.250/0.500 mg/l//TESTID/10//OEF/MIXTURE////</t>
  </si>
  <si>
    <t xml:space="preserve"> DNUM/7//DOSES/0.010/0.025/0.050/0.100/0.250/0.500 mg/l//TESTID/9//OEF/MIXTURE////</t>
  </si>
  <si>
    <t xml:space="preserve">   DNUM/7//DOSES/0.010/0.025/0.050/0.100/0.250/0.500 mg/l//TESTID/9//OEF/MIXTURE////</t>
  </si>
  <si>
    <t xml:space="preserve"> DNUM/9//DOSES/0.1/0.18/0.32/0.56/1.0/2.5/5.0/10.0 mg/l//TESTID/8//</t>
  </si>
  <si>
    <t xml:space="preserve">   DNUM/9//DOSES/0.1/0.18/0.32/0.56/1.0/2.5/5.0/10.0 mg/l//TESTID/8//</t>
  </si>
  <si>
    <t xml:space="preserve"> DNUM/7//DOSES/0.025/0.050/0.100/0.250/0.500/0.750 mg/l//TESTID/15//OEF/MIXTURE////</t>
  </si>
  <si>
    <t xml:space="preserve">   DNUM/7//DOSES/0.025/0.050/0.100/0.250/0.500/0.750 mg/l//TESTID/15//OEF/MIXTURE////</t>
  </si>
  <si>
    <t xml:space="preserve"> DNUM/7//DOSES/0.010/0.025/0.050/0.100/0.250/0.500 mg/l//TESTID/11//OEF/MIXTURE////</t>
  </si>
  <si>
    <t xml:space="preserve">   DNUM/7//DOSES/0.010/0.025/0.050/0.100/0.250/0.500 mg/l//TESTID/11//OEF/MIXTURE////</t>
  </si>
  <si>
    <t xml:space="preserve"> DNUM/9//DOSES/0.1/0.18/0.32/0.56/1.0/2.5/5.0/10.0 mg/L//TESTID/8//</t>
  </si>
  <si>
    <t xml:space="preserve">   DNUM/9//DOSES/0.1/0.18/0.32/0.56/1.0/2.5/5.0/10.0 mg/L//TESTID/8//</t>
  </si>
  <si>
    <t>30-80 NM MEASURED PARTICLE SIZE, 40-60 NM NOMINAL PARTICLE SIZE, OTHER PARTICLE PARAMETERS REPORTED</t>
  </si>
  <si>
    <t>11600-19700</t>
  </si>
  <si>
    <t xml:space="preserve"> DNUM/8//DOSES/1/5.6/10/18/32/56/100 mg/L//TESTID/9//</t>
  </si>
  <si>
    <t xml:space="preserve">   DNUM/8//DOSES/1/5.6/10/18/32/56/100 mg/L//TESTID/9//</t>
  </si>
  <si>
    <t xml:space="preserve"> DNUM/7//DOSES/0.010/0.025/0.050/0.100/0.250/0.500 mg/l//TESTID/12//OEF/MIXTURE////</t>
  </si>
  <si>
    <t xml:space="preserve">   DNUM/7//DOSES/0.010/0.025/0.050/0.100/0.250/0.500 mg/l//TESTID/12//OEF/MIXTURE////</t>
  </si>
  <si>
    <t xml:space="preserve"> DNUM/7//DOSES/0.025/0.050/0.100/0.250/0.500/0.750 mg/l//TESTID/13//OEF/MIXTURE////</t>
  </si>
  <si>
    <t xml:space="preserve">   DNUM/7//DOSES/0.025/0.050/0.100/0.250/0.500/0.750 mg/l//TESTID/13//OEF/MIXTURE////</t>
  </si>
  <si>
    <t>40-135 NM MEASURED PARTICLE SIZE, 80-100 NM NOMINAL PARTICLE SIZE, OTHER PARTICLE PARAMETERS REPORTED</t>
  </si>
  <si>
    <t>11200-16400</t>
  </si>
  <si>
    <t xml:space="preserve"> DNUM/8//DOSES/1/5.6/10/18/32/56/100 mg/l//TESTID/9//</t>
  </si>
  <si>
    <t xml:space="preserve">   DNUM/8//DOSES/1/5.6/10/18/32/56/100 mg/l//TESTID/9//</t>
  </si>
  <si>
    <t xml:space="preserve"> DNUM/7//DOSES/0.025/0.050/0.100/0.250/0.500/0.750 mg/l//TESTID/16//OEF/MIXTURE////</t>
  </si>
  <si>
    <t xml:space="preserve">   DNUM/7//DOSES/0.025/0.050/0.100/0.250/0.500/0.750 mg/l//TESTID/16//OEF/MIXTURE////</t>
  </si>
  <si>
    <t>15600-20100</t>
  </si>
  <si>
    <t>10500-17400</t>
  </si>
  <si>
    <t xml:space="preserve">Leaching </t>
  </si>
  <si>
    <t>SEDIMENT</t>
  </si>
  <si>
    <t xml:space="preserve"> DNUM/6//DOSES/&gt;200 to &lt;1000 ug/L//TESTID/2//OEF/GENDER DIFFERENCES IN MORTALITY ALSO REPORTED BUT WITHOUT CONCENTRATIONS, MIXTURE//EFCT%/ESTIMATED FROM GRAPH//CONC/PORE WATER FROM SPIKED SEDIMENT////</t>
  </si>
  <si>
    <t xml:space="preserve">   DNUM/6//DOSES/&gt;200 to &lt;1000 ug/L//TESTID/2//OEF/GENDER DIFFERENCES IN MORTALITY ALSO REPORTED BUT WITHOUT CONCENTRATIONS, MIXTURE//EFCT%/ESTIMATED FROM GRAPH//CONC/PORE WATER FROM SPIKED SEDIMENT////</t>
  </si>
  <si>
    <t>Copper chloride (CuCl2)</t>
  </si>
  <si>
    <t>Amphiascoides atopus</t>
  </si>
  <si>
    <t>Copepod</t>
  </si>
  <si>
    <t>Amphiascoides</t>
  </si>
  <si>
    <t>atopus</t>
  </si>
  <si>
    <t>uM</t>
  </si>
  <si>
    <t>10.3390/md10050998</t>
  </si>
  <si>
    <t>4 REPLICATES, CAROPHYLL FOOD,  SHORT UV LIGHT</t>
  </si>
  <si>
    <t>Caramujo,M.J., C.C.C.R. De Carvalho, S.J. Silva, and K.R. Carman</t>
  </si>
  <si>
    <t>Dietary Carotenoids Regulate Astaxanthin Content of Copepods and Modulate Their Susceptibility to UV Light and Copper Toxicity</t>
  </si>
  <si>
    <t>Mar. Drugs10(5): 998-1018</t>
  </si>
  <si>
    <t>Caramujo,M.J., C.C.C.R. De Carvalho, S.J. Silva, and K.R. Carman (2012). Dietary Carotenoids Regulate Astaxanthin Content of Copepods and Modulate Their Susceptibility to UV Light and Copper Toxicity. Mar. Drugs, 10, (5), 998-1018. doi:10.3390/md10050998. ECOREF#:166161</t>
  </si>
  <si>
    <t>0.5 TO 1.2 G,35 TO 55 MM BODY/</t>
  </si>
  <si>
    <t>CUPRIC CHLORIDE, CUCL2 2H2O</t>
  </si>
  <si>
    <t>10.1080/02757548208070795</t>
  </si>
  <si>
    <t xml:space="preserve"> LIFESTG/LENGTH (POST ORBITAL MARGIN TO TELSON TIP)//TESTID/16//OEF/TEMPERATURE AND SALINITY EFCTS////</t>
  </si>
  <si>
    <t xml:space="preserve">   LIFESTG/LENGTH (POST ORBITAL MARGIN TO TELSON TIP)//TESTID/16//OEF/TEMPERATURE AND SALINITY EFCTS////</t>
  </si>
  <si>
    <t>Denton,R.W., and C. Burdon-Jones</t>
  </si>
  <si>
    <t>The Influence of Temperature and Salinity upon the Acute Toxicity of Heavy Metals to the Banana Prawn (Penaeus merguiensis de Man)</t>
  </si>
  <si>
    <t>Chem. Ecol.1(2): 131-143</t>
  </si>
  <si>
    <t>Denton,R.W., and C. Burdon-Jones (1982). The Influence of Temperature and Salinity upon the Acute Toxicity of Heavy Metals to the Banana Prawn (Penaeus merguiensis de Man). Chem. Ecol., 1, (2), 131-143. doi:10.1080/02757548208070795. ECOREF#:4973</t>
  </si>
  <si>
    <t>Penaeus japonicus</t>
  </si>
  <si>
    <t>Kuruma Shrimp</t>
  </si>
  <si>
    <t>10.1016/0166-445X(95)00011-R</t>
  </si>
  <si>
    <t xml:space="preserve"> CONC/FROM GRAPH//</t>
  </si>
  <si>
    <t xml:space="preserve">   CONC/FROM GRAPH//</t>
  </si>
  <si>
    <t>Bambang,Y., P. Thuet, M. Charmantier-Daures, J.P. Trilles, and G. Charmantier</t>
  </si>
  <si>
    <t>Effect of Copper on Survival and Osmoregulation of Various Developmental Stages of the Shrimp Penaeus japonicus Bate (Crustacea, Decapoda)</t>
  </si>
  <si>
    <t>Aquat. Toxicol.33(2): 125-139</t>
  </si>
  <si>
    <t>Bambang,Y., P. Thuet, M. Charmantier-Daures, J.P. Trilles, and G. Charmantier (1995). Effect of Copper on Survival and Osmoregulation of Various Developmental Stages of the Shrimp Penaeus japonicus Bate (Crustacea, Decapoda). Aquat. Toxicol., 33, (2), 125-139. doi:10.1016/0166-445X(95)00011-R. ECOREF#:16111</t>
  </si>
  <si>
    <t>Tigriopus fulvus</t>
  </si>
  <si>
    <t>fulvus</t>
  </si>
  <si>
    <t>NI-NII STAGE</t>
  </si>
  <si>
    <t>10.1080/02757540.2011.625940</t>
  </si>
  <si>
    <t>3 REPLICATES, 5 TESTS POOLED, ARTIFICIAL SEAWATER</t>
  </si>
  <si>
    <t xml:space="preserve">SOURCE/COAST OF THE TYRRHENIAN SEA, LIVORNO, ITALY//   </t>
  </si>
  <si>
    <t>Rinna,F., F. Del Prete, V. Vitiello, G. Sansone, and A.L. Langellotti</t>
  </si>
  <si>
    <t>Toxicity Assessment of Copper, Pentachlorophenol and Phenanthrene by Lethal and Sublethal Endpoints on Nauplii of Tigriopus fulvus</t>
  </si>
  <si>
    <t>Chem. Ecol.27(S2): 77-85</t>
  </si>
  <si>
    <t>Rinna,F., F. Del Prete, V. Vitiello, G. Sansone, and A.L. Langellotti (2011). Toxicity Assessment of Copper, Pentachlorophenol and Phenanthrene by Lethal and Sublethal Endpoints on Nauplii of Tigriopus fulvus. Chem. Ecol., 27, (S2), 77-85. doi:10.1080/02757540.2011.625940. ECOREF#:166814</t>
  </si>
  <si>
    <t>Elasmopus bampo</t>
  </si>
  <si>
    <t>bampo</t>
  </si>
  <si>
    <t>8-12 MM, NON-OVIGEROUS FEMALES</t>
  </si>
  <si>
    <t>10.1080/00222939300770471</t>
  </si>
  <si>
    <t>Reish,D.J.</t>
  </si>
  <si>
    <t>Effects of Metals and Organic Compounds on Survival and Bioaccumulation in Two Species of Marine Gammaridean Amphipod, Together with a Summary of Toxicological Research on this Group</t>
  </si>
  <si>
    <t>J. Nat. Hist.27(4): 781-794</t>
  </si>
  <si>
    <t>Reish,D.J. (1993). Effects of Metals and Organic Compounds on Survival and Bioaccumulation in Two Species of Marine Gammaridean Amphipod, Together with a Summary of Toxicological Research on this Group. J. Nat. Hist., 27, (4), 781-794. doi:10.1080/00222939300770471. ECOREF#:9755</t>
  </si>
  <si>
    <t>EYESTALKLESS, 4-6 CM, 1-1.5 G</t>
  </si>
  <si>
    <t>10.1007/s002440010093</t>
  </si>
  <si>
    <t>Lorenzon,S., M. Francese, and E.A. Ferrero</t>
  </si>
  <si>
    <t>Heavy Metal Toxicity and Differential Effects on the Hyperglycemic Stress Response in the Shrimp Palaemon elegans</t>
  </si>
  <si>
    <t>Arch. Environ. Contam. Toxicol.39(2): 167-176</t>
  </si>
  <si>
    <t>Lorenzon,S., M. Francese, and E.A. Ferrero (2000). Heavy Metal Toxicity and Differential Effects on the Hyperglycemic Stress Response in the Shrimp Palaemon elegans. Arch. Environ. Contam. Toxicol., 39, (2), 167-176. doi:10.1007/s002440010093. ECOREF#:51641</t>
  </si>
  <si>
    <t>Melita plumulosa</t>
  </si>
  <si>
    <t>Melitidae</t>
  </si>
  <si>
    <t>Melita</t>
  </si>
  <si>
    <t>plumulosa</t>
  </si>
  <si>
    <t>COPPER CHLORIDE (CUCL2)</t>
  </si>
  <si>
    <t>10.1016/j.chemosphere.2005.09.020</t>
  </si>
  <si>
    <t>5 REPLICATES</t>
  </si>
  <si>
    <t xml:space="preserve"> DOSES/NA ug/L//TESTID/23//OEF/SPIKED SEDIMENT STUDY ALSO REPORTED, NO ENDPOINT////</t>
  </si>
  <si>
    <t>% Sat</t>
  </si>
  <si>
    <t xml:space="preserve">   DOSES/NA ug/L//TESTID/23//OEF/SPIKED SEDIMENT STUDY ALSO REPORTED, NO ENDPOINT////</t>
  </si>
  <si>
    <t>King,C.K., S.A. Gale, R.V. Hyne, J.L. Stauber, S.L. Simpson, and C.W. Hickey</t>
  </si>
  <si>
    <t>Sensitivities of Australian and New Zealand Amphipods to Copper and Zinc in Waters and Metal-Spiked Sediments</t>
  </si>
  <si>
    <t>Chemosphere63(9): 1466-1476</t>
  </si>
  <si>
    <t>King,C.K., S.A. Gale, R.V. Hyne, J.L. Stauber, S.L. Simpson, and C.W. Hickey (2006). Sensitivities of Australian and New Zealand Amphipods to Copper and Zinc in Waters and Metal-Spiked Sediments. Chemosphere, 63, (9), 1466-1476. doi:10.1016/j.chemosphere.2005.09.020. ECOREF#:101781</t>
  </si>
  <si>
    <t>Chasmagnathus granulata</t>
  </si>
  <si>
    <t>Grapsidae</t>
  </si>
  <si>
    <t>Chasmagnathus</t>
  </si>
  <si>
    <t>granulata</t>
  </si>
  <si>
    <t>COPPER CHLORIDE (CUCL2)/</t>
  </si>
  <si>
    <t>10.1016/j.ecoenv.2005.06.010</t>
  </si>
  <si>
    <t xml:space="preserve"> CHAR/CL2CU.2H2O//DNUM/6//DOSES/80/160/320/640/1280 ug/L//TESTID/3//OEF/MIXTURE////</t>
  </si>
  <si>
    <t xml:space="preserve">   CHAR/CL2CU.2H2O//DNUM/6//DOSES/80/160/320/640/1280 ug/L//TESTID/3//OEF/MIXTURE////</t>
  </si>
  <si>
    <t>Ferrer,L., S. Andrade, R. Asteasuain, and J. Marcovecchio</t>
  </si>
  <si>
    <t>Acute Toxicities of Four Metals on the Early Life Stages of the Crab Chasmagnathus granulata from Baha Blanca Estuary, Argentina</t>
  </si>
  <si>
    <t>Ecotoxicol. Environ. Saf.65(2): 209-217</t>
  </si>
  <si>
    <t>Ferrer,L., S. Andrade, R. Asteasuain, and J. Marcovecchio (2006). Acute Toxicities of Four Metals on the Early Life Stages of the Crab Chasmagnathus granulata from Baha Blanca Estuary, Argentina. Ecotoxicol. Environ. Saf., 65, (2), 209-217. doi:10.1016/j.ecoenv.2005.06.010. ECOREF#:97270</t>
  </si>
  <si>
    <t>Idotea balthica</t>
  </si>
  <si>
    <t>Aquatic Sowbug, Isopod</t>
  </si>
  <si>
    <t>Isopoda</t>
  </si>
  <si>
    <t>Idoteidae</t>
  </si>
  <si>
    <t>Idotea</t>
  </si>
  <si>
    <t>balthica</t>
  </si>
  <si>
    <t>Young adult</t>
  </si>
  <si>
    <t>EXCLUDED OVIGEROUS FEMALES</t>
  </si>
  <si>
    <t>10.1007/s10646-006-0123-z</t>
  </si>
  <si>
    <t xml:space="preserve"> DNUM/6//DOSES/0.00325 to 12.5 mg/L//TESTID/7//OEF/MIXTURE////</t>
  </si>
  <si>
    <t xml:space="preserve">   DNUM/6//DOSES/0.00325 to 12.5 mg/L//TESTID/7//OEF/MIXTURE////</t>
  </si>
  <si>
    <t>Annicchiarico,C., F. Biandolino, N. Cardellicchio, A. Di Leo, S. Giandomenico, and E. Prato</t>
  </si>
  <si>
    <t>Predicting Toxicity in Marine Sediment in Taranto Gulf (Ionian Sea, Southern Italy) Using Sediment Quality Guidelines and a Battery Bioassay</t>
  </si>
  <si>
    <t>Ecotoxicology16(2): 239-246</t>
  </si>
  <si>
    <t>Annicchiarico,C., F. Biandolino, N. Cardellicchio, A. Di Leo, S. Giandomenico, and E. Prato (2007). Predicting Toxicity in Marine Sediment in Taranto Gulf (Ionian Sea, Southern Italy) Using Sediment Quality Guidelines and a Battery Bioassay. Ecotoxicology, 16, (2), 239-246. doi:10.1007/s10646-006-0123-z. ECOREF#:115536</t>
  </si>
  <si>
    <t>MSMT/24,48 AND 72 HOURS ALSO REPORTED//</t>
  </si>
  <si>
    <t>COPPER CHLORIDE</t>
  </si>
  <si>
    <t>10.3184/095422903782775271</t>
  </si>
  <si>
    <t xml:space="preserve"> DNUM/6//DOSES/80/160/320/640/1280 ug/L//</t>
  </si>
  <si>
    <t xml:space="preserve">   DNUM/6//DOSES/80/160/320/640/1280 ug/L//</t>
  </si>
  <si>
    <t>Ferrer,L.D., J.S. Andrade, E.T. Contardi, R.O. Asteasuain, and J.E. Marcovecchio</t>
  </si>
  <si>
    <t>Copper and Zinc Concentrations in Bahia Blanca Estuary (Argentina), and Their Acute Lethal Effects on Larvae of the Crab Chasmagnathus granulata</t>
  </si>
  <si>
    <t>Chem. Spec. Bioavail.15(1): 7-14</t>
  </si>
  <si>
    <t>Ferrer,L.D., J.S. Andrade, E.T. Contardi, R.O. Asteasuain, and J.E. Marcovecchio (2003). Copper and Zinc Concentrations in Bahia Blanca Estuary (Argentina), and Their Acute Lethal Effects on Larvae of the Crab Chasmagnathus granulata. Chem. Spec. Bioavail., 15, (1), 7-14. doi:10.3184/095422903782775271. ECOREF#:73547</t>
  </si>
  <si>
    <t>MSMT/MECHANICAL STIMULATION////</t>
  </si>
  <si>
    <t>Gajbhiye,S.N., and R. Hirota</t>
  </si>
  <si>
    <t>Toxicity of Heavy Metals to Brine Shrimp Artemia</t>
  </si>
  <si>
    <t>J. Indian Fish. Assoc.20:43-50</t>
  </si>
  <si>
    <t>Gajbhiye,S.N., and R. Hirota (1990). Toxicity of Heavy Metals to Brine Shrimp Artemia. J. Indian Fish. Assoc., 20, 43-50. ECOREF#:17792</t>
  </si>
  <si>
    <t>Month(s)</t>
  </si>
  <si>
    <t>13 G</t>
  </si>
  <si>
    <t xml:space="preserve"> LIFESTG/LENGTH (POST ORBITAL MARGIN TO TELSON TIP)//TESTID/13//OEF/TEMPERATURE AND SALINITY EFCTS////</t>
  </si>
  <si>
    <t xml:space="preserve">   LIFESTG/LENGTH (POST ORBITAL MARGIN TO TELSON TIP)//TESTID/13//OEF/TEMPERATURE AND SALINITY EFCTS////</t>
  </si>
  <si>
    <t>Melita matilda</t>
  </si>
  <si>
    <t>matilda</t>
  </si>
  <si>
    <t xml:space="preserve"> DOSES/NA ug/L//TESTID/24//OEF/SPIKED SEDIMENT STUDY ALSO REPORTED, NO ENDPOINT////</t>
  </si>
  <si>
    <t xml:space="preserve">   DOSES/NA ug/L//TESTID/24//OEF/SPIKED SEDIMENT STUDY ALSO REPORTED, NO ENDPOINT////</t>
  </si>
  <si>
    <t>4 REPLICATES, TORULA YEAST AND ISOCRYSIS FOOD,  SHORT UV LIGHT</t>
  </si>
  <si>
    <t>Corophium insidiosum</t>
  </si>
  <si>
    <t>Corophiidae</t>
  </si>
  <si>
    <t>Corophium</t>
  </si>
  <si>
    <t>insidiosum</t>
  </si>
  <si>
    <t>2-4 MM LENGTH</t>
  </si>
  <si>
    <t>10.1080/02757540.2011.625930</t>
  </si>
  <si>
    <t>Prato,E., F. Biandolino, A.P. Bisci, and C. Caroppo</t>
  </si>
  <si>
    <t>Preliminary Assessment of Ostreopsis cfr. ovata Acute Toxicity by Using a Battery Bioassay</t>
  </si>
  <si>
    <t>Chem. Ecol.27(S2): 117-125</t>
  </si>
  <si>
    <t>Prato,E., F. Biandolino, A.P. Bisci, and C. Caroppo (2011). Preliminary Assessment of Ostreopsis cfr. ovata Acute Toxicity by Using a Battery Bioassay. Chem. Ecol., 27, (S2), 117-125. doi:10.1080/02757540.2011.625930. ECOREF#:169914</t>
  </si>
  <si>
    <t>Balanus amphitrite ssp. amphitrite</t>
  </si>
  <si>
    <t>amphitrite</t>
  </si>
  <si>
    <t>10.1007/BF00197443</t>
  </si>
  <si>
    <t>kDa</t>
  </si>
  <si>
    <t>Sasikumar,N., A.S. Clare, D.J. Gerhart, D. Stover, and D. Rittschof</t>
  </si>
  <si>
    <t>Comparative Toxicities of Selected Compounds to Nauplii of Balanus amphitrite amphitrite Darwin and Artemia sp.</t>
  </si>
  <si>
    <t>Bull. Environ. Contam. Toxicol.54(2): 289-296</t>
  </si>
  <si>
    <t>Sasikumar,N., A.S. Clare, D.J. Gerhart, D. Stover, and D. Rittschof (1995). Comparative Toxicities of Selected Compounds to Nauplii of Balanus amphitrite amphitrite Darwin and Artemia sp.. Bull. Environ. Contam. Toxicol., 54, (2), 289-296. doi:10.1007/BF00197443. ECOREF#:53890</t>
  </si>
  <si>
    <t>Metamysidopsis insularis</t>
  </si>
  <si>
    <t>Mysid</t>
  </si>
  <si>
    <t>Metamysidopsis</t>
  </si>
  <si>
    <t>insularis</t>
  </si>
  <si>
    <t>10.1080/02772240701740221</t>
  </si>
  <si>
    <t>TEST 4</t>
  </si>
  <si>
    <t xml:space="preserve"> DNUM/6-8//DOSES/NA mg/L//TESTID/9//</t>
  </si>
  <si>
    <t xml:space="preserve">   DNUM/6-8//DOSES/NA mg/L//TESTID/9//</t>
  </si>
  <si>
    <t>Garcia,K., J.B.R. Agard, and A. Mohammed</t>
  </si>
  <si>
    <t>Comparative Sensitivity of a Tropical Mysid Metamysidopsis insularis and the Temperate Species Americamysis bahia to Six Toxicants</t>
  </si>
  <si>
    <t>Toxicol. Environ. Chem.90(4): 779-785</t>
  </si>
  <si>
    <t>Garcia,K., J.B.R. Agard, and A. Mohammed (2008). Comparative Sensitivity of a Tropical Mysid Metamysidopsis insularis and the Temperate Species Americamysis bahia to Six Toxicants. Toxicol. Environ. Chem., 90, (4), 779-785. doi:10.1080/02772240701740221. ECOREF#:117932</t>
  </si>
  <si>
    <t xml:space="preserve"> LIFESTG/LENGTH (POST ORBITAL MARGIN TO TELSON TIP)//TESTID/14//OEF/TEMPERATURE AND SALINITY EFCTS////</t>
  </si>
  <si>
    <t xml:space="preserve">   LIFESTG/LENGTH (POST ORBITAL MARGIN TO TELSON TIP)//TESTID/14//OEF/TEMPERATURE AND SALINITY EFCTS////</t>
  </si>
  <si>
    <t>Sphaeroma serratum</t>
  </si>
  <si>
    <t>Aquatic Sowbug</t>
  </si>
  <si>
    <t>Sphaeromatidae</t>
  </si>
  <si>
    <t>Sphaeroma</t>
  </si>
  <si>
    <t>serratum</t>
  </si>
  <si>
    <t>ARTIFICIAL SEAWATER</t>
  </si>
  <si>
    <t xml:space="preserve"> DNUM/5//DOSES/0.02/0.2/2/20 mg/l//TESTID/10//</t>
  </si>
  <si>
    <t xml:space="preserve">   DNUM/5//DOSES/0.02/0.2/2/20 mg/l//TESTID/10//</t>
  </si>
  <si>
    <t>Amiard,J.C., C. Amiard-Triquet, and C. Metayer</t>
  </si>
  <si>
    <t>Experimental Study of Bioaccumulation, Toxicity and Regulation of Some Trace Metals in Various Estuarine and Coastal Organisms</t>
  </si>
  <si>
    <t>Symp. Biol. Hung.29:313-325</t>
  </si>
  <si>
    <t>Amiard,J.C., C. Amiard-Triquet, and C. Metayer (1985). Experimental Study of Bioaccumulation, Toxicity and Regulation of Some Trace Metals in Various Estuarine and Coastal Organisms. Symp. Biol. Hung., 29, 313-325. ECOREF#:16651</t>
  </si>
  <si>
    <t>4-6 CM, 1-1.5 G</t>
  </si>
  <si>
    <t>4 REPLICATES, HAEMATOCOCCUS FOOD,  LONG UV LIGHT</t>
  </si>
  <si>
    <t>2 TO 4 MM</t>
  </si>
  <si>
    <t>10.1080/14634980500362213</t>
  </si>
  <si>
    <t xml:space="preserve"> DNUM/6//DOSES/0.4/0.8/1.6/3.2/6.4 mg/L//TESTID/2//OEF/SEDIMENT STUDY, TEMPERATURE, SALINITY, SEDIMENT, POPULATION DENSITY AND DIET EFFECTS////</t>
  </si>
  <si>
    <t xml:space="preserve">   DNUM/6//DOSES/0.4/0.8/1.6/3.2/6.4 mg/L//TESTID/2//OEF/SEDIMENT STUDY, TEMPERATURE, SALINITY, SEDIMENT, POPULATION DENSITY AND DIET EFFECTS////</t>
  </si>
  <si>
    <t>Prato,E., and F. Biandolino</t>
  </si>
  <si>
    <t>Gammarus aequicauda (Crustacea: Amphipoda):  a Potential Test Species in Marine Sediment Toxicity Assessment</t>
  </si>
  <si>
    <t>Aquat. Ecosyst. Health Manag.8(4): 475-482</t>
  </si>
  <si>
    <t>Prato,E., and F. Biandolino (2005). Gammarus aequicauda (Crustacea: Amphipoda):  a Potential Test Species in Marine Sediment Toxicity Assessment. Aquat. Ecosyst. Health Manag., 8, (4), 475-482. doi:10.1080/14634980500362213. ECOREF#:116169</t>
  </si>
  <si>
    <t xml:space="preserve"> LIFESTG/LENGTH (POST ORBITAL MARGIN TO TELSON TIP)//TESTID/17//OEF/TEMPERATURE AND SALINITY EFCTS////</t>
  </si>
  <si>
    <t xml:space="preserve">   LIFESTG/LENGTH (POST ORBITAL MARGIN TO TELSON TIP)//TESTID/17//OEF/TEMPERATURE AND SALINITY EFCTS////</t>
  </si>
  <si>
    <t xml:space="preserve"> DNUM/5//DOSES/10/100/1000/10000 ug/L//</t>
  </si>
  <si>
    <t xml:space="preserve">   DNUM/5//DOSES/10/100/1000/10000 ug/L//</t>
  </si>
  <si>
    <t>TEST 3</t>
  </si>
  <si>
    <t xml:space="preserve"> DNUM/6-8//DOSES/NA mg/L//TESTID/8//</t>
  </si>
  <si>
    <t xml:space="preserve">   DNUM/6-8//DOSES/NA mg/L//TESTID/8//</t>
  </si>
  <si>
    <t>Talitrus saltator</t>
  </si>
  <si>
    <t>Talitridae</t>
  </si>
  <si>
    <t>Talitrus</t>
  </si>
  <si>
    <t>saltator</t>
  </si>
  <si>
    <t>COLLECTED FROM BEACH PISA, ITALY</t>
  </si>
  <si>
    <t>10.1016/j.envpol.2008.11.038</t>
  </si>
  <si>
    <t xml:space="preserve"> DNUM/5//DOSES/1/5/10/15 ppm//TESTID/2//</t>
  </si>
  <si>
    <t xml:space="preserve">   DNUM/5//DOSES/1/5/10/15 ppm//TESTID/2//</t>
  </si>
  <si>
    <t>Ungherese,G., and A. Ugolini</t>
  </si>
  <si>
    <t>Sandhopper Solar Orientation as a Behavioural Biomarker of Trace Metals Contamination</t>
  </si>
  <si>
    <t>Environ. Pollut.157(4): 1360-1364</t>
  </si>
  <si>
    <t>Ungherese,G., and A. Ugolini (2009). Sandhopper Solar Orientation as a Behavioural Biomarker of Trace Metals Contamination. Environ. Pollut., 157, (4), 1360-1364. doi:10.1016/j.envpol.2008.11.038. ECOREF#:115864</t>
  </si>
  <si>
    <t xml:space="preserve"> CHAR/CL2CU.2H2O//DNUM/6//DOSES/81.9/102.4/128/160/200 mg/L//TESTID/7//OEF/MIXTURE////</t>
  </si>
  <si>
    <t xml:space="preserve">   CHAR/CL2CU.2H2O//DNUM/6//DOSES/81.9/102.4/128/160/200 mg/L//TESTID/7//OEF/MIXTURE////</t>
  </si>
  <si>
    <t xml:space="preserve"> DNUM/5//DOSES/400/800/1600/3200/6400 ug/L//</t>
  </si>
  <si>
    <t xml:space="preserve">   DNUM/5//DOSES/400/800/1600/3200/6400 ug/L//</t>
  </si>
  <si>
    <t xml:space="preserve"> DNUM/6//DOSES/80/160/320/640/1280 ug/L//TESTID/1//OEF/SURVEY//</t>
  </si>
  <si>
    <t xml:space="preserve">   DNUM/6//DOSES/80/160/320/640/1280 ug/L//TESTID/1//OEF/SURVEY//</t>
  </si>
  <si>
    <t>Homarus gammarus</t>
  </si>
  <si>
    <t>European Lobster</t>
  </si>
  <si>
    <t>gammarus</t>
  </si>
  <si>
    <t xml:space="preserve"> DNUM/5//DOSES/5/25/100/400/1600 ug/L//</t>
  </si>
  <si>
    <t xml:space="preserve">   DNUM/5//DOSES/5/25/100/400/1600 ug/L//</t>
  </si>
  <si>
    <t>Crangon sp.</t>
  </si>
  <si>
    <t>Caridean Shrimp</t>
  </si>
  <si>
    <t>61 MM</t>
  </si>
  <si>
    <t>10.1007/BF01225012</t>
  </si>
  <si>
    <t>Dinnel,P.A., J.M. Link, Q.J. Stober, M.W. Letourneau, and W.E. Roberts</t>
  </si>
  <si>
    <t>Comparative Sensitivity of Sea Urchin Sperm Bioassays to Metals and Pesticides</t>
  </si>
  <si>
    <t>Arch. Environ. Contam. Toxicol.18(5): 748-755</t>
  </si>
  <si>
    <t>Dinnel,P.A., J.M. Link, Q.J. Stober, M.W. Letourneau, and W.E. Roberts (1989). Comparative Sensitivity of Sea Urchin Sperm Bioassays to Metals and Pesticides. Arch. Environ. Contam. Toxicol., 18, (5), 748-755. doi:10.1007/BF01225012. ECOREF#:2264</t>
  </si>
  <si>
    <t>Hyale crassicornis</t>
  </si>
  <si>
    <t>Hyalidae</t>
  </si>
  <si>
    <t>Hyale</t>
  </si>
  <si>
    <t>crassicornis</t>
  </si>
  <si>
    <t xml:space="preserve"> DOSES/NA ug/L//TESTID/27//OEF/SPIKED SEDIMENT STUDY ALSO REPORTED, NO ENDPOINT////</t>
  </si>
  <si>
    <t xml:space="preserve">   DOSES/NA ug/L//TESTID/27//OEF/SPIKED SEDIMENT STUDY ALSO REPORTED, NO ENDPOINT////</t>
  </si>
  <si>
    <t xml:space="preserve"> DNUM/6//DOSES/0.00325 to 12.5 mg/L//TESTID/4//OEF/MIXTURE////</t>
  </si>
  <si>
    <t xml:space="preserve">   DNUM/6//DOSES/0.00325 to 12.5 mg/L//TESTID/4//OEF/MIXTURE////</t>
  </si>
  <si>
    <t>PL-12</t>
  </si>
  <si>
    <t>2 REPLICATES</t>
  </si>
  <si>
    <t>Rajkumar,J.S.I.</t>
  </si>
  <si>
    <t>Marine Organisms in Toxicological Approach for the Assessment of Environmental Risk Associated with Cd, Cu, Pb and Zn</t>
  </si>
  <si>
    <t>Univ. J. Environ. Res. Technol.2(2): 19-25</t>
  </si>
  <si>
    <t>Rajkumar,J.S.I. (2012). Marine Organisms in Toxicological Approach for the Assessment of Environmental Risk Associated with Cd, Cu, Pb and Zn. Univ. J. Environ. Res. Technol., 2, (2), 19-25. ECOREF#:169572</t>
  </si>
  <si>
    <t xml:space="preserve"> LIFESTG/LENGTH (POST ORBITAL MARGIN TO TELSON TIP)//TESTID/15//OEF/TEMPERATURE AND SALINITY EFCTS////</t>
  </si>
  <si>
    <t xml:space="preserve">   LIFESTG/LENGTH (POST ORBITAL MARGIN TO TELSON TIP)//TESTID/15//OEF/TEMPERATURE AND SALINITY EFCTS////</t>
  </si>
  <si>
    <t>4 REPLICATES, SPIRULINA FOOD, PAR LIGHT</t>
  </si>
  <si>
    <t>Metamysidopsis elongata</t>
  </si>
  <si>
    <t>elongata</t>
  </si>
  <si>
    <t>Salazar,M.H., and S.M. Salazar</t>
  </si>
  <si>
    <t>Acute Effects of (bis)Tributyltin Oxide on Marine Organisms</t>
  </si>
  <si>
    <t>Tech.Rep.No.1299, Naval Ocean Systems Ctr., San Diego, CA:87 p.</t>
  </si>
  <si>
    <t>Salazar,M.H., and S.M. Salazar (1989). Acute Effects of (bis)Tributyltin Oxide on Marine Organisms. Tech.Rep.No.1299, Naval Ocean Systems Ctr., San Diego, CA, 87 p. ECOREF#:17398</t>
  </si>
  <si>
    <t>2.5-3.0 CM</t>
  </si>
  <si>
    <t>10.1016/0166-445X(86)90056-1</t>
  </si>
  <si>
    <t>Bowmer,T., R.G.V. Boelens, B.F. Keegan, and J. O'Neill</t>
  </si>
  <si>
    <t>The Use of Marine Benthic 'Key' Species in Ecotoxicological Testing:  Amphiura filiformis (O.F.Muller) (Echinodermata:  Ophiuroidea)</t>
  </si>
  <si>
    <t>Aquat. Toxicol.8(2): 93-109</t>
  </si>
  <si>
    <t>Bowmer,T., R.G.V. Boelens, B.F. Keegan, and J. O'Neill (1986). The Use of Marine Benthic 'Key' Species in Ecotoxicological Testing:  Amphiura filiformis (O.F.Muller) (Echinodermata:  Ophiuroidea). Aquat. Toxicol., 8, (2), 93-109. doi:10.1016/0166-445X(86)90056-1. ECOREF#:11869</t>
  </si>
  <si>
    <t>Holmesimysis costata</t>
  </si>
  <si>
    <t>Holmesimysis</t>
  </si>
  <si>
    <t>costata</t>
  </si>
  <si>
    <t>1.3 CM</t>
  </si>
  <si>
    <t>Asato,S.L., and D.J. Reish</t>
  </si>
  <si>
    <t>The Effects of Heavy Metals on the Survival and Feeding of Holmesimysis costata (Crustacea:  Mysidacea)</t>
  </si>
  <si>
    <t>In: Proceedings of the 7th International Symposium on Marine Biology, California State University, Long Beach, CA:113-120</t>
  </si>
  <si>
    <t>Asato,S.L., and D.J. Reish (1988). The Effects of Heavy Metals on the Survival and Feeding of Holmesimysis costata (Crustacea:  Mysidacea). In: Proceedings of the 7th International Symposium on Marine Biology, California State University, Long Beach, CA, 113-120. ECOREF#:5416</t>
  </si>
  <si>
    <t>Instar</t>
  </si>
  <si>
    <t>Maja squinado</t>
  </si>
  <si>
    <t>Spider Crab</t>
  </si>
  <si>
    <t>Majidae</t>
  </si>
  <si>
    <t>Maja</t>
  </si>
  <si>
    <t>squinado</t>
  </si>
  <si>
    <t>General reagent grade</t>
  </si>
  <si>
    <t>1.2 CM</t>
  </si>
  <si>
    <t>10.1007/s00128-003-0132-z</t>
  </si>
  <si>
    <t xml:space="preserve"> DOSES/12 to 128 mg/L//TESTID/1//OEF/MIXTURE STUDIES////</t>
  </si>
  <si>
    <t>SOURCE/COMMERCIAL LABORATORY LOCATED CLOSE TO MAZATLAN, MEXICO//   DOSES/12 to 128 mg/L//TESTID/1//OEF/MIXTURE STUDIES////</t>
  </si>
  <si>
    <t>Frias-Espericueta,M.G., D. Voltolina, and J.I. Osuna-Lopez</t>
  </si>
  <si>
    <t>Acute Toxicity of Copper, Zinc, Iron, and Manganese and of the Mixtures Copper-Zinc and Iron-Manganese to Whiteleg Shrimp Litopenaeus vannamei Postlarvae</t>
  </si>
  <si>
    <t>Bull. Environ. Contam. Toxicol.71(1): 68-74</t>
  </si>
  <si>
    <t>Frias-Espericueta,M.G., D. Voltolina, and J.I. Osuna-Lopez (2003). Acute Toxicity of Copper, Zinc, Iron, and Manganese and of the Mixtures Copper-Zinc and Iron-Manganese to Whiteleg Shrimp Litopenaeus vannamei Postlarvae. Bull. Environ. Contam. Toxicol., 71, (1), 68-74. doi:10.1007/s00128-003-0132-z. ECOREF#:71692</t>
  </si>
  <si>
    <t xml:space="preserve"> DOSES/12 to 128 mg/L//TESTID/1//OEF/MIXTURE STUDIES//CONC/FROM GRAPH////</t>
  </si>
  <si>
    <t>SOURCE/COMMERCIAL LABORATORY LOCATED CLOSE TO MAZATLAN, MEXICO//   DOSES/12 to 128 mg/L//TESTID/1//OEF/MIXTURE STUDIES//CONC/FROM GRAPH////</t>
  </si>
  <si>
    <t>Neomysis integer</t>
  </si>
  <si>
    <t>Neomysis</t>
  </si>
  <si>
    <t>integer</t>
  </si>
  <si>
    <t>COPPER CHLORIDE, CUCL REPORTED/</t>
  </si>
  <si>
    <t>10.1016/S0166-445X(03)00061-4</t>
  </si>
  <si>
    <t xml:space="preserve"> CHAR/AS CU ION//DNUM/6//</t>
  </si>
  <si>
    <t xml:space="preserve">   CHAR/AS CU ION//DNUM/6//</t>
  </si>
  <si>
    <t>Verslycke,T., M. Vangheluwe, D. Heijerick, K. De Schamphelaere, P. Van Sprang, and C.R. Janssen</t>
  </si>
  <si>
    <t>The Toxicity of Metal Mixtures to the Estuarine Mysid Neomysis integer (Crustacea:  Mysidacea) Under Changing Salinity</t>
  </si>
  <si>
    <t>Aquat. Toxicol.64(3): 307-315</t>
  </si>
  <si>
    <t>Verslycke,T., M. Vangheluwe, D. Heijerick, K. De Schamphelaere, P. Van Sprang, and C.R. Janssen (2003). The Toxicity of Metal Mixtures to the Estuarine Mysid Neomysis integer (Crustacea:  Mysidacea) Under Changing Salinity. Aquat. Toxicol., 64, (3), 307-315. doi:10.1016/S0166-445X(03)00061-4. ECOREF#:75445</t>
  </si>
  <si>
    <t>MSMT/24,48 ANFD 72 HOUR ALSO REPORTED//</t>
  </si>
  <si>
    <t xml:space="preserve"> DOSES/12 to 128 mg/L//</t>
  </si>
  <si>
    <t>SOURCE/COMMERCIAL LABORATORY LOCATED CLOSE TO MAZATLAN, MEXICO//   DOSES/12 to 128 mg/L//</t>
  </si>
  <si>
    <t>OVIGEROUS, FEMALE, 4-6 CM, 1-1.5 G</t>
  </si>
  <si>
    <t>TEST 2</t>
  </si>
  <si>
    <t xml:space="preserve"> DNUM/6-8//DOSES/NA mg/L//TESTID/7//</t>
  </si>
  <si>
    <t xml:space="preserve">   DNUM/6-8//DOSES/NA mg/L//TESTID/7//</t>
  </si>
  <si>
    <t>4 REPLICATES, CAROPHYLL FOOD, PAR LIGHT</t>
  </si>
  <si>
    <t>Hyale longicornis</t>
  </si>
  <si>
    <t>longicornis</t>
  </si>
  <si>
    <t xml:space="preserve"> DOSES/NA ug/L//TESTID/26//OEF/SPIKED SEDIMENT STUDY ALSO REPORTED, NO ENDPOINT////</t>
  </si>
  <si>
    <t xml:space="preserve">   DOSES/NA ug/L//TESTID/26//OEF/SPIKED SEDIMENT STUDY ALSO REPORTED, NO ENDPOINT////</t>
  </si>
  <si>
    <t>4 REPLICATES, SPIRULINA FOOD, LONG UV LIGHT</t>
  </si>
  <si>
    <t>4 REPLICATES, HAEMATOCOCCUS FOOD,  SHORT UV LIGHT</t>
  </si>
  <si>
    <t>Emerita analoga</t>
  </si>
  <si>
    <t>Pacific Sand Crab</t>
  </si>
  <si>
    <t>Hippidae</t>
  </si>
  <si>
    <t>Emerita</t>
  </si>
  <si>
    <t>analoga</t>
  </si>
  <si>
    <t>Sexually immature</t>
  </si>
  <si>
    <t>8-10 MM</t>
  </si>
  <si>
    <t>10.1007/s00128-002-0075-9</t>
  </si>
  <si>
    <t xml:space="preserve"> ORG C/0.49% OM//TESTID/1//MSMT/NR//DOSES/0.5/0.75/1.0/2.0/4.0/6.0/10.0 PPM//SOURCE/WLD//WTINT/0.1 G//DNUM/8//SEX/NR//TMETH/ASTM//STYPE/ACUTE//ETIME/10 D//AP RATE/NR//SAMPN/10//WTAT/NR//INTAKE/NR//COMPEP/NR//LD/NR//DW/NR//STST/NR//HMA/NR//NA/NR//CL/NR//DIC/NR//CA/NR//POT/NR//MG/NR//SO4/NR//SULF/NR// </t>
  </si>
  <si>
    <t xml:space="preserve">   ORG C/0.49% OM//TESTID/1//MSMT/NR//DOSES/0.5/0.75/1.0/2.0/4.0/6.0/10.0 PPM//SOURCE/WLD//WTINT/0.1 G//DNUM/8//SEX/NR//TMETH/ASTM//STYPE/ACUTE//ETIME/10 D//AP RATE/NR//SAMPN/10//WTAT/NR//INTAKE/NR//COMPEP/NR//LD/NR//DW/NR//STST/NR//HMA/NR//NA/NR//CL/NR//DIC/NR//CA/NR//POT/NR//MG/NR//SO4/NR//SULF/NR// </t>
  </si>
  <si>
    <t>Valdovinos,C., and M. Zuniga</t>
  </si>
  <si>
    <t>Copper Acute Toxicity Tests with the Sand Crab Emerita analoga (Decapoda: Hippidae):  A Biomonitor of Heavy Metal Pollution in Chilean Coastal Seawater?</t>
  </si>
  <si>
    <t>Bull. Environ. Contam. Toxicol.69(3): 393-400</t>
  </si>
  <si>
    <t>Valdovinos,C., and M. Zuniga (2002). Copper Acute Toxicity Tests with the Sand Crab Emerita analoga (Decapoda: Hippidae):  A Biomonitor of Heavy Metal Pollution in Chilean Coastal Seawater?. Bull. Environ. Contam. Toxicol., 69, (3), 393-400. doi:10.1007/s00128-002-0075-9. ECOREF#:77856</t>
  </si>
  <si>
    <t>OVIGEROUS</t>
  </si>
  <si>
    <t xml:space="preserve"> DNUM/5//DOSES/100/400/1600/6400 ug/L//</t>
  </si>
  <si>
    <t xml:space="preserve">   DNUM/5//DOSES/100/400/1600/6400 ug/L//</t>
  </si>
  <si>
    <t>MSMT/MEAN OF THREE TESTS//</t>
  </si>
  <si>
    <t xml:space="preserve"> DNUM/13//DOSES/&gt;=10 to &lt;=10000 ug/L//</t>
  </si>
  <si>
    <t xml:space="preserve">   DNUM/13//DOSES/&gt;=10 to &lt;=10000 ug/L//</t>
  </si>
  <si>
    <t>4 REPLICATES, CAROPHYLL FOOD,  LONG UV LIGHT</t>
  </si>
  <si>
    <t>Dinnel,P.A., Q.J. Stober, J.M. Link, M.W. Letourneau, W.E. Roberts, S.P. Felton, and R.E. Nakatani</t>
  </si>
  <si>
    <t>Methodology and Validation of a Sperm Cell Toxicity Test for Testing Toxic Substances in Marine Waters</t>
  </si>
  <si>
    <t>Final Rep.FRI-UW-8306, Fish.Res.Inst., Schl.of Fish., Univ.of Washington, Seattle, WA:208 p.</t>
  </si>
  <si>
    <t>Dinnel,P.A., Q.J. Stober, J.M. Link, M.W. Letourneau, W.E. Roberts, S.P. Felton, and R.E. Nakatani (1983). Methodology and Validation of a Sperm Cell Toxicity Test for Testing Toxic Substances in Marine Waters. Final Rep.FRI-UW-8306, Fish.Res.Inst., Schl.of Fish., Univ.of Washington, Seattle, WA, 208 p. ECOREF#:3752</t>
  </si>
  <si>
    <t>TEST 1</t>
  </si>
  <si>
    <t xml:space="preserve"> DNUM/6-8//DOSES/NA mg/L//TESTID/6//</t>
  </si>
  <si>
    <t xml:space="preserve">   DNUM/6-8//DOSES/NA mg/L//TESTID/6//</t>
  </si>
  <si>
    <t xml:space="preserve"> DNUM/6//DOSES/0.00325 to 12.5 mg/L//TESTID/1//OEF/MIXTURE////</t>
  </si>
  <si>
    <t xml:space="preserve">   DNUM/6//DOSES/0.00325 to 12.5 mg/L//TESTID/1//OEF/MIXTURE////</t>
  </si>
  <si>
    <t>Melita awa</t>
  </si>
  <si>
    <t>awa</t>
  </si>
  <si>
    <t xml:space="preserve"> DOSES/NA ug/L//TESTID/25//OEF/SPIKED SEDIMENT STUDY ALSO REPORTED, NO ENDPOINT////</t>
  </si>
  <si>
    <t xml:space="preserve">   DOSES/NA ug/L//TESTID/25//OEF/SPIKED SEDIMENT STUDY ALSO REPORTED, NO ENDPOINT////</t>
  </si>
  <si>
    <t>TEST 5</t>
  </si>
  <si>
    <t xml:space="preserve"> DNUM/6-8//DOSES/NA mg/L//TESTID/10//</t>
  </si>
  <si>
    <t xml:space="preserve">   DNUM/6-8//DOSES/NA mg/L//TESTID/10//</t>
  </si>
  <si>
    <t>4 REPLICATES, SPIRULINA FOOD, SHORT UV LIGHT</t>
  </si>
  <si>
    <t xml:space="preserve"> LIFESTG/LENGTH (POST ORBITAL MARGIN TO TELSON TIP)//TESTID/18//OEF/TEMPERATURE AND SALINITY EFCTS////</t>
  </si>
  <si>
    <t xml:space="preserve">   LIFESTG/LENGTH (POST ORBITAL MARGIN TO TELSON TIP)//TESTID/18//OEF/TEMPERATURE AND SALINITY EFCTS////</t>
  </si>
  <si>
    <t>4 REPLICATES, TORULA YEAST AND ISOCRYSIS FOOD,  LONG UV LIGHT</t>
  </si>
  <si>
    <t>Cancer magister</t>
  </si>
  <si>
    <t>Dungeness Or Edible Crab</t>
  </si>
  <si>
    <t>magister</t>
  </si>
  <si>
    <t>4 REPLICATES, TORULA YEAST AND ISOCRYSIS FOOD, PAR LIGHT</t>
  </si>
  <si>
    <t>ORGANISM AGE</t>
  </si>
  <si>
    <t>Hunt,J.W., B.S. Anderson, S.L. Turpen, A.R. Coulon, M. Martin, F.H. Palmer, and J.J. Janik</t>
  </si>
  <si>
    <t>Marine Bioassay Project.  4th Report.  Experimental Evaluation of Effluent Toxicity Testing Protocols with Giant Kelp, Mysids, Red Abalone, and Topsmelt</t>
  </si>
  <si>
    <t>No.89-5WQ, State Water Resources Control Board, State of California, Sacramento, CA:144-</t>
  </si>
  <si>
    <t>Hunt,J.W., B.S. Anderson, S.L. Turpen, A.R. Coulon, M. Martin, F.H. Palmer, and J.J. Janik (1989). Marine Bioassay Project.  4th Report.  Experimental Evaluation of Effluent Toxicity Testing Protocols with Giant Kelp, Mysids, Red Abalone, and Topsmelt. No.89-5WQ, State Water Resources Control Board, State of California, Sacramento, CA, 144-. ECOREF#:19130</t>
  </si>
  <si>
    <t>4 REPLICATES, HAEMATOCOCCUS FOOD, PAR LIGHT</t>
  </si>
  <si>
    <t>10.1007/s00244-007-9010-8</t>
  </si>
  <si>
    <t xml:space="preserve"> CHAR/CUCL2.2H2O//CA/125 to 127.0 mg/L//MG/326 to 328 mg/L//NA/2840 to 2900 mg/L//POT/131 to 135 mg/L//SO4/820 to 825 mg/L//CL/5870 to 5910 mg/L//DNUM/7//DOSES/28/46/72/114/180/284 ug/L//TESTID/6//OEF/SALINITY, DISSOLVED ORGANIC CARBON EFCTS////</t>
  </si>
  <si>
    <t xml:space="preserve">   CHAR/CUCL2.2H2O//CA/125 to 127.0 mg/L//MG/326 to 328 mg/L//NA/2840 to 2900 mg/L//POT/131 to 135 mg/L//SO4/820 to 825 mg/L//CL/5870 to 5910 mg/L//DNUM/7//DOSES/28/46/72/114/180/284 ug/L//TESTID/6//OEF/SALINITY, DISSOLVED ORGANIC CARBON EFCTS////</t>
  </si>
  <si>
    <t>Hall,L.W.,Jr., R.D. Anderson, B.L. Lewis, and W.R. Arnold</t>
  </si>
  <si>
    <t>The Influence of Salinity and Dissolved Organic Carbon on the Toxicity of Copper to the Estuarine Copepod, Eurytemora affinis</t>
  </si>
  <si>
    <t>Arch. Environ. Contam. Toxicol.54(1): 44-56</t>
  </si>
  <si>
    <t>Hall,L.W.,Jr., R.D. Anderson, B.L. Lewis, and W.R. Arnold (2008). The Influence of Salinity and Dissolved Organic Carbon on the Toxicity of Copper to the Estuarine Copepod, Eurytemora affinis. Arch. Environ. Contam. Toxicol., 54, (1), 44-56. doi:10.1007/s00244-007-9010-8. ECOREF#:107036</t>
  </si>
  <si>
    <t>DRY WT, 0.80 MM, COPEPODITE AND ADULT</t>
  </si>
  <si>
    <t>CUCL2.2H2O</t>
  </si>
  <si>
    <t>10.1002/etc.2197</t>
  </si>
  <si>
    <t>Multiple entries</t>
  </si>
  <si>
    <t>2 REPLICATES, HIGH SUWANNEE RIVER FILUVIC ACID</t>
  </si>
  <si>
    <t>mmol/L CaCO3</t>
  </si>
  <si>
    <t>mmol/L</t>
  </si>
  <si>
    <t xml:space="preserve">CONTR/C,O,O=NO DISSOLVED ORGANIC MATTER//  CONC1/FROM GRAPH// </t>
  </si>
  <si>
    <t>Monteiro,S.C.R., G.L.L. Pinho, K. Hoffmann, I.F. Barcarolli, and A. Bianchini</t>
  </si>
  <si>
    <t>Acute Waterborne Copper Toxicity to the Euryhaline Copepod Acartia tonsa at Different Salinities:  Influence of Natural Freshwater and Marine Dissolved Organic Matter</t>
  </si>
  <si>
    <t>Environ. Toxicol. Chem.32(6): 1412-1419</t>
  </si>
  <si>
    <t>Monteiro,S.C.R., G.L.L. Pinho, K. Hoffmann, I.F. Barcarolli, and A. Bianchini (2013). Acute Waterborne Copper Toxicity to the Euryhaline Copepod Acartia tonsa at Different Salinities:  Influence of Natural Freshwater and Marine Dissolved Organic Matter. Environ. Toxicol. Chem., 32, (6), 1412-1419. doi:10.1002/etc.2197. ECOREF#:166133</t>
  </si>
  <si>
    <t>Corophium sp.</t>
  </si>
  <si>
    <t>Euryhaline Amphipod</t>
  </si>
  <si>
    <t>10.1007/s002449900282</t>
  </si>
  <si>
    <t>umhos/cm</t>
  </si>
  <si>
    <t>Hyne,R.V., and D.A. Everett</t>
  </si>
  <si>
    <t>Application of a Benthic Euryhaline Amphipod, Corophium sp., as a Sediment Toxicity Testing Organism for Both Freshwater and Estuarine Systems</t>
  </si>
  <si>
    <t>Arch. Environ. Contam. Toxicol.34(1): 26-33</t>
  </si>
  <si>
    <t>Hyne,R.V., and D.A. Everett (1998). Application of a Benthic Euryhaline Amphipod, Corophium sp., as a Sediment Toxicity Testing Organism for Both Freshwater and Estuarine Systems. Arch. Environ. Contam. Toxicol., 34, (1), 26-33. doi:10.1007/s002449900282. ECOREF#:19001</t>
  </si>
  <si>
    <t>2 REPLICATES, MEDIUM BEFORE NAVEGANTES PUBLIC SEWAGE TREATMENT</t>
  </si>
  <si>
    <t>10.1016/S0045-6535(97)00207-5</t>
  </si>
  <si>
    <t>Hall,L.W.,Jr., R.D. Anderson, J.V. Kilian, B.L. Lewis, and K. Traexler</t>
  </si>
  <si>
    <t>Acute and Chronic Toxicity of Copper to the Estuarine Copepod Eurytemora affinis: Influence of Organic Complexation and Speciation</t>
  </si>
  <si>
    <t>Chemosphere35(7): 1567-1597</t>
  </si>
  <si>
    <t>Hall,L.W.,Jr., R.D. Anderson, J.V. Kilian, B.L. Lewis, and K. Traexler (1997). Acute and Chronic Toxicity of Copper to the Estuarine Copepod Eurytemora affinis: Influence of Organic Complexation and Speciation. Chemosphere, 35, (7), 1567-1597. doi:10.1016/S0045-6535(97)00207-5. ECOREF#:18395</t>
  </si>
  <si>
    <t xml:space="preserve"> CHAR/CUCL2.2H2O//CA/109 to 116 mg/L//MG/356 to 385 mg/L//NA/2880 to 3200 mg/L//POT/108 to 120 mg/L//SO4/524 to 825 mg/L//CL/6020 to 7050 mg/L//DNUM/7//DOSES/28/42/66/100/152/232 ug/L//TESTID/5//OEF/SALINITY, DISSOLVED ORGANIC CARBON EFCTS////</t>
  </si>
  <si>
    <t xml:space="preserve">   CHAR/CUCL2.2H2O//CA/109 to 116 mg/L//MG/356 to 385 mg/L//NA/2880 to 3200 mg/L//POT/108 to 120 mg/L//SO4/524 to 825 mg/L//CL/6020 to 7050 mg/L//DNUM/7//DOSES/28/42/66/100/152/232 ug/L//TESTID/5//OEF/SALINITY, DISSOLVED ORGANIC CARBON EFCTS////</t>
  </si>
  <si>
    <t>2 REPLICATES, LOW SUWANNEE RIVER FILUVIC ACID</t>
  </si>
  <si>
    <t>Pro analysis grade, pro analysis quality, p.a. grade</t>
  </si>
  <si>
    <t>Swedish Standard</t>
  </si>
  <si>
    <t>CUCL2-2H2O</t>
  </si>
  <si>
    <t>10.1016/j.scitotenv.2010.02.036</t>
  </si>
  <si>
    <t>3 REPLICATES, UNMEASURED TEST CONCENTRATIONS REPORTED</t>
  </si>
  <si>
    <t>Ytreberg,E., J. Karlsson, and B. Eklund</t>
  </si>
  <si>
    <t>Comparison of Toxicity and Release Rates of Cu and Zn from Anti-Fouling Paints Leached in Natural and Artificial Brackish Seawater</t>
  </si>
  <si>
    <t>Sci. Total Environ.408(12): 2459-2466</t>
  </si>
  <si>
    <t>Ytreberg,E., J. Karlsson, and B. Eklund (2010). Comparison of Toxicity and Release Rates of Cu and Zn from Anti-Fouling Paints Leached in Natural and Artificial Brackish Seawater. Sci. Total Environ., 408, (12), 2459-2466. doi:10.1016/j.scitotenv.2010.02.036. ECOREF#:169337</t>
  </si>
  <si>
    <t>2 REPLICATES, LOW AFTER NAVEGANTES PUBLIC SEWAGE TREATMENT</t>
  </si>
  <si>
    <t>2 REPLICATES, EXPERIMENTAL MEDIA</t>
  </si>
  <si>
    <t xml:space="preserve">CONTR/C,O,O=NO DISSOLVED ORGANIC MATTER//   </t>
  </si>
  <si>
    <t>American Society for Testing and Materials</t>
  </si>
  <si>
    <t>10.1016/0166-445X(85)90034-7</t>
  </si>
  <si>
    <t>IN EXPOSURE CUPS, FOUR TOXICANT CONCENTRATIONS AND CONTROL, ACUTE TEST</t>
  </si>
  <si>
    <t xml:space="preserve">SOURCE/FROM US EPA-ENVIRONMENTAL RESEARCH LABORATORY CULTURES, NARRAGANSETT, RHODE ISLAND, ORIGINALLY FROM US EPA-ENVIRONMENTAL RESEARCH LABORATORY CULTURES, GULF BREEZE, FLORIDA//TMETH/1980, E729-80//MEDIA/NATURAL SEA WATER//   </t>
  </si>
  <si>
    <t>Lussier,S.M., J.H. Gentile, and J. Walker</t>
  </si>
  <si>
    <t>Acute and Chronic Effects of Heavy Metals and Cyanide on Mysidopsis bahia (Crustacea:  Mysidacea)</t>
  </si>
  <si>
    <t>Aquat. Toxicol.7(1/2): 25-35</t>
  </si>
  <si>
    <t>Lussier,S.M., J.H. Gentile, and J. Walker (1985). Acute and Chronic Effects of Heavy Metals and Cyanide on Mysidopsis bahia (Crustacea:  Mysidacea). Aquat. Toxicol., 7, (1/2), 25-35. doi:10.1016/0166-445X(85)90034-7. ECOREF#:11331</t>
  </si>
  <si>
    <t>2 REPLICATES, NORTH BRAZIL ATLANTIC WATER</t>
  </si>
  <si>
    <t>2 REPLICATES, LOW BEFORE NAVEGANTES PUBLIC SEWAGE TREATMENT</t>
  </si>
  <si>
    <t xml:space="preserve"> CHAR/CUCL2.2H2O//CA/60.9 to 63.7 mg/L//MG/171 to 179 mg/L//NA/1440 to 1520 mg/L//POT/61.1 to 64.2 mg/L//SO4/397 to 408 mg/L//CL/2910 to 3400 mg/L//DNUM/7//DOSES/28/46/72/114/180/284 ug/L//TESTID/2//OEF/SALINITY, DISSOLVED ORGANIC CARBON EFCTS////</t>
  </si>
  <si>
    <t xml:space="preserve">   CHAR/CUCL2.2H2O//CA/60.9 to 63.7 mg/L//MG/171 to 179 mg/L//NA/1440 to 1520 mg/L//POT/61.1 to 64.2 mg/L//SO4/397 to 408 mg/L//CL/2910 to 3400 mg/L//DNUM/7//DOSES/28/46/72/114/180/284 ug/L//TESTID/2//OEF/SALINITY, DISSOLVED ORGANIC CARBON EFCTS////</t>
  </si>
  <si>
    <t>2 REPLICATES, SOUTH BRAZIL ATLANTIC WATER</t>
  </si>
  <si>
    <t>2 REPLICATES, HIGH AFTER NAVEGANTES PUBLIC SEWAGE TREATMENT</t>
  </si>
  <si>
    <t>Callinectes sapidus</t>
  </si>
  <si>
    <t>Blue Crab</t>
  </si>
  <si>
    <t>Callinectes</t>
  </si>
  <si>
    <t>sapidus</t>
  </si>
  <si>
    <t>43.4 MM</t>
  </si>
  <si>
    <t>Labile</t>
  </si>
  <si>
    <t>10.1016/j.aquatox.2010.09.005</t>
  </si>
  <si>
    <t xml:space="preserve">CONC1/ALSO REPORTED AS NOMINAL AND COPPER ACTIVITY CONCENTRATIONS//CONC2/ALSO REPORTED AS NOMINAL AND COPPER ACTIVITY CONCENTRATIONS//CONC3/ALSO REPORTED AS NOMINAL AND COPPER ACTIVITY CONCENTRATIONS// </t>
  </si>
  <si>
    <t xml:space="preserve">  CONC1/ALSO REPORTED AS NOMINAL AND COPPER ACTIVITY CONCENTRATIONS//CONC2/ALSO REPORTED AS NOMINAL AND COPPER ACTIVITY CONCENTRATIONS//CONC3/ALSO REPORTED AS NOMINAL AND COPPER ACTIVITY CONCENTRATIONS// </t>
  </si>
  <si>
    <t>Martins,C.M.G., I.F. Barcarolli, E.J. De Menezes, M.M. Giacomin, C.M. Wood, and A. Bianchini</t>
  </si>
  <si>
    <t>Acute Toxicity, Accumulation and Tissue Distribution of Copper in the Blue Crab Callinectes sapidus Acclimated to Different Salinities:  In Vivo and In Vitro Studies</t>
  </si>
  <si>
    <t>Aquat. Toxicol.101(1): 88-99</t>
  </si>
  <si>
    <t>Martins,C.M.G., I.F. Barcarolli, E.J. De Menezes, M.M. Giacomin, C.M. Wood, and A. Bianchini (2011). Acute Toxicity, Accumulation and Tissue Distribution of Copper in the Blue Crab Callinectes sapidus Acclimated to Different Salinities:  In Vivo and In Vitro Studies. Aquat. Toxicol., 101, (1), 88-99. doi:10.1016/j.aquatox.2010.09.005. ECOREF#:156036</t>
  </si>
  <si>
    <t xml:space="preserve"> CHAR/CUCL2.2H2O//CA/118 to 130 mg/L//MG/351 to 385 mg/L//NA/2980 to 3230 mg/L//POT/143 to 159 mg/L//SO4/828 to 928 mg/L//CL/5960 to 6150 mg/L//DNUM/7//DOSES/42/66/100/152/232/354 ug/L//TESTID/7//OEF/SALINITY, DISSOLVED ORGANIC CARBON EFCTS////</t>
  </si>
  <si>
    <t xml:space="preserve">   CHAR/CUCL2.2H2O//CA/118 to 130 mg/L//MG/351 to 385 mg/L//NA/2980 to 3230 mg/L//POT/143 to 159 mg/L//SO4/828 to 928 mg/L//CL/5960 to 6150 mg/L//DNUM/7//DOSES/42/66/100/152/232/354 ug/L//TESTID/7//OEF/SALINITY, DISSOLVED ORGANIC CARBON EFCTS////</t>
  </si>
  <si>
    <t>CUPRIC CHLORIDE</t>
  </si>
  <si>
    <t xml:space="preserve"> DNUM/2//DOSES/500/800/1000/1200/1500 ug/L//TESTID/8//</t>
  </si>
  <si>
    <t xml:space="preserve">   DNUM/2//DOSES/500/800/1000/1200/1500 ug/L//TESTID/8//</t>
  </si>
  <si>
    <t>2 REPLICATES, HIGH BEFORE NAVEGANTES PUBLIC SEWAGE TREATMENT</t>
  </si>
  <si>
    <t>Farfantepenaeus duorarum</t>
  </si>
  <si>
    <t>Northern Pink Shrimp</t>
  </si>
  <si>
    <t>Farfantepenaeus</t>
  </si>
  <si>
    <t>duorarum</t>
  </si>
  <si>
    <t>Pure</t>
  </si>
  <si>
    <t xml:space="preserve">CAS #: 112276 | Chem Name: 2,2'-[1,2-Ethanediylbis(oxy)]bisethanol | Chem Grade: NR | Chem Formulation: NR | Chem Radiolabel: NR | Chem Characteristics: 90 % | Chem Purity: NR |  | CAS #: 67641 | Chem Name: Propan-2-one | Chem Grade: NR | Chem Formulation: NR | Chem Radiolabel: NR | Chem Characteristics: 10 % | Chem Purity: NR | </t>
  </si>
  <si>
    <t>10.1002/etc.5620131119</t>
  </si>
  <si>
    <t>Cripe,G.M.</t>
  </si>
  <si>
    <t>Comparative Acute Toxicities of Several Pesticides and Metals to Mysidopsis bahia and Postlarval Penaeus duorarum</t>
  </si>
  <si>
    <t>Environ. Toxicol. Chem.13(11): 1867-1872</t>
  </si>
  <si>
    <t>Cripe,G.M. (1994). Comparative Acute Toxicities of Several Pesticides and Metals to Mysidopsis bahia and Postlarval Penaeus duorarum. Environ. Toxicol. Chem., 13, (11), 1867-1872. doi:10.1002/etc.5620131119. ECOREF#:13513</t>
  </si>
  <si>
    <t>2 REPLICATES, MEDIUM SUWANNEE RIVER FILUVIC ACID</t>
  </si>
  <si>
    <t xml:space="preserve"> CHAR/CUCL2.2H2O//CA/275 to 284 mg/L//MG/793 to 855 mg/L//NA/7800 to 7820 mg/L//POT/340 to 370 mg/L//SO4/1810 to 1840 mg/L//CL/16264 to 16305 mg/L//DNUM/7//DOSES/28/46/72/114/180/284 ug/L//TESTID/4//OEF/SALINITY, DISSOLVED ORGANIC CARBON EFCTS////</t>
  </si>
  <si>
    <t xml:space="preserve">   CHAR/CUCL2.2H2O//CA/275 to 284 mg/L//MG/793 to 855 mg/L//NA/7800 to 7820 mg/L//POT/340 to 370 mg/L//SO4/1810 to 1840 mg/L//CL/16264 to 16305 mg/L//DNUM/7//DOSES/28/46/72/114/180/284 ug/L//TESTID/4//OEF/SALINITY, DISSOLVED ORGANIC CARBON EFCTS////</t>
  </si>
  <si>
    <t>2 REPLICATES, MEDIUM AFTER NAVEGANTES PUBLIC SEWAGE TREATMENT</t>
  </si>
  <si>
    <t xml:space="preserve"> CHAR/CUCL2.2H2O//CA/124 to 130 mg/L//MG/367 to 383 mg/L//NA/3130 to 3390 mg/L//POT/153 to 165 mg/L//SO4/806 to 917 mg/L//CL/6280 to 6360 mg/L//DNUM/7//DOSES/42/66/100/152/232/354 ug/L//TESTID/8//OEF/SALINITY, DISSOLVED ORGANIC CARBON EFCTS////</t>
  </si>
  <si>
    <t xml:space="preserve">   CHAR/CUCL2.2H2O//CA/124 to 130 mg/L//MG/367 to 383 mg/L//NA/3130 to 3390 mg/L//POT/153 to 165 mg/L//SO4/806 to 917 mg/L//CL/6280 to 6360 mg/L//DNUM/7//DOSES/42/66/100/152/232/354 ug/L//TESTID/8//OEF/SALINITY, DISSOLVED ORGANIC CARBON EFCTS////</t>
  </si>
  <si>
    <t xml:space="preserve"> CHAR/CUCL2.2H2O//CA/173 to 206 mg/L//MG/470 to 553 mg/L//NA/4090 to 4700 mg/L//POT/199 to 206 mg/L//SO4/1120 to 1170 mg/L//CL/8584 to 9847 mg/L//DNUM/7//DOSES/28/46/72/114/180/284 ug/L//TESTID/3//OEF/SALINITY, DISSOLVED ORGANIC CARBON EFCTS////</t>
  </si>
  <si>
    <t xml:space="preserve">   CHAR/CUCL2.2H2O//CA/173 to 206 mg/L//MG/470 to 553 mg/L//NA/4090 to 4700 mg/L//POT/199 to 206 mg/L//SO4/1120 to 1170 mg/L//CL/8584 to 9847 mg/L//DNUM/7//DOSES/28/46/72/114/180/284 ug/L//TESTID/3//OEF/SALINITY, DISSOLVED ORGANIC CARBON EFCTS////</t>
  </si>
  <si>
    <t>Mercury chloride (HgCl2)</t>
  </si>
  <si>
    <t>AR</t>
  </si>
  <si>
    <t>10.1016/0044-8486(85)90113-9</t>
  </si>
  <si>
    <t>Piyan,B.T., A.T. Law, and S.H. Cheah</t>
  </si>
  <si>
    <t>Toxic Levels of Mercury for Sequential Larval Stages of Macrobrachium rosenbergii (De Man)</t>
  </si>
  <si>
    <t>Aquaculture (Amst.)46(4): 353-359</t>
  </si>
  <si>
    <t>Piyan,B.T., A.T. Law, and S.H. Cheah (1985). Toxic Levels of Mercury for Sequential Larval Stages of Macrobrachium rosenbergii (De Man). Aquaculture (Amst.), 46, (4), 353-359. doi:10.1016/0044-8486(85)90113-9. ECOREF#:12953</t>
  </si>
  <si>
    <t>Petrolisthes armatus</t>
  </si>
  <si>
    <t>Porcelain Crab</t>
  </si>
  <si>
    <t>Porcellanidae</t>
  </si>
  <si>
    <t>Petrolisthes</t>
  </si>
  <si>
    <t>armatus</t>
  </si>
  <si>
    <t>10.1007/BF00391946</t>
  </si>
  <si>
    <t>USED INSTANT OCEAN</t>
  </si>
  <si>
    <t xml:space="preserve"> CONTR/10% MORTALITY//</t>
  </si>
  <si>
    <t xml:space="preserve">   CONTR/10% MORTALITY//</t>
  </si>
  <si>
    <t>Roesijadi,G., S.R. Petrocelli, J.W. Anderson, B.J. Presley, and R. Sims</t>
  </si>
  <si>
    <t>Survival and Chloride Ion Regulation of the Porcelain Crab Petrolisthes armatus Exposed to Mercury</t>
  </si>
  <si>
    <t>Mar. Biol. (Multiple Languages)27:213-217</t>
  </si>
  <si>
    <t>Roesijadi,G., S.R. Petrocelli, J.W. Anderson, B.J. Presley, and R. Sims (1974). Survival and Chloride Ion Regulation of the Porcelain Crab Petrolisthes armatus Exposed to Mercury. Mar. Biol. (Multiple Languages), 27, 213-217. doi:10.1007/BF00391946. ECOREF#:8436</t>
  </si>
  <si>
    <t>35-55 MM TL, INTERMOULT</t>
  </si>
  <si>
    <t xml:space="preserve">SOURCE/SOUTHERN SIDE OF RUSHIKULYA ESTUARY, ORISSA, INDIA//   </t>
  </si>
  <si>
    <t>Das,S., and B.K. Sahu</t>
  </si>
  <si>
    <t>Toxicity of Hg (II) to Prawns Penaeus monodon and Penaeus indicus (Crustacea: Penaeidae) from Rushikulya Estuary, Bay of Bengal</t>
  </si>
  <si>
    <t>Indian J. Mar. Sci.31(4): 337-339</t>
  </si>
  <si>
    <t>Das,S., and B.K. Sahu (2002). Toxicity of Hg (II) to Prawns Penaeus monodon and Penaeus indicus (Crustacea: Penaeidae) from Rushikulya Estuary, Bay of Bengal. Indian J. Mar. Sci., 31, (4), 337-339. ECOREF#:172254</t>
  </si>
  <si>
    <t>10.1007/BF00387110</t>
  </si>
  <si>
    <t>TRACE ELEMENTS:CD, CU, ZN, PB &lt;1UG/L</t>
  </si>
  <si>
    <t>Glickstein,N.</t>
  </si>
  <si>
    <t>Acute Toxicity of Mercury and Selenium to Crassostrea gigas Embryos and Cancer magister Larvae</t>
  </si>
  <si>
    <t>Mar. Biol. (Multiple Languages)49(2): 113-117</t>
  </si>
  <si>
    <t>Glickstein,N. (1978). Acute Toxicity of Mercury and Selenium to Crassostrea gigas Embryos and Cancer magister Larvae. Mar. Biol. (Multiple Languages), 49, (2), 113-117. doi:10.1007/BF00387110. ECOREF#:5603</t>
  </si>
  <si>
    <t>MERCURY CHLORIDE (HGCL2)</t>
  </si>
  <si>
    <t xml:space="preserve"> DNUM/6//DOSES/0.00325 to 12.5 mg/L//TESTID/6//OEF/MIXTURE////</t>
  </si>
  <si>
    <t xml:space="preserve">   DNUM/6//DOSES/0.00325 to 12.5 mg/L//TESTID/6//OEF/MIXTURE////</t>
  </si>
  <si>
    <t>MERCURIC CHLORIDE</t>
  </si>
  <si>
    <t xml:space="preserve"> LIFESTG/LENGTH (POST ORBITAL MARGIN TO TELSON TIP)//TESTID/4//OEF/TEMPERATURE AND SALINITY EFCTS////</t>
  </si>
  <si>
    <t xml:space="preserve">   LIFESTG/LENGTH (POST ORBITAL MARGIN TO TELSON TIP)//TESTID/4//OEF/TEMPERATURE AND SALINITY EFCTS////</t>
  </si>
  <si>
    <t>Euchaeta marina</t>
  </si>
  <si>
    <t>Euchaetidae</t>
  </si>
  <si>
    <t>Euchaeta</t>
  </si>
  <si>
    <t>marina</t>
  </si>
  <si>
    <t>5-7</t>
  </si>
  <si>
    <t>CONTROL EXPERIMENTAL ECOSYSTEMS</t>
  </si>
  <si>
    <t xml:space="preserve"> TESTID/27//MSMT/NR//DOSES/NR//SOURCE/WLD//WTINT/48.8 UG CARBON BIOMASS//DNUM/5-7//SEX/NR//TMETH/NR//STYPE/ACUTE//ETIME/24 H//AP RATE/NR//SAMPN/NR//WTAT/NR//INTAKE/NR//COMPEP/NR//LD/NR//DW/NR//STST/NR//HMA/NR//NA/NR//CL/NR//DIC/NR//CA/NR//POT/NR//MG/NR//SO4/NR//SULF/NR//</t>
  </si>
  <si>
    <t xml:space="preserve">   TESTID/27//MSMT/NR//DOSES/NR//SOURCE/WLD//WTINT/48.8 UG CARBON BIOMASS//DNUM/5-7//SEX/NR//TMETH/NR//STYPE/ACUTE//ETIME/24 H//AP RATE/NR//SAMPN/NR//WTAT/NR//INTAKE/NR//COMPEP/NR//LD/NR//DW/NR//STST/NR//HMA/NR//NA/NR//CL/NR//DIC/NR//CA/NR//POT/NR//MG/NR//SO4/NR//SULF/NR//</t>
  </si>
  <si>
    <t>Reeve,M.R., G.D. Grice, V.R. Gibson, M.A. Walter, K. Darcy, and T. Ikeda</t>
  </si>
  <si>
    <t>A Controlled Environmental Pollution Experiment (CEPEX) and Its Usefulness in the Study of Larger Marine Zooplankton Under Toxic Stress</t>
  </si>
  <si>
    <t>In: A.P.M.Lockwood, Effects of Pollutants on Aquatic Organisms, Vol. 2, Cambridge Univ. Press:145-162</t>
  </si>
  <si>
    <t>Reeve,M.R., G.D. Grice, V.R. Gibson, M.A. Walter, K. Darcy, and T. Ikeda (1976). A Controlled Environmental Pollution Experiment (CEPEX) and Its Usefulness in the Study of Larger Marine Zooplankton Under Toxic Stress. In: A.P.M.Lockwood, Effects of Pollutants on Aquatic Organisms, Vol. 2, Cambridge Univ. Press, 145-162. ECOREF#:6045</t>
  </si>
  <si>
    <t>Gao,S., and D. Zou</t>
  </si>
  <si>
    <t>Acute Toxicity of Copper, Mercury and Chromium to Larvae of Penaeus penicillatus Alcock</t>
  </si>
  <si>
    <t>Haiyang-Tongbao Shuangyuekan (Non-English)13(2): 28-32</t>
  </si>
  <si>
    <t>Gao,S., and D. Zou (1994). Acute Toxicity of Copper, Mercury and Chromium to Larvae of Penaeus penicillatus Alcock. Haiyang-Tongbao Shuangyuekan (Non-English), 13, (2), 28-32. ECOREF#:16613</t>
  </si>
  <si>
    <t>10.1016/0025-326X(72)90268-8</t>
  </si>
  <si>
    <t xml:space="preserve"> CONTR/3.60% MORTALITY//</t>
  </si>
  <si>
    <t xml:space="preserve">   CONTR/3.60% MORTALITY//</t>
  </si>
  <si>
    <t>Connor,P.M.</t>
  </si>
  <si>
    <t>Acute Toxicity of Heavy Metals to Some Marine Larvae</t>
  </si>
  <si>
    <t>Mar. Pollut. Bull.3(12): 190-192</t>
  </si>
  <si>
    <t>Connor,P.M. (1972). Acute Toxicity of Heavy Metals to Some Marine Larvae. Mar. Pollut. Bull., 3, (12), 190-192. doi:10.1016/0025-326X(72)90268-8. ECOREF#:5732</t>
  </si>
  <si>
    <t>M1</t>
  </si>
  <si>
    <t>Mercuric chloride</t>
  </si>
  <si>
    <t>10.1007/BF00212796</t>
  </si>
  <si>
    <t>&gt;=4 REPLICATES</t>
  </si>
  <si>
    <t xml:space="preserve">TMETH/STANDARD OPERATIONAL PROCEDURES OF ARTOXKIT M WITH MODIFICATIONS DESCRIBED IN DETAIL BY CALLEJA AND PERSOONE 1992, ADOPTED FROM VANHAECKE ET AL. 1980, VANHAECKE AND PERSOONE 1981, SNELL AND PERSOONE 1989, AND CENTENO ET AL. 1993//MEDIA/NR//   </t>
  </si>
  <si>
    <t>Calleja,M.C., G. Persoone, and P. Geladi</t>
  </si>
  <si>
    <t>Comparative Acute Toxicity of the First 50 Multicentre Evaluation of In Vitro Cytotoxicity Chemicals to Aquatic Non-Vertebrates</t>
  </si>
  <si>
    <t>Arch. Environ. Contam. Toxicol.26(1): 69-78</t>
  </si>
  <si>
    <t>Calleja,M.C., G. Persoone, and P. Geladi (1994). Comparative Acute Toxicity of the First 50 Multicentre Evaluation of In Vitro Cytotoxicity Chemicals to Aquatic Non-Vertebrates. Arch. Environ. Contam. Toxicol., 26, (1), 69-78. doi:10.1007/BF00212796. ECOREF#:13669</t>
  </si>
  <si>
    <t>Ozius rugulosus</t>
  </si>
  <si>
    <t>Portunid Crab</t>
  </si>
  <si>
    <t>Menippidae</t>
  </si>
  <si>
    <t>Ozius</t>
  </si>
  <si>
    <t>rugulosus</t>
  </si>
  <si>
    <t>Immature</t>
  </si>
  <si>
    <t>INTERMOULT STAGE, 85 G, 8 CM CW</t>
  </si>
  <si>
    <t xml:space="preserve"> NR</t>
  </si>
  <si>
    <t xml:space="preserve">   NR</t>
  </si>
  <si>
    <t>Rao,K.S., A.K. Khan, S.M. Alam, and R. Nagabhushanam</t>
  </si>
  <si>
    <t>Heavy Metal Toxicity to the Marine Crab Ozius rugulosus</t>
  </si>
  <si>
    <t>Environ. Ecol.6(1): 228-230</t>
  </si>
  <si>
    <t>Rao,K.S., A.K. Khan, S.M. Alam, and R. Nagabhushanam (1988). Heavy Metal Toxicity to the Marine Crab Ozius rugulosus. Environ. Ecol., 6, (1), 228-230. ECOREF#:13233</t>
  </si>
  <si>
    <t xml:space="preserve"> TESTID/30//MSMT/NR//DOSES/NR//SOURCE/WLD//WTINT/0.86 UG CARBON BIOMASS//DNUM/5-7//SEX/NR//TMETH/NR//STYPE/ACUTE//ETIME/24 H//AP RATE/NR//SAMPN/NR//WTAT/NR//INTAKE/NR//COMPEP/NR//LD/NR//DW/NR//STST/NR//HMA/NR//NA/NR//CL/NR//DIC/NR//CA/NR//POT/NR//MG/NR//SO4/NR//SULF/NR//</t>
  </si>
  <si>
    <t xml:space="preserve">   TESTID/30//MSMT/NR//DOSES/NR//SOURCE/WLD//WTINT/0.86 UG CARBON BIOMASS//DNUM/5-7//SEX/NR//TMETH/NR//STYPE/ACUTE//ETIME/24 H//AP RATE/NR//SAMPN/NR//WTAT/NR//INTAKE/NR//COMPEP/NR//LD/NR//DW/NR//STST/NR//HMA/NR//NA/NR//CL/NR//DIC/NR//CA/NR//POT/NR//MG/NR//SO4/NR//SULF/NR//</t>
  </si>
  <si>
    <t xml:space="preserve"> LIFESTG/LENGTH (POST ORBITAL MARGIN TO TELSON TIP)//TESTID/6//OEF/TEMPERATURE AND SALINITY EFCTS////</t>
  </si>
  <si>
    <t xml:space="preserve">   LIFESTG/LENGTH (POST ORBITAL MARGIN TO TELSON TIP)//TESTID/6//OEF/TEMPERATURE AND SALINITY EFCTS////</t>
  </si>
  <si>
    <t xml:space="preserve"> LIFESTG/LENGTH (POST ORBITAL MARGIN TO TELSON TIP)//TESTID/2//OEF/TEMPERATURE AND SALINITY EFCTS////</t>
  </si>
  <si>
    <t xml:space="preserve">   LIFESTG/LENGTH (POST ORBITAL MARGIN TO TELSON TIP)//TESTID/2//OEF/TEMPERATURE AND SALINITY EFCTS////</t>
  </si>
  <si>
    <t>MERCURY CHLORIDE</t>
  </si>
  <si>
    <t>HIGH SALT</t>
  </si>
  <si>
    <t xml:space="preserve"> DNUM/6//TESTID/4//OEF/MIXTURE, SALINITY EFCTS////</t>
  </si>
  <si>
    <t xml:space="preserve">   DNUM/6//TESTID/4//OEF/MIXTURE, SALINITY EFCTS////</t>
  </si>
  <si>
    <t>Sergestes lucens</t>
  </si>
  <si>
    <t>Sergestidae</t>
  </si>
  <si>
    <t>Sergestes</t>
  </si>
  <si>
    <t>lucens</t>
  </si>
  <si>
    <t>4.24 CM, 1.80 G</t>
  </si>
  <si>
    <t>10.1016/0306-4492(81)90016-2</t>
  </si>
  <si>
    <t>Hilmy,A.M., M.B. Shabana, and M.M. Saied</t>
  </si>
  <si>
    <t>A Comparative Study of Mercury Poisoning on Aphanius dispar (Teleostei), Sergestes lucens (Crustacea) and Modiolus modiolus (Mollusca) of the Red Sea</t>
  </si>
  <si>
    <t>Comp. Biochem. Physiol. C Comp. Pharmacol.68:199-204</t>
  </si>
  <si>
    <t>Hilmy,A.M., M.B. Shabana, and M.M. Saied (1981). A Comparative Study of Mercury Poisoning on Aphanius dispar (Teleostei), Sergestes lucens (Crustacea) and Modiolus modiolus (Mollusca) of the Red Sea. Comp. Biochem. Physiol. C Comp. Pharmacol., 68, 199-204. doi:10.1016/0306-4492(81)90016-2. ECOREF#:11326</t>
  </si>
  <si>
    <t>Moina mongolica</t>
  </si>
  <si>
    <t>Water Flea</t>
  </si>
  <si>
    <t>Cladocera</t>
  </si>
  <si>
    <t>Moinidae</t>
  </si>
  <si>
    <t>Moina</t>
  </si>
  <si>
    <t>mongolica</t>
  </si>
  <si>
    <t>An,Y., and Z. He</t>
  </si>
  <si>
    <t>Toxicity of Four Heavy Metals in Marine Water to Moina mongolica</t>
  </si>
  <si>
    <t>Shuichan Xuebao (Non-English)15(4): 273-282</t>
  </si>
  <si>
    <t>An,Y., and Z. He (1991). Toxicity of Four Heavy Metals in Marine Water to Moina mongolica. Shuichan Xuebao (Non-English), 15, (4), 273-282. ECOREF#:9624</t>
  </si>
  <si>
    <t xml:space="preserve"> LIFESTG/LENGTH (POST ORBITAL MARGIN TO TELSON TIP)//TESTID/3//OEF/TEMPERATURE AND SALINITY EFCTS////</t>
  </si>
  <si>
    <t xml:space="preserve">   LIFESTG/LENGTH (POST ORBITAL MARGIN TO TELSON TIP)//TESTID/3//OEF/TEMPERATURE AND SALINITY EFCTS////</t>
  </si>
  <si>
    <t xml:space="preserve">CONC1/CI REPORTED AS 0.032 - 0.040// </t>
  </si>
  <si>
    <t xml:space="preserve">SOURCE/SOUTHERN SIDE OF RUSHIKULYA ESTUARY, ORISSA, INDIA//  CONC1/CI REPORTED AS 0.032 - 0.040// </t>
  </si>
  <si>
    <t>55-75 MM TL, INTERMOULT</t>
  </si>
  <si>
    <t xml:space="preserve"> DNUM/6//DOSES/0.00325 to 12.5 mg/L//TESTID/3//OEF/MIXTURE////</t>
  </si>
  <si>
    <t xml:space="preserve">   DNUM/6//DOSES/0.00325 to 12.5 mg/L//TESTID/3//OEF/MIXTURE////</t>
  </si>
  <si>
    <t xml:space="preserve"> LIFESTG/LENGTH (POST ORBITAL MARGIN TO TELSON TIP)//TESTID/5//OEF/TEMPERATURE AND SALINITY EFCTS////</t>
  </si>
  <si>
    <t xml:space="preserve">   LIFESTG/LENGTH (POST ORBITAL MARGIN TO TELSON TIP)//TESTID/5//OEF/TEMPERATURE AND SALINITY EFCTS////</t>
  </si>
  <si>
    <t>Pagurus longicarpus</t>
  </si>
  <si>
    <t>Longwrist Hermit Crab</t>
  </si>
  <si>
    <t>Paguridae</t>
  </si>
  <si>
    <t>Pagurus</t>
  </si>
  <si>
    <t>longicarpus</t>
  </si>
  <si>
    <t>10.1007/BF02097772</t>
  </si>
  <si>
    <t>Eisler,R., and R.J. Hennekey</t>
  </si>
  <si>
    <t>Acute Toxicities of Cd2+, Cr+6, Hg2+, Ni2+ and Zn2+ to Estuarine Macrofauna</t>
  </si>
  <si>
    <t>Arch. Environ. Contam. Toxicol.6(2-3): 315-323</t>
  </si>
  <si>
    <t>Eisler,R., and R.J. Hennekey (1977). Acute Toxicities of Cd2+, Cr+6, Hg2+, Ni2+ and Zn2+ to Estuarine Macrofauna. Arch. Environ. Contam. Toxicol., 6, (2-3), 315-323. doi:10.1007/BF02097772. ECOREF#:2253</t>
  </si>
  <si>
    <t>Ilyoplax gangetica</t>
  </si>
  <si>
    <t>Ocypodidae</t>
  </si>
  <si>
    <t>Ilyoplax</t>
  </si>
  <si>
    <t>gangetica</t>
  </si>
  <si>
    <t>Savant,K.B., and G.K. Amte</t>
  </si>
  <si>
    <t>Respiratory Response of Estuarine Crab Ilyoplax gangetica Exposed to Three Metallic Chemicals</t>
  </si>
  <si>
    <t>J. Ecotoxicol. Environ. Monit.2(4): 259-262</t>
  </si>
  <si>
    <t>Savant,K.B., and G.K. Amte (1992). Respiratory Response of Estuarine Crab Ilyoplax gangetica Exposed to Three Metallic Chemicals. J. Ecotoxicol. Environ. Monit., 2, (4), 259-262. ECOREF#:17564</t>
  </si>
  <si>
    <t>Z1</t>
  </si>
  <si>
    <t>Wu,Z., and G. Chen</t>
  </si>
  <si>
    <t>Studies of Acute intoxication by Some Harmful Substances on Penaeus orientalis K.</t>
  </si>
  <si>
    <t>Haiyang Kexue (Non-English)4:36-40</t>
  </si>
  <si>
    <t>Wu,Z., and G. Chen (1988). Studies of Acute intoxication by Some Harmful Substances on Penaeus orientalis K.. Haiyang Kexue (Non-English), 4, 36-40. ECOREF#:3232</t>
  </si>
  <si>
    <t>McClurg,T.P.</t>
  </si>
  <si>
    <t>Effects of Fluoride, Cadmium and Mercury on the Estuarine Prawn Penaeus indicus</t>
  </si>
  <si>
    <t>Water SA10(1): 40-45</t>
  </si>
  <si>
    <t>McClurg,T.P. (1984). Effects of Fluoride, Cadmium and Mercury on the Estuarine Prawn Penaeus indicus. Water SA, 10, (1), 40-45. ECOREF#:11646</t>
  </si>
  <si>
    <t xml:space="preserve"> CONTR/NO MORTALITY//</t>
  </si>
  <si>
    <t xml:space="preserve">   CONTR/NO MORTALITY//</t>
  </si>
  <si>
    <t>Allorchestes compressa</t>
  </si>
  <si>
    <t>Scud, Amphipod</t>
  </si>
  <si>
    <t>Allorchestes</t>
  </si>
  <si>
    <t>compressa</t>
  </si>
  <si>
    <t>1-1.5 CM</t>
  </si>
  <si>
    <t>10.1071/MF9820465</t>
  </si>
  <si>
    <t xml:space="preserve"> CONTR/NO MORT//</t>
  </si>
  <si>
    <t xml:space="preserve">   CONTR/NO MORT//</t>
  </si>
  <si>
    <t>Ahsanullah,M.</t>
  </si>
  <si>
    <t>Acute Toxicity of Chromium, Mercury, Molybdenum and Nickel to the Amphipod Allorchestes compressa</t>
  </si>
  <si>
    <t>Aust. J. Mar. Freshw. Res.33(3): 465-474</t>
  </si>
  <si>
    <t>Ahsanullah,M. (1982). Acute Toxicity of Chromium, Mercury, Molybdenum and Nickel to the Amphipod Allorchestes compressa. Aust. J. Mar. Freshw. Res., 33, (3), 465-474. doi:10.1071/MF9820465. ECOREF#:10628</t>
  </si>
  <si>
    <t>5-5.5 CM CW, 30-32 G</t>
  </si>
  <si>
    <t>ml/L</t>
  </si>
  <si>
    <t>Pattern of Depuration of Accumulated Heavy Metals in the Mud Crab, Scylla serrata (Forskal)</t>
  </si>
  <si>
    <t>J. Environ. Biol.20(3): 213-216</t>
  </si>
  <si>
    <t>Narayanan,K.R., P.S. Lyla, and S.A. Khan (1999). Pattern of Depuration of Accumulated Heavy Metals in the Mud Crab, Scylla serrata (Forskal). J. Environ. Biol., 20, (3), 213-216. ECOREF#:52573</t>
  </si>
  <si>
    <t>HGCL2, 1ML DOUBLE-DISTILLED HNO3 TO 1 L OF METAL STOCK SOLUTION REDUCED SURFACE PLATING ON THE CONTAINER WALLS AS WELL AS INCREASED METAL SOLUBILITY.</t>
  </si>
  <si>
    <t>10.1016/0025-326X(81)90081-3</t>
  </si>
  <si>
    <t xml:space="preserve">SOURCE/FIRST-STAGE ZOEAE WERE PROVIDED BY THE CALIFORNIA DEPANMENT OF FISH AND GAME, MARINE CULTURE LABORATORY, BIG SUR, MONTEREY COUNTY//MEDIA/NATURAL SEAWATER//   </t>
  </si>
  <si>
    <t>Martin,M., K.E. Osborn, P. Billig, and N. Glickstein</t>
  </si>
  <si>
    <t>Toxicities of Ten Metals to Crassostrea gigas and Mytilus edulis Embryos and Cancer magister Larvae</t>
  </si>
  <si>
    <t>Mar. Pollut. Bull.12(9): 305-308</t>
  </si>
  <si>
    <t>Martin,M., K.E. Osborn, P. Billig, and N. Glickstein (1981). Toxicities of Ten Metals to Crassostrea gigas and Mytilus edulis Embryos and Cancer magister Larvae. Mar. Pollut. Bull., 12, (9), 305-308. doi:10.1016/0025-326X(81)90081-3. ECOREF#:15497</t>
  </si>
  <si>
    <t>90 G, 8 CM</t>
  </si>
  <si>
    <t>Nagabhushanam,R., K. Sambasivarao, and R. Sarojini</t>
  </si>
  <si>
    <t>Acute Toxicity of Three Heavy Metals to Marine Edible Crab, Scylla serrata</t>
  </si>
  <si>
    <t>J. Adv. Zool.7(2): 97-99</t>
  </si>
  <si>
    <t>Nagabhushanam,R., K. Sambasivarao, and R. Sarojini (1986). Acute Toxicity of Three Heavy Metals to Marine Edible Crab, Scylla serrata. J. Adv. Zool., 7, (2), 97-99. ECOREF#:12895</t>
  </si>
  <si>
    <t>Uca annulipes</t>
  </si>
  <si>
    <t>Fiddler Crab</t>
  </si>
  <si>
    <t>Uca</t>
  </si>
  <si>
    <t>annulipes</t>
  </si>
  <si>
    <t>24-29 MM CARAPACE, MALES</t>
  </si>
  <si>
    <t>10.1007/BF01689593</t>
  </si>
  <si>
    <t>Devi,V.U.</t>
  </si>
  <si>
    <t>Heavy Metal Toxicity to Fiddler Crabs, Uca annulipes latreille and Uca triangularis (Milne Edwards):  Tolerance to Copper, Mercury, Cadmium</t>
  </si>
  <si>
    <t>Bull. Environ. Contam. Toxicol.39:1020-1027</t>
  </si>
  <si>
    <t>Devi,V.U. (1987). Heavy Metal Toxicity to Fiddler Crabs, Uca annulipes latreille and Uca triangularis (Milne Edwards):  Tolerance to Copper, Mercury, Cadmium. Bull. Environ. Contam. Toxicol., 39, 1020-1027. doi:10.1007/BF01689593. ECOREF#:2602</t>
  </si>
  <si>
    <t>0.48 G,WTINT, SHUCKED WEIGHT</t>
  </si>
  <si>
    <t>SUBSTRATE SIMULATING NATURAL BENTHIC ENVIRONMENT</t>
  </si>
  <si>
    <t xml:space="preserve"> DOSES/NA mg/L//TESTID/6//</t>
  </si>
  <si>
    <t xml:space="preserve">   DOSES/NA mg/L//TESTID/6//</t>
  </si>
  <si>
    <t>Oyewo,E.O., and K.N. Don-Pedro</t>
  </si>
  <si>
    <t>Acute Toxicity and Bio-Accumulation of Mercury and Copper in Clibanarius africanus (Aurivillius) and Tympanotonus fuscatus (Linne)</t>
  </si>
  <si>
    <t>J. Aquat. Sci.18(2): 75-84</t>
  </si>
  <si>
    <t>Oyewo,E.O., and K.N. Don-Pedro (2003). Acute Toxicity and Bio-Accumulation of Mercury and Copper in Clibanarius africanus (Aurivillius) and Tympanotonus fuscatus (Linne). J. Aquat. Sci., 18, (2), 75-84. ECOREF#:117013</t>
  </si>
  <si>
    <t>Metapenaeus dobsoni</t>
  </si>
  <si>
    <t>Kadal Shrimp</t>
  </si>
  <si>
    <t>dobsoni</t>
  </si>
  <si>
    <t>30-50 MM</t>
  </si>
  <si>
    <t>AR GRADE</t>
  </si>
  <si>
    <t>Sivadasan,C.R., P.N.K. Nambisan, and R. Damodaran</t>
  </si>
  <si>
    <t>Toxicity of Mercury, Copper and Zinc to the Prawn Metapenaeus dobsoni (Mier)</t>
  </si>
  <si>
    <t>Curr. Sci. (Bangalore)55(7): 337-340</t>
  </si>
  <si>
    <t>Sivadasan,C.R., P.N.K. Nambisan, and R. Damodaran (1986). Toxicity of Mercury, Copper and Zinc to the Prawn Metapenaeus dobsoni (Mier). Curr. Sci. (Bangalore), 55, (7), 337-340. ECOREF#:11853</t>
  </si>
  <si>
    <t>MALE, FEMALE,14 MM CARAPACE BREADTH</t>
  </si>
  <si>
    <t xml:space="preserve"> DNUM/7//TESTID/1//OEF/OIL, MIXTURE EFCTS////</t>
  </si>
  <si>
    <t xml:space="preserve">   DNUM/7//TESTID/1//OEF/OIL, MIXTURE EFCTS////</t>
  </si>
  <si>
    <t>Baby,K.V., and N.R. Menon</t>
  </si>
  <si>
    <t>Combined Toxicity of Heavy Metals and Petroleum Hydrocarbons on Uca annulipes (Latreille)</t>
  </si>
  <si>
    <t>In: N.B.Nair (Ed.), Proc.of the Natl.Semin.on Estuarine Manage., June 4-5, 1987, Trivandrum, India:486-491</t>
  </si>
  <si>
    <t>Baby,K.V., and N.R. Menon (1987). Combined Toxicity of Heavy Metals and Petroleum Hydrocarbons on Uca annulipes (Latreille). In: N.B.Nair (Ed.), Proc.of the Natl.Semin.on Estuarine Manage., June 4-5, 1987, Trivandrum, India, 486-491. ECOREF#:16623</t>
  </si>
  <si>
    <t>N3</t>
  </si>
  <si>
    <t>Nanosesarma sp.</t>
  </si>
  <si>
    <t>Nanosesarma</t>
  </si>
  <si>
    <t>NANOSESARMA BATAVICUM</t>
  </si>
  <si>
    <t>Selvakumar,S., S.A. Khan, and A.K. Kumaraguru</t>
  </si>
  <si>
    <t>Acute Toxicity of Some Heavy Metals, Pesticides and Water Soluble Fractions of Diesel Oil to the Larvae of Some Brachyuran Crabs</t>
  </si>
  <si>
    <t>J. Environ. Biol.17(3): 221-226</t>
  </si>
  <si>
    <t>Selvakumar,S., S.A. Khan, and A.K. Kumaraguru (1996). Acute Toxicity of Some Heavy Metals, Pesticides and Water Soluble Fractions of Diesel Oil to the Larvae of Some Brachyuran Crabs. J. Environ. Biol., 17, (3), 221-226. ECOREF#:18580</t>
  </si>
  <si>
    <t xml:space="preserve"> TESTID/29//MSMT/NR//DOSES/NR//SOURCE/WLD//WTINT/1.4 UG CARBON BIOMASS//DNUM/5-7//SEX/NR//TMETH/NR//STYPE/ACUTE//ETIME/24 H//AP RATE/NR//SAMPN/NR//WTAT/NR//INTAKE/NR//COMPEP/NR//LD/NR//DW/NR//STST/NR//HMA/NR//NA/NR//CL/NR//DIC/NR//CA/NR//POT/NR//MG/NR//SO4/NR//SULF/NR//</t>
  </si>
  <si>
    <t xml:space="preserve">   TESTID/29//MSMT/NR//DOSES/NR//SOURCE/WLD//WTINT/1.4 UG CARBON BIOMASS//DNUM/5-7//SEX/NR//TMETH/NR//STYPE/ACUTE//ETIME/24 H//AP RATE/NR//SAMPN/NR//WTAT/NR//INTAKE/NR//COMPEP/NR//LD/NR//DW/NR//STST/NR//HMA/NR//NA/NR//CL/NR//DIC/NR//CA/NR//POT/NR//MG/NR//SO4/NR//SULF/NR//</t>
  </si>
  <si>
    <t>ROSTUM TO TELSON 35 TO 40 MM</t>
  </si>
  <si>
    <t>10.1016/j.scitotenv.2008.06.012</t>
  </si>
  <si>
    <t xml:space="preserve"> DOSES/1 to 37.5 uM//TESTID/2//OEF/MIXTURE, IN VITRO////</t>
  </si>
  <si>
    <t xml:space="preserve">   DOSES/1 to 37.5 uM//TESTID/2//OEF/MIXTURE, IN VITRO////</t>
  </si>
  <si>
    <t>Frasco,M.F., D. Fournier, F. Carvalho, and L. Guilhermino</t>
  </si>
  <si>
    <t>Does Mercury Interact with the Inhibitory Effect of Dichlorvos on Palaemon serratus (Crustacea:  Decapoda) Cholinesterase?</t>
  </si>
  <si>
    <t>Sci. Total Environ.404(1): 88-93</t>
  </si>
  <si>
    <t>Frasco,M.F., D. Fournier, F. Carvalho, and L. Guilhermino (2008). Does Mercury Interact with the Inhibitory Effect of Dichlorvos on Palaemon serratus (Crustacea:  Decapoda) Cholinesterase?. Sci. Total Environ., 404, (1), 88-93. doi:10.1016/j.scitotenv.2008.06.012. ECOREF#:118989</t>
  </si>
  <si>
    <t>50-70 MM, MATURING</t>
  </si>
  <si>
    <t>Crayfish/Crab Order</t>
  </si>
  <si>
    <t>NEOEPISESARMA MEDERI</t>
  </si>
  <si>
    <t>Uca triangularis</t>
  </si>
  <si>
    <t>triangularis</t>
  </si>
  <si>
    <t xml:space="preserve"> DNUM/6//DOSES/0.00325 to 12.5 mg/L//TESTID/9//OEF/MIXTURE////</t>
  </si>
  <si>
    <t xml:space="preserve">   DNUM/6//DOSES/0.00325 to 12.5 mg/L//TESTID/9//OEF/MIXTURE////</t>
  </si>
  <si>
    <t xml:space="preserve"> TESTID/31//MSMT/NR//DOSES/NR//SOURCE/WLD//WTINT/0.76 UG CARBON BIOMASS//DNUM/5-7//SEX/NR//TMETH/NR//STYPE/ACUTE//ETIME/24 H//AP RATE/NR//SAMPN/NR//WTAT/NR//INTAKE/NR//COMPEP/NR//LD/NR//DW/NR//STST/NR//HMA/NR//NA/NR//CL/NR//DIC/NR//CA/NR//POT/NR//MG/NR//SO4/NR//SULF/NR//</t>
  </si>
  <si>
    <t xml:space="preserve">   TESTID/31//MSMT/NR//DOSES/NR//SOURCE/WLD//WTINT/0.76 UG CARBON BIOMASS//DNUM/5-7//SEX/NR//TMETH/NR//STYPE/ACUTE//ETIME/24 H//AP RATE/NR//SAMPN/NR//WTAT/NR//INTAKE/NR//COMPEP/NR//LD/NR//DW/NR//STST/NR//HMA/NR//NA/NR//CL/NR//DIC/NR//CA/NR//POT/NR//MG/NR//SO4/NR//SULF/NR//</t>
  </si>
  <si>
    <t xml:space="preserve"> LIFESTG/LENGTH (POST ORBITAL MARGIN TO TELSON TIP)//TESTID/1//OEF/TEMPERATURE AND SALINITY EFCTS////</t>
  </si>
  <si>
    <t xml:space="preserve">   LIFESTG/LENGTH (POST ORBITAL MARGIN TO TELSON TIP)//TESTID/1//OEF/TEMPERATURE AND SALINITY EFCTS////</t>
  </si>
  <si>
    <t>Pandalus montagui</t>
  </si>
  <si>
    <t>Aesop Shrimp</t>
  </si>
  <si>
    <t>Pandalidae</t>
  </si>
  <si>
    <t>Pandalus</t>
  </si>
  <si>
    <t>montagui</t>
  </si>
  <si>
    <t xml:space="preserve"> DNUM/6//DOSES/0.01/0.05/0.1/1/2 ppm//TESTID/1//</t>
  </si>
  <si>
    <t xml:space="preserve">   DNUM/6//DOSES/0.01/0.05/0.1/1/2 ppm//TESTID/1//</t>
  </si>
  <si>
    <t>Labidocera scotti</t>
  </si>
  <si>
    <t>Pontellidae</t>
  </si>
  <si>
    <t>Labidocera</t>
  </si>
  <si>
    <t>scotti</t>
  </si>
  <si>
    <t xml:space="preserve"> TESTID/26//MSMT/NR//DOSES/NR//SOURCE/WLD//WTINT/42.2 UG CARBON BIOMASS//DNUM/5-7//SEX/NR//TMETH/NR//STYPE/ACUTE//ETIME/24 H//AP RATE/NR//SAMPN/NR//WTAT/NR//INTAKE/NR//COMPEP/NR//LD/NR//DW/NR//STST/NR//HMA/NR//NA/NR//CL/NR//DIC/NR//CA/NR//POT/NR//MG/NR//SO4/NR//SULF/NR//</t>
  </si>
  <si>
    <t xml:space="preserve">   TESTID/26//MSMT/NR//DOSES/NR//SOURCE/WLD//WTINT/42.2 UG CARBON BIOMASS//DNUM/5-7//SEX/NR//TMETH/NR//STYPE/ACUTE//ETIME/24 H//AP RATE/NR//SAMPN/NR//WTAT/NR//INTAKE/NR//COMPEP/NR//LD/NR//DW/NR//STST/NR//HMA/NR//NA/NR//CL/NR//DIC/NR//CA/NR//POT/NR//MG/NR//SO4/NR//SULF/NR//</t>
  </si>
  <si>
    <t xml:space="preserve">CONC1/CI REPORTED AS 0.030 - 0.032// </t>
  </si>
  <si>
    <t xml:space="preserve">SOURCE/SOUTHERN SIDE OF RUSHIKULYA ESTUARY, ORISSA, INDIA//  CONC1/CI REPORTED AS 0.030 - 0.032// </t>
  </si>
  <si>
    <t xml:space="preserve"> TESTID/28//MSMT/NR//DOSES/NR//SOURCE/WLD//WTINT/7.2 UG CARBON BIOMASS//DNUM/5-7//SEX/NR//TMETH/NR//STYPE/ACUTE//ETIME/24 H//AP RATE/NR//SAMPN/NR//WTAT/NR//INTAKE/NR//COMPEP/NR//LD/NR//DW/NR//STST/NR//HMA/NR//NA/NR//CL/NR//DIC/NR//CA/NR//POT/NR//MG/NR//SO4/NR//SULF/NR//</t>
  </si>
  <si>
    <t xml:space="preserve">   TESTID/28//MSMT/NR//DOSES/NR//SOURCE/WLD//WTINT/7.2 UG CARBON BIOMASS//DNUM/5-7//SEX/NR//TMETH/NR//STYPE/ACUTE//ETIME/24 H//AP RATE/NR//SAMPN/NR//WTAT/NR//INTAKE/NR//COMPEP/NR//LD/NR//DW/NR//STST/NR//HMA/NR//NA/NR//CL/NR//DIC/NR//CA/NR//POT/NR//MG/NR//SO4/NR//SULF/NR//</t>
  </si>
  <si>
    <t>Chen,B., and M. Chen</t>
  </si>
  <si>
    <t>Acute Toxicity of Arsenic, Phenol, Mercury and Chromium to the Larvae of Penaeus orientali</t>
  </si>
  <si>
    <t>Haiyang Kexue (Non-English)14(3): 51-53</t>
  </si>
  <si>
    <t>Chen,B., and M. Chen (1990). Acute Toxicity of Arsenic, Phenol, Mercury and Chromium to the Larvae of Penaeus orientali. Haiyang Kexue (Non-English), 14, (3), 51-53. ECOREF#:3702</t>
  </si>
  <si>
    <t>MSMT/NA//</t>
  </si>
  <si>
    <t>LOW SALT</t>
  </si>
  <si>
    <t xml:space="preserve"> DNUM/6//TESTID/3//OEF/MIXTURE, SALINITY EFCTS////</t>
  </si>
  <si>
    <t xml:space="preserve">   DNUM/6//TESTID/3//OEF/MIXTURE, SALINITY EFCTS////</t>
  </si>
  <si>
    <t>ENDPT/TLM//</t>
  </si>
  <si>
    <t>10.1007/BF00394995</t>
  </si>
  <si>
    <t>WATER CHEM PROFILE GIVEN</t>
  </si>
  <si>
    <t xml:space="preserve"> CONTR/6.7 %D// MORT//</t>
  </si>
  <si>
    <t xml:space="preserve">   CONTR/6.7 %D// MORT//</t>
  </si>
  <si>
    <t>Shealy,M.H.J., and P.A. Sandifer</t>
  </si>
  <si>
    <t>Effects of Mercury on Survival and Development of the Larval Grass Shrimp Palaemonete vulgaris</t>
  </si>
  <si>
    <t>Mar. Biol. (Multiple Languages)33(1): 7-16</t>
  </si>
  <si>
    <t>Shealy,M.H.J., and P.A. Sandifer (1975). Effects of Mercury on Survival and Development of the Larval Grass Shrimp Palaemonete vulgaris. Mar. Biol. (Multiple Languages), 33, (1), 7-16. doi:10.1007/BF00394995. ECOREF#:15540</t>
  </si>
  <si>
    <t xml:space="preserve"> CONTR/NO MORT//  FILTRATION// PH,TEMP/ACCLIMATION//</t>
  </si>
  <si>
    <t xml:space="preserve">   CONTR/NO MORT//  FILTRATION// PH,TEMP/ACCLIMATION//</t>
  </si>
  <si>
    <t>30-40 MM,  BIG SHEEPSHEAD CREEK</t>
  </si>
  <si>
    <t xml:space="preserve"> LIFESTG/POPULATION//TESTID/3//MSMT/NR//DOSES/0.025/0.05/0.1/0.5/1.0/1.5/2.0/2.5 MG/L//SOURCE/WLD//WTINT/NR//DNUM/9//SEX/NR//TMETH/NR//STYPE/ACUTE//ETIME/96 H//AP RATE/NR//SAMPN/NR//WTAT/NR//INTAKE/NR//COMPEP/NR//LD/NR//DW/NR//STST/NR//HMA/NR//NA/NR//CL/NR//DIC/NR//CA/NR//POT/NR//MG/NR//SO4/NR//SULF/NR//</t>
  </si>
  <si>
    <t xml:space="preserve">   LIFESTG/POPULATION//TESTID/3//MSMT/NR//DOSES/0.025/0.05/0.1/0.5/1.0/1.5/2.0/2.5 MG/L//SOURCE/WLD//WTINT/NR//DNUM/9//SEX/NR//TMETH/NR//STYPE/ACUTE//ETIME/96 H//AP RATE/NR//SAMPN/NR//WTAT/NR//INTAKE/NR//COMPEP/NR//LD/NR//DW/NR//STST/NR//HMA/NR//NA/NR//CL/NR//DIC/NR//CA/NR//POT/NR//MG/NR//SO4/NR//SULF/NR//</t>
  </si>
  <si>
    <t xml:space="preserve"> CONTR/10.0 % MORT//</t>
  </si>
  <si>
    <t xml:space="preserve">   CONTR/10.0 % MORT//</t>
  </si>
  <si>
    <t xml:space="preserve"> TESTID/25//MSMT/NR//DOSES/NR//SOURCE/WLD//WTINT/0.028 UG CARBON BIOMASS//DNUM/5-7//SEX/NR//TMETH/NR//STYPE/ACUTE//ETIME/24 H//AP RATE/NR//SAMPN/NR//WTAT/NR//INTAKE/NR//COMPEP/NR//LD/NR//DW/NR//STST/NR//HMA/NR//NA/NR//CL/NR//DIC/NR//CA/NR//POT/NR//MG/NR//SO4/NR//SULF/NR//</t>
  </si>
  <si>
    <t xml:space="preserve">   TESTID/25//MSMT/NR//DOSES/NR//SOURCE/WLD//WTINT/0.028 UG CARBON BIOMASS//DNUM/5-7//SEX/NR//TMETH/NR//STYPE/ACUTE//ETIME/24 H//AP RATE/NR//SAMPN/NR//WTAT/NR//INTAKE/NR//COMPEP/NR//LD/NR//DW/NR//STST/NR//HMA/NR//NA/NR//CL/NR//DIC/NR//CA/NR//POT/NR//MG/NR//SO4/NR//SULF/NR//</t>
  </si>
  <si>
    <t xml:space="preserve"> TESTID/24//MSMT/NR//DOSES/NR//SOURCE/WLD//WTINT/2.4 UG CARBON BIOMASS//DNUM/5-7//SEX/NR//TMETH/NR//STYPE/ACUTE//ETIME/24 H//AP RATE/NR//SAMPN/NR//WTAT/NR//INTAKE/NR//COMPEP/NR//LD/NR//DW/NR//STST/NR//HMA/NR//NA/NR//CL/NR//DIC/NR//CA/NR//POT/NR//MG/NR//SO4/NR//SULF/NR//</t>
  </si>
  <si>
    <t xml:space="preserve">   TESTID/24//MSMT/NR//DOSES/NR//SOURCE/WLD//WTINT/2.4 UG CARBON BIOMASS//DNUM/5-7//SEX/NR//TMETH/NR//STYPE/ACUTE//ETIME/24 H//AP RATE/NR//SAMPN/NR//WTAT/NR//INTAKE/NR//COMPEP/NR//LD/NR//DW/NR//STST/NR//HMA/NR//NA/NR//CL/NR//DIC/NR//CA/NR//POT/NR//MG/NR//SO4/NR//SULF/NR//</t>
  </si>
  <si>
    <t>10.1002/etc.5620020107</t>
  </si>
  <si>
    <t>Gentile,J.H., S.M. Gentile, G. Hoffman, J.F. Heltshe, and N.,Jr. Hairston</t>
  </si>
  <si>
    <t>The Effects of a Chronic Mercury Exposure on Survival, Reproduction and Population Dynamics of Mysidopsis bahia</t>
  </si>
  <si>
    <t>Environ. Toxicol. Chem.2:61-68</t>
  </si>
  <si>
    <t>Gentile,J.H., S.M. Gentile, G. Hoffman, J.F. Heltshe, and N.,Jr. Hairston (1983). The Effects of a Chronic Mercury Exposure on Survival, Reproduction and Population Dynamics of Mysidopsis bahia. Environ. Toxicol. Chem., 2, 61-68. doi:10.1002/etc.5620020107. ECOREF#:10609</t>
  </si>
  <si>
    <t>Carcinus maenas</t>
  </si>
  <si>
    <t>Green Crab</t>
  </si>
  <si>
    <t>Carcinus</t>
  </si>
  <si>
    <t>maenas</t>
  </si>
  <si>
    <t xml:space="preserve"> CONTR/8.75% MORTALITY//</t>
  </si>
  <si>
    <t xml:space="preserve">   CONTR/8.75% MORTALITY//</t>
  </si>
  <si>
    <t>Zinc chloride (ZnCl2)</t>
  </si>
  <si>
    <t>Echinogammarus olivii</t>
  </si>
  <si>
    <t>Echinogammarus</t>
  </si>
  <si>
    <t>olivii</t>
  </si>
  <si>
    <t xml:space="preserve"> TESTID/4//MSMT/NR//DOSES/0.001-20 MG/L//SOURCE/WLD//WTINT/NR//DNUM/6//SEX/NR//TMETH/NR//STYPE/ACUTE//ETIME/4 D//AP RATE/NR//SAMPN/NR//WTAT/NR//INTAKE/NR//COMPEP/NR//LD/NR//DW/NR//STST/NR//HMA/NR//NA/NR//CL/NR//DIC/NR//CA/NR//POT/NR//MG/NR//SO4/NR//SULF/NR//</t>
  </si>
  <si>
    <t xml:space="preserve">   TESTID/4//MSMT/NR//DOSES/0.001-20 MG/L//SOURCE/WLD//WTINT/NR//DNUM/6//SEX/NR//TMETH/NR//STYPE/ACUTE//ETIME/4 D//AP RATE/NR//SAMPN/NR//WTAT/NR//INTAKE/NR//COMPEP/NR//LD/NR//DW/NR//STST/NR//HMA/NR//NA/NR//CL/NR//DIC/NR//CA/NR//POT/NR//MG/NR//SO4/NR//SULF/NR//</t>
  </si>
  <si>
    <t>Bat,L., A. Gundogdu, M. Sezgin, M. Culha, G. Gonlugur, and M. Akbulut</t>
  </si>
  <si>
    <t>Acute Toxicity of Zinc, Copper and Lead to Three Species of Marine Organisms from the Sinop Peninsula, Black Sea</t>
  </si>
  <si>
    <t>Turk. J. Biol. (Turk Biol. Derg. )23(4): 537-544</t>
  </si>
  <si>
    <t>Bat,L., A. Gundogdu, M. Sezgin, M. Culha, G. Gonlugur, and M. Akbulut (1999). Acute Toxicity of Zinc, Copper and Lead to Three Species of Marine Organisms from the Sinop Peninsula, Black Sea. Turk. J. Biol. (Turk Biol. Derg. ), 23, (4), 537-544. ECOREF#:82993</t>
  </si>
  <si>
    <t>ZINC CHLORIDE</t>
  </si>
  <si>
    <t xml:space="preserve"> DNUM/6//DOSES/100/200/400/800/1600 ug/L//TESTID/2//OEF/SURVEY//</t>
  </si>
  <si>
    <t xml:space="preserve">   DNUM/6//DOSES/100/200/400/800/1600 ug/L//TESTID/2//OEF/SURVEY//</t>
  </si>
  <si>
    <t>Portunus pelagicus</t>
  </si>
  <si>
    <t>Portunus</t>
  </si>
  <si>
    <t>pelagicus</t>
  </si>
  <si>
    <t>1ST STG ZOEAE, APRIL BROOD</t>
  </si>
  <si>
    <t>10.1016/0742-8413(83)90024-5</t>
  </si>
  <si>
    <t xml:space="preserve"> CONTR/ 2 % MORT//</t>
  </si>
  <si>
    <t xml:space="preserve">   CONTR/ 2 % MORT//</t>
  </si>
  <si>
    <t>Greenwood,J.G., and D.R. Fielder</t>
  </si>
  <si>
    <t>Acute Toxicity of Zinc and Cadmium to Zoeae of Three Species of Portunid Crabs (Crustacea: Brachyura)</t>
  </si>
  <si>
    <t>Comp. Biochem. Physiol. C Comp. Pharmacol.75(1): 141-144</t>
  </si>
  <si>
    <t>Greenwood,J.G., and D.R. Fielder (1983). Acute Toxicity of Zinc and Cadmium to Zoeae of Three Species of Portunid Crabs (Crustacea: Brachyura). Comp. Biochem. Physiol. C Comp. Pharmacol., 75, (1), 141-144. doi:10.1016/0742-8413(83)90024-5. ECOREF#:10063</t>
  </si>
  <si>
    <t>MSMT/DVP TO SHELLED VELIGER STAGE////</t>
  </si>
  <si>
    <t>12:12 LIGHT:DARK CYCLE</t>
  </si>
  <si>
    <t xml:space="preserve"> DOSES/1 to 30 mg/L//TESTID/2//OEF/MIXTURE STUDIES////</t>
  </si>
  <si>
    <t>SOURCE/COMMERCIAL LABORATORY LOCATED CLOSE TO MAZATLAN, MEXICO//   DOSES/1 to 30 mg/L//TESTID/2//OEF/MIXTURE STUDIES////</t>
  </si>
  <si>
    <t xml:space="preserve"> DOSES/1 to 30 mg/L//TESTID/2//OEF/MIXTURE STUDIES//CONC/FROM GRAPH////</t>
  </si>
  <si>
    <t>SOURCE/COMMERCIAL LABORATORY LOCATED CLOSE TO MAZATLAN, MEXICO//   DOSES/1 to 30 mg/L//TESTID/2//OEF/MIXTURE STUDIES//CONC/FROM GRAPH////</t>
  </si>
  <si>
    <t>Charybdis feriatus</t>
  </si>
  <si>
    <t>Charybdis</t>
  </si>
  <si>
    <t>feriatus</t>
  </si>
  <si>
    <t>1ST STG ZOEAE, NOVEMBER BROOD</t>
  </si>
  <si>
    <t xml:space="preserve"> CONTR/ 16 % MORT, ABBOTT'S FORMULA USED//</t>
  </si>
  <si>
    <t xml:space="preserve">   CONTR/ 16 % MORT, ABBOTT'S FORMULA USED//</t>
  </si>
  <si>
    <t>Fraizier,A.</t>
  </si>
  <si>
    <t>Study of Zinc Toxicity to the Rose Prawn Palaemon serratus Pennant (Etude de la Toxicite du Zinc Pour la Crevette Rose Palaemon serratus Pennant)</t>
  </si>
  <si>
    <t>Rev. Trav. Inst. Peches Marit. (Non-English)37(2): 291-302</t>
  </si>
  <si>
    <t>Fraizier,A. (1973). Study of Zinc Toxicity to the Rose Prawn Palaemon serratus Pennant (Etude de la Toxicite du Zinc Pour la Crevette Rose Palaemon serratus Pennant). Rev. Trav. Inst. Peches Marit. (Non-English), 37, (2), 291-302. ECOREF#:8836</t>
  </si>
  <si>
    <t>Scutellidium sp.</t>
  </si>
  <si>
    <t>Scutellidium</t>
  </si>
  <si>
    <t>ADULT &amp; LATE COPEPODIDS</t>
  </si>
  <si>
    <t>10.1071/MF9790063</t>
  </si>
  <si>
    <t xml:space="preserve"> CONTR/0% MORTALITY//</t>
  </si>
  <si>
    <t xml:space="preserve">   CONTR/0% MORTALITY//</t>
  </si>
  <si>
    <t>Arnott,G.H., and M. Ahsanullah</t>
  </si>
  <si>
    <t>Acute Toxicity of Copper, Cadmium and Zinc to Three Species of Marine Copepod</t>
  </si>
  <si>
    <t>Aust. J. Mar. Freshw. Res.30(1): 63-71</t>
  </si>
  <si>
    <t>Arnott,G.H., and M. Ahsanullah (1979). Acute Toxicity of Copper, Cadmium and Zinc to Three Species of Marine Copepod. Aust. J. Mar. Freshw. Res., 30, (1), 63-71. doi:10.1071/MF9790063. ECOREF#:5563</t>
  </si>
  <si>
    <t>Chaetocorophium lucasi</t>
  </si>
  <si>
    <t>Chaetocorophium</t>
  </si>
  <si>
    <t>lucasi</t>
  </si>
  <si>
    <t>AUTHOR TESTS MORTALITY EFFECTS, WATER ONLY TOXICITY TEST USING FILTERED SEAWATER, 5 REPLICATES</t>
  </si>
  <si>
    <t xml:space="preserve"> TESTID/7//OEF/SPIKED SEDIMENT STUDY ALSO REPORTED, NO ENDPOINT////</t>
  </si>
  <si>
    <t xml:space="preserve">   TESTID/7//OEF/SPIKED SEDIMENT STUDY ALSO REPORTED, NO ENDPOINT////</t>
  </si>
  <si>
    <t>Corophium colo</t>
  </si>
  <si>
    <t>colo</t>
  </si>
  <si>
    <t>8 - 10 MM</t>
  </si>
  <si>
    <t xml:space="preserve"> TESTID/6//OEF/SPIKED SEDIMENT STUDY ALSO REPORTED, NO ENDPOINT////</t>
  </si>
  <si>
    <t xml:space="preserve">   TESTID/6//OEF/SPIKED SEDIMENT STUDY ALSO REPORTED, NO ENDPOINT////</t>
  </si>
  <si>
    <t xml:space="preserve"> DNUM/5//DOSES/0.02/0.2/2/20 mg/l//TESTID/13//</t>
  </si>
  <si>
    <t xml:space="preserve">   DNUM/5//DOSES/0.02/0.2/2/20 mg/l//TESTID/13//</t>
  </si>
  <si>
    <t>ZINC CHLORIDE (ZNCL2)</t>
  </si>
  <si>
    <t xml:space="preserve"> DNUM/6//DOSES/100/200/400/800/1600 ug/L//TESTID/1//OEF/MIXTURE////</t>
  </si>
  <si>
    <t xml:space="preserve">   DNUM/6//DOSES/100/200/400/800/1600 ug/L//TESTID/1//OEF/MIXTURE////</t>
  </si>
  <si>
    <t>Lithodes santolla</t>
  </si>
  <si>
    <t>Southern King Crab</t>
  </si>
  <si>
    <t>Lithodidae</t>
  </si>
  <si>
    <t>Lithodes</t>
  </si>
  <si>
    <t>santolla</t>
  </si>
  <si>
    <t>10.1007/s00128-003-8611-9</t>
  </si>
  <si>
    <t>ACUTE TEST</t>
  </si>
  <si>
    <t xml:space="preserve"> DNUM/7//DOSES/0.25/2.5/4.45/7.74/14.2/25 mg/l//TESTID/3//</t>
  </si>
  <si>
    <t xml:space="preserve">   DNUM/7//DOSES/0.25/2.5/4.45/7.74/14.2/25 mg/l//TESTID/3//</t>
  </si>
  <si>
    <t>Amin,O.A., L.I. Comoglio, and E.M. Rodriguez</t>
  </si>
  <si>
    <t>Toxicity of Cadmium, Lead, and Zinc to Larval Stages of Lithodes santolla (Decapoda, Anomura)</t>
  </si>
  <si>
    <t>Bull. Environ. Contam. Toxicol.71(3): 527-534</t>
  </si>
  <si>
    <t>Amin,O.A., L.I. Comoglio, and E.M. Rodriguez (2003). Toxicity of Cadmium, Lead, and Zinc to Larval Stages of Lithodes santolla (Decapoda, Anomura). Bull. Environ. Contam. Toxicol., 71, (3), 527-534. doi:10.1007/s00128-003-8611-9. ECOREF#:71687</t>
  </si>
  <si>
    <t xml:space="preserve"> DNUM/6//DOSES/30/60/120/240/480 mg/L//TESTID/2//OEF/MIXTURE////</t>
  </si>
  <si>
    <t xml:space="preserve">   DNUM/6//DOSES/30/60/120/240/480 mg/L//TESTID/2//OEF/MIXTURE////</t>
  </si>
  <si>
    <t>Diogenes pugilator</t>
  </si>
  <si>
    <t>Diogenes</t>
  </si>
  <si>
    <t>pugilator</t>
  </si>
  <si>
    <t>1.5 TO 2.5 CM LONG</t>
  </si>
  <si>
    <t>SEDIMENT ADDED</t>
  </si>
  <si>
    <t xml:space="preserve"> DNUM/6//DOSES/5/10/20/50/100 mg/l//TESTID/2//OEF/MIXTURE EFCTS, DWGT////</t>
  </si>
  <si>
    <t xml:space="preserve">   DNUM/6//DOSES/5/10/20/50/100 mg/l//TESTID/2//OEF/MIXTURE EFCTS, DWGT////</t>
  </si>
  <si>
    <t>Bat,L., M. Culha, M. Akbulut, A. Gundogdu, and M. Sezgin</t>
  </si>
  <si>
    <t>Toxicity of Zinc and Copper to the Hermit Crab Diogenes pugilator (Roux)</t>
  </si>
  <si>
    <t>Turk. J. Mar. Sci.4(1): 39-48</t>
  </si>
  <si>
    <t>Bat,L., M. Culha, M. Akbulut, A. Gundogdu, and M. Sezgin (1998). Toxicity of Zinc and Copper to the Hermit Crab Diogenes pugilator (Roux). Turk. J. Mar. Sci., 4, (1), 39-48. ECOREF#:47360</t>
  </si>
  <si>
    <t>Lussier,S., and J.A. Cardin</t>
  </si>
  <si>
    <t>Results of Acute Toxicity Tests Conducted with Zinc at ERL, Narragansett</t>
  </si>
  <si>
    <t>U.S.EPA, Narragansett, RI:6 p.</t>
  </si>
  <si>
    <t>Lussier,S., and J.A. Cardin (1985). Results of Acute Toxicity Tests Conducted with Zinc at ERL, Narragansett. U.S.EPA, Narragansett, RI, 6 p. ECOREF#:3744</t>
  </si>
  <si>
    <t>1ST STG ZOEAE, FEBRUARY BROOD</t>
  </si>
  <si>
    <t xml:space="preserve"> CONTR/ 3 % MORT//</t>
  </si>
  <si>
    <t xml:space="preserve">   CONTR/ 3 % MORT//</t>
  </si>
  <si>
    <t>MSMT/BINOMIAL////</t>
  </si>
  <si>
    <t xml:space="preserve"> TESTID/6//MSMT/NR//DOSES/0.001-20 MG/L//SOURCE/WLD//WTINT/NR//DNUM/6//SEX/NR//TMETH/NR//STYPE/ACUTE//ETIME/4 D//AP RATE/NR//SAMPN/NR//WTAT/NR//INTAKE/NR//COMPEP/NR//LD/NR//DW/NR//STST/NR//HMA/NR//NA/NR//CL/NR//DIC/NR//CA/NR//POT/NR//MG/NR//SO4/NR//SULF/NR//</t>
  </si>
  <si>
    <t xml:space="preserve">   TESTID/6//MSMT/NR//DOSES/0.001-20 MG/L//SOURCE/WLD//WTINT/NR//DNUM/6//SEX/NR//TMETH/NR//STYPE/ACUTE//ETIME/4 D//AP RATE/NR//SAMPN/NR//WTAT/NR//INTAKE/NR//COMPEP/NR//LD/NR//DW/NR//STST/NR//HMA/NR//NA/NR//CL/NR//DIC/NR//CA/NR//POT/NR//MG/NR//SO4/NR//SULF/NR//</t>
  </si>
  <si>
    <t xml:space="preserve"> TESTID/5//MSMT/NR//DOSES/0.001-20 MG/L//SOURCE/WLD//WTINT/NR//DNUM/6//SEX/NR//TMETH/NR//STYPE/ACUTE//ETIME/4 D//AP RATE/NR//SAMPN/NR//WTAT/NR//INTAKE/NR//COMPEP/NR//LD/NR//DW/NR//STST/NR//HMA/NR//NA/NR//CL/NR//DIC/NR//CA/NR//POT/NR//MG/NR//SO4/NR//SULF/NR//</t>
  </si>
  <si>
    <t xml:space="preserve">   TESTID/5//MSMT/NR//DOSES/0.001-20 MG/L//SOURCE/WLD//WTINT/NR//DNUM/6//SEX/NR//TMETH/NR//STYPE/ACUTE//ETIME/4 D//AP RATE/NR//SAMPN/NR//WTAT/NR//INTAKE/NR//COMPEP/NR//LD/NR//DW/NR//STST/NR//HMA/NR//NA/NR//CL/NR//DIC/NR//CA/NR//POT/NR//MG/NR//SO4/NR//SULF/NR//</t>
  </si>
  <si>
    <t>Paracalanus parvus</t>
  </si>
  <si>
    <t>Paracalanidae</t>
  </si>
  <si>
    <t>Paracalanus</t>
  </si>
  <si>
    <t>parvus</t>
  </si>
  <si>
    <t xml:space="preserve"> CONTR/MORTALITY 13.3%//</t>
  </si>
  <si>
    <t xml:space="preserve">   CONTR/MORTALITY 13.3%//</t>
  </si>
  <si>
    <t>AUTHOR TESTS MORTALITY EFFECTS, NEWLY HATCHED EGGS FROM WILD COLLECTED FEMALES FROM AN ESTUARY IN ARGENTINA WERE THE TEST ORGANISMS</t>
  </si>
  <si>
    <t xml:space="preserve"> CONTR/ 4 % MORT//</t>
  </si>
  <si>
    <t xml:space="preserve">   CONTR/ 4 % MORT//</t>
  </si>
  <si>
    <t>ASTM</t>
  </si>
  <si>
    <t>Johnson,M.</t>
  </si>
  <si>
    <t>Memo to D.Hansen, U.S.EPA, Narragansett, RI:3 p.</t>
  </si>
  <si>
    <t>Johnson,M. (1985). Results of Acute Toxicity Tests Conducted with Zinc at ERL, Narragansett. Memo to D.Hansen, U.S.EPA, Narragansett, RI, 3 p. ECOREF#:3733</t>
  </si>
  <si>
    <t>Acartia simplex</t>
  </si>
  <si>
    <t>simplex</t>
  </si>
  <si>
    <t xml:space="preserve"> TESTID/11//OEF/SPIKED SEDIMENT STUDY ALSO REPORTED, NO ENDPOINT////</t>
  </si>
  <si>
    <t xml:space="preserve">   TESTID/11//OEF/SPIKED SEDIMENT STUDY ALSO REPORTED, NO ENDPOINT////</t>
  </si>
  <si>
    <t xml:space="preserve"> TESTID/10//OEF/SPIKED SEDIMENT STUDY ALSO REPORTED, NO ENDPOINT////</t>
  </si>
  <si>
    <t xml:space="preserve">   TESTID/10//OEF/SPIKED SEDIMENT STUDY ALSO REPORTED, NO ENDPOINT////</t>
  </si>
  <si>
    <t>WITHOUT SEDIMENT ADDED</t>
  </si>
  <si>
    <t xml:space="preserve"> DNUM/6//DOSES/5/10/20/50/100 mg/l//TESTID/1//OEF/MIXTURE EFCTS, DWGT////</t>
  </si>
  <si>
    <t xml:space="preserve">   DNUM/6//DOSES/5/10/20/50/100 mg/l//TESTID/1//OEF/MIXTURE EFCTS, DWGT////</t>
  </si>
  <si>
    <t xml:space="preserve"> ENDPT/MOVING AVERGAE ANALYSIS// </t>
  </si>
  <si>
    <t xml:space="preserve">   ENDPT/MOVING AVERGAE ANALYSIS// </t>
  </si>
  <si>
    <t xml:space="preserve"> TESTID/9//OEF/SPIKED SEDIMENT STUDY ALSO REPORTED, NO ENDPOINT////</t>
  </si>
  <si>
    <t xml:space="preserve">   TESTID/9//OEF/SPIKED SEDIMENT STUDY ALSO REPORTED, NO ENDPOINT////</t>
  </si>
  <si>
    <t>Portunus sanguinolentus</t>
  </si>
  <si>
    <t>sanguinolentus</t>
  </si>
  <si>
    <t>1ST STG ZOEAE, DECEMBER BROOD</t>
  </si>
  <si>
    <t xml:space="preserve"> CONTR/ 22 % MORT, ABBOTT'S FORMULA USED//</t>
  </si>
  <si>
    <t xml:space="preserve">   CONTR/ 22 % MORT, ABBOTT'S FORMULA USED//</t>
  </si>
  <si>
    <t xml:space="preserve"> ENDPT/BINOMIAL TEST//</t>
  </si>
  <si>
    <t xml:space="preserve">   ENDPT/BINOMIAL TEST//</t>
  </si>
  <si>
    <t xml:space="preserve"> DNUM/6//DOSES/5/10/20/50/100 ppm//TESTID/4//</t>
  </si>
  <si>
    <t xml:space="preserve">   DNUM/6//DOSES/5/10/20/50/100 ppm//TESTID/4//</t>
  </si>
  <si>
    <t xml:space="preserve"> TESTID/8//OEF/SPIKED SEDIMENT STUDY ALSO REPORTED, NO ENDPOINT////</t>
  </si>
  <si>
    <t xml:space="preserve">   TESTID/8//OEF/SPIKED SEDIMENT STUDY ALSO REPORTED, NO ENDPOINT////</t>
  </si>
  <si>
    <t>10.1071/MF9880033</t>
  </si>
  <si>
    <t>CDCL2, CUCL2</t>
  </si>
  <si>
    <t>Ahsanullah,M., M.C. Mobley, and P. Rankin</t>
  </si>
  <si>
    <t>Individual and Combined Effects of Zinc, Cadmium and Copper on the Marine Amphipod Allorchestes compressa</t>
  </si>
  <si>
    <t>Aust. J. Mar. Freshw. Res.39(1): 33-37</t>
  </si>
  <si>
    <t>Ahsanullah,M., M.C. Mobley, and P. Rankin (1988). Individual and Combined Effects of Zinc, Cadmium and Copper on the Marine Amphipod Allorchestes compressa. Aust. J. Mar. Freshw. Res., 39, (1), 33-37. doi:10.1071/MF9880033. ECOREF#:13187</t>
  </si>
  <si>
    <t>AUTHOR TESTS MORTALITY EFFECTS, ACCLIMATIZED FOR 14 DAYS PRIOR TO TESTING</t>
  </si>
  <si>
    <t xml:space="preserve"> DNUM/6//DOSES/30/60/120/240/480 ug/L//TESTID/2//OEF/MIXTURE////</t>
  </si>
  <si>
    <t xml:space="preserve">   DNUM/6//DOSES/30/60/120/240/480 ug/L//TESTID/2//OEF/MIXTURE////</t>
  </si>
  <si>
    <t xml:space="preserve"> DNUM/6//TESTID/8//OEF/MIXTURE, SALINITY EFCTS////</t>
  </si>
  <si>
    <t xml:space="preserve">   DNUM/6//TESTID/8//OEF/MIXTURE, SALINITY EFCTS////</t>
  </si>
  <si>
    <t xml:space="preserve"> DNUM/6//TESTID/7//OEF/MIXTURE, SALINITY EFCTS////</t>
  </si>
  <si>
    <t xml:space="preserve">   DNUM/6//TESTID/7//OEF/MIXTURE, SALINITY EFCTS////</t>
  </si>
  <si>
    <t>AUTHOR REPORTED AS MYSIDOPSIS BAHIA</t>
  </si>
  <si>
    <t>IN HMM WATER, FEBRUARY 1999</t>
  </si>
  <si>
    <t xml:space="preserve"> DNUM/6//DOSES/880/1480/1810/2750/4360 ug/L//TESTID/3//OEF/MIXTURE, SURV////</t>
  </si>
  <si>
    <t xml:space="preserve">   DNUM/6//DOSES/880/1480/1810/2750/4360 ug/L//TESTID/3//OEF/MIXTURE, SURV////</t>
  </si>
  <si>
    <t>PBS&amp;J Environmental Toxicology Laboratory</t>
  </si>
  <si>
    <t>Copper and Zinc Water-Effect Ratio Determinations with Simulated Downstream (Outfall 001 in Receiving Water) and Laboratory Synthetic Seawater. Project Summary 1998 and 1999</t>
  </si>
  <si>
    <t>PBS&amp;J Job.No.20026, Environ.Toxicol.Lab., Houston, TX:20 p.</t>
  </si>
  <si>
    <t>PBS&amp;J Environmental Toxicology Laboratory (1999). Copper and Zinc Water-Effect Ratio Determinations with Simulated Downstream (Outfall 001 in Receiving Water) and Laboratory Synthetic Seawater. Project Summary 1998 and 1999. PBS&amp;J Job.No.20026, Environ.Toxicol.Lab., Houston, TX, 20 p. ECOREF#:76253</t>
  </si>
  <si>
    <t>IN HMM WATER, NOVEMBER 1998</t>
  </si>
  <si>
    <t xml:space="preserve"> DNUM/6//DOSES/1090/1580/2050/2920/4530 ug/L//TESTID/5//OEF/MIXTURE////</t>
  </si>
  <si>
    <t xml:space="preserve">   DNUM/6//DOSES/1090/1580/2050/2920/4530 ug/L//TESTID/5//OEF/MIXTURE////</t>
  </si>
  <si>
    <t>Lussier,S., and J.H. Gentile</t>
  </si>
  <si>
    <t>U.S.EPA, Narragansett, RI:2 p.</t>
  </si>
  <si>
    <t>Lussier,S., and J.H. Gentile (1985). Results of Acute Toxicity Tests Conducted with Zinc at ERL, Narragansett. U.S.EPA, Narragansett, RI, 2 p. ECOREF#:3743</t>
  </si>
  <si>
    <t>IN HMM WATER, JUNE 1999</t>
  </si>
  <si>
    <t xml:space="preserve"> DNUM/6//DOSES/830/1330/1850/2890/4510 ug/L//TESTID/1//OEF/MIXTURE, SURV////</t>
  </si>
  <si>
    <t xml:space="preserve">   DNUM/6//DOSES/830/1330/1850/2890/4510 ug/L//TESTID/1//OEF/MIXTURE, SURV////</t>
  </si>
  <si>
    <t>8-10 mm</t>
  </si>
  <si>
    <t xml:space="preserve"> TESTID/1//OEF/SPIKED SEDIMENT STUDY ALSO REPORTED, NO ENDPOINT//</t>
  </si>
  <si>
    <t xml:space="preserve">   TESTID/1//OEF/SPIKED SEDIMENT STUDY ALSO REPORTED, NO ENDPOINT//</t>
  </si>
  <si>
    <t>Penaeus setiferus</t>
  </si>
  <si>
    <t>Northern White Shrimp</t>
  </si>
  <si>
    <t>setiferus</t>
  </si>
  <si>
    <t>INTERMOLT, 4.10 G WET WT</t>
  </si>
  <si>
    <t>10.1007/s001289900304</t>
  </si>
  <si>
    <t>Vanegas,C., S. Espina, A.V. Botello, and S. Villanueva</t>
  </si>
  <si>
    <t>Acute Toxicity and Synergism of Cadmium and Zinc in White Shrimp, Penaeus setiferus, Juveniles</t>
  </si>
  <si>
    <t>Bull. Environ. Contam. Toxicol.58:87-92</t>
  </si>
  <si>
    <t>Vanegas,C., S. Espina, A.V. Botello, and S. Villanueva (1997). Acute Toxicity and Synergism of Cadmium and Zinc in White Shrimp, Penaeus setiferus, Juveniles. Bull. Environ. Contam. Toxicol., 58, 87-92. doi:10.1007/s001289900304. ECOREF#:17481</t>
  </si>
  <si>
    <t>MSMT/CONFIDENCE INTERVAL = 2390 TO INFINITY//</t>
  </si>
  <si>
    <t>IN SD WATER PREPARED USING WATER FROM MUNICIPAL OUTFALL AND CHANNEL WATER IN A RATIO OF 60 TO 40%, AUGUST 1998</t>
  </si>
  <si>
    <t xml:space="preserve"> CL/0* ppm//DNUM/6//DOSES/940/1450/2070/2420/2920 ug/L//TESTID/8//OEF/MIXTURE////</t>
  </si>
  <si>
    <t>ppm CaCO3</t>
  </si>
  <si>
    <t>umhos</t>
  </si>
  <si>
    <t xml:space="preserve">   CL/0* ppm//DNUM/6//DOSES/940/1450/2070/2420/2920 ug/L//TESTID/8//OEF/MIXTURE////</t>
  </si>
  <si>
    <t>IN SD WATER PREPARED USING WATER FROM MUNICIPAL OUTFALL AND CHANNEL WATER IN A RATIO OF 60 TO 40%, NOVEMBER 1998</t>
  </si>
  <si>
    <t xml:space="preserve"> CL/0* ppm//DNUM/6//DOSES/1050/2000/1980/4230/5200 ug/L//TESTID/6//OEF/MIXTURE////</t>
  </si>
  <si>
    <t xml:space="preserve">   CL/0* ppm//DNUM/6//DOSES/1050/2000/1980/4230/5200 ug/L//TESTID/6//OEF/MIXTURE////</t>
  </si>
  <si>
    <t>&lt;20 MM</t>
  </si>
  <si>
    <t>10.1007/BF01701802</t>
  </si>
  <si>
    <t xml:space="preserve">CONTR/C,V//   </t>
  </si>
  <si>
    <t>Burton,D.T., and D.J. Fisher</t>
  </si>
  <si>
    <t>Acute Toxicity of Cadmium, Copper, Zinc, Ammonia, 3,3'-Dichlorobenzidine, 2,6-Dichloro-4-Nitroaniline, Methylene Chloride, and 2,4,6-Trichlorophenol to Juvenile Grass Shrimp and Killifish</t>
  </si>
  <si>
    <t>Bull. Environ. Contam. Toxicol.44(5): 776-783</t>
  </si>
  <si>
    <t>Burton,D.T., and D.J. Fisher (1990). Acute Toxicity of Cadmium, Copper, Zinc, Ammonia, 3,3'-Dichlorobenzidine, 2,6-Dichloro-4-Nitroaniline, Methylene Chloride, and 2,4,6-Trichlorophenol to Juvenile Grass Shrimp and Killifish. Bull. Environ. Contam. Toxicol., 44, (5), 776-783. doi:10.1007/BF01701802. ECOREF#:3163</t>
  </si>
  <si>
    <t>0.8 TO 1.2 MM LENGTH</t>
  </si>
  <si>
    <t>10.1002/tox.20289</t>
  </si>
  <si>
    <t xml:space="preserve"> TESTID/11//</t>
  </si>
  <si>
    <t xml:space="preserve">   TESTID/11//</t>
  </si>
  <si>
    <t>Lee,K.W., S. Raisuddin, D.S. Hwang, H.G. Park, and J.S. Lee</t>
  </si>
  <si>
    <t>Acute Toxicities of Trace Metals and Common Xenobiotics to the Marine Copepod Tigriopus japonicus:  Evaluation of Its Use as a Benchmark Species for Routine Ecotoxicity Tests in Western Pacific Coastal Regions</t>
  </si>
  <si>
    <t>Environ. Toxicol.22(5): 532-538</t>
  </si>
  <si>
    <t>Lee,K.W., S. Raisuddin, D.S. Hwang, H.G. Park, and J.S. Lee (2007). Acute Toxicities of Trace Metals and Common Xenobiotics to the Marine Copepod Tigriopus japonicus:  Evaluation of Its Use as a Benchmark Species for Routine Ecotoxicity Tests in Western Pacific Coastal Regions. Environ. Toxicol., 22, (5), 532-538. doi:10.1002/tox.20289. ECOREF#:111315</t>
  </si>
  <si>
    <t>0.6 TO 1.0 MM LENGTH</t>
  </si>
  <si>
    <t>10.1897/03-176</t>
  </si>
  <si>
    <t xml:space="preserve"> TESTID/3//OEF/SEDIMENT STUDY////</t>
  </si>
  <si>
    <t xml:space="preserve">   TESTID/3//OEF/SEDIMENT STUDY////</t>
  </si>
  <si>
    <t>Lee,J.S., B.G. Lee, S.N. Luoma, and H. Yoo</t>
  </si>
  <si>
    <t>Importance of Equilibration Time in the Partitioning and Toxicity of Zinc in Spiked Sediment Bioassays</t>
  </si>
  <si>
    <t>Environ. Toxicol. Chem.23(1): 65-71</t>
  </si>
  <si>
    <t>Lee,J.S., B.G. Lee, S.N. Luoma, and H. Yoo (2004). Importance of Equilibration Time in the Partitioning and Toxicity of Zinc in Spiked Sediment Bioassays. Environ. Toxicol. Chem., 23, (1), 65-71. doi:10.1897/03-176. ECOREF#:73403</t>
  </si>
  <si>
    <t>IN SD WATER PREPARED USING WATER FROM MUNICIPAL OUTFALL AND CHANNEL WATER IN A RATIO OF 60 TO 40%,  JUNE 1999</t>
  </si>
  <si>
    <t xml:space="preserve"> CL/&lt;0.1* ppm//DNUM/6//DOSES/970/1730/2400/3170/3850 ug/L//TESTID/2//OEF/MIXTURE, SURV////</t>
  </si>
  <si>
    <t xml:space="preserve">   CL/&lt;0.1* ppm//DNUM/6//DOSES/970/1730/2400/3170/3850 ug/L//TESTID/2//OEF/MIXTURE, SURV////</t>
  </si>
  <si>
    <t>IN SD WATER PREPARED USING WATER FROM MUNICIPAL OUTFALL AND CHANNEL WATER IN A RATIO OF 60 TO 40%, FEBRUARY 1999</t>
  </si>
  <si>
    <t xml:space="preserve"> CL/0.0* ppm//DNUM/6//DOSES/1000/1840/2220/2690/3470 ug/L//TESTID/4//OEF/MIXTURE////</t>
  </si>
  <si>
    <t xml:space="preserve">   CL/0.0* ppm//DNUM/6//DOSES/1000/1840/2220/2690/3470 ug/L//TESTID/4//OEF/MIXTURE////</t>
  </si>
  <si>
    <t>FEMALE</t>
  </si>
  <si>
    <t>10.1016/0147-6513(87)90069-8</t>
  </si>
  <si>
    <t>Bengtsson,B.E., and B. Bergstrom</t>
  </si>
  <si>
    <t>A Flowthrough Fecundity Test with Nitocra spinipes (Harpacticoidea Crustacea) for Aquatic Toxicity</t>
  </si>
  <si>
    <t>Ecotoxicol. Environ. Saf.14:260-268</t>
  </si>
  <si>
    <t>Bengtsson,B.E., and B. Bergstrom (1987). A Flowthrough Fecundity Test with Nitocra spinipes (Harpacticoidea Crustacea) for Aquatic Toxicity. Ecotoxicol. Environ. Saf., 14, 260-268. doi:10.1016/0147-6513(87)90069-8. ECOREF#:2332</t>
  </si>
  <si>
    <t>KESTLER'S ARTIFICIAL SEAWATER</t>
  </si>
  <si>
    <t>IN HMM WATER, AUGUST 1998</t>
  </si>
  <si>
    <t xml:space="preserve"> DNUM/6//DOSES/720/1020/1400/1540/2620 ug/L//TESTID/7//OEF/MIXTURE////</t>
  </si>
  <si>
    <t xml:space="preserve">   DNUM/6//DOSES/720/1020/1400/1540/2620 ug/L//TESTID/7//OEF/MIXTURE////</t>
  </si>
  <si>
    <t>Nickel chloride (NiCl2)</t>
  </si>
  <si>
    <t xml:space="preserve"> 14 H PHOTO//CONTR/NO MORT//CONC/AS NI// </t>
  </si>
  <si>
    <t xml:space="preserve">   14 H PHOTO//CONTR/NO MORT//CONC/AS NI// </t>
  </si>
  <si>
    <t>Z3</t>
  </si>
  <si>
    <t>10.1071/MF9941107</t>
  </si>
  <si>
    <t>Mortimer,M.R., and G.J. Miller</t>
  </si>
  <si>
    <t>Susceptibility of Larval and Juvenile Instars of the Sand Crab, Portunus pelagicus (L.), to Sea Water Contaminated by Chromium, Nickel or Copper</t>
  </si>
  <si>
    <t>Aust. J. Mar. Freshw. Res.45(7): 1107-1121</t>
  </si>
  <si>
    <t>Mortimer,M.R., and G.J. Miller (1994). Susceptibility of Larval and Juvenile Instars of the Sand Crab, Portunus pelagicus (L.), to Sea Water Contaminated by Chromium, Nickel or Copper. Aust. J. Mar. Freshw. Res., 45, (7), 1107-1121. doi:10.1071/MF9941107. ECOREF#:16331</t>
  </si>
  <si>
    <t>NICKEL CHLORIDE, NICL2 6H20</t>
  </si>
  <si>
    <t xml:space="preserve"> LIFESTG/LENGTH (POST ORBITAL MARGIN TO TELSON TIP)//TESTID/26//OEF/TEMPERATURE AND SALINITY EFCTS////</t>
  </si>
  <si>
    <t xml:space="preserve">   LIFESTG/LENGTH (POST ORBITAL MARGIN TO TELSON TIP)//TESTID/26//OEF/TEMPERATURE AND SALINITY EFCTS////</t>
  </si>
  <si>
    <t>Heteromysis formosa</t>
  </si>
  <si>
    <t>Opossom Shrimp</t>
  </si>
  <si>
    <t>Heteromysis</t>
  </si>
  <si>
    <t>formosa</t>
  </si>
  <si>
    <t xml:space="preserve"> LIFESTG/LENGTH (POST ORBITAL MARGIN TO TELSON TIP)//TESTID/30//OEF/TEMPERATURE AND SALINITY EFCTS////</t>
  </si>
  <si>
    <t xml:space="preserve">   LIFESTG/LENGTH (POST ORBITAL MARGIN TO TELSON TIP)//TESTID/30//OEF/TEMPERATURE AND SALINITY EFCTS////</t>
  </si>
  <si>
    <t>Lussier,S.M., and J. Walker</t>
  </si>
  <si>
    <t>Results of Acute Toxicity Tests Conducted with Nickel at ERL, Narragansett</t>
  </si>
  <si>
    <t>Lussier,S.M., and J. Walker (1985). Results of Acute Toxicity Tests Conducted with Nickel at ERL, Narragansett. U.S.EPA, Narragansett, RI, 2 p. ECOREF#:3828</t>
  </si>
  <si>
    <t xml:space="preserve"> LIFESTG/LENGTH (POST ORBITAL MARGIN TO TELSON TIP)//TESTID/27//OEF/TEMPERATURE AND SALINITY EFCTS////</t>
  </si>
  <si>
    <t xml:space="preserve">   LIFESTG/LENGTH (POST ORBITAL MARGIN TO TELSON TIP)//TESTID/27//OEF/TEMPERATURE AND SALINITY EFCTS////</t>
  </si>
  <si>
    <t xml:space="preserve"> LIFESTG/LENGTH (POST ORBITAL MARGIN TO TELSON TIP)//TESTID/28//OEF/TEMPERATURE AND SALINITY EFCTS////</t>
  </si>
  <si>
    <t xml:space="preserve">   LIFESTG/LENGTH (POST ORBITAL MARGIN TO TELSON TIP)//TESTID/28//OEF/TEMPERATURE AND SALINITY EFCTS////</t>
  </si>
  <si>
    <t>Melita sp.</t>
  </si>
  <si>
    <t>MELITA PLUMULOSA, TL=8-10 MM</t>
  </si>
  <si>
    <t>NICKEL CHLORIDE</t>
  </si>
  <si>
    <t>10.1002/tox.20211</t>
  </si>
  <si>
    <t>4 REPLICATES</t>
  </si>
  <si>
    <t xml:space="preserve"> DNUM/5//TESTID/9//MSMT/BASED ON MEASURED CONCENTRATIONS WHICH ARE NOT REPORTED; NOMINAL CONCENTRATIONS ARE 4000/8000/12000/16000 UG/L//OEF/SEDIMENT STUDIES////</t>
  </si>
  <si>
    <t xml:space="preserve">   DNUM/5//TESTID/9//MSMT/BASED ON MEASURED CONCENTRATIONS WHICH ARE NOT REPORTED; NOMINAL CONCENTRATIONS ARE 4000/8000/12000/16000 UG/L//OEF/SEDIMENT STUDIES////</t>
  </si>
  <si>
    <t>King,C.K., S.A. Gale, and J.L. Stauber</t>
  </si>
  <si>
    <t>Acute Toxicity and Bioaccumulation of Aqueous and Sediment-Bound Metals in the Estuarine Amphipod Melita plumulosa</t>
  </si>
  <si>
    <t>Environ. Toxicol.21(5): 489-504</t>
  </si>
  <si>
    <t>King,C.K., S.A. Gale, and J.L. Stauber (2006). Acute Toxicity and Bioaccumulation of Aqueous and Sediment-Bound Metals in the Estuarine Amphipod Melita plumulosa. Environ. Toxicol., 21, (5), 489-504. doi:10.1002/tox.20211. ECOREF#:100591</t>
  </si>
  <si>
    <t>20-22</t>
  </si>
  <si>
    <t>KESTER'S ARTIFICIAL SEAWATER, 4 REPLICATES</t>
  </si>
  <si>
    <t>Memo from S.M.Lussier and J.A.Cardin to D.Hansen, U.S.EPA, Narragansett, RI:4 p.</t>
  </si>
  <si>
    <t>Lussier,S.M., and J.A. Cardin (1985). Results of Acute Toxicity Tests Conducted with Nickel at ERL, Narragansett. Memo from S.M.Lussier and J.A.Cardin to D.Hansen, U.S.EPA, Narragansett, RI, 4 p. ECOREF#:3826</t>
  </si>
  <si>
    <t xml:space="preserve"> DNUM/6//TESTID/9//OEF/MIXTURE, SALINITY EFCTS////</t>
  </si>
  <si>
    <t xml:space="preserve">   DNUM/6//TESTID/9//OEF/MIXTURE, SALINITY EFCTS////</t>
  </si>
  <si>
    <t xml:space="preserve"> LIFESTG/LENGTH (POST ORBITAL MARGIN TO TELSON TIP)//TESTID/25//OEF/TEMPERATURE AND SALINITY EFCTS////</t>
  </si>
  <si>
    <t xml:space="preserve">   LIFESTG/LENGTH (POST ORBITAL MARGIN TO TELSON TIP)//TESTID/25//OEF/TEMPERATURE AND SALINITY EFCTS////</t>
  </si>
  <si>
    <t xml:space="preserve"> LIFESTG/LENGTH (POST ORBITAL MARGIN TO TELSON TIP)//TESTID/29//OEF/TEMPERATURE AND SALINITY EFCTS////</t>
  </si>
  <si>
    <t xml:space="preserve">   LIFESTG/LENGTH (POST ORBITAL MARGIN TO TELSON TIP)//TESTID/29//OEF/TEMPERATURE AND SALINITY EFCTS////</t>
  </si>
  <si>
    <t>MELITA PLUMULOSA, TL=0.96 MM</t>
  </si>
  <si>
    <t xml:space="preserve"> DNUM/5//TESTID/14//MSMT/BASED ON MEASURED CONCENTRATIONS WHICH ARE NOT REPORTED; NOMINAL CONCENTRATIONS ARE 4000/8000/12000/16000 UG/L//OEF/SEDIMENT STUDIES////</t>
  </si>
  <si>
    <t xml:space="preserve">   DNUM/5//TESTID/14//MSMT/BASED ON MEASURED CONCENTRATIONS WHICH ARE NOT REPORTED; NOMINAL CONCENTRATIONS ARE 4000/8000/12000/16000 UG/L//OEF/SEDIMENT STUDIES////</t>
  </si>
  <si>
    <t xml:space="preserve"> DNUM/6//TESTID/10//OEF/MIXTURE, SALINITY EFCTS////</t>
  </si>
  <si>
    <t xml:space="preserve">   DNUM/6//TESTID/10//OEF/MIXTURE, SALINITY EFCTS////</t>
  </si>
  <si>
    <t>Corophium volutator</t>
  </si>
  <si>
    <t>volutator</t>
  </si>
  <si>
    <t>AN</t>
  </si>
  <si>
    <t>10.3354/meps024139</t>
  </si>
  <si>
    <t>Bryant,V., D.M. Newbery, D.S. McLusky, and R. Campbell</t>
  </si>
  <si>
    <t>Effect of Temperature and Salinity on the Toxicity of Nickel and Zinc to Two Estuarine Invertebrates (Corophium volutator, Macoma balthica)</t>
  </si>
  <si>
    <t>Mar. Ecol. Prog. Ser.24(1/2): 139-153</t>
  </si>
  <si>
    <t>Bryant,V., D.M. Newbery, D.S. McLusky, and R. Campbell (1985). Effect of Temperature and Salinity on the Toxicity of Nickel and Zinc to Two Estuarine Invertebrates (Corophium volutator, Macoma balthica). Mar. Ecol. Prog. Ser., 24, (1/2), 139-153. doi:10.3354/meps024139. ECOREF#:11875</t>
  </si>
  <si>
    <t>35-50 MM</t>
  </si>
  <si>
    <t xml:space="preserve"> CONC/AS NI//ENDPT/PROBIT// </t>
  </si>
  <si>
    <t xml:space="preserve">   CONC/AS NI//ENDPT/PROBIT// </t>
  </si>
  <si>
    <t>Bentley,R.E., T. Heitmuller, B.H. Sleight III, and P.R. Parrish</t>
  </si>
  <si>
    <t>Acute Toxicity of Nickel to Bluegill (Lepomis macrochirus), Rainbow Trout (Salmo gairdneri), and Pink Shrimp (Penaeus duorarum)</t>
  </si>
  <si>
    <t>U.S.EPA, Criteria Branch, WA-6-99-1414-B, Washington, D.C:14-</t>
  </si>
  <si>
    <t>Bentley,R.E., T. Heitmuller, B.H. Sleight III, and P.R. Parrish (1975). Acute Toxicity of Nickel to Bluegill (Lepomis macrochirus), Rainbow Trout (Salmo gairdneri), and Pink Shrimp (Penaeus duorarum). U.S.EPA, Criteria Branch, WA-6-99-1414-B, Washington, D.C, 14-. ECOREF#:3779</t>
  </si>
  <si>
    <t>28-56</t>
  </si>
  <si>
    <t>KESTER'S ARTIFICIAL SEAWATER, 3 REPLICATES</t>
  </si>
  <si>
    <t>19-25</t>
  </si>
  <si>
    <t>4 REPLICATES, KESTER'S ARTIFICAL SEAWATER</t>
  </si>
  <si>
    <t>American chemical society grade</t>
  </si>
  <si>
    <t>NICL2.6H2O, SIGMA-ALDRICH</t>
  </si>
  <si>
    <t>10.1016/j.ecoenv.2020.111373</t>
  </si>
  <si>
    <t>REFERRED TO AS ACUTE TOXICITY TEST</t>
  </si>
  <si>
    <t xml:space="preserve">SOURCE/COLLECTED IN AQUATIC ENVIRONMENTS OF HONG KONG//MEDIA/FILTERED ARTIFICIAL SEAWATER//   </t>
  </si>
  <si>
    <t>Wang,Z., K.W.Y. Yeung, G.J. Zhou, M.M.N. Yung, C.E. Schlekat, E.R. Garman, F. Gissi, J.L. Stauber, E.T. Middleton, Y.Y.</t>
  </si>
  <si>
    <t>Acute and Chronic Toxicity of Nickel on Freshwater and Marine Tropical Aquatic Organisms</t>
  </si>
  <si>
    <t>Ecotoxicol. Environ. Saf.206:9 p.</t>
  </si>
  <si>
    <t>Wang,Z., K.W.Y. Yeung, G.J. Zhou, M.M.N. Yung, C.E. Schlekat, E.R. Garman, F. Gissi, J.L. Stauber, E.T. Middleton, Y.Y. (2020). Acute and Chronic Toxicity of Nickel on Freshwater and Marine Tropical Aquatic Organisms. Ecotoxicol. Environ. Saf., 206, 9 p. doi:10.1016/j.ecoenv.2020.111373. ECOREF#:193873</t>
  </si>
  <si>
    <t>31-57</t>
  </si>
  <si>
    <t>46-58</t>
  </si>
  <si>
    <t>18-22</t>
  </si>
  <si>
    <t>Sulfuric acid, Zinc salt (1:1)</t>
  </si>
  <si>
    <t>P32</t>
  </si>
  <si>
    <t>Lin,S.J., and Y.Y. Tin</t>
  </si>
  <si>
    <t>The Toxicity of Heavy Metals to Juvenile Penaeus penicillatus in Each Stage</t>
  </si>
  <si>
    <t>J. Taiwan Fish. Res.1(2): 55-65</t>
  </si>
  <si>
    <t>Lin,S.J., and Y.Y. Tin (1993). The Toxicity of Heavy Metals to Juvenile Penaeus penicillatus in Each Stage. J. Taiwan Fish. Res., 1, (2), 55-65. ECOREF#:14402</t>
  </si>
  <si>
    <t>Temora stylifera</t>
  </si>
  <si>
    <t>Temora</t>
  </si>
  <si>
    <t>stylifera</t>
  </si>
  <si>
    <t>MALE</t>
  </si>
  <si>
    <t>10.1007/BF00201007</t>
  </si>
  <si>
    <t>Nipper,M.G., C. Badaro-Pedroso, V.F. Jose, and S.L.R. Melo</t>
  </si>
  <si>
    <t>Toxicity Testing with Coastal Species of Southeastern Brazil. Mysids and Copepods</t>
  </si>
  <si>
    <t>Bull. Environ. Contam. Toxicol.51:99-106</t>
  </si>
  <si>
    <t>Nipper,M.G., C. Badaro-Pedroso, V.F. Jose, and S.L.R. Melo (1993). Toxicity Testing with Coastal Species of Southeastern Brazil. Mysids and Copepods. Bull. Environ. Contam. Toxicol., 51, 99-106. doi:10.1007/BF00201007. ECOREF#:6825</t>
  </si>
  <si>
    <t>10.1007/BF01055911</t>
  </si>
  <si>
    <t>MacRae,T.H., and A.S. Pandey</t>
  </si>
  <si>
    <t>Effects of Metals on Early Life Stages of the Brine Shrimp, Artemia:  A Developmental Toxicity Assay</t>
  </si>
  <si>
    <t>Arch. Environ. Contam. Toxicol.20(2): 247-252</t>
  </si>
  <si>
    <t>MacRae,T.H., and A.S. Pandey (1991). Effects of Metals on Early Life Stages of the Brine Shrimp, Artemia:  A Developmental Toxicity Assay. Arch. Environ. Contam. Toxicol., 20, (2), 247-252. doi:10.1007/BF01055911. ECOREF#:4</t>
  </si>
  <si>
    <t>10.1002/etc.5620081106</t>
  </si>
  <si>
    <t>Martin,M., J.W. Hunt, B.S. Anderson, S.L. Turpen, and F.H. Palmer</t>
  </si>
  <si>
    <t>Experimental Evaluation of the Mysid Holmesimysis costata as a Test Organism for Effluent Toxicity Testing</t>
  </si>
  <si>
    <t>Environ. Toxicol. Chem.8(11): 1003-1012</t>
  </si>
  <si>
    <t>Martin,M., J.W. Hunt, B.S. Anderson, S.L. Turpen, and F.H. Palmer (1989). Experimental Evaluation of the Mysid Holmesimysis costata as a Test Organism for Effluent Toxicity Testing. Environ. Toxicol. Chem., 8, (11), 1003-1012. doi:10.1002/etc.5620081106. ECOREF#:6821</t>
  </si>
  <si>
    <t>P40</t>
  </si>
  <si>
    <t>ZINC SULFATE</t>
  </si>
  <si>
    <t xml:space="preserve"> DNUM/7//TESTID/15//MSMT/BASED ON MEASURED CONCENTRATIONS WHICH ARE NOT REPORTED; NOMINAL CONCENTRATIONS ARE 500/1000/1500/2000/2500/3000 UG/L//OEF/SEDIMENT STUDIES////</t>
  </si>
  <si>
    <t xml:space="preserve">   DNUM/7//TESTID/15//MSMT/BASED ON MEASURED CONCENTRATIONS WHICH ARE NOT REPORTED; NOMINAL CONCENTRATIONS ARE 500/1000/1500/2000/2500/3000 UG/L//OEF/SEDIMENT STUDIES////</t>
  </si>
  <si>
    <t>Mysidopsis juniae</t>
  </si>
  <si>
    <t>juniae</t>
  </si>
  <si>
    <t>Acartia lillgeborgi</t>
  </si>
  <si>
    <t>lillgeborgi</t>
  </si>
  <si>
    <t>Formulation</t>
  </si>
  <si>
    <t>CARAPACE WIDTH 9 CM</t>
  </si>
  <si>
    <t>ug/ml</t>
  </si>
  <si>
    <t>ZINC SULPHATE</t>
  </si>
  <si>
    <t>Baseline control</t>
  </si>
  <si>
    <t>TEST WATER FROM 5 KM OFF COAST OF ALEXANDRIA, EQYPT, FILTERED 0.45 UM, SALINITY ADJUSTED AND AERATED</t>
  </si>
  <si>
    <t xml:space="preserve"> DNUM/3//DOSES/28.8 to 80/23.4 to 100 ug/ml//TESTID/1//OEF/SAFE CONCENTRATION, SURVEY////</t>
  </si>
  <si>
    <t xml:space="preserve">   DNUM/3//DOSES/28.8 to 80/23.4 to 100 ug/ml//TESTID/1//OEF/SAFE CONCENTRATION, SURVEY////</t>
  </si>
  <si>
    <t>El-Rayis,O.A.M., and A.A. Ezzat</t>
  </si>
  <si>
    <t>Bioaccumulation of Some Heavy Metals in Coastal Marine Animals in the Vicinity of Alexandria I. Bioassay</t>
  </si>
  <si>
    <t>FAO Fish. Rep.334(suppl.): 57-66</t>
  </si>
  <si>
    <t>El-Rayis,O.A.M., and A.A. Ezzat (1986). Bioaccumulation of Some Heavy Metals in Coastal Marine Animals in the Vicinity of Alexandria I. Bioassay. FAO Fish. Rep., 334, (suppl.), 57-66. ECOREF#:14467</t>
  </si>
  <si>
    <t>SEASONAL VARIABILITY</t>
  </si>
  <si>
    <t>ZINC SULPHATE, ZNSO2 7H20</t>
  </si>
  <si>
    <t xml:space="preserve"> LIFESTG/LENGTH (POST ORBITAL MARGIN TO TELSON TIP)//TESTID/19//OEF/TEMPERATURE AND SALINITY EFCTS////</t>
  </si>
  <si>
    <t xml:space="preserve">   LIFESTG/LENGTH (POST ORBITAL MARGIN TO TELSON TIP)//TESTID/19//OEF/TEMPERATURE AND SALINITY EFCTS////</t>
  </si>
  <si>
    <t>Mature</t>
  </si>
  <si>
    <t>MALE,190-210 G,14-15.6 CM/</t>
  </si>
  <si>
    <t xml:space="preserve"> LIFESTG/CARAPACE//</t>
  </si>
  <si>
    <t xml:space="preserve">   LIFESTG/CARAPACE//</t>
  </si>
  <si>
    <t>Hilmy,A.M., N.F. Abdel-Hamid, and K.S. Ghazaly</t>
  </si>
  <si>
    <t>Toxic Effects of Both Zinc and Copper on Size and Sex of Portunus pelagicus (L) (Crustacea:  Decapoda)</t>
  </si>
  <si>
    <t>Bull. Inst. Oceanogr. Fish. (Cairo)11:207-215</t>
  </si>
  <si>
    <t>Hilmy,A.M., N.F. Abdel-Hamid, and K.S. Ghazaly (1985). Toxic Effects of Both Zinc and Copper on Size and Sex of Portunus pelagicus (L) (Crustacea:  Decapoda). Bull. Inst. Oceanogr. Fish. (Cairo), 11, 207-215. ECOREF#:17415</t>
  </si>
  <si>
    <t>FEMALE, 190-210 G,14-15.6 CM/</t>
  </si>
  <si>
    <t>Macrophthalmus erato</t>
  </si>
  <si>
    <t>Mangrove Crab</t>
  </si>
  <si>
    <t>Macrophthalmus</t>
  </si>
  <si>
    <t>erato</t>
  </si>
  <si>
    <t>ZINC SULFATE, ZNSO4 *7H2O</t>
  </si>
  <si>
    <t>Multiple control types</t>
  </si>
  <si>
    <t xml:space="preserve"> DNUM/6//DOSES/100/120/140/160/180 ug/L//TESTID/4//CONTR/C,V//OEF/TOXICITY SYMPTOMS, SAFE CONCENTRATION////</t>
  </si>
  <si>
    <t xml:space="preserve">   DNUM/6//DOSES/100/120/140/160/180 ug/L//TESTID/4//CONTR/C,V//OEF/TOXICITY SYMPTOMS, SAFE CONCENTRATION////</t>
  </si>
  <si>
    <t>Kannupandi,T., K. Pasupathi, and P. Soundarapandian</t>
  </si>
  <si>
    <t>Acute Toxicity Bioassay of Endosulfan, HCH, Copper and Zinc on Larva of Mangrove Crab Macrophthalmus erato (De Man)</t>
  </si>
  <si>
    <t>J. Mar. Biol. Assoc. India42(1-2): 173-177</t>
  </si>
  <si>
    <t>Kannupandi,T., K. Pasupathi, and P. Soundarapandian (2000). Acute Toxicity Bioassay of Endosulfan, HCH, Copper and Zinc on Larva of Mangrove Crab Macrophthalmus erato (De Man). J. Mar. Biol. Assoc. India, 42, (1-2), 173-177. ECOREF#:69820</t>
  </si>
  <si>
    <t>Tenagomysis novaezealandiae</t>
  </si>
  <si>
    <t>Tenagomysis</t>
  </si>
  <si>
    <t>novaezealandiae</t>
  </si>
  <si>
    <t>AUTHOR REPORTED AS TENAGOMYSIS/</t>
  </si>
  <si>
    <t>ZINC SULFATE, ZNSO4*7H2O</t>
  </si>
  <si>
    <t>AUTHOR TESTS MORTALITY IN ACUTE TOXICITY TEST</t>
  </si>
  <si>
    <t xml:space="preserve"> LIFESTG/NOVAE-ZEALANDIAE//DOSES/0.18 to 1.0 mg/L//TESTID/2//OEF/DIETARY, SALINITY, LIGHTING, WATER RENEWAL AND ORGANISM DENSITY STUDIES WERE ALSO REPORTED////</t>
  </si>
  <si>
    <t xml:space="preserve">   LIFESTG/NOVAE-ZEALANDIAE//DOSES/0.18 to 1.0 mg/L//TESTID/2//OEF/DIETARY, SALINITY, LIGHTING, WATER RENEWAL AND ORGANISM DENSITY STUDIES WERE ALSO REPORTED////</t>
  </si>
  <si>
    <t>Nipper,M.G., and E.K. Williams</t>
  </si>
  <si>
    <t>Culturing and Toxicity Testing with the New Zealand Mysid Tenagomysis novae-zealandiae, with a Summary of Toxicological Research in this Group</t>
  </si>
  <si>
    <t>Australas. J. Ecotoxicol.3(2): 117-129</t>
  </si>
  <si>
    <t>Nipper,M.G., and E.K. Williams (1997). Culturing and Toxicity Testing with the New Zealand Mysid Tenagomysis novae-zealandiae, with a Summary of Toxicological Research in this Group. Australas. J. Ecotoxicol., 3, (2), 117-129. ECOREF#:84096</t>
  </si>
  <si>
    <t>FEMALES WITH EGGS</t>
  </si>
  <si>
    <t>10.1127/archiv-hydrobiol/114/1989/457</t>
  </si>
  <si>
    <t>FED</t>
  </si>
  <si>
    <t>Verriopoulos,G., and M. Moraitou-Apostolopoulou</t>
  </si>
  <si>
    <t>Toxicity of Zinc to the Marine Copepod Tisbe holothuriae; the Importance of the Food Factor</t>
  </si>
  <si>
    <t>Arch. Hydrobiol.114(3): 457-463</t>
  </si>
  <si>
    <t>Verriopoulos,G., and M. Moraitou-Apostolopoulou (1989). Toxicity of Zinc to the Marine Copepod Tisbe holothuriae; the Importance of the Food Factor. Arch. Hydrobiol., 114, (3), 457-463. doi:10.1127/archiv-hydrobiol/114/1989/457. ECOREF#:2084</t>
  </si>
  <si>
    <t>Standard Methods for the Examination of Water and Wastewater</t>
  </si>
  <si>
    <t>Clibanarius longitarsus</t>
  </si>
  <si>
    <t>longitarsus</t>
  </si>
  <si>
    <t>15-20 MM CARAPACE LENGTH</t>
  </si>
  <si>
    <t>Zinc sulfate, ZNSO4.7H2O</t>
  </si>
  <si>
    <t>Lyla,P.S., and S.A. Khan</t>
  </si>
  <si>
    <t>Pattern of Accumulation of Heavy Metals (Copper and Zinc) in the Estuarine Hermit Crab Clibanarius longitarsus (De Hann)</t>
  </si>
  <si>
    <t>Indian J. Geo-Marine Sci.40(1): 117-120</t>
  </si>
  <si>
    <t>Lyla,P.S., and S.A. Khan (2011). Pattern of Accumulation of Heavy Metals (Copper and Zinc) in the Estuarine Hermit Crab Clibanarius longitarsus (De Hann). Indian J. Geo-Marine Sci., 40, (1), 117-120. ECOREF#:154096</t>
  </si>
  <si>
    <t xml:space="preserve"> LIFESTG/LENGTH (POST ORBITAL MARGIN TO TELSON TIP)//TESTID/22//OEF/TEMPERATURE AND SALINITY EFCTS////</t>
  </si>
  <si>
    <t xml:space="preserve">   LIFESTG/LENGTH (POST ORBITAL MARGIN TO TELSON TIP)//TESTID/22//OEF/TEMPERATURE AND SALINITY EFCTS////</t>
  </si>
  <si>
    <t>GRAVID FEMALES</t>
  </si>
  <si>
    <t>Litopenaeus schmitti</t>
  </si>
  <si>
    <t>Southern White Shrimp</t>
  </si>
  <si>
    <t>schmitti</t>
  </si>
  <si>
    <t>1.3 G,3.2 CM TOTAL LENGTH</t>
  </si>
  <si>
    <t>10.2175/106143006X136775</t>
  </si>
  <si>
    <t xml:space="preserve"> DNUM/8//DOSES/0.01/0.1/0.5/1.0/2.0/3.0/4.0 mg/l//TESTID/2//</t>
  </si>
  <si>
    <t xml:space="preserve">   DNUM/8//DOSES/0.01/0.1/0.5/1.0/2.0/3.0/4.0 mg/l//TESTID/2//</t>
  </si>
  <si>
    <t>Barbieri,E.</t>
  </si>
  <si>
    <t>Use of Oxygen Consumption and Ammonium Excretion to Evaluate the Sublethal Toxicity of Cadmium and Zinc on Litopenaeus schmitti (Burkenroad, 1936, Crustacea)</t>
  </si>
  <si>
    <t>Water Environ. Res.79(6): 641-646</t>
  </si>
  <si>
    <t>Barbieri,E. (2007). Use of Oxygen Consumption and Ammonium Excretion to Evaluate the Sublethal Toxicity of Cadmium and Zinc on Litopenaeus schmitti (Burkenroad, 1936, Crustacea). Water Environ. Res., 79, (6), 641-646. doi:10.2175/106143006X136775. ECOREF#:101373</t>
  </si>
  <si>
    <t xml:space="preserve"> TESTID/4//MSMT/NR//DOSES/1.144/3.144/8.144/12.144/16.144/20.144/24.144/30.144 MG/L//SOURCE/WLD//WTINT/NR//DNUM/9//SEX/NR//TMETH/NR//STYPE/ACUTE//ETIME/96 H//AP RATE/NR//SAMPN/NR//WTAT/NR//INTAKE/NR//COMPEP/NR//LD/NR//DW/NR//STST/NR//HMA/NR//NA/NR//CL/NR//DIC/NR//CA/NR//POT/NR//MG/NR//SO4/NR//SULF/NR//</t>
  </si>
  <si>
    <t xml:space="preserve">   TESTID/4//MSMT/NR//DOSES/1.144/3.144/8.144/12.144/16.144/20.144/24.144/30.144 MG/L//SOURCE/WLD//WTINT/NR//DNUM/9//SEX/NR//TMETH/NR//STYPE/ACUTE//ETIME/96 H//AP RATE/NR//SAMPN/NR//WTAT/NR//INTAKE/NR//COMPEP/NR//LD/NR//DW/NR//STST/NR//HMA/NR//NA/NR//CL/NR//DIC/NR//CA/NR//POT/NR//MG/NR//SO4/NR//SULF/NR//</t>
  </si>
  <si>
    <t>Ramadan,S.E., A.N. Khalil, N.M. Dowidar, and S.F. Elsonbaty</t>
  </si>
  <si>
    <t>Toxicity and Bioaccumulation of Cu2+ and Zn2+ in Two Isopod Species (Crustacea)</t>
  </si>
  <si>
    <t>Bull. Natl. Inst. Oceanogr. Fish.23:135-154</t>
  </si>
  <si>
    <t>Ramadan,S.E., A.N. Khalil, N.M. Dowidar, and S.F. Elsonbaty (1997). Toxicity and Bioaccumulation of Cu2+ and Zn2+ in Two Isopod Species (Crustacea). Bull. Natl. Inst. Oceanogr. Fish., 23, 135-154. ECOREF#:84114</t>
  </si>
  <si>
    <t>Robertsonia propinqua</t>
  </si>
  <si>
    <t>Marine Harpacticoid Copepod</t>
  </si>
  <si>
    <t>Robertsonia</t>
  </si>
  <si>
    <t>propinqua</t>
  </si>
  <si>
    <t>Zinc sulfate, ZINC SULFATE, ZNSO4.7H2O</t>
  </si>
  <si>
    <t>10.1080/00288330809509939</t>
  </si>
  <si>
    <t>Hack,L.A., L.A. Tremblay, S.D. Wratten, G. Forrester, and V. Keesing</t>
  </si>
  <si>
    <t>Zinc Sulfate and Atrazine Toxicity to the Marine Harpacticoid Copepod Robertsonia propinqua</t>
  </si>
  <si>
    <t>N. Z. J. Mar. Freshw. Res.42(1): 93-98</t>
  </si>
  <si>
    <t>Hack,L.A., L.A. Tremblay, S.D. Wratten, G. Forrester, and V. Keesing (2008). Zinc Sulfate and Atrazine Toxicity to the Marine Harpacticoid Copepod Robertsonia propinqua. N. Z. J. Mar. Freshw. Res., 42, (1), 93-98. doi:10.1080/00288330809509939. ECOREF#:111830</t>
  </si>
  <si>
    <t>Farfantepenaeus paulensis</t>
  </si>
  <si>
    <t>paulensis</t>
  </si>
  <si>
    <t>0.0037 G,9.8 MM</t>
  </si>
  <si>
    <t>ZINC SULFATE, ZNSO4*7H20</t>
  </si>
  <si>
    <t>10.1016/S0022-0981(00)00152-0</t>
  </si>
  <si>
    <t xml:space="preserve"> DNUM/6//DOSES/0.5/1.0/2.0/4.0/8.0 ppm//TESTID/1//OEF/MIXTURE////</t>
  </si>
  <si>
    <t xml:space="preserve">   DNUM/6//DOSES/0.5/1.0/2.0/4.0/8.0 ppm//TESTID/1//OEF/MIXTURE////</t>
  </si>
  <si>
    <t>Santos,M.H.S., N. Troca da Cunha, and A. Bianchini</t>
  </si>
  <si>
    <t>Effects of Copper and Zinc on Growth, Feeding and Oxygen Consumption of Farfantepenaeus paulensis Postlarvae (Decapoda:  Penaeidae)</t>
  </si>
  <si>
    <t>J. Exp. Mar. Biol. Ecol.247(2): 233-242</t>
  </si>
  <si>
    <t>Santos,M.H.S., N. Troca da Cunha, and A. Bianchini (2000). Effects of Copper and Zinc on Growth, Feeding and Oxygen Consumption of Farfantepenaeus paulensis Postlarvae (Decapoda:  Penaeidae). J. Exp. Mar. Biol. Ecol., 247, (2), 233-242. doi:10.1016/S0022-0981(00)00152-0. ECOREF#:60111</t>
  </si>
  <si>
    <t>P8</t>
  </si>
  <si>
    <t>P24</t>
  </si>
  <si>
    <t xml:space="preserve"> LIFESTG/NOVAE-ZEALANDIAE//DOSES/0.18 to 1.0 mg/L//TESTID/3//OEF/DIETARY, SALINITY, LIGHTING, WATER RENEWAL AND ORGANISM DENSITY STUDIES WERE ALSO REPORTED////</t>
  </si>
  <si>
    <t xml:space="preserve">   LIFESTG/NOVAE-ZEALANDIAE//DOSES/0.18 to 1.0 mg/L//TESTID/3//OEF/DIETARY, SALINITY, LIGHTING, WATER RENEWAL AND ORGANISM DENSITY STUDIES WERE ALSO REPORTED////</t>
  </si>
  <si>
    <t>40-50 MM</t>
  </si>
  <si>
    <t>Viswanathan,S., and M.K. Manisseri</t>
  </si>
  <si>
    <t>Histopathological Studies on Zinc Toxicity in Penaeus indicus H. Milne Edwards</t>
  </si>
  <si>
    <t>In: Mariculture Research Under the Postgraduate Programme in Mariculture, Part 6, Special Publication 61, Central Marine Fisheries Research Institute, Ernakulam, India61:25-29</t>
  </si>
  <si>
    <t>Viswanathan,S., and M.K. Manisseri (1995). Histopathological Studies on Zinc Toxicity in Penaeus indicus H. Milne Edwards. In: Mariculture Research Under the Postgraduate Programme in Mariculture, Part 6, Special Publication 61, Central Marine Fisheries Research Institute, Ernakulam, India, 61, 25-29. ECOREF#:19405</t>
  </si>
  <si>
    <t>Leptodius exaratus</t>
  </si>
  <si>
    <t>Pebble Crab</t>
  </si>
  <si>
    <t>Xanthidae</t>
  </si>
  <si>
    <t>Leptodius</t>
  </si>
  <si>
    <t>exaratus</t>
  </si>
  <si>
    <t>6.26 G,WTINT, 2.97 CM LENGTH,/</t>
  </si>
  <si>
    <t>&gt;=6</t>
  </si>
  <si>
    <t>ZINC SULFATE, ZNSO4 7H2O</t>
  </si>
  <si>
    <t xml:space="preserve"> LIFESTG/COLLECTED OFF THE KARACHI COAST, PAKISTAN//DNUM/&gt;= 6//DOSES/1 to 8 mg/l//TESTID/8//OEF/TOXICITY SYMPTOMS////</t>
  </si>
  <si>
    <t xml:space="preserve">   LIFESTG/COLLECTED OFF THE KARACHI COAST, PAKISTAN//DNUM/&gt;= 6//DOSES/1 to 8 mg/l//TESTID/8//OEF/TOXICITY SYMPTOMS////</t>
  </si>
  <si>
    <t>Kidwai,S., and M. Ahmed</t>
  </si>
  <si>
    <t>Heavy Metal Bioassays on Selected Fauna from the Karachi Coast (Northwest Arabian Sea)</t>
  </si>
  <si>
    <t>Pak. J. Zool.30(2): 147-157</t>
  </si>
  <si>
    <t>Kidwai,S., and M. Ahmed (1999). Heavy Metal Bioassays on Selected Fauna from the Karachi Coast (Northwest Arabian Sea). Pak. J. Zool., 30, (2), 147-157. ECOREF#:62226</t>
  </si>
  <si>
    <t>Quinquelaophonte sp.</t>
  </si>
  <si>
    <t>Laophontidae</t>
  </si>
  <si>
    <t>Quinquelaophonte</t>
  </si>
  <si>
    <t>10.1016/j.ecoenv.2012.04.008</t>
  </si>
  <si>
    <t>Male organisms</t>
  </si>
  <si>
    <t>Stringer,T.J., C.N. Glover, V. Keesing, G.L. Northcott, and L.A. Tremblay</t>
  </si>
  <si>
    <t>Development of a Harpacticoid Copepod Bioassay:  Selection of Species and Relative Sensitivity to Zinc, Atrazine and Phenanthrene</t>
  </si>
  <si>
    <t>Ecotoxicol. Environ. Saf.80:363-371</t>
  </si>
  <si>
    <t>Stringer,T.J., C.N. Glover, V. Keesing, G.L. Northcott, and L.A. Tremblay (2012). Development of a Harpacticoid Copepod Bioassay:  Selection of Species and Relative Sensitivity to Zinc, Atrazine and Phenanthrene. Ecotoxicol. Environ. Saf., 80, 363-371. doi:10.1016/j.ecoenv.2012.04.008. ECOREF#:161986</t>
  </si>
  <si>
    <t>Female organisms</t>
  </si>
  <si>
    <t>Zinc sulfate (ZnSO4), ZNSO4, 1ML DOUBLE-DISTILLED HNO3 TO 1 L OF METAL STOCK SOLUTION REDUCED SURFACE PLATING ON THE CONTAINER WALLS AS WELL AS INCREASED METAL SOLUBILITY.</t>
  </si>
  <si>
    <t xml:space="preserve"> LIFESTG/LENGTH (POST ORBITAL MARGIN TO TELSON TIP)//TESTID/20//OEF/TEMPERATURE AND SALINITY EFCTS////</t>
  </si>
  <si>
    <t xml:space="preserve">   LIFESTG/LENGTH (POST ORBITAL MARGIN TO TELSON TIP)//TESTID/20//OEF/TEMPERATURE AND SALINITY EFCTS////</t>
  </si>
  <si>
    <t xml:space="preserve"> TESTID/4//MSMT/NR//DOSES/1.144/3.144/8.144/12.144/16.144/20.144/24.144/30.144 MG/L//SOURCE/WLD//WTINT/NR//DNUM/9//SEX/NR//TMETH/NR//STYPE/ACUTE//ETIME/96 H//AP RATE/NR//SAMPN/NR//WTAT/NR//INTAKE/NR//COMPEP/NR//LD/NR//DW/NR//STST/NO//HMA/NR//NA/NR//CL/NR//DIC/NR//CA/NR//POT/NR//MG/NR//SO4/NR//SULF/NR//</t>
  </si>
  <si>
    <t xml:space="preserve">   TESTID/4//MSMT/NR//DOSES/1.144/3.144/8.144/12.144/16.144/20.144/24.144/30.144 MG/L//SOURCE/WLD//WTINT/NR//DNUM/9//SEX/NR//TMETH/NR//STYPE/ACUTE//ETIME/96 H//AP RATE/NR//SAMPN/NR//WTAT/NR//INTAKE/NR//COMPEP/NR//LD/NR//DW/NR//STST/NO//HMA/NR//NA/NR//CL/NR//DIC/NR//CA/NR//POT/NR//MG/NR//SO4/NR//SULF/NR//</t>
  </si>
  <si>
    <t>Tiburonella viscana</t>
  </si>
  <si>
    <t>Burrowing Amphipod</t>
  </si>
  <si>
    <t>Platyischnopidae</t>
  </si>
  <si>
    <t>Tiburonella</t>
  </si>
  <si>
    <t>viscana</t>
  </si>
  <si>
    <t>ZINC SULFATE, ZNSO4-7H2O</t>
  </si>
  <si>
    <t>10.1016/j.ecoenv.2005.12.003</t>
  </si>
  <si>
    <t xml:space="preserve"> DNUM/6//DOSES/0.1/0.5/1/5/10 mg/L//TESTID/1//OEF/SEDIMENT STUDY////</t>
  </si>
  <si>
    <t xml:space="preserve">   DNUM/6//DOSES/0.1/0.5/1/5/10 mg/L//TESTID/1//OEF/SEDIMENT STUDY////</t>
  </si>
  <si>
    <t>Melo,S.L.R., and M. Nipper</t>
  </si>
  <si>
    <t>Sediment Toxicity Tests Using the Burrowing Amphipod Tiburonella viscana (Amphipoda:  Platyischnopidae)</t>
  </si>
  <si>
    <t>Ecotoxicol. Environ. Saf.66(3): 412-420</t>
  </si>
  <si>
    <t>Melo,S.L.R., and M. Nipper (2007). Sediment Toxicity Tests Using the Burrowing Amphipod Tiburonella viscana (Amphipoda:  Platyischnopidae). Ecotoxicol. Environ. Saf., 66, (3), 412-420. doi:10.1016/j.ecoenv.2005.12.003. ECOREF#:102148</t>
  </si>
  <si>
    <t>ZINC SULFATE, ZNSO4.7H2O</t>
  </si>
  <si>
    <t xml:space="preserve"> DNUM/7//TESTID/3//OEF/OIL, MIXTURE EFCTS////</t>
  </si>
  <si>
    <t xml:space="preserve">   DNUM/7//TESTID/3//OEF/OIL, MIXTURE EFCTS////</t>
  </si>
  <si>
    <t>P16</t>
  </si>
  <si>
    <t>Parhyale hawaiensis</t>
  </si>
  <si>
    <t>Parhyale</t>
  </si>
  <si>
    <t>hawaiensis</t>
  </si>
  <si>
    <t>Zinc sulfate (ZnSO4), ZNSO4.7H2O, FROM SIGMA-ALDRICH</t>
  </si>
  <si>
    <t>10.1002/em.22560</t>
  </si>
  <si>
    <t>IN 96-WELL PLATES, MORTALITY TEST, MEAN LC50 CALCULATED FROM 6 SAMPLING DATES</t>
  </si>
  <si>
    <t xml:space="preserve">SOURCE/FROM LABORATORY CULTURE//TMETH/OECD 2019 TEST 23; ARTAL ET AL. 2018//MEDIA/AERATED ARTIFICIAL SEAWATER//  CONC1/FROM GRAPH// </t>
  </si>
  <si>
    <t>Botelho,M.T., G.G. Militao, M. Brinkmann, and G.D.A. Umbuzeiro</t>
  </si>
  <si>
    <t>Toxicity and Mutagenicity Studies of 6PPD-Quinone in a Marine Invertebrate Species and Bacteria</t>
  </si>
  <si>
    <t>Environ. Mol. Mutagen.64(6): 335-341</t>
  </si>
  <si>
    <t>Botelho,M.T., G.G. Militao, M. Brinkmann, and G.D.A. Umbuzeiro (2023). Toxicity and Mutagenicity Studies of 6PPD-Quinone in a Marine Invertebrate Species and Bacteria. Environ. Mol. Mutagen., 64, (6), 335-341. doi:10.1002/em.22560. ECOREF#:191258</t>
  </si>
  <si>
    <t>Cirolana bovina</t>
  </si>
  <si>
    <t>Sowbug</t>
  </si>
  <si>
    <t>Cirolanidae</t>
  </si>
  <si>
    <t>Cirolana</t>
  </si>
  <si>
    <t>bovina</t>
  </si>
  <si>
    <t xml:space="preserve"> TESTID/3//MSMT/NR//DOSES/2.144/4.144/6.144/8.144/10.144/12.144/16.144/20.144/24.144/28.144/30.144/40.144 MG/L//SOURCE/WLD//WTINT/NR//DNUM/13//SEX/NR//TMETH/NR//STYPE/ACUTE//ETIME/96 H//AP RATE/NR//SAMPN/NR//WTAT/NR//INTAKE/NR//COMPEP/NR//LD/NR//DW/NR//STST/NR//HMA/NR//NA/NR//CL/NR//DIC/NR//CA/NR//POT/NR//MG/NR//SO4/NR//SULF/NR//</t>
  </si>
  <si>
    <t xml:space="preserve">   TESTID/3//MSMT/NR//DOSES/2.144/4.144/6.144/8.144/10.144/12.144/16.144/20.144/24.144/28.144/30.144/40.144 MG/L//SOURCE/WLD//WTINT/NR//DNUM/13//SEX/NR//TMETH/NR//STYPE/ACUTE//ETIME/96 H//AP RATE/NR//SAMPN/NR//WTAT/NR//INTAKE/NR//COMPEP/NR//LD/NR//DW/NR//STST/NR//HMA/NR//NA/NR//CL/NR//DIC/NR//CA/NR//POT/NR//MG/NR//SO4/NR//SULF/NR//</t>
  </si>
  <si>
    <t>Copepodid</t>
  </si>
  <si>
    <t xml:space="preserve"> LIFESTG/LENGTH (POST ORBITAL MARGIN TO TELSON TIP)//TESTID/24//OEF/TEMPERATURE AND SALINITY EFCTS////</t>
  </si>
  <si>
    <t xml:space="preserve">   LIFESTG/LENGTH (POST ORBITAL MARGIN TO TELSON TIP)//TESTID/24//OEF/TEMPERATURE AND SALINITY EFCTS////</t>
  </si>
  <si>
    <t>ZINC SULFATE, ZINC SULFATE/</t>
  </si>
  <si>
    <t xml:space="preserve"> CHAR/HEPTAHYDRATE//DNUM/5//DOSES/1/5/10/20 ppm//TESTID/2//</t>
  </si>
  <si>
    <t xml:space="preserve">   CHAR/HEPTAHYDRATE//DNUM/5//DOSES/1/5/10/20 ppm//TESTID/2//</t>
  </si>
  <si>
    <t>INTERLAB  VARIABILITY</t>
  </si>
  <si>
    <t>0.3 G,19 MM TOTAL LENGTH</t>
  </si>
  <si>
    <t xml:space="preserve"> CHAR/HEPTAHYDRATE//DNUM/6//DOSES/5/10/20/40/80 mg/L//TESTID/4//</t>
  </si>
  <si>
    <t xml:space="preserve">   CHAR/HEPTAHYDRATE//DNUM/6//DOSES/5/10/20/40/80 mg/L//TESTID/4//</t>
  </si>
  <si>
    <t>NOT FED</t>
  </si>
  <si>
    <t>Heteropanope sp.</t>
  </si>
  <si>
    <t>Pilumnidae</t>
  </si>
  <si>
    <t>Heteropanope</t>
  </si>
  <si>
    <t>HETEROPANOPE INDICA</t>
  </si>
  <si>
    <t>FEMALES</t>
  </si>
  <si>
    <t>FEMALE, 60-80 G, 9-10 CM CARAPACE</t>
  </si>
  <si>
    <t>MALE, 60-80 G, 9-10 CM CARAPACE</t>
  </si>
  <si>
    <t>Metapenaeus sp.</t>
  </si>
  <si>
    <t>Penaeid Shrimp</t>
  </si>
  <si>
    <t>3.905 G,WTINT, 2.45 CM LENGTH,/</t>
  </si>
  <si>
    <t xml:space="preserve"> LIFESTG/COLLECTED OFF THE KARACHI COAST, PAKISTAN//DNUM/&gt;= 6//DOSES/1 to 12.5 mg/l//TESTID/7//OEF/TOXICITY SYMPTOMS////</t>
  </si>
  <si>
    <t xml:space="preserve">   LIFESTG/COLLECTED OFF THE KARACHI COAST, PAKISTAN//DNUM/&gt;= 6//DOSES/1 to 12.5 mg/l//TESTID/7//OEF/TOXICITY SYMPTOMS////</t>
  </si>
  <si>
    <t>10.1002/tox.2530090411</t>
  </si>
  <si>
    <t>ARTOXKIT M</t>
  </si>
  <si>
    <t>Crisinel,A., L. Delaunay, D. Rossel, J. Tarradellas, H. Meyer, H. Saiah, P. Vogel, C. Delisle, and C. Blaise</t>
  </si>
  <si>
    <t>Cyst-Based Ecotoxicological Tests Using Anostracans:  Comparison of Two Species of Streptocephalus</t>
  </si>
  <si>
    <t>Environ. Toxicol. Water Qual.9(4): 317-326</t>
  </si>
  <si>
    <t>Crisinel,A., L. Delaunay, D. Rossel, J. Tarradellas, H. Meyer, H. Saiah, P. Vogel, C. Delisle, and C. Blaise (1994). Cyst-Based Ecotoxicological Tests Using Anostracans:  Comparison of Two Species of Streptocephalus. Environ. Toxicol. Water Qual., 9, (4), 317-326. doi:10.1002/tox.2530090411. ECOREF#:17289</t>
  </si>
  <si>
    <t xml:space="preserve"> LIFESTG/LENGTH (POST ORBITAL MARGIN TO TELSON TIP)//TESTID/21//OEF/TEMPERATURE AND SALINITY EFCTS////</t>
  </si>
  <si>
    <t xml:space="preserve">   LIFESTG/LENGTH (POST ORBITAL MARGIN TO TELSON TIP)//TESTID/21//OEF/TEMPERATURE AND SALINITY EFCTS////</t>
  </si>
  <si>
    <t xml:space="preserve"> DNUM/3//DOSES/39.5 to 80/33.6 to 100 ug/ml//TESTID/1//OEF/SAFE CONCENTRATION, SURVEY////</t>
  </si>
  <si>
    <t xml:space="preserve">   DNUM/3//DOSES/39.5 to 80/33.6 to 100 ug/ml//TESTID/1//OEF/SAFE CONCENTRATION, SURVEY////</t>
  </si>
  <si>
    <t xml:space="preserve"> DNUM/7//TESTID/10//MSMT/BASED ON MEASURED CONCENTRATIONS WHICH ARE NOT REPORTED; NOMINAL CONCENTRATIONS ARE 500/1000/1500/2000/2500/3000 UG/L//OEF/SEDIMENT STUDIES////</t>
  </si>
  <si>
    <t xml:space="preserve">   DNUM/7//TESTID/10//MSMT/BASED ON MEASURED CONCENTRATIONS WHICH ARE NOT REPORTED; NOMINAL CONCENTRATIONS ARE 500/1000/1500/2000/2500/3000 UG/L//OEF/SEDIMENT STUDIES////</t>
  </si>
  <si>
    <t xml:space="preserve">CONC1/CL REPORTED AS 1155.4-236.0// </t>
  </si>
  <si>
    <t xml:space="preserve">  CONC1/CL REPORTED AS 1155.4-236.0// </t>
  </si>
  <si>
    <t>AUTHOR TESTS MORTALITY IN LETHAL BIOASSAY, 60% OF TEST SOLUTION WAS CHANGED EVERY 24 HOURS</t>
  </si>
  <si>
    <t xml:space="preserve"> TESTID/1//OEF/MIXTURE////</t>
  </si>
  <si>
    <t xml:space="preserve">   TESTID/1//OEF/MIXTURE////</t>
  </si>
  <si>
    <t>Gulec,I., B. Leonard, and D.A. Holdway</t>
  </si>
  <si>
    <t>Oil and Dispersed Oil Toxicity to Amphipods and Snails</t>
  </si>
  <si>
    <t>Spill Sci. Technol. Bull.4(1): 1-6</t>
  </si>
  <si>
    <t>Gulec,I., B. Leonard, and D.A. Holdway (1997). Oil and Dispersed Oil Toxicity to Amphipods and Snails. Spill Sci. Technol. Bull., 4, (1), 1-6. ECOREF#:84649</t>
  </si>
  <si>
    <t xml:space="preserve"> LIFESTG/NOVAE-ZEALANDIAE//DOSES/0.18 to 1.0 mg/L//TESTID/1//OEF/DIETARY, SALINITY, LIGHTING, WATER RENEWAL AND ORGANISM DENSITY STUDIES WERE ALSO REPORTED////</t>
  </si>
  <si>
    <t xml:space="preserve">   LIFESTG/NOVAE-ZEALANDIAE//DOSES/0.18 to 1.0 mg/L//TESTID/1//OEF/DIETARY, SALINITY, LIGHTING, WATER RENEWAL AND ORGANISM DENSITY STUDIES WERE ALSO REPORTED////</t>
  </si>
  <si>
    <t xml:space="preserve"> LIFESTG/LENGTH (POST ORBITAL MARGIN TO TELSON TIP)//TESTID/23//OEF/TEMPERATURE AND SALINITY EFCTS////</t>
  </si>
  <si>
    <t xml:space="preserve">   LIFESTG/LENGTH (POST ORBITAL MARGIN TO TELSON TIP)//TESTID/23//OEF/TEMPERATURE AND SALINITY EFCTS////</t>
  </si>
  <si>
    <t>FEMALES WITH OVIGEROUS BANDS</t>
  </si>
  <si>
    <t>MALE, FEMALE,4 TO 7 MM</t>
  </si>
  <si>
    <t>10.1016/S0022-0981(97)00162-7</t>
  </si>
  <si>
    <t>WITH SEDIMENT</t>
  </si>
  <si>
    <t xml:space="preserve"> CHAR/HEPTAHYDRATE//TESTID/4//OEF/MIXTURE, SEDIMENT EFCTS, BCF WITH LOGCONC, SEDIMENT CONC////</t>
  </si>
  <si>
    <t xml:space="preserve">   CHAR/HEPTAHYDRATE//TESTID/4//OEF/MIXTURE, SEDIMENT EFCTS, BCF WITH LOGCONC, SEDIMENT CONC////</t>
  </si>
  <si>
    <t>Bat,L., D. Raffaelli, and I.L. Marr</t>
  </si>
  <si>
    <t>The Accumulation of Copper, Zinc and Cadmium by the Amphipod Corophium volutator (Pallas)</t>
  </si>
  <si>
    <t>J. Exp. Mar. Biol. Ecol.223(2): 167-184</t>
  </si>
  <si>
    <t>Bat,L., D. Raffaelli, and I.L. Marr (1998). The Accumulation of Copper, Zinc and Cadmium by the Amphipod Corophium volutator (Pallas). J. Exp. Mar. Biol. Ecol., 223, (2), 167-184. doi:10.1016/S0022-0981(97)00162-7. ECOREF#:47359</t>
  </si>
  <si>
    <t>&gt;=7</t>
  </si>
  <si>
    <t>Zinc sulphate</t>
  </si>
  <si>
    <t xml:space="preserve">CAS #: 67641 | Chem Name: Propan-2-one | Chem Grade: PA | Chem Formulation: NR | Chem Radiolabel: NR | Chem Characteristics: AS NEEDED |  LESS THAN OR EQUAL TO 500 UL/L | Chem Purity: NR | </t>
  </si>
  <si>
    <t>10.1016/0045-6535(79)90015-8</t>
  </si>
  <si>
    <t>UNREPORTED PILOT STUDY DETERMINED AT LEAST 6 TOXICANT CONCENTRATIONS AND 1 CONTROL, IN 15 ML STANDARD LABORATORY TEST TUBES</t>
  </si>
  <si>
    <t>meq/L</t>
  </si>
  <si>
    <t xml:space="preserve">SOURCE/FROM LAB CULTURE//MEDIA/FILTERED NATURAL BRACKISH WATER FROM TVAREN BAY IN BALTIC SEA//   </t>
  </si>
  <si>
    <t>Linden,E., B.E. Bengtsson, O. Svanberg, and G. Sundstrom</t>
  </si>
  <si>
    <t>The Acute Toxicity of 78 Chemicals and Pesticide Formulations Against Two Brackish Water Organisms, the Bleak (Alburnus alburnus) and the Harpacticoid Nitocra spinipes</t>
  </si>
  <si>
    <t>Chemosphere8(11/12): 843-851</t>
  </si>
  <si>
    <t>Linden,E., B.E. Bengtsson, O. Svanberg, and G. Sundstrom (1979). The Acute Toxicity of 78 Chemicals and Pesticide Formulations Against Two Brackish Water Organisms, the Bleak (Alburnus alburnus) and the Harpacticoid Nitocra spinipes. Chemosphere, 8, (11/12), 843-851. doi:10.1016/0045-6535(79)90015-8. ECOREF#:5185</t>
  </si>
  <si>
    <t>NO SEDIMENT</t>
  </si>
  <si>
    <t xml:space="preserve"> CHAR/HEPTAHYDRATE//TESTID/3//OEF/MIXTURE, SEDIMENT EFCTS, BCF WITH LOGCONC, SEDIMENT CONC////</t>
  </si>
  <si>
    <t xml:space="preserve">   CHAR/HEPTAHYDRATE//TESTID/3//OEF/MIXTURE, SEDIMENT EFCTS, BCF WITH LOGCONC, SEDIMENT CONC////</t>
  </si>
  <si>
    <t>Tigriopus brevicornis</t>
  </si>
  <si>
    <t>brevicornis</t>
  </si>
  <si>
    <t>MSMT/LC50 ALSO  REPORTED AS UG ATOM/L//</t>
  </si>
  <si>
    <t>10.1016/S1532-0456(00)00198-8</t>
  </si>
  <si>
    <t xml:space="preserve"> DNUM/4//DOSES/2/18/35 ug/L//TESTID/2//</t>
  </si>
  <si>
    <t xml:space="preserve">   DNUM/4//DOSES/2/18/35 ug/L//TESTID/2//</t>
  </si>
  <si>
    <t>Barka,S., J.F. Pavillon, and J.C. Amiard</t>
  </si>
  <si>
    <t>Influence of Different Essential and Non-Essential Metals on MTLP Levels in the Copepod Tigriopus brevicornis</t>
  </si>
  <si>
    <t>Comp. Biochem. Physiol. C Comp. Pharmacol. Toxicol.128(4): 479-493</t>
  </si>
  <si>
    <t>Barka,S., J.F. Pavillon, and J.C. Amiard (2001). Influence of Different Essential and Non-Essential Metals on MTLP Levels in the Copepod Tigriopus brevicornis. Comp. Biochem. Physiol. C Comp. Pharmacol. Toxicol., 128, (4), 479-493. doi:10.1016/S1532-0456(00)00198-8. ECOREF#:62291</t>
  </si>
  <si>
    <t>10.1016/j.chemosphere.2006.07.030</t>
  </si>
  <si>
    <t>LC50 ASSAY</t>
  </si>
  <si>
    <t xml:space="preserve"> DNUM/5//DOSES/2.28/4.55/9.1/18.2 mg/l//TESTID/2//</t>
  </si>
  <si>
    <t xml:space="preserve">   DNUM/5//DOSES/2.28/4.55/9.1/18.2 mg/l//TESTID/2//</t>
  </si>
  <si>
    <t>Elumalai,M., C. Antunes, and L. Guilhermino</t>
  </si>
  <si>
    <t>Enzymatic Biomarkers in the Crab Carcinus maenas from the Minho River Estuary (NW Portugal) Exposed to Zinc and Mercury</t>
  </si>
  <si>
    <t>Chemosphere66(7): 1249-1255</t>
  </si>
  <si>
    <t>Elumalai,M., C. Antunes, and L. Guilhermino (2007). Enzymatic Biomarkers in the Crab Carcinus maenas from the Minho River Estuary (NW Portugal) Exposed to Zinc and Mercury. Chemosphere, 66, (7), 1249-1255. doi:10.1016/j.chemosphere.2006.07.030. ECOREF#:101776</t>
  </si>
  <si>
    <t>Chromic acid</t>
  </si>
  <si>
    <t>Copper chloride (CuCl)</t>
  </si>
  <si>
    <t>U.S.EPA, Narragansett, RI:3 p.</t>
  </si>
  <si>
    <t>Lussier,S.M., and J.A. Cardin (1985). Results of Acute Toxicity Tests Conducted with Copper at ERL, Narragansett. U.S.EPA, Narragansett, RI, 3 p. ECOREF#:3735</t>
  </si>
  <si>
    <t xml:space="preserve"> DNUM/2//DOSES/500/800/1000/1200/1500 ug/L//TESTID/11//</t>
  </si>
  <si>
    <t xml:space="preserve">   DNUM/2//DOSES/500/800/1000/1200/1500 ug/L//TESTID/11//</t>
  </si>
  <si>
    <t>Lead chloride (PbCl2)</t>
  </si>
  <si>
    <t>Acartia danae</t>
  </si>
  <si>
    <t>danae</t>
  </si>
  <si>
    <t>10.1016/j.ecoenv.2020.111612</t>
  </si>
  <si>
    <t>20-29</t>
  </si>
  <si>
    <t xml:space="preserve">SOURCE/ORIGINALLY COLLECTED FROM VELLAR ESTUARINE WATERS, DEVELOPED AND MAINTAINED IN LAB//TMETH/STANDARD METHODS AND STEPHAN ET AL. (1985)//MEDIA/FILTERED SEAWATER//   </t>
  </si>
  <si>
    <t>Karthikeyan,P., S.R. Marigoudar, D. Mohan, K.V. Sharma, and M.V. Ramana Murthy</t>
  </si>
  <si>
    <t>Prescribing Sea Water Quality Criteria for Arsenic, Cadmium and Lead Through Species Sensitivity Distribution</t>
  </si>
  <si>
    <t>Ecotoxicol. Environ. Saf.208:1-14</t>
  </si>
  <si>
    <t>Karthikeyan,P., S.R. Marigoudar, D. Mohan, K.V. Sharma, and M.V. Ramana Murthy (2021). Prescribing Sea Water Quality Criteria for Arsenic, Cadmium and Lead Through Species Sensitivity Distribution. Ecotoxicol. Environ. Saf., 208, 1-14. doi:10.1016/j.ecoenv.2020.111612. ECOREF#:192310</t>
  </si>
  <si>
    <t>68 MM</t>
  </si>
  <si>
    <t>LEAD CHLORIDE</t>
  </si>
  <si>
    <t xml:space="preserve"> DNUM/5//TESTID/8//MSMT/BASED ON MEASURED CONCENTRATIONS WHICH ARE NOT REPORTED; NOMINAL CONCENTRATIONS ARE 1000/2000/3000/4000 UG/L//OEF/SEDIMENT STUDIES////</t>
  </si>
  <si>
    <t xml:space="preserve">   DNUM/5//TESTID/8//MSMT/BASED ON MEASURED CONCENTRATIONS WHICH ARE NOT REPORTED; NOMINAL CONCENTRATIONS ARE 1000/2000/3000/4000 UG/L//OEF/SEDIMENT STUDIES////</t>
  </si>
  <si>
    <t>Oithona similis</t>
  </si>
  <si>
    <t>Cyclopoida</t>
  </si>
  <si>
    <t>Oithonidae</t>
  </si>
  <si>
    <t>Oithona</t>
  </si>
  <si>
    <t>similis</t>
  </si>
  <si>
    <t xml:space="preserve"> DNUM/5//TESTID/13//MSMT/BASED ON MEASURED CONCENTRATIONS WHICH ARE NOT REPORTED; NOMINAL CONCENTRATIONS ARE 1000/2000/3000/4000 UG/L//OEF/SEDIMENT STUDIES////</t>
  </si>
  <si>
    <t xml:space="preserve">   DNUM/5//TESTID/13//MSMT/BASED ON MEASURED CONCENTRATIONS WHICH ARE NOT REPORTED; NOMINAL CONCENTRATIONS ARE 1000/2000/3000/4000 UG/L//OEF/SEDIMENT STUDIES////</t>
  </si>
  <si>
    <t>MSMT/DVP TO PLUTEUS STAGE////</t>
  </si>
  <si>
    <t xml:space="preserve">SOURCE/PROCURED FROM THE COMMERCIAL SHRIMP HATCHERIES  NEAR ANUMANTHAI VILLAGE, PUDUCHERRY//TMETH/STANDARD METHODS AND STEPHAN ET AL. (1985)//MEDIA/PRE-AERATED AND FILTERED SEAWATER//   </t>
  </si>
  <si>
    <t>Sulfuric acid copper(2+) salt (1:1)</t>
  </si>
  <si>
    <t>COPPER SULFATE, PENTAHYDRATE</t>
  </si>
  <si>
    <t xml:space="preserve"> DNUM/6//DOSES/20/40/80/100/120 ug/L//</t>
  </si>
  <si>
    <t xml:space="preserve">   DNUM/6//DOSES/20/40/80/100/120 ug/L//</t>
  </si>
  <si>
    <t>MSMT/TLM////</t>
  </si>
  <si>
    <t>Liao,I.C., and J.J. Guo</t>
  </si>
  <si>
    <t>Studies on the Tolerance of Postlarvae of Penaeus monodon, P. japonicus, P. semisulcatus, P. penicillatus, Metapenaeus ensis and Macrobrachium rosenbergii to Copper Sulfate, Potassium Permanganate and Malachite Green</t>
  </si>
  <si>
    <t>Nongweihui Yuye Tekan (Non-English)24:90-94</t>
  </si>
  <si>
    <t>Liao,I.C., and J.J. Guo (1990). Studies on the Tolerance of Postlarvae of Penaeus monodon, P. japonicus, P. semisulcatus, P. penicillatus, Metapenaeus ensis and Macrobrachium rosenbergii to Copper Sulfate, Potassium Permanganate and Malachite Green. Nongweihui Yuye Tekan (Non-English), 24, 90-94. ECOREF#:17681</t>
  </si>
  <si>
    <t>COPPER SULFATE</t>
  </si>
  <si>
    <t>10.1007/s00244-008-9153-2</t>
  </si>
  <si>
    <t>WATER ONLY TEST, 3 REPLICATES, FISH FOOD ADDED</t>
  </si>
  <si>
    <t xml:space="preserve"> DOSES/NA ug/L//TESTID/8//OEF/ORGANISM AGE, DIET, SEDIMENT EFCTS////</t>
  </si>
  <si>
    <t xml:space="preserve">   DOSES/NA ug/L//TESTID/8//OEF/ORGANISM AGE, DIET, SEDIMENT EFCTS////</t>
  </si>
  <si>
    <t>Spadaro,D., T. Micevska, and S.L. Simpson</t>
  </si>
  <si>
    <t>Effect of Nutrition on Toxicity of Contaminants to the Epibenthic Amphipod Melita plumulosa</t>
  </si>
  <si>
    <t>Arch. Environ. Contam. Toxicol.55(4): 593-602</t>
  </si>
  <si>
    <t>Spadaro,D., T. Micevska, and S.L. Simpson (2008). Effect of Nutrition on Toxicity of Contaminants to the Epibenthic Amphipod Melita plumulosa. Arch. Environ. Contam. Toxicol., 55, (4), 593-602. doi:10.1007/s00244-008-9153-2. ECOREF#:112230</t>
  </si>
  <si>
    <t>Palaemon adspersus</t>
  </si>
  <si>
    <t>Baltic Prawn</t>
  </si>
  <si>
    <t>adspersus</t>
  </si>
  <si>
    <t>MALE, FEMALE,1.61 G,4.78 TO 5.62/</t>
  </si>
  <si>
    <t xml:space="preserve"> LIFESTG/MM, 0.93 TO 1.61 G//DNUM/13//DOSES/0.01/0.05/0.1/0.5/1/2/5/10/20/30/50/100 mg/L//</t>
  </si>
  <si>
    <t xml:space="preserve">   LIFESTG/MM, 0.93 TO 1.61 G//DNUM/13//DOSES/0.01/0.05/0.1/0.5/1/2/5/10/20/30/50/100 mg/L//</t>
  </si>
  <si>
    <t>Bat,L., S. Bilgin, A. Guendogdu, M. Akbulut, and M. Culha</t>
  </si>
  <si>
    <t>Individual and Combined Effects of Copper and Lead on the Marine Shrimp, Palaemon adspersus Rathke, 1837 (Decapoda:  Palaemonidae)</t>
  </si>
  <si>
    <t>Turk. J. Mar. Sci.7(2): 103-117</t>
  </si>
  <si>
    <t>Bat,L., S. Bilgin, A. Guendogdu, M. Akbulut, and M. Culha (2001). Individual and Combined Effects of Copper and Lead on the Marine Shrimp, Palaemon adspersus Rathke, 1837 (Decapoda:  Palaemonidae). Turk. J. Mar. Sci., 7, (2), 103-117. ECOREF#:77749</t>
  </si>
  <si>
    <t>450 G</t>
  </si>
  <si>
    <t>10.1139/f74-256</t>
  </si>
  <si>
    <t>Toxicity of Copper at Two Temperatures and Three Salinities to the American Lobster (Homarus americanus)</t>
  </si>
  <si>
    <t>J. Fish. Res. Board Can.31(12): 1949-1952</t>
  </si>
  <si>
    <t>McLeese,D.W. (1974). Toxicity of Copper at Two Temperatures and Three Salinities to the American Lobster (Homarus americanus). J. Fish. Res. Board Can., 31, (12), 1949-1952. doi:10.1139/f74-256. ECOREF#:8399</t>
  </si>
  <si>
    <t>Crustacean Class</t>
  </si>
  <si>
    <t>SUBCLASS COPEPODA</t>
  </si>
  <si>
    <t>COPPER SULFATE, CUSO4.5H2O</t>
  </si>
  <si>
    <t xml:space="preserve"> DOSES/0.1 to 3 mg/L//TESTID/5//OEF/SURVEY STUDY////</t>
  </si>
  <si>
    <t xml:space="preserve">   DOSES/0.1 to 3 mg/L//TESTID/5//OEF/SURVEY STUDY////</t>
  </si>
  <si>
    <t>Gajbhiye,S.N., V.R. Nair, P.V. Narvekar, and B.N. Desai</t>
  </si>
  <si>
    <t>Concentration and Toxicity of Some Metals in Zooplankton from Nearshore Waters of Bombay</t>
  </si>
  <si>
    <t>Indian J. Mar. Sci.14(4): 181-183</t>
  </si>
  <si>
    <t>Gajbhiye,S.N., V.R. Nair, P.V. Narvekar, and B.N. Desai (1985). Concentration and Toxicity of Some Metals in Zooplankton from Nearshore Waters of Bombay. Indian J. Mar. Sci., 14, (4), 181-183. ECOREF#:12327</t>
  </si>
  <si>
    <t>0.63 G,WTINT</t>
  </si>
  <si>
    <t>COPPER SULFATE (CUSO4)</t>
  </si>
  <si>
    <t>10.1016/S0044-8486(00)00442-7</t>
  </si>
  <si>
    <t xml:space="preserve"> DNUM/7//DOSES/1/3/6/9/12/15 mg/L//TESTID/1//</t>
  </si>
  <si>
    <t xml:space="preserve">   DNUM/7//DOSES/1/3/6/9/12/15 mg/L//TESTID/1//</t>
  </si>
  <si>
    <t>Chen,J.C., and C.H. Lin</t>
  </si>
  <si>
    <t>Toxicity of Copper Sulfate for Survival, Growth, Molting and Feeding of Juveniles of the Tiger Shrimp, Penaeus monodon</t>
  </si>
  <si>
    <t>Aquaculture (Amst.)192(1): 55-65</t>
  </si>
  <si>
    <t>Chen,J.C., and C.H. Lin (2001). Toxicity of Copper Sulfate for Survival, Growth, Molting and Feeding of Juveniles of the Tiger Shrimp, Penaeus monodon. Aquaculture (Amst.), 192, (1), 55-65. doi:10.1016/S0044-8486(00)00442-7. ECOREF#:80017</t>
  </si>
  <si>
    <t>Balanus amphitrite</t>
  </si>
  <si>
    <t>Striped Barnacle</t>
  </si>
  <si>
    <t>COPPER SULFATE (CUSO4)/</t>
  </si>
  <si>
    <t>10.1016/j.marpolbul.2004.11.039</t>
  </si>
  <si>
    <t>ARTIFICIAL SEAWATER, 5 REPLICATES</t>
  </si>
  <si>
    <t xml:space="preserve"> CHAR/CUSO4.5H2O//DNUM/9//DOSES/16/32/64/128/181/256/362/512 ug/L//TESTID/1//OEF/LIFESTAGE EFCTS////</t>
  </si>
  <si>
    <t xml:space="preserve">   CHAR/CUSO4.5H2O//DNUM/9//DOSES/16/32/64/128/181/256/362/512 ug/L//TESTID/1//OEF/LIFESTAGE EFCTS////</t>
  </si>
  <si>
    <t>Qiu,J.W., V. Thiyagarajan, S. Cheung, and P.Y. Qian</t>
  </si>
  <si>
    <t>Toxic Effects of Copper on Larval Development of the Barnacle Balanus amphitrite</t>
  </si>
  <si>
    <t>Mar. Pollut. Bull.51(8-12): 688-693</t>
  </si>
  <si>
    <t>Qiu,J.W., V. Thiyagarajan, S. Cheung, and P.Y. Qian (2005). Toxic Effects of Copper on Larval Development of the Barnacle Balanus amphitrite. Mar. Pollut. Bull., 51, (8-12), 688-693. doi:10.1016/j.marpolbul.2004.11.039. ECOREF#:105012</t>
  </si>
  <si>
    <t>COPPER SULFATE, COPPER SULFATE/</t>
  </si>
  <si>
    <t xml:space="preserve"> CHAR/PENTAHYDRATE//DOSES/NA mg/L//TESTID/5//</t>
  </si>
  <si>
    <t xml:space="preserve">   CHAR/PENTAHYDRATE//DOSES/NA mg/L//TESTID/5//</t>
  </si>
  <si>
    <t>Panulirus homarus</t>
  </si>
  <si>
    <t>Scalloped Spiny Lobster</t>
  </si>
  <si>
    <t>Palinuridae</t>
  </si>
  <si>
    <t>Panulirus</t>
  </si>
  <si>
    <t>homarus</t>
  </si>
  <si>
    <t>150 TO 200 G,WTINT, INTERMOLT/</t>
  </si>
  <si>
    <t xml:space="preserve"> CHAR/CUSO4.5H2O//LIFESTG/STAGE C//DNUM/8//DOSES/80/100/120/140/160/180/200 ug/L//TESTID/1//</t>
  </si>
  <si>
    <t xml:space="preserve">   CHAR/CUSO4.5H2O//LIFESTG/STAGE C//DNUM/8//DOSES/80/100/120/140/160/180/200 ug/L//TESTID/1//</t>
  </si>
  <si>
    <t>Maharajan,A., and M. Vijayakumaran</t>
  </si>
  <si>
    <t>Copper Toxicity in the Spiny Lobster, Panulirus homarus (Linnaeus)</t>
  </si>
  <si>
    <t>In: Proceedings of the National Seminar on New Frontiers in Marine Bioscience Research:205-212</t>
  </si>
  <si>
    <t>Maharajan,A., and M. Vijayakumaran (2004). Copper Toxicity in the Spiny Lobster, Panulirus homarus (Linnaeus). In: Proceedings of the National Seminar on New Frontiers in Marine Bioscience Research, 205-212. ECOREF#:78850</t>
  </si>
  <si>
    <t>Copper sulfate (CuSO4), CUSO4.5H2O</t>
  </si>
  <si>
    <t>10.1080/02757540.2013.817561</t>
  </si>
  <si>
    <t>3 REPLICATES, 3 TESTS CONDUCTED</t>
  </si>
  <si>
    <t>Prato,E., I. Parlapiano, and F. Biandolino</t>
  </si>
  <si>
    <t>Assessment of Individual and Combined Toxicities of Three Heavy Metals (Cu, Cd and Hg) by Using Tigriopus fulvus</t>
  </si>
  <si>
    <t>Chem. Ecol.29(7): 8 p.</t>
  </si>
  <si>
    <t>Prato,E., I. Parlapiano, and F. Biandolino (2013). Assessment of Individual and Combined Toxicities of Three Heavy Metals (Cu, Cd and Hg) by Using Tigriopus fulvus. Chem. Ecol., 29, (7), 8 p. doi:10.1080/02757540.2013.817561. ECOREF#:166028</t>
  </si>
  <si>
    <t xml:space="preserve"> DNUM/6-8//DOSES/NA mg/L//TESTID/3//</t>
  </si>
  <si>
    <t xml:space="preserve">   DNUM/6-8//DOSES/NA mg/L//TESTID/3//</t>
  </si>
  <si>
    <t xml:space="preserve"> TESTID/1//MSMT/NR//DOSES/1.106/1.606/2.106/2.606/3.106/4.106/5.106/6.606/8.106/10.106/12.606 MG/L//SOURCE/WLD//WTINT/NR//DNUM/12//SEX/NR//TMETH/NR//STYPE/ACUTE//ETIME/96 H//AP RATE/NR//SAMPN/NR//WTAT/NR//INTAKE/NR//COMPEP/NR//LD/NR//DW/NR//STST/NR//HMA/NR//NA/NR//CL/NR//DIC/NR//CA/NR//POT/NR//MG/NR//SO4/NR//SULF/NR//</t>
  </si>
  <si>
    <t xml:space="preserve">   TESTID/1//MSMT/NR//DOSES/1.106/1.606/2.106/2.606/3.106/4.106/5.106/6.606/8.106/10.106/12.606 MG/L//SOURCE/WLD//WTINT/NR//DNUM/12//SEX/NR//TMETH/NR//STYPE/ACUTE//ETIME/96 H//AP RATE/NR//SAMPN/NR//WTAT/NR//INTAKE/NR//COMPEP/NR//LD/NR//DW/NR//STST/NR//HMA/NR//NA/NR//CL/NR//DIC/NR//CA/NR//POT/NR//MG/NR//SO4/NR//SULF/NR//</t>
  </si>
  <si>
    <t>&lt;1 MM, NEWLY HATCHED</t>
  </si>
  <si>
    <t>MSMT/OVERALL RESULTS////</t>
  </si>
  <si>
    <t>Persoone,G., C. Blaise, T. Snell, C. Janssen, and M. Van Steertegem</t>
  </si>
  <si>
    <t>Cyst-Based Toxicity Tests:  II.  Report on an International Intercalibration Exercise with Three Cost-Effective Toxkits</t>
  </si>
  <si>
    <t>Z. Angew. Zool. (Multiple Languages)79(1): 17-36</t>
  </si>
  <si>
    <t>Persoone,G., C. Blaise, T. Snell, C. Janssen, and M. Van Steertegem (1993). Cyst-Based Toxicity Tests:  II.  Report on an International Intercalibration Exercise with Three Cost-Effective Toxkits. Z. Angew. Zool. (Multiple Languages), 79, (1), 17-36. ECOREF#:14874</t>
  </si>
  <si>
    <t>ADULT AND LATE COPEPODIDS</t>
  </si>
  <si>
    <t xml:space="preserve"> CONTR/&lt;= 10 % MORT//</t>
  </si>
  <si>
    <t xml:space="preserve">   CONTR/&lt;= 10 % MORT//</t>
  </si>
  <si>
    <t xml:space="preserve"> CONTR/3.60 % MORT//</t>
  </si>
  <si>
    <t xml:space="preserve">   CONTR/3.60 % MORT//</t>
  </si>
  <si>
    <t>Tisbe furcata</t>
  </si>
  <si>
    <t>furcata</t>
  </si>
  <si>
    <t>10.1002/etc.5620130913</t>
  </si>
  <si>
    <t xml:space="preserve"> ANALYSIS/MEASURED AND UNMEASURED//</t>
  </si>
  <si>
    <t xml:space="preserve">   ANALYSIS/MEASURED AND UNMEASURED//</t>
  </si>
  <si>
    <t>Bechmann,R.K.</t>
  </si>
  <si>
    <t>Use of Life Tables and LC50 Tests to Evaluate Chronic and Acute Toxicity Effects of Copper on the Marine Copepod Tisbe furcata (Baird)</t>
  </si>
  <si>
    <t>Environ. Toxicol. Chem.13(9): 1509-1517</t>
  </si>
  <si>
    <t>Bechmann,R.K. (1994). Use of Life Tables and LC50 Tests to Evaluate Chronic and Acute Toxicity Effects of Copper on the Marine Copepod Tisbe furcata (Baird). Environ. Toxicol. Chem., 13, (9), 1509-1517. doi:10.1002/etc.5620130913. ECOREF#:13507</t>
  </si>
  <si>
    <t>Gammarus duebeni</t>
  </si>
  <si>
    <t>duebeni</t>
  </si>
  <si>
    <t>10.2166/wst.1996.0606</t>
  </si>
  <si>
    <t>COMBINATION OF 3 TESTS</t>
  </si>
  <si>
    <t xml:space="preserve"> CHAR/ANHYDROUS//DNUM/5//DOSES/0.2/0.6/1/3 mg/L//TESTID/5//OEF/SALINITY STUDY////</t>
  </si>
  <si>
    <t xml:space="preserve">   CHAR/ANHYDROUS//DNUM/5//DOSES/0.2/0.6/1/3 mg/L//TESTID/5//OEF/SALINITY STUDY////</t>
  </si>
  <si>
    <t>Lawrence,A., and C. Poulter</t>
  </si>
  <si>
    <t>The Potential Role of the Estuarine Amphipod Gammarus duebeni in Sub-Lethal Ecotoxicology Testing</t>
  </si>
  <si>
    <t>Water Sci. Technol.34(7-8): 93-100</t>
  </si>
  <si>
    <t>Lawrence,A., and C. Poulter (1996). The Potential Role of the Estuarine Amphipod Gammarus duebeni in Sub-Lethal Ecotoxicology Testing. Water Sci. Technol., 34, (7-8), 93-100. doi:10.2166/wst.1996.0606. ECOREF#:77803</t>
  </si>
  <si>
    <t>II-III INSTAR NAUPLII LARVAE</t>
  </si>
  <si>
    <t>Copper sulfate (CuSO4)</t>
  </si>
  <si>
    <t>10.1002/tox.2530100105</t>
  </si>
  <si>
    <t>WITHOUT MUF SUBSTRATE</t>
  </si>
  <si>
    <t>Espiritu,E.Q., C.R. Janssen, and G. Persoone</t>
  </si>
  <si>
    <t>Cyst-Based Toxicity Tests.  VII.  Evaluation of the 1-h Enzymatic Inhibition Test (Fluotox) with Artemia nauplii</t>
  </si>
  <si>
    <t>Environ. Toxicol. Water Qual.10:25-34</t>
  </si>
  <si>
    <t>Espiritu,E.Q., C.R. Janssen, and G. Persoone (1995). Cyst-Based Toxicity Tests.  VII.  Evaluation of the 1-h Enzymatic Inhibition Test (Fluotox) with Artemia nauplii. Environ. Toxicol. Water Qual., 10, 25-34. doi:10.1002/tox.2530100105. ECOREF#:16031</t>
  </si>
  <si>
    <t>10.1016/0025-326X(82)90368-X</t>
  </si>
  <si>
    <t>FILTERED AND AUTOCLAVED</t>
  </si>
  <si>
    <t>Differentiation of the Sensitivity to Copper and Cadmium in Different Life Stages of a Copepod</t>
  </si>
  <si>
    <t>Mar. Pollut. Bull.13(4): 123-125</t>
  </si>
  <si>
    <t>Verriopoulos,G., and M. Moraitou-Apostolopoulou (1982). Differentiation of the Sensitivity to Copper and Cadmium in Different Life Stages of a Copepod. Mar. Pollut. Bull., 13, (4), 123-125. doi:10.1016/0025-326X(82)90368-X. ECOREF#:11097</t>
  </si>
  <si>
    <t xml:space="preserve"> DNUM/7//DOSES/8/11/14/17/20/23 mg/L//TESTID/2//</t>
  </si>
  <si>
    <t xml:space="preserve">   DNUM/7//DOSES/8/11/14/17/20/23 mg/L//TESTID/2//</t>
  </si>
  <si>
    <t>Penaeus semisulcatus</t>
  </si>
  <si>
    <t>semisulcatus</t>
  </si>
  <si>
    <t>MSMT/USA RESULTS////</t>
  </si>
  <si>
    <t xml:space="preserve"> DNUM/6//DOSES/0.5/1.0/2.0/4.0/8.0 ppm//</t>
  </si>
  <si>
    <t xml:space="preserve">   DNUM/6//DOSES/0.5/1.0/2.0/4.0/8.0 ppm//</t>
  </si>
  <si>
    <t xml:space="preserve"> CHAR/CUSO4.5H2O//DOSES/NA mg/L//TESTID/12//</t>
  </si>
  <si>
    <t xml:space="preserve">   CHAR/CUSO4.5H2O//DOSES/NA mg/L//TESTID/12//</t>
  </si>
  <si>
    <t>Moraitou-Apostolopoulou,M., and G. Verriopoulos</t>
  </si>
  <si>
    <t>Lethal and Sublethal Effects of Some Contaminants (Heavy Metals, Oil, Dispersants) to Marine Planktonic Animals</t>
  </si>
  <si>
    <t>FAO Fish. Rep.334(suppl.): 95-109</t>
  </si>
  <si>
    <t>Moraitou-Apostolopoulou,M., and G. Verriopoulos (1986). Lethal and Sublethal Effects of Some Contaminants (Heavy Metals, Oil, Dispersants) to Marine Planktonic Animals. FAO Fish. Rep., 334, (suppl.), 95-109. ECOREF#:14474</t>
  </si>
  <si>
    <t>Technical grade, technical product, technical formulation</t>
  </si>
  <si>
    <t>Neomysis mercedis</t>
  </si>
  <si>
    <t>Opposum Shrimp</t>
  </si>
  <si>
    <t>mercedis</t>
  </si>
  <si>
    <t>POST-RELEASE</t>
  </si>
  <si>
    <t>10.1577/1548-8659(1993)122&lt;0279:UONMCM&gt;2.3.CO;2</t>
  </si>
  <si>
    <t xml:space="preserve"> ENDPT/MOVING AVERAGE OR NONLINEAR INTERPOLATION// </t>
  </si>
  <si>
    <t xml:space="preserve">   ENDPT/MOVING AVERAGE OR NONLINEAR INTERPOLATION// </t>
  </si>
  <si>
    <t>Brandt,O.M., R.W. Fujimura, and B.J. Finlayson</t>
  </si>
  <si>
    <t>Use of Neomysis mercedis (Crustacea: Mysidacea) for Estuarine Toxicity Tests</t>
  </si>
  <si>
    <t>Trans. Am. Fish. Soc.122(2): 279-288</t>
  </si>
  <si>
    <t>Brandt,O.M., R.W. Fujimura, and B.J. Finlayson (1993). Use of Neomysis mercedis (Crustacea: Mysidacea) for Estuarine Toxicity Tests. Trans. Am. Fish. Soc., 122, (2), 279-288. doi:10.1577/1548-8659(1993)122&lt;0279:UONMCM&gt;2.3.CO;2. ECOREF#:9936</t>
  </si>
  <si>
    <t>10 TO 16 G,WTINT, INTERMOULT</t>
  </si>
  <si>
    <t>10.1016/j.fsi.2004.04.016</t>
  </si>
  <si>
    <t>3 REPLICATES, CHALLENGED WITH BACTERIA</t>
  </si>
  <si>
    <t xml:space="preserve"> DNUM/5//DOSES/1/5/10/20 mg/L//TESTID/2//</t>
  </si>
  <si>
    <t xml:space="preserve">   DNUM/5//DOSES/1/5/10/20 mg/L//TESTID/2//</t>
  </si>
  <si>
    <t>Yeh,S.T., C.H. Liu, and J.C. Chen</t>
  </si>
  <si>
    <t>Effect of Copper Sulfate on the Immune Response and Susceptibility to Vibrio alginolyticus in the White Shrimp Litopenaeus vannamei</t>
  </si>
  <si>
    <t>Fish Shellfish Immunol.17(5): 437-446</t>
  </si>
  <si>
    <t>Yeh,S.T., C.H. Liu, and J.C. Chen (2004). Effect of Copper Sulfate on the Immune Response and Susceptibility to Vibrio alginolyticus in the White Shrimp Litopenaeus vannamei. Fish Shellfish Immunol., 17, (5), 437-446. doi:10.1016/j.fsi.2004.04.016. ECOREF#:79987</t>
  </si>
  <si>
    <t>1.5 TO 2 G,WTINT</t>
  </si>
  <si>
    <t>10.1016/j.aquaculture.2008.03.008</t>
  </si>
  <si>
    <t xml:space="preserve"> DNUM/13//DOSES/0 to 210 mg/L//TESTID/1//</t>
  </si>
  <si>
    <t xml:space="preserve">   DNUM/13//DOSES/0 to 210 mg/L//TESTID/1//</t>
  </si>
  <si>
    <t>Frias-Espericueta,M.G., R. Castro-Longoria, G.J. Barron-Gallardo, J.I. Osuna-Lopez, S.M. Abad-Rosales, F. Paez-Osuna, a</t>
  </si>
  <si>
    <t>Histological Changes and Survival of Litopenaeus vannamei Juveniles with Different Copper Concentrations</t>
  </si>
  <si>
    <t>Aquaculture (Amst.)278(1-4): 97-100</t>
  </si>
  <si>
    <t>Frias-Espericueta,M.G., R. Castro-Longoria, G.J. Barron-Gallardo, J.I. Osuna-Lopez, S.M. Abad-Rosales, F. Paez-Osuna, a (2008). Histological Changes and Survival of Litopenaeus vannamei Juveniles with Different Copper Concentrations. Aquaculture (Amst.), 278, (1-4), 97-100. doi:10.1016/j.aquaculture.2008.03.008. ECOREF#:117086</t>
  </si>
  <si>
    <t>Ampelisca araucana</t>
  </si>
  <si>
    <t>araucana</t>
  </si>
  <si>
    <t>10.1007/s001280000041</t>
  </si>
  <si>
    <t>Soto,E., A. Larrain, and E. Bay-Schmith</t>
  </si>
  <si>
    <t>Sensitivity of Ampelisca araucana Juveniles (Crustacea:  Amphipoda) to Organic and Inorganic Toxicants in Tests of Acute Toxicity</t>
  </si>
  <si>
    <t>Bull. Environ. Contam. Toxicol.64(4): 574-578</t>
  </si>
  <si>
    <t>Soto,E., A. Larrain, and E. Bay-Schmith (2000). Sensitivity of Ampelisca araucana Juveniles (Crustacea:  Amphipoda) to Organic and Inorganic Toxicants in Tests of Acute Toxicity. Bull. Environ. Contam. Toxicol., 64, (4), 574-578. doi:10.1007/s001280000041. ECOREF#:54390</t>
  </si>
  <si>
    <t>0.54(0.36 TO 0.85)MM</t>
  </si>
  <si>
    <t>10.1016/j.marpolbul.2008.03.041</t>
  </si>
  <si>
    <t>TROPIC MARINE ARTIFICAL SEAWATER, 3 TO 6 REPLICATES</t>
  </si>
  <si>
    <t xml:space="preserve"> CHAR/CUSO4.5H2O//DNUM/6//DOSES/10/20/50/100/200 ug/L//TESTID/3//OEF/MIXTURE////</t>
  </si>
  <si>
    <t xml:space="preserve">   CHAR/CUSO4.5H2O//DNUM/6//DOSES/10/20/50/100/200 ug/L//TESTID/3//OEF/MIXTURE////</t>
  </si>
  <si>
    <t>Bao,V.W.W., K.M.Y. Leung, K.W.H. Kwok, A.Q. Zhang, and G.C.S. Lui</t>
  </si>
  <si>
    <t>Synergistic Toxic Effects of Zinc Pyrithione and Copper to Three Marine Species:  Implications on Setting Appropriate Water Quality Criteria</t>
  </si>
  <si>
    <t>Mar. Pollut. Bull.57(6-12): 616-623</t>
  </si>
  <si>
    <t>Bao,V.W.W., K.M.Y. Leung, K.W.H. Kwok, A.Q. Zhang, and G.C.S. Lui (2008). Synergistic Toxic Effects of Zinc Pyrithione and Copper to Three Marine Species:  Implications on Setting Appropriate Water Quality Criteria. Mar. Pollut. Bull., 57, (6-12), 616-623. doi:10.1016/j.marpolbul.2008.03.041. ECOREF#:111647</t>
  </si>
  <si>
    <t>MSMT/MEAN, 17 INDIVIDUAL TESTS GRAPHED//</t>
  </si>
  <si>
    <t>WATER ONLY TEST, 3 REPLICATES</t>
  </si>
  <si>
    <t xml:space="preserve"> DOSES/NA ug/L//TESTID/1//OEF/ORGANISM AGE, DIET, SEDIMENT EFCTS////</t>
  </si>
  <si>
    <t xml:space="preserve">   DOSES/NA ug/L//TESTID/1//OEF/ORGANISM AGE, DIET, SEDIMENT EFCTS////</t>
  </si>
  <si>
    <t>10.1007/s00244-006-0206-0</t>
  </si>
  <si>
    <t xml:space="preserve"> CHAR/CUSO4.5H2O//DNUM/7//DOSES/75/100/135/180/240/320 ug/L//TESTID/1//</t>
  </si>
  <si>
    <t xml:space="preserve">   CHAR/CUSO4.5H2O//DNUM/7//DOSES/75/100/135/180/240/320 ug/L//TESTID/1//</t>
  </si>
  <si>
    <t>Wang,Z., H. Kong, and D. Wu</t>
  </si>
  <si>
    <t>Acute and Chronic Copper Toxicity to a Saltwater Cladoceran Moina monogolica Daday</t>
  </si>
  <si>
    <t>Arch. Environ. Contam. Toxicol.53(1): 50-56</t>
  </si>
  <si>
    <t>Wang,Z., H. Kong, and D. Wu (2007). Acute and Chronic Copper Toxicity to a Saltwater Cladoceran Moina monogolica Daday. Arch. Environ. Contam. Toxicol., 53, (1), 50-56. doi:10.1007/s00244-006-0206-0. ECOREF#:100633</t>
  </si>
  <si>
    <t xml:space="preserve"> CONTR/10 % MORT//</t>
  </si>
  <si>
    <t xml:space="preserve">   CONTR/10 % MORT//</t>
  </si>
  <si>
    <t xml:space="preserve"> DOSES/NA ug/L//TESTID/2//OEF/ORGANISM AGE, DIET, SEDIMENT EFCTS////</t>
  </si>
  <si>
    <t xml:space="preserve">   DOSES/NA ug/L//TESTID/2//OEF/ORGANISM AGE, DIET, SEDIMENT EFCTS////</t>
  </si>
  <si>
    <t>3.905 G,WTINT, 2.45 CM</t>
  </si>
  <si>
    <t xml:space="preserve"> CHAR/CUSO4.5H2O//DNUM/&gt;= 6//DOSES/2.5 to 20 mg/L//TESTID/16//OEF/TOXICITY SYMPTOMS////</t>
  </si>
  <si>
    <t xml:space="preserve">   CHAR/CUSO4.5H2O//DNUM/&gt;= 6//DOSES/2.5 to 20 mg/L//TESTID/16//OEF/TOXICITY SYMPTOMS////</t>
  </si>
  <si>
    <t xml:space="preserve"> DNUM/6-8//DOSES/NA mg/L//TESTID/4//</t>
  </si>
  <si>
    <t xml:space="preserve">   DNUM/6-8//DOSES/NA mg/L//TESTID/4//</t>
  </si>
  <si>
    <t>Euphausia pacifica</t>
  </si>
  <si>
    <t>Krill</t>
  </si>
  <si>
    <t>Euphausiacea</t>
  </si>
  <si>
    <t>Euphausiidae</t>
  </si>
  <si>
    <t>Euphausia</t>
  </si>
  <si>
    <t>pacifica</t>
  </si>
  <si>
    <t>CONTROL EXPERIMENTAL ECOSYSTEM</t>
  </si>
  <si>
    <t xml:space="preserve"> TESTID/4//MSMT/NR//DOSES/NR//SOURCE/WLD//WTINT/273 UG CARBON BIOMASS//DNUM/5-7//SEX/NR//TMETH/NR//STYPE/ACUTE//ETIME/24 H//AP RATE/NR//SAMPN/NR//WTAT/NR//INTAKE/NR//COMPEP/NR//LD/NR//DW/NR//STST/NR//HMA/NR//NA/NR//CL/NR//DIC/NR//CA/NR//POT/NR//MG/NR//SO4/NR//SULF/NR//</t>
  </si>
  <si>
    <t xml:space="preserve">   TESTID/4//MSMT/NR//DOSES/NR//SOURCE/WLD//WTINT/273 UG CARBON BIOMASS//DNUM/5-7//SEX/NR//TMETH/NR//STYPE/ACUTE//ETIME/24 H//AP RATE/NR//SAMPN/NR//WTAT/NR//INTAKE/NR//COMPEP/NR//LD/NR//DW/NR//STST/NR//HMA/NR//NA/NR//CL/NR//DIC/NR//CA/NR//POT/NR//MG/NR//SO4/NR//SULF/NR//</t>
  </si>
  <si>
    <t>Metridia pacifica</t>
  </si>
  <si>
    <t>Metridinidae</t>
  </si>
  <si>
    <t>Metridia</t>
  </si>
  <si>
    <t xml:space="preserve"> TESTID/2//MSMT/NR//DOSES/NR//SOURCE/WLD//WTINT/8 UG CARBON BIOMASS//DNUM/5-7//SEX/NR//TMETH/NR//STYPE/ACUTE//ETIME/24 H//AP RATE/NR//SAMPN/NR//WTAT/NR//INTAKE/NR//COMPEP/NR//LD/NR//DW/NR//STST/NR//HMA/NR//NA/NR//CL/NR//DIC/NR//CA/NR//POT/NR//MG/NR//SO4/NR//SULF/NR//</t>
  </si>
  <si>
    <t xml:space="preserve">   TESTID/2//MSMT/NR//DOSES/NR//SOURCE/WLD//WTINT/8 UG CARBON BIOMASS//DNUM/5-7//SEX/NR//TMETH/NR//STYPE/ACUTE//ETIME/24 H//AP RATE/NR//SAMPN/NR//WTAT/NR//INTAKE/NR//COMPEP/NR//LD/NR//DW/NR//STST/NR//HMA/NR//NA/NR//CL/NR//DIC/NR//CA/NR//POT/NR//MG/NR//SO4/NR//SULF/NR//</t>
  </si>
  <si>
    <t>CYPRID</t>
  </si>
  <si>
    <t>0.05 MG</t>
  </si>
  <si>
    <t>10.2331/fishsci.60.485</t>
  </si>
  <si>
    <t>Kawamata,M., K. Kon-Ya, and W. Miki</t>
  </si>
  <si>
    <t>Trigonelline, an Antifouling Substance Isolated from an Octocoral dendronephthya sp</t>
  </si>
  <si>
    <t>Fish. Sci.60(4): 485-486</t>
  </si>
  <si>
    <t>Kawamata,M., K. Kon-Ya, and W. Miki (1994). Trigonelline, an Antifouling Substance Isolated from an Octocoral dendronephthya sp. Fish. Sci., 60, (4), 485-486. doi:10.2331/fishsci.60.485. ECOREF#:16323</t>
  </si>
  <si>
    <t>Heptacarpus futilirostris</t>
  </si>
  <si>
    <t>Toy Shrimp</t>
  </si>
  <si>
    <t>Hippolytidae</t>
  </si>
  <si>
    <t>Heptacarpus</t>
  </si>
  <si>
    <t>futilirostris</t>
  </si>
  <si>
    <t>0.0441 G,WINT</t>
  </si>
  <si>
    <t>Significant</t>
  </si>
  <si>
    <t>10.1897/05-688R.1</t>
  </si>
  <si>
    <t xml:space="preserve"> CHAR/CUSO4*5H2O//DNUM/7//DOSES/31.3/62.5/125/250/500/1000 ug/L//TESTID/3//OEF/MIXTURE////</t>
  </si>
  <si>
    <t xml:space="preserve">   CHAR/CUSO4*5H2O//DNUM/7//DOSES/31.3/62.5/125/250/500/1000 ug/L//TESTID/3//OEF/MIXTURE////</t>
  </si>
  <si>
    <t>Mochida,K., K. Ito, H. Harino, A. Kakuno, and K. Fujii</t>
  </si>
  <si>
    <t>Acute Toxicity of Pyrithione Antifouling Biocides and Joint Toxicity with Copper to Red Sea Bream (Pagrus major) and Toy Shrimp (Heptacarpus futilirostris)</t>
  </si>
  <si>
    <t>Environ. Toxicol. Chem.25(11): 3058-3064</t>
  </si>
  <si>
    <t>Mochida,K., K. Ito, H. Harino, A. Kakuno, and K. Fujii (2006). Acute Toxicity of Pyrithione Antifouling Biocides and Joint Toxicity with Copper to Red Sea Bream (Pagrus major) and Toy Shrimp (Heptacarpus futilirostris). Environ. Toxicol. Chem., 25, (11), 3058-3064. doi:10.1897/05-688R.1. ECOREF#:97380</t>
  </si>
  <si>
    <t>WITH MUF SUBSTRATE</t>
  </si>
  <si>
    <t>Copper sulfate (CuSO4), CUSO4, 1ML DOUBLE-DISTILLED HNO3 TO 1 L OF METAL STOCK SOLUTION REDUCED SURFACE PLATING ON THE CONTAINER WALLS AS WELL AS INCREASED METAL SOLUBILITY.</t>
  </si>
  <si>
    <t>3.5-4.5 MM</t>
  </si>
  <si>
    <t>10.1007/BF01606618</t>
  </si>
  <si>
    <t>Verriopoulos,G., M. Moraitou-Apostolopoulou, and E. Milliou</t>
  </si>
  <si>
    <t>Combined Toxicity of Four Toxicants (Cu, Cr, Oil, Oil Dispersant) to Artemia salina</t>
  </si>
  <si>
    <t>Bull. Environ. Contam. Toxicol.38(3): 483-490</t>
  </si>
  <si>
    <t>Verriopoulos,G., M. Moraitou-Apostolopoulou, and E. Milliou (1987). Combined Toxicity of Four Toxicants (Cu, Cr, Oil, Oil Dispersant) to Artemia salina. Bull. Environ. Contam. Toxicol., 38, (3), 483-490. doi:10.1007/BF01606618. ECOREF#:9336</t>
  </si>
  <si>
    <t>Robertgurneya hopkinsi</t>
  </si>
  <si>
    <t>Robertgurneya</t>
  </si>
  <si>
    <t>hopkinsi</t>
  </si>
  <si>
    <t>548 UM</t>
  </si>
  <si>
    <t>10.1007/s00244-011-9646-2</t>
  </si>
  <si>
    <t xml:space="preserve">SOURCE/FROM GRAYS POINT AND BONNET BAY, SYDNEY, NEW SOUTH WALES, AUSTRALIA//   </t>
  </si>
  <si>
    <t>Ward,D.J., V. Perez-Landa, D.A. Spadaro, S.L. Simpson, and D.F. Jolley</t>
  </si>
  <si>
    <t>An Assessment of Three Harpacticoid Copepod Species for Use in Ecotoxicological Testing</t>
  </si>
  <si>
    <t>Arch. Environ. Contam. Toxicol.61:414-425</t>
  </si>
  <si>
    <t>Ward,D.J., V. Perez-Landa, D.A. Spadaro, S.L. Simpson, and D.F. Jolley (2011). An Assessment of Three Harpacticoid Copepod Species for Use in Ecotoxicological Testing. Arch. Environ. Contam. Toxicol., 61, 414-425. doi:10.1007/s00244-011-9646-2. ECOREF#:156333</t>
  </si>
  <si>
    <t xml:space="preserve"> DOSES/NA ug/L//TESTID/4//OEF/ORGANISM AGE, DIET, SEDIMENT EFCTS////</t>
  </si>
  <si>
    <t xml:space="preserve">   DOSES/NA ug/L//TESTID/4//OEF/ORGANISM AGE, DIET, SEDIMENT EFCTS////</t>
  </si>
  <si>
    <t>Calanus plumchrus</t>
  </si>
  <si>
    <t>Calanidae</t>
  </si>
  <si>
    <t>Calanus</t>
  </si>
  <si>
    <t>plumchrus</t>
  </si>
  <si>
    <t xml:space="preserve"> TESTID/1//MSMT/NR//DOSES/NR//SOURCE/WLD//WTINT/204 UG CARBON BIOMASS//DNUM/5-7//SEX/NR//TMETH/NR//STYPE/ACUTE//ETIME/24 H//AP RATE/NR//SAMPN/NR//WTAT/NR//INTAKE/NR//COMPEP/NR//LD/NR//DW/NR//STST/NR//HMA/NR//NA/NR//CL/NR//DIC/NR//CA/NR//POT/NR//MG/NR//SO4/NR//SULF/NR//</t>
  </si>
  <si>
    <t xml:space="preserve">   TESTID/1//MSMT/NR//DOSES/NR//SOURCE/WLD//WTINT/204 UG CARBON BIOMASS//DNUM/5-7//SEX/NR//TMETH/NR//STYPE/ACUTE//ETIME/24 H//AP RATE/NR//SAMPN/NR//WTAT/NR//INTAKE/NR//COMPEP/NR//LD/NR//DW/NR//STST/NR//HMA/NR//NA/NR//CL/NR//DIC/NR//CA/NR//POT/NR//MG/NR//SO4/NR//SULF/NR//</t>
  </si>
  <si>
    <t xml:space="preserve"> TESTID/3//MSMT/NR//DOSES/NR//SOURCE/WLD//WTINT/2957 UG CARBON BIOMASS//DNUM/5-7//SEX/NR//TMETH/NR//STYPE/ACUTE//ETIME/24 H//AP RATE/NR//SAMPN/NR//WTAT/NR//INTAKE/NR//COMPEP/NR//LD/NR//DW/NR//STST/NR//HMA/NR//NA/NR//CL/NR//DIC/NR//CA/NR//POT/NR//MG/NR//SO4/NR//SULF/NR//</t>
  </si>
  <si>
    <t xml:space="preserve">   TESTID/3//MSMT/NR//DOSES/NR//SOURCE/WLD//WTINT/2957 UG CARBON BIOMASS//DNUM/5-7//SEX/NR//TMETH/NR//STYPE/ACUTE//ETIME/24 H//AP RATE/NR//SAMPN/NR//WTAT/NR//INTAKE/NR//COMPEP/NR//LD/NR//DW/NR//STST/NR//HMA/NR//NA/NR//CL/NR//DIC/NR//CA/NR//POT/NR//MG/NR//SO4/NR//SULF/NR//</t>
  </si>
  <si>
    <t xml:space="preserve"> CHAR/PENTAHYDRATE//DNUM/7//DOSES/1/5/10/20/50/100 mg/l//TESTID/4//OEF/MIXTURE EFCTS, DWGT////</t>
  </si>
  <si>
    <t xml:space="preserve">   CHAR/PENTAHYDRATE//DNUM/7//DOSES/1/5/10/20/50/100 mg/l//TESTID/4//OEF/MIXTURE EFCTS, DWGT////</t>
  </si>
  <si>
    <t>WITH OVIG. BANDS</t>
  </si>
  <si>
    <t xml:space="preserve"> CHAR/CUSO4.5H2O//DOSES/NA mg/L//TESTID/13//</t>
  </si>
  <si>
    <t xml:space="preserve">   CHAR/CUSO4.5H2O//DOSES/NA mg/L//TESTID/13//</t>
  </si>
  <si>
    <t>Paracyclopina nana</t>
  </si>
  <si>
    <t>Cyclopettidae</t>
  </si>
  <si>
    <t>Paracyclopina</t>
  </si>
  <si>
    <t>nana</t>
  </si>
  <si>
    <t>10.1016/j.cbpc.2009.12.010</t>
  </si>
  <si>
    <t>Hwang,D.S., K.W. Lee, J. Han, H.G. Park, J. Lee, Y.M. Lee, and J.S. Lee</t>
  </si>
  <si>
    <t>Molecular Characterization and Expression of Vitellogenin (Vg) Genes from the Cyclopoid Copepod, Paracyclopina nana Exposed to Heavy Metals</t>
  </si>
  <si>
    <t>Comp. Biochem. Physiol. C Comp. Pharmacol. Toxicol.151(3): 360-368</t>
  </si>
  <si>
    <t>Hwang,D.S., K.W. Lee, J. Han, H.G. Park, J. Lee, Y.M. Lee, and J.S. Lee (2010). Molecular Characterization and Expression of Vitellogenin (Vg) Genes from the Cyclopoid Copepod, Paracyclopina nana Exposed to Heavy Metals. Comp. Biochem. Physiol. C Comp. Pharmacol. Toxicol., 151, (3), 360-368. doi:10.1016/j.cbpc.2009.12.010. ECOREF#:153073</t>
  </si>
  <si>
    <t>Acetes sp.</t>
  </si>
  <si>
    <t>Acetes</t>
  </si>
  <si>
    <t xml:space="preserve"> DOSES/0.1 to 3 mg/L//TESTID/6//OEF/SURVEY STUDY////</t>
  </si>
  <si>
    <t xml:space="preserve">   DOSES/0.1 to 3 mg/L//TESTID/6//OEF/SURVEY STUDY////</t>
  </si>
  <si>
    <t>WITH EGG SACK</t>
  </si>
  <si>
    <t xml:space="preserve"> CHAR/CUSO4.5H2O//DOSES/NA mg/L//TESTID/14//</t>
  </si>
  <si>
    <t xml:space="preserve">   CHAR/CUSO4.5H2O//DOSES/NA mg/L//TESTID/14//</t>
  </si>
  <si>
    <t xml:space="preserve"> CHAR/CUSO4.5H2O//DNUM/9//DOSES/16/32/64/128/181/256/362/512 ug/L//TESTID/3//OEF/LIFESTAGE EFCTS////</t>
  </si>
  <si>
    <t xml:space="preserve">   CHAR/CUSO4.5H2O//DNUM/9//DOSES/16/32/64/128/181/256/362/512 ug/L//TESTID/3//OEF/LIFESTAGE EFCTS////</t>
  </si>
  <si>
    <t>Opossum Shrimp Order</t>
  </si>
  <si>
    <t xml:space="preserve"> DOSES/0.1 to 3 mg/L//TESTID/7//OEF/SURVEY STUDY////</t>
  </si>
  <si>
    <t xml:space="preserve">   DOSES/0.1 to 3 mg/L//TESTID/7//OEF/SURVEY STUDY////</t>
  </si>
  <si>
    <t>17 REPLICATES</t>
  </si>
  <si>
    <t xml:space="preserve"> DNUM/5//TESTID/12//MSMT/BASED ON MEASURED CONCENTRATIONS WHICH ARE NOT REPORTED; NOMINAL CONCENTRATIONS ARE 100/200/300/400 UG/L//OEF/SEDIMENT STUDIES////</t>
  </si>
  <si>
    <t xml:space="preserve">   DNUM/5//TESTID/12//MSMT/BASED ON MEASURED CONCENTRATIONS WHICH ARE NOT REPORTED; NOMINAL CONCENTRATIONS ARE 100/200/300/400 UG/L//OEF/SEDIMENT STUDIES////</t>
  </si>
  <si>
    <t xml:space="preserve"> CHAR/PENTAHYDRATE//DNUM/7//DOSES/1/5/10/20/50/100 mg/l//TESTID/3//OEF/MIXTURE EFCTS, DWGT////</t>
  </si>
  <si>
    <t xml:space="preserve">   CHAR/PENTAHYDRATE//DNUM/7//DOSES/1/5/10/20/50/100 mg/l//TESTID/3//OEF/MIXTURE EFCTS, DWGT////</t>
  </si>
  <si>
    <t xml:space="preserve"> DOSES/NA ug/L//TESTID/5//OEF/ORGANISM AGE, DIET, SEDIMENT EFCTS////</t>
  </si>
  <si>
    <t xml:space="preserve">   DOSES/NA ug/L//TESTID/5//OEF/ORGANISM AGE, DIET, SEDIMENT EFCTS////</t>
  </si>
  <si>
    <t>Macrobrachium idella ssp. idella</t>
  </si>
  <si>
    <t>Freshwater Prawn</t>
  </si>
  <si>
    <t>idella</t>
  </si>
  <si>
    <t>IN PLASTIC CONTAINERS, NO AERATION DURING TEST PERIOD</t>
  </si>
  <si>
    <t xml:space="preserve">SOURCE/FROM ASHTAMUDI ESTUARY, SOUTH WEST COAST OF INDIA//MEDIA/WATER FROM ASHTAMUDI ESTUARY, SOUTH WEST COAST OF INDIA//   </t>
  </si>
  <si>
    <t>Fernandez,T.V., G. Thomas, R.M. Kumar, and Y.S. Vardhanan</t>
  </si>
  <si>
    <t>Toxicity of Certain Pollutants to Aquatic Organisms</t>
  </si>
  <si>
    <t>Proc. Acad. Environ. Biol.5(2): 165-176</t>
  </si>
  <si>
    <t>Fernandez,T.V., G. Thomas, R.M. Kumar, and Y.S. Vardhanan (1996). Toxicity of Certain Pollutants to Aquatic Organisms. Proc. Acad. Environ. Biol., 5, (2), 165-176. ECOREF#:117566</t>
  </si>
  <si>
    <t>10-12 G</t>
  </si>
  <si>
    <t>AMMONIA &gt;0.019-&lt;0.029 MG/L</t>
  </si>
  <si>
    <t>Kuo,C.H., T.S. Lai, P.H. Chang, and R.S. Liu</t>
  </si>
  <si>
    <t>Effects of Copper Sulfate on Kuruma Prawn (Penaeus japonica) and Culture Environments</t>
  </si>
  <si>
    <t>Guoli Taiwan Daxue Nongxueyuan Yangjiu Baogao32(3): 226-234</t>
  </si>
  <si>
    <t>Kuo,C.H., T.S. Lai, P.H. Chang, and R.S. Liu (1992). Effects of Copper Sulfate on Kuruma Prawn (Penaeus japonica) and Culture Environments. Guoli Taiwan Daxue Nongxueyuan Yangjiu Baogao, 32, (3), 226-234. ECOREF#:4076</t>
  </si>
  <si>
    <t>MSMT/EUROPEAN RESULTS////</t>
  </si>
  <si>
    <t xml:space="preserve"> CHAR/CUSO4.5H2O//DNUM/9//DOSES/16/32/64/128/181/256/362/512 ug/L//TESTID/2//OEF/LIFESTAGE EFCTS////</t>
  </si>
  <si>
    <t xml:space="preserve">   CHAR/CUSO4.5H2O//DNUM/9//DOSES/16/32/64/128/181/256/362/512 ug/L//TESTID/2//OEF/LIFESTAGE EFCTS////</t>
  </si>
  <si>
    <t xml:space="preserve"> TESTID/2//MSMT/NR//DOSES/0.606/1.106/1.606/2.106/2.606/5.106/8.106/10.106 MG/L//SOURCE/WLD//WTINT/NR//DNUM/9//SEX/NR//TMETH/NR//STYPE/ACUTE//ETIME/96 H//AP RATE/NR//SAMPN/NR//WTAT/NR//INTAKE/NR//COMPEP/NR//LD/NR//DW/NR//STST/NR//HMA/NR//NA/NR//CL/NR//DIC/NR//CA/NR//POT/NR//MG/NR//SO4/NR//SULF/NR//</t>
  </si>
  <si>
    <t xml:space="preserve">   TESTID/2//MSMT/NR//DOSES/0.606/1.106/1.606/2.106/2.606/5.106/8.106/10.106 MG/L//SOURCE/WLD//WTINT/NR//DNUM/9//SEX/NR//TMETH/NR//STYPE/ACUTE//ETIME/96 H//AP RATE/NR//SAMPN/NR//WTAT/NR//INTAKE/NR//COMPEP/NR//LD/NR//DW/NR//STST/NR//HMA/NR//NA/NR//CL/NR//DIC/NR//CA/NR//POT/NR//MG/NR//SO4/NR//SULF/NR//</t>
  </si>
  <si>
    <t>MSMT/F5//</t>
  </si>
  <si>
    <t>CULTURED AT 0.002 MG/L CU TO F4</t>
  </si>
  <si>
    <t xml:space="preserve"> CHAR/CUSO4.5H2O//DNUM/4//DOSES/0.002/0.004/0.008 mg/L//TESTID/7//NUNIT/F5////</t>
  </si>
  <si>
    <t xml:space="preserve">   CHAR/CUSO4.5H2O//DNUM/4//DOSES/0.002/0.004/0.008 mg/L//TESTID/7//NUNIT/F5////</t>
  </si>
  <si>
    <t>CULTURED AT 0.004 MG/L CU TO F5</t>
  </si>
  <si>
    <t xml:space="preserve"> CHAR/CUSO4.5H2O//DNUM/4//DOSES/0.002/0.004/0.008 mg/L//TESTID/8//NUNIT/F5////</t>
  </si>
  <si>
    <t xml:space="preserve">   CHAR/CUSO4.5H2O//DNUM/4//DOSES/0.002/0.004/0.008 mg/L//TESTID/8//NUNIT/F5////</t>
  </si>
  <si>
    <t xml:space="preserve"> CHAR/PENTAHYDRATE//DNUM/6//DOSES/0.5/1/2/4/8 mg/L//TESTID/3//</t>
  </si>
  <si>
    <t xml:space="preserve">   CHAR/PENTAHYDRATE//DNUM/6//DOSES/0.5/1/2/4/8 mg/L//TESTID/3//</t>
  </si>
  <si>
    <t xml:space="preserve"> TESTID/3//MSMT/NR//DOSES/0.001-20 MG/L//SOURCE/WLD//WTINT/NR//DNUM/6//SEX/NR//TMETH/NR//STYPE/ACUTE//ETIME/4 D//AP RATE/NR//SAMPN/NR//WTAT/NR//INTAKE/NR//COMPEP/NR//LD/NR//DW/NR//STST/NR//HMA/NR//NA/NR//CL/NR//DIC/NR//CA/NR//POT/NR//MG/NR//SO4/NR//SULF/NR//</t>
  </si>
  <si>
    <t xml:space="preserve">   TESTID/3//MSMT/NR//DOSES/0.001-20 MG/L//SOURCE/WLD//WTINT/NR//DNUM/6//SEX/NR//TMETH/NR//STYPE/ACUTE//ETIME/4 D//AP RATE/NR//SAMPN/NR//WTAT/NR//INTAKE/NR//COMPEP/NR//LD/NR//DW/NR//STST/NR//HMA/NR//NA/NR//CL/NR//DIC/NR//CA/NR//POT/NR//MG/NR//SO4/NR//SULF/NR//</t>
  </si>
  <si>
    <t>Undinula vulgaris</t>
  </si>
  <si>
    <t>Undinula</t>
  </si>
  <si>
    <t xml:space="preserve"> TESTID/12//MSMT/NR//DOSES/NR//SOURCE/WLD//WTINT/48.8 UG CARBON BIOMASS//DNUM/5-7//SEX/NR//TMETH/NR//STYPE/ACUTE//ETIME/24 H//AP RATE/NR//SAMPN/NR//WTAT/NR//INTAKE/NR//COMPEP/NR//LD/NR//DW/NR//STST/NR//HMA/NR//NA/NR//CL/NR//DIC/NR//CA/NR//POT/NR//MG/NR//SO4/NR//SULF/NR//</t>
  </si>
  <si>
    <t xml:space="preserve">   TESTID/12//MSMT/NR//DOSES/NR//SOURCE/WLD//WTINT/48.8 UG CARBON BIOMASS//DNUM/5-7//SEX/NR//TMETH/NR//STYPE/ACUTE//ETIME/24 H//AP RATE/NR//SAMPN/NR//WTAT/NR//INTAKE/NR//COMPEP/NR//LD/NR//DW/NR//STST/NR//HMA/NR//NA/NR//CL/NR//DIC/NR//CA/NR//POT/NR//MG/NR//SO4/NR//SULF/NR//</t>
  </si>
  <si>
    <t>6.26 G,WTINT, 2.97 CM</t>
  </si>
  <si>
    <t xml:space="preserve"> CHAR/CUSO4.5H2O//DNUM/&gt;= 6//DOSES/0.25 to 20 mg/L//TESTID/17//OEF/TOXICITY SYMPTOMS////</t>
  </si>
  <si>
    <t xml:space="preserve">   CHAR/CUSO4.5H2O//DNUM/&gt;= 6//DOSES/0.25 to 20 mg/L//TESTID/17//OEF/TOXICITY SYMPTOMS////</t>
  </si>
  <si>
    <t>10.1007/BF02850376</t>
  </si>
  <si>
    <t>SAND, 5 REPLICATES</t>
  </si>
  <si>
    <t xml:space="preserve"> CHAR/CUSO4.5H2O//DNUM/10//DOSES/100/200/400/600/1000/2000/2500/3000/3500 ug/L//TESTID/2//OEF/LIFESTAGE EFCTS,MIXTURE////</t>
  </si>
  <si>
    <t xml:space="preserve">   CHAR/CUSO4.5H2O//DNUM/10//DOSES/100/200/400/600/1000/2000/2500/3000/3500 ug/L//TESTID/2//OEF/LIFESTAGE EFCTS,MIXTURE////</t>
  </si>
  <si>
    <t>Munshi,A.B., Y.Q. Su, and S.J. Li</t>
  </si>
  <si>
    <t>Acute Toxicities of Copper, Cadmium and Cu:  Cd Mixture to Larvae of the Shrimp Penaeus penicillatus</t>
  </si>
  <si>
    <t>Chin. J. Oceanol. Limnol.14(2): 170-174</t>
  </si>
  <si>
    <t>Munshi,A.B., Y.Q. Su, and S.J. Li (1996). Acute Toxicities of Copper, Cadmium and Cu:  Cd Mixture to Larvae of the Shrimp Penaeus penicillatus. Chin. J. Oceanol. Limnol., 14, (2), 170-174. doi:10.1007/BF02850376. ECOREF#:60029</t>
  </si>
  <si>
    <t xml:space="preserve"> DNUM/5//TESTID/7//MSMT/BASED ON MEASURED CONCENTRATIONS WHICH ARE NOT REPORTED; NOMINAL CONCENTRATIONS ARE 100/200/300/400 UG/L//OEF/SEDIMENT STUDIES////</t>
  </si>
  <si>
    <t xml:space="preserve">   DNUM/5//TESTID/7//MSMT/BASED ON MEASURED CONCENTRATIONS WHICH ARE NOT REPORTED; NOMINAL CONCENTRATIONS ARE 100/200/300/400 UG/L//OEF/SEDIMENT STUDIES////</t>
  </si>
  <si>
    <t>9 CM LENGTH CARAPACE</t>
  </si>
  <si>
    <t>COPPER SULPHATE</t>
  </si>
  <si>
    <t xml:space="preserve"> DNUM/3//DOSES/0.83 to 10/1.13 to 14 mg/L//TESTID/6//OEF/SAFE CONCENTRATION, SURVEY////</t>
  </si>
  <si>
    <t xml:space="preserve">   DNUM/3//DOSES/0.83 to 10/1.13 to 14 mg/L//TESTID/6//OEF/SAFE CONCENTRATION, SURVEY////</t>
  </si>
  <si>
    <t xml:space="preserve"> CHAR/CUSO4.5H2O//DNUM/4//DOSES/0.002/0.004/0.008 mg/L//TESTID/6//NUNIT/F5////</t>
  </si>
  <si>
    <t xml:space="preserve">   CHAR/CUSO4.5H2O//DNUM/4//DOSES/0.002/0.004/0.008 mg/L//TESTID/6//NUNIT/F5////</t>
  </si>
  <si>
    <t>10.1007/BF00016665</t>
  </si>
  <si>
    <t>Individual and Combined Toxicity of Three Heavy Metals, Cu, Cd and Cr for the Marine Copepod Tisbe holothuriae</t>
  </si>
  <si>
    <t>Hydrobiologia (Multiple Languages)87(1): 83-87</t>
  </si>
  <si>
    <t>Moraitou-Apostolopoulou,M., and G. Verriopoulos (1982). Individual and Combined Toxicity of Three Heavy Metals, Cu, Cd and Cr for the Marine Copepod Tisbe holothuriae. Hydrobiologia (Multiple Languages), 87, (1), 83-87. doi:10.1007/BF00016665. ECOREF#:15726</t>
  </si>
  <si>
    <t xml:space="preserve"> DOSES/NA ug/L//TESTID/6//OEF/ORGANISM AGE, DIET, SEDIMENT EFCTS////</t>
  </si>
  <si>
    <t xml:space="preserve">   DOSES/NA ug/L//TESTID/6//OEF/ORGANISM AGE, DIET, SEDIMENT EFCTS////</t>
  </si>
  <si>
    <t xml:space="preserve"> DNUM/6-8//DOSES/NA mg/L//TESTID/5//</t>
  </si>
  <si>
    <t xml:space="preserve">   DNUM/6-8//DOSES/NA mg/L//TESTID/5//</t>
  </si>
  <si>
    <t xml:space="preserve"> DNUM/6-8//DOSES/NA mg/L//TESTID/1//</t>
  </si>
  <si>
    <t xml:space="preserve">   DNUM/6-8//DOSES/NA mg/L//TESTID/1//</t>
  </si>
  <si>
    <t>EXPERIMENTAL ECOSYSTEM</t>
  </si>
  <si>
    <t xml:space="preserve"> TESTID/77/MSMT/NR//DOSES/NR//SOURCE/WLD//WTINT/48 8 UG CARBON BIOMASS//DNUM/5-7//SEX/NR//TMETH/NR//STYPE/ACUTE//ETIME/24 H//AP RATE/NR//SAMPN/NR//WTAT/NR//INTAKE/NR//COMPEP/NR//LD/NR//DW/NR//STST/NR//HMA/NR//NA/NR//CL/NR//DIC/NR//CA/NR//POT/NR//MG/NR//SO4/NR//SULF/NR//</t>
  </si>
  <si>
    <t xml:space="preserve">   TESTID/77/MSMT/NR//DOSES/NR//SOURCE/WLD//WTINT/48 8 UG CARBON BIOMASS//DNUM/5-7//SEX/NR//TMETH/NR//STYPE/ACUTE//ETIME/24 H//AP RATE/NR//SAMPN/NR//WTAT/NR//INTAKE/NR//COMPEP/NR//LD/NR//DW/NR//STST/NR//HMA/NR//NA/NR//CL/NR//DIC/NR//CA/NR//POT/NR//MG/NR//SO4/NR//SULF/NR//</t>
  </si>
  <si>
    <t>FEMALE WITH OVIGEROUS BANDS</t>
  </si>
  <si>
    <t xml:space="preserve"> TESTID/1//MSMT/NR//DOSES/0.001-20 MG/L//SOURCE/WLD//WTINT/NR//DNUM/6//SEX/NR//TMETH/NR//STYPE/ACUTE//ETIME/4 D//AP RATE/NR//SAMPN/NR//WTAT/NR//INTAKE/NR//COMPEP/NR//LD/NR//DW/NR//STST/NR//HMA/NR//NA/NR//CL/NR//DIC/NR//CA/NR//POT/NR//MG/NR//SO4/NR//SULF/NR//</t>
  </si>
  <si>
    <t xml:space="preserve">   TESTID/1//MSMT/NR//DOSES/0.001-20 MG/L//SOURCE/WLD//WTINT/NR//DNUM/6//SEX/NR//TMETH/NR//STYPE/ACUTE//ETIME/4 D//AP RATE/NR//SAMPN/NR//WTAT/NR//INTAKE/NR//COMPEP/NR//LD/NR//DW/NR//STST/NR//HMA/NR//NA/NR//CL/NR//DIC/NR//CA/NR//POT/NR//MG/NR//SO4/NR//SULF/NR//</t>
  </si>
  <si>
    <t xml:space="preserve"> TESTID/10//MSMT/NR//DOSES/NR//SOURCE/WLD//WTINT/39.2 UG CARBON-BIOMASS//DNUM/5-7//SEX/NR//TMETH/NR//STYPE/ACUTE//ETIME/24 H//AP RATE/NR//SAMPN/NR//WTAT/NR//INTAKE/NR//COMPEP/NR//LD/NR//DW/NR//STST/NR//HMA/NR//NA/NR//CL/NR//DIC/NR//CA/NR//POT/NR//MG/NR//SO4/NR//SULF/NR//</t>
  </si>
  <si>
    <t xml:space="preserve">   TESTID/10//MSMT/NR//DOSES/NR//SOURCE/WLD//WTINT/39.2 UG CARBON-BIOMASS//DNUM/5-7//SEX/NR//TMETH/NR//STYPE/ACUTE//ETIME/24 H//AP RATE/NR//SAMPN/NR//WTAT/NR//INTAKE/NR//COMPEP/NR//LD/NR//DW/NR//STST/NR//HMA/NR//NA/NR//CL/NR//DIC/NR//CA/NR//POT/NR//MG/NR//SO4/NR//SULF/NR//</t>
  </si>
  <si>
    <t xml:space="preserve"> TESTID/7//MSMT/NR//DOSES/NR//SOURCE/WLD//WTINT/213 UG CARBON BIOMASS//DNUM/5-7//SEX/NR//TMETH/NR//STYPE/ACUTE//ETIME/24 H//AP RATE/NR//SAMPN/NR//WTAT/NR//INTAKE/NR//COMPEP/NR//LD/NR//DW/NR//STST/NR//HMA/NR//NA/NR//CL/NR//DIC/NR//CA/NR//POT/NR//MG/NR//SO4/NR//SULF/NR//</t>
  </si>
  <si>
    <t xml:space="preserve">   TESTID/7//MSMT/NR//DOSES/NR//SOURCE/WLD//WTINT/213 UG CARBON BIOMASS//DNUM/5-7//SEX/NR//TMETH/NR//STYPE/ACUTE//ETIME/24 H//AP RATE/NR//SAMPN/NR//WTAT/NR//INTAKE/NR//COMPEP/NR//LD/NR//DW/NR//STST/NR//HMA/NR//NA/NR//CL/NR//DIC/NR//CA/NR//POT/NR//MG/NR//SO4/NR//SULF/NR//</t>
  </si>
  <si>
    <t xml:space="preserve"> TESTID/14//MSMT/NR//DOSES/NR//SOURCE/WLD//WTINT/0.76 UG CARBON BIOMASS//DNUM/5-7//SEX/NR//TMETH/NR//STYPE/ACUTE//ETIME/24 H//AP RATE/NR//SAMPN/NR//WTAT/NR//INTAKE/NR//COMPEP/NR//LD/NR//DW/NR//STST/NR//HMA/NR//NA/NR//CL/NR//DIC/NR//CA/NR//POT/NR//MG/NR//SO4/NR//SULF/NR//</t>
  </si>
  <si>
    <t xml:space="preserve">   TESTID/14//MSMT/NR//DOSES/NR//SOURCE/WLD//WTINT/0.76 UG CARBON BIOMASS//DNUM/5-7//SEX/NR//TMETH/NR//STYPE/ACUTE//ETIME/24 H//AP RATE/NR//SAMPN/NR//WTAT/NR//INTAKE/NR//COMPEP/NR//LD/NR//DW/NR//STST/NR//HMA/NR//NA/NR//CL/NR//DIC/NR//CA/NR//POT/NR//MG/NR//SO4/NR//SULF/NR//</t>
  </si>
  <si>
    <t>FEMALE WITH OVIGEROUS SACS</t>
  </si>
  <si>
    <t xml:space="preserve"> TESTID/13//MSMT/NR//DOSES/NR//SOURCE/WLD//WTINT/0.86 UG CARBON BIOMASS//DNUM/5-7//SEX/NR//TMETH/NR//STYPE/ACUTE//ETIME/24 H//AP RATE/NR//SAMPN/NR//WTAT/NR//INTAKE/NR//COMPEP/NR//LD/NR//DW/NR//STST/NR//HMA/NR//NA/NR//CL/NR//DIC/NR//CA/NR//POT/NR//MG/NR//SO4/NR//SULF/NR//</t>
  </si>
  <si>
    <t xml:space="preserve">   TESTID/13//MSMT/NR//DOSES/NR//SOURCE/WLD//WTINT/0.86 UG CARBON BIOMASS//DNUM/5-7//SEX/NR//TMETH/NR//STYPE/ACUTE//ETIME/24 H//AP RATE/NR//SAMPN/NR//WTAT/NR//INTAKE/NR//COMPEP/NR//LD/NR//DW/NR//STST/NR//HMA/NR//NA/NR//CL/NR//DIC/NR//CA/NR//POT/NR//MG/NR//SO4/NR//SULF/NR//</t>
  </si>
  <si>
    <t>1.6-2.3 CM</t>
  </si>
  <si>
    <t>Copper sulfate (CuSO4), CUSO4.5H20</t>
  </si>
  <si>
    <t>10.1080/02757541003785809</t>
  </si>
  <si>
    <t>DUPLICATE, 15 REPLICATES</t>
  </si>
  <si>
    <t xml:space="preserve">TMETH/APHA//   </t>
  </si>
  <si>
    <t>Paila,R.V., and P.R. Yallapragada</t>
  </si>
  <si>
    <t>Bioaccumulation and Toxic Effects of Copper on Growth and Oxygen Consumption by the Postlarvae of Penaeus indicus</t>
  </si>
  <si>
    <t>Chem. Ecol.26(3): 209-221</t>
  </si>
  <si>
    <t>Paila,R.V., and P.R. Yallapragada (2010). Bioaccumulation and Toxic Effects of Copper on Growth and Oxygen Consumption by the Postlarvae of Penaeus indicus. Chem. Ecol., 26, (3), 209-221. doi:10.1080/02757541003785809. ECOREF#:157878</t>
  </si>
  <si>
    <t>Alpheus malabaricus</t>
  </si>
  <si>
    <t>Alpheidae</t>
  </si>
  <si>
    <t>Alpheus</t>
  </si>
  <si>
    <t>malabaricus</t>
  </si>
  <si>
    <t>ALPHEUS MALABARICUS MALIBARICUS</t>
  </si>
  <si>
    <t>COPPER SULFATE (CUSO4), CUSO4 X/</t>
  </si>
  <si>
    <t xml:space="preserve"> CHAR/5H2O//DNUM/8//DOSES/0.10/0.15/0.20/0.25/0.30/0.35/0.40 mg/L//TESTID/1//OEF/SALINITY EFCTS, TOXICITY SYMPTOMS////</t>
  </si>
  <si>
    <t xml:space="preserve">   CHAR/5H2O//DNUM/8//DOSES/0.10/0.15/0.20/0.25/0.30/0.35/0.40 mg/L//TESTID/1//OEF/SALINITY EFCTS, TOXICITY SYMPTOMS////</t>
  </si>
  <si>
    <t>Perumal,P., and P. Subramanian</t>
  </si>
  <si>
    <t>Effects of Salinity and Copper on Larval Development in Pistol Prawn, Alpheus malabaricus malabaricus Fabricius</t>
  </si>
  <si>
    <t>Indian J. Mar. Sci.14(1): 35-37</t>
  </si>
  <si>
    <t>Perumal,P., and P. Subramanian (1985). Effects of Salinity and Copper on Larval Development in Pistol Prawn, Alpheus malabaricus malabaricus Fabricius. Indian J. Mar. Sci., 14, (1), 35-37. ECOREF#:13265</t>
  </si>
  <si>
    <t>Cupric sulfate</t>
  </si>
  <si>
    <t xml:space="preserve"> DNUM/5//DOSES/1/5/10/20 ppm//</t>
  </si>
  <si>
    <t xml:space="preserve">   DNUM/5//DOSES/1/5/10/20 ppm//</t>
  </si>
  <si>
    <t>Clibanarius olivaceus</t>
  </si>
  <si>
    <t>olivaceus</t>
  </si>
  <si>
    <t>Ajmalkhan,S., K. Rajendran, and R. Natarajan</t>
  </si>
  <si>
    <t>Effect of Copper on the Larval Development of the Estuarine Hermit Crab Clibanarius olivaceus Henderson</t>
  </si>
  <si>
    <t>Indian J. Mar. Sci.15(4): 260-261</t>
  </si>
  <si>
    <t>Ajmalkhan,S., K. Rajendran, and R. Natarajan (1986). Effect of Copper on the Larval Development of the Estuarine Hermit Crab Clibanarius olivaceus Henderson. Indian J. Mar. Sci., 15, (4), 260-261. ECOREF#:6845</t>
  </si>
  <si>
    <t xml:space="preserve"> DNUM/6-8//DOSES/NA mg/L//TESTID/2//</t>
  </si>
  <si>
    <t xml:space="preserve">   DNUM/6-8//DOSES/NA mg/L//TESTID/2//</t>
  </si>
  <si>
    <t>10.1007/BF00394525</t>
  </si>
  <si>
    <t>Ahsanullah,M., and T.M. Florence</t>
  </si>
  <si>
    <t>Toxicity of Copper to the Marine Amphipod Allorchestes compressa in the Presence of Water-and Lipid-Soluble Ligands</t>
  </si>
  <si>
    <t>Mar. Biol. (Multiple Languages)84(1): 41-45</t>
  </si>
  <si>
    <t>Ahsanullah,M., and T.M. Florence (1984). Toxicity of Copper to the Marine Amphipod Allorchestes compressa in the Presence of Water-and Lipid-Soluble Ligands. Mar. Biol. (Multiple Languages), 84, (1), 41-45. doi:10.1007/BF00394525. ECOREF#:10736</t>
  </si>
  <si>
    <t xml:space="preserve"> CHAR/CUSO4.5H2O//DNUM/7//DOSES/10/20/40/100/1000/2000 ug/L//TESTID/1//OEF/LIFESTAGE EFCTS,MIXTURE////</t>
  </si>
  <si>
    <t xml:space="preserve">   CHAR/CUSO4.5H2O//DNUM/7//DOSES/10/20/40/100/1000/2000 ug/L//TESTID/1//OEF/LIFESTAGE EFCTS,MIXTURE////</t>
  </si>
  <si>
    <t xml:space="preserve">CAS #: 7697372 | Chem Name: Nitric acid | Chem Grade: NR | Chem Formulation: NR | Chem Radiolabel: NR | Chem Characteristics: AR | Chem Purity: NR | </t>
  </si>
  <si>
    <t xml:space="preserve"> CONTR/3.3 % MORT//</t>
  </si>
  <si>
    <t xml:space="preserve">   CONTR/3.3 % MORT//</t>
  </si>
  <si>
    <t>MSMT/CANADIAN RESULTS////</t>
  </si>
  <si>
    <t xml:space="preserve"> DOSES/NA ug/L//TESTID/3//OEF/ORGANISM AGE, DIET, SEDIMENT EFCTS////</t>
  </si>
  <si>
    <t xml:space="preserve">   DOSES/NA ug/L//TESTID/3//OEF/ORGANISM AGE, DIET, SEDIMENT EFCTS////</t>
  </si>
  <si>
    <t>0.36 TO 0.85 MM LENGTH</t>
  </si>
  <si>
    <t>Copper sulfate (CuSO4), CuSO4*5H2O</t>
  </si>
  <si>
    <t>10.1016/j.marpolbul.2011.02.041</t>
  </si>
  <si>
    <t>Bao,V.W.W., K.M.Y. Leung, J.W. Qiu, and M.H.W. Lam</t>
  </si>
  <si>
    <t>Acute Toxicities of Five Commonly Used Antifouling Booster Biocides to Selected Subtropical and Cosmopolitan Marine Species</t>
  </si>
  <si>
    <t>Mar. Pollut. Bull.62(5): 1147-1151</t>
  </si>
  <si>
    <t>Bao,V.W.W., K.M.Y. Leung, J.W. Qiu, and M.H.W. Lam (2011). Acute Toxicities of Five Commonly Used Antifouling Booster Biocides to Selected Subtropical and Cosmopolitan Marine Species. Mar. Pollut. Bull., 62, (5), 1147-1151. doi:10.1016/j.marpolbul.2011.02.041. ECOREF#:156339</t>
  </si>
  <si>
    <t>Commercial grade</t>
  </si>
  <si>
    <t>Panulirus homarus ssp. homarus</t>
  </si>
  <si>
    <t>10.4038/sljas.v17i0.6853</t>
  </si>
  <si>
    <t>3 EXPERIMENTS POOLED</t>
  </si>
  <si>
    <t xml:space="preserve">SOURCE/KOVALAM LANDING CENTRE, CHENNAI, TAMIL NADU, INDIA//   </t>
  </si>
  <si>
    <t>Maharajan,A., S. Rajalakshmi, and M. Vijayakumaran</t>
  </si>
  <si>
    <t>Effect of Copper in Protein, Carbohydrate and Lipid Contents of the Juvenile Lobster, Panulirus homarus homarus (Linnaeus, 1758)</t>
  </si>
  <si>
    <t>Sri Lanka J. Aquat. Sci.17:19-34</t>
  </si>
  <si>
    <t>Maharajan,A., S. Rajalakshmi, and M. Vijayakumaran (2012). Effect of Copper in Protein, Carbohydrate and Lipid Contents of the Juvenile Lobster, Panulirus homarus homarus (Linnaeus, 1758). Sri Lanka J. Aquat. Sci., 17, 19-34. doi:10.4038/sljas.v17i0.6853. ECOREF#:166071</t>
  </si>
  <si>
    <t>CULTURED AT 0.008 MG/L CU TO F5</t>
  </si>
  <si>
    <t xml:space="preserve"> CHAR/CUSO4.5H2O//DNUM/4//DOSES/0.002/0.004/0.008 mg/L//TESTID/9//NUNIT/F5////</t>
  </si>
  <si>
    <t xml:space="preserve">   CHAR/CUSO4.5H2O//DNUM/4//DOSES/0.002/0.004/0.008 mg/L//TESTID/9//NUNIT/F5////</t>
  </si>
  <si>
    <t>10.1007/BF00015041</t>
  </si>
  <si>
    <t>Moraitou-Apostolopoulou,M., M. Kiortsis, V. Verriopoulos, and S. Platanistioti</t>
  </si>
  <si>
    <t>Effects of Copper Sulphate on Tisbe holothuriae Humes (Copepoda) and Development of Tolerance to Copper</t>
  </si>
  <si>
    <t>Hydrobiologia (Multiple Languages)99(2): 145-150</t>
  </si>
  <si>
    <t>Moraitou-Apostolopoulou,M., M. Kiortsis, V. Verriopoulos, and S. Platanistioti (1983). Effects of Copper Sulphate on Tisbe holothuriae Humes (Copepoda) and Development of Tolerance to Copper. Hydrobiologia (Multiple Languages), 99, (2), 145-150. doi:10.1007/BF00015041. ECOREF#:15500</t>
  </si>
  <si>
    <t xml:space="preserve"> TESTID/2//MSMT/NR//DOSES/0.001-20 MG/L//SOURCE/WLD//WTINT/NR//DNUM/6//SEX/NR//TMETH/NR//STYPE/ACUTE//ETIME/4 D//AP RATE/NR//SAMPN/NR//WTAT/NR//INTAKE/NR//COMPEP/NR//LD/NR//DW/NR//STST/NR//HMA/NR//NA/NR//CL/NR//DIC/NR//CA/NR//POT/NR//MG/NR//SO4/NR//SULF/NR//</t>
  </si>
  <si>
    <t xml:space="preserve">   TESTID/2//MSMT/NR//DOSES/0.001-20 MG/L//SOURCE/WLD//WTINT/NR//DNUM/6//SEX/NR//TMETH/NR//STYPE/ACUTE//ETIME/4 D//AP RATE/NR//SAMPN/NR//WTAT/NR//INTAKE/NR//COMPEP/NR//LD/NR//DW/NR//STST/NR//HMA/NR//NA/NR//CL/NR//DIC/NR//CA/NR//POT/NR//MG/NR//SO4/NR//SULF/NR//</t>
  </si>
  <si>
    <t xml:space="preserve"> CHAR/CUSO4.5H2O//DOSES/NA mg/L//TESTID/11//</t>
  </si>
  <si>
    <t xml:space="preserve">   CHAR/CUSO4.5H2O//DOSES/NA mg/L//TESTID/11//</t>
  </si>
  <si>
    <t>WATER ONLY TEST, 3 REPLICATES, LIVE ALGAE FOOD ADDED</t>
  </si>
  <si>
    <t xml:space="preserve"> DOSES/NA ug/L//TESTID/7//OEF/ORGANISM AGE, DIET, SEDIMENT EFCTS////</t>
  </si>
  <si>
    <t xml:space="preserve">   DOSES/NA ug/L//TESTID/7//OEF/ORGANISM AGE, DIET, SEDIMENT EFCTS////</t>
  </si>
  <si>
    <t xml:space="preserve"> CHAR/CUSO4.5H2O//DNUM/9//DOSES/0.01/0.03/0.06/0.13/0.25/0.38/0.50/0.63 mM//TESTID/1//OEF/MIXTURE, MODELING////</t>
  </si>
  <si>
    <t xml:space="preserve">   CHAR/CUSO4.5H2O//DNUM/9//DOSES/0.01/0.03/0.06/0.13/0.25/0.38/0.50/0.63 mM//TESTID/1//OEF/MIXTURE, MODELING////</t>
  </si>
  <si>
    <t xml:space="preserve"> CHAR/CUSO4.5H2O//DOSES/NA mg/L//TESTID/10//</t>
  </si>
  <si>
    <t xml:space="preserve">   CHAR/CUSO4.5H2O//DOSES/NA mg/L//TESTID/10//</t>
  </si>
  <si>
    <t>MSMT/F3 GENERATION//</t>
  </si>
  <si>
    <t xml:space="preserve"> CHAR/CUSO4.5H2O//DNUM/4//DOSES/0.002/0.004/0.008 mg/L//TESTID/6//NUNIT/F3////</t>
  </si>
  <si>
    <t xml:space="preserve">   CHAR/CUSO4.5H2O//DNUM/4//DOSES/0.002/0.004/0.008 mg/L//TESTID/6//NUNIT/F3////</t>
  </si>
  <si>
    <t>Lucifer sp.</t>
  </si>
  <si>
    <t>Decapod</t>
  </si>
  <si>
    <t>Luciferidae</t>
  </si>
  <si>
    <t>Lucifer</t>
  </si>
  <si>
    <t xml:space="preserve"> DOSES/0.1 to 3 mg/L//TESTID/4//OEF/SURVEY STUDY////</t>
  </si>
  <si>
    <t xml:space="preserve">   DOSES/0.1 to 3 mg/L//TESTID/4//OEF/SURVEY STUDY////</t>
  </si>
  <si>
    <t>LARVAE</t>
  </si>
  <si>
    <t>10.1006/eesa.1996.1508</t>
  </si>
  <si>
    <t>Ramachandran,S., T.R. Patel, and M.H. Colbo</t>
  </si>
  <si>
    <t>Effect of Copper and Cadmium on Three Malaysian Tropical Estuarine Invertebrate Larvae</t>
  </si>
  <si>
    <t>Ecotoxicol. Environ. Saf.36:183-188</t>
  </si>
  <si>
    <t>Ramachandran,S., T.R. Patel, and M.H. Colbo (1997). Effect of Copper and Cadmium on Three Malaysian Tropical Estuarine Invertebrate Larvae. Ecotoxicol. Environ. Saf., 36, 183-188. doi:10.1006/eesa.1996.1508. ECOREF#:17977</t>
  </si>
  <si>
    <t xml:space="preserve">CONC1/GEOMETRIC MEAN OF 8 TESTS// </t>
  </si>
  <si>
    <t xml:space="preserve">  CONC1/GEOMETRIC MEAN OF 8 TESTS// </t>
  </si>
  <si>
    <t>SAVAGE</t>
  </si>
  <si>
    <t xml:space="preserve">CAS #: 7647010 | Chem Name: Hydrochloric acid | Chem Grade: NR | Chem Formulation: NR | Chem Radiolabel: NR | Chem Characteristics: 1 ML | Chem Purity: NR | </t>
  </si>
  <si>
    <t>Menasria,R., and J.F. Pavillon</t>
  </si>
  <si>
    <t xml:space="preserve">Toxic Effects of Two Trace Metals, Copper and Silver, on a Crustacean Harpacticoid Copepod Tigriopus brevicornis (Muller). Lethal and Sublethal Effects at Different Development Stages (Effets Biologiques de Deux Metaux </t>
  </si>
  <si>
    <t>J. Rech. Oceanogr. (Non-English)19(3-4): 157-165</t>
  </si>
  <si>
    <t>Menasria,R., and J.F. Pavillon (1994). Toxic Effects of Two Trace Metals, Copper and Silver, on a Crustacean Harpacticoid Copepod Tigriopus brevicornis (Muller). Lethal and Sublethal Effects at Different Development Stages (Effets Biologiques de Deux Metaux . J. Rech. Oceanogr. (Non-English), 19, (3-4), 157-165. ECOREF#:18833</t>
  </si>
  <si>
    <t>MALE, FEMALE,COLLECTED DURING COLD/</t>
  </si>
  <si>
    <t xml:space="preserve"> LIFESTG/DRY SEASON//DNUM/&gt;= 6//DOSES/100 TO 2000 ug/L//TESTID/5//OEF/SEASONAL EFCTS////</t>
  </si>
  <si>
    <t xml:space="preserve">   LIFESTG/DRY SEASON//DNUM/&gt;= 6//DOSES/100 TO 2000 ug/L//TESTID/5//OEF/SEASONAL EFCTS////</t>
  </si>
  <si>
    <t>International Standard Organisation</t>
  </si>
  <si>
    <t>Copper sulfate, CUSO4.5H2O</t>
  </si>
  <si>
    <t>10.1016/j.ecoenv.2009.03.004</t>
  </si>
  <si>
    <t>5 REPLICATES, ASTM ARTIFICIAL SEA WATER</t>
  </si>
  <si>
    <t>Diz,F.R., C.V.M. Araujo, I. Moreno-Garrido, M. Hampel, and J. Blasco</t>
  </si>
  <si>
    <t>Short-Term Toxicity Tests on the Harpacticoid Copepod Tisbe battagliai:  Lethal and Reproductive Endpoints</t>
  </si>
  <si>
    <t>Ecotoxicol. Environ. Saf.72(7): 1881-1886</t>
  </si>
  <si>
    <t>Diz,F.R., C.V.M. Araujo, I. Moreno-Garrido, M. Hampel, and J. Blasco (2009). Short-Term Toxicity Tests on the Harpacticoid Copepod Tisbe battagliai:  Lethal and Reproductive Endpoints. Ecotoxicol. Environ. Saf., 72, (7), 1881-1886. doi:10.1016/j.ecoenv.2009.03.004. ECOREF#:119554</t>
  </si>
  <si>
    <t>Gestation</t>
  </si>
  <si>
    <t>MSMT/FROM GRAPH//</t>
  </si>
  <si>
    <t xml:space="preserve"> TEMP/FROM GRAPH//TESTID/37/MSMT/NR//DOSES/NR//SOURCE/WLD//WTINT/NR//DNUM/5-7//SEX/NR//TMETH/NR//STYPE/ACUTE//ETIME/24 H//AP RATE/NR//SAMPN/NR//WTAT/NR//INTAKE/NR//COMPEP/NR//LD/NR//DW/NR//STST/NR//HMA/NR//NA/NR//CL/NR//DIC/NR//CA/NR//POT/NR//MG/NR//SO4/NR//SULF/NR//</t>
  </si>
  <si>
    <t xml:space="preserve">   TEMP/FROM GRAPH//TESTID/37/MSMT/NR//DOSES/NR//SOURCE/WLD//WTINT/NR//DNUM/5-7//SEX/NR//TMETH/NR//STYPE/ACUTE//ETIME/24 H//AP RATE/NR//SAMPN/NR//WTAT/NR//INTAKE/NR//COMPEP/NR//LD/NR//DW/NR//STST/NR//HMA/NR//NA/NR//CL/NR//DIC/NR//CA/NR//POT/NR//MG/NR//SO4/NR//SULF/NR//</t>
  </si>
  <si>
    <t xml:space="preserve"> TESTID/38/MSMT/NR//DOSES/NR//SOURCE/WLD//WTINT/NR//DNUM/5-7//SEX/NR//TMETH/NR//STYPE/ACUTE//ETIME/24 H//AP RATE/NR//SAMPN/NR//WTAT/NR//INTAKE/NR//COMPEP/NR//LD/NR//DW/NR//STST/NR//HMA/NR//NA/NR//CL/NR//DIC/NR//CA/NR//POT/NR//MG/NR//SO4/NR//SULF/NR//</t>
  </si>
  <si>
    <t xml:space="preserve">   TESTID/38/MSMT/NR//DOSES/NR//SOURCE/WLD//WTINT/NR//DNUM/5-7//SEX/NR//TMETH/NR//STYPE/ACUTE//ETIME/24 H//AP RATE/NR//SAMPN/NR//WTAT/NR//INTAKE/NR//COMPEP/NR//LD/NR//DW/NR//STST/NR//HMA/NR//NA/NR//CL/NR//DIC/NR//CA/NR//POT/NR//MG/NR//SO4/NR//SULF/NR//</t>
  </si>
  <si>
    <t>MSMT/STATS TO V CONTR////</t>
  </si>
  <si>
    <t>NEW YORK, NEW JERSEY HARBOR WATER, OCT 20-21, 1992, STATION A6, 2 REPLICATES</t>
  </si>
  <si>
    <t xml:space="preserve"> CONTR/O (BRINE, NATURAL SEA WATER), V:([CU]T=3.69 UG/L)//TESTID/33//MSMT/NR//DOSES/93.50/197.50/410.50/904.00 UG/L TOTAL, 74.55/148.50/299.00/588.00 UG/L DISSOLVED//SOURCE/COM//WTINT/NR//DNUM/6//SEX/NR//TMETH/EPAASTM//STYPE/ACUTE//ETIME/96 H//APRATE/NR//SAMPN/NR JV//WTAT/NR//INTAKE/NR//COMPEP/NR//LD/NR//DW/NR//STST/NR//HMA/NR//NA/NR//CL/NR//DIC/NR//CA/NR//POT/NR//MG/NR//SO4/NR//SULF/NR//</t>
  </si>
  <si>
    <t>SOURCE/COMMERCIAL//   CONTR/O (BRINE, NATURAL SEA WATER), V:([CU]T=3.69 UG/L)//TESTID/33//MSMT/NR//DOSES/93.50/197.50/410.50/904.00 UG/L TOTAL, 74.55/148.50/299.00/588.00 UG/L DISSOLVED//SOURCE/COM//WTINT/NR//DNUM/6//SEX/NR//TMETH/EPAASTM//STYPE/ACUTE//ETIME/96 H//APRATE/NR//SAMPN/NR JV//WTAT/NR//INTAKE/NR//COMPEP/NR//LD/NR//DW/NR//STST/NR//HMA/NR//NA/NR//CL/NR//DIC/NR//CA/NR//POT/NR//MG/NR//SO4/NR//SULF/NR//</t>
  </si>
  <si>
    <t>Science Applications International Corp.</t>
  </si>
  <si>
    <t>Toxicity Testing to Support the New York/New Jersey Harbor Site-Specific Copper Criteria Study</t>
  </si>
  <si>
    <t>Final Rep.to U.S.EPA, Off.of Wastewater Enforcement and Compliance (Contract No.68-C8-0066, Work Assignment C-4-94), Sci.Appl.Int.Corp., Narragansett, RI:176 p.</t>
  </si>
  <si>
    <t>Science Applications International Corp. (1993). Toxicity Testing to Support the New York/New Jersey Harbor Site-Specific Copper Criteria Study. Final Rep.to U.S.EPA, Off.of Wastewater Enforcement and Compliance (Contract No.68-C8-0066, Work Assignment C-4-94), Sci.Appl.Int.Corp., Narragansett, RI, 176 p. ECOREF#:76254</t>
  </si>
  <si>
    <t>Pandalus danae</t>
  </si>
  <si>
    <t>Coon Stripe Shrimp</t>
  </si>
  <si>
    <t>2-4 G</t>
  </si>
  <si>
    <t xml:space="preserve"> TEMP/ACCLIMATED 8 C//</t>
  </si>
  <si>
    <t xml:space="preserve">   TEMP/ACCLIMATED 8 C//</t>
  </si>
  <si>
    <t>Gibson,C.I., T.O. Thatcher, and C.W. Apts</t>
  </si>
  <si>
    <t>Some Effects of Temperature, Chlorine, and Copper on the Survival and Growth of the Coon Stripe Shrimp</t>
  </si>
  <si>
    <t>In: G.W.Esch and R.W.McFarlane (Eds.), Rep.No.CONF-750425, Thermal Ecology II, Proc.1975 Symp., Augusta, GA:88-92</t>
  </si>
  <si>
    <t>Gibson,C.I., T.O. Thatcher, and C.W. Apts (1976). Some Effects of Temperature, Chlorine, and Copper on the Survival and Growth of the Coon Stripe Shrimp. In: G.W.Esch and R.W.McFarlane (Eds.), Rep.No.CONF-750425, Thermal Ecology II, Proc.1975 Symp., Augusta, GA, 88-92. ECOREF#:7396</t>
  </si>
  <si>
    <t>MSMT/CONC/FROM GRAPH////</t>
  </si>
  <si>
    <t xml:space="preserve"> DNUM/2//DOSES/500/800/1000/1200/1500 ug/L//TESTID/7//</t>
  </si>
  <si>
    <t xml:space="preserve">   DNUM/2//DOSES/500/800/1000/1200/1500 ug/L//TESTID/7//</t>
  </si>
  <si>
    <t>MALE, FEMALE,COLLECTED DURING WARM/</t>
  </si>
  <si>
    <t xml:space="preserve"> LIFESTG/WET SEASON//DNUM/&gt;= 6//DOSES/100 TO 2000 ug/L//TESTID/3//OEF/SEASONAL EFCTS//CONC/FROM GRAPH////</t>
  </si>
  <si>
    <t xml:space="preserve">   LIFESTG/WET SEASON//DNUM/&gt;= 6//DOSES/100 TO 2000 ug/L//TESTID/3//OEF/SEASONAL EFCTS//CONC/FROM GRAPH////</t>
  </si>
  <si>
    <t xml:space="preserve"> CHAR/PENTAHYDRATE//TESTID/10//</t>
  </si>
  <si>
    <t xml:space="preserve">   CHAR/PENTAHYDRATE//TESTID/10//</t>
  </si>
  <si>
    <t xml:space="preserve"> CHAR/PENTAHYDRATE//TESTID/1//OEF/MIXTURE, SEDIMENT EFCTS////</t>
  </si>
  <si>
    <t xml:space="preserve">   CHAR/PENTAHYDRATE//TESTID/1//OEF/MIXTURE, SEDIMENT EFCTS////</t>
  </si>
  <si>
    <t xml:space="preserve"> LIFESTG/WET SEASON//DNUM/&gt;= 6//DOSES/100 TO 2000 ug/L//TESTID/1//OEF/SEASONAL EFCTS//CONC/FROM GRAPH////</t>
  </si>
  <si>
    <t xml:space="preserve">   LIFESTG/WET SEASON//DNUM/&gt;= 6//DOSES/100 TO 2000 ug/L//TESTID/1//OEF/SEASONAL EFCTS//CONC/FROM GRAPH////</t>
  </si>
  <si>
    <t xml:space="preserve"> LIFESTG/DRY SEASON//DNUM/&gt;= 6//DOSES/100 TO 2000 ug/L//TESTID/6//OEF/SEASONAL EFCTS//CONC/FROM GRAPH////</t>
  </si>
  <si>
    <t xml:space="preserve">   LIFESTG/DRY SEASON//DNUM/&gt;= 6//DOSES/100 TO 2000 ug/L//TESTID/6//OEF/SEASONAL EFCTS//CONC/FROM GRAPH////</t>
  </si>
  <si>
    <t>NEW YORK, NEW JERSEY HARBOR WATER, OCT 20-21, 1992, STATION H3-LOW2, 2 REPLICATES</t>
  </si>
  <si>
    <t xml:space="preserve"> CONTR/O (BRINE, NATURAL SEA WATER), V:([CU]T=8.42 UG/L)//TESTID/31//MSMT/NR//DOSES/96.50/176.50/398.50/869.00 UG/L TOTAL, 65.40/127.00/267.50/517.00 UG/L DISSOLVED//SOURCE/COM//WTINT/NR//DNUM/6//SEX/NR//TMETH/EPAASTM//STYPE/ACUTE//ETIME/96 H//APRATE/NR//SAMPN/NR JV//WTAT/NR//INTAKE/NR//COMPEP/NR//LD/NR//DW/NR//STST/NR//HMA/NR//NA/NR//CL/NR//DIC/NR//CA/NR//POT/NR//MG/NR//SO4/NR//SULF/NR//</t>
  </si>
  <si>
    <t>SOURCE/COMMERCIAL//   CONTR/O (BRINE, NATURAL SEA WATER), V:([CU]T=8.42 UG/L)//TESTID/31//MSMT/NR//DOSES/96.50/176.50/398.50/869.00 UG/L TOTAL, 65.40/127.00/267.50/517.00 UG/L DISSOLVED//SOURCE/COM//WTINT/NR//DNUM/6//SEX/NR//TMETH/EPAASTM//STYPE/ACUTE//ETIME/96 H//APRATE/NR//SAMPN/NR JV//WTAT/NR//INTAKE/NR//COMPEP/NR//LD/NR//DW/NR//STST/NR//HMA/NR//NA/NR//CL/NR//DIC/NR//CA/NR//POT/NR//MG/NR//SO4/NR//SULF/NR//</t>
  </si>
  <si>
    <t>6-9</t>
  </si>
  <si>
    <t xml:space="preserve">CAS #: 67641 | Chem Name: Propan-2-one | Chem Grade: NC | Chem Formulation: NC | Chem Radiolabel: NC | Chem Characteristics: ACETONE | Chem Purity: NC | </t>
  </si>
  <si>
    <t>10.1016/j.marpolbul.2005.02.036</t>
  </si>
  <si>
    <t>3 - 4 REPLICATES, TROPIC MARINE SEA SALT</t>
  </si>
  <si>
    <t xml:space="preserve"> CHAR/CUSO4.5H2O//DNUM/6-9//TESTID/1//OEF/SALINITY, TEMP//CONTR/C,V////</t>
  </si>
  <si>
    <t xml:space="preserve">   CHAR/CUSO4.5H2O//DNUM/6-9//TESTID/1//OEF/SALINITY, TEMP//CONTR/C,V////</t>
  </si>
  <si>
    <t>Kwok,K.W.H., and K.M.Y. Leung</t>
  </si>
  <si>
    <t>Toxicity of Antifouling Biocides to the Intertidal Harpacticoid Copepod Tigriopus japonicus (Crustacea, Copepoda):  Effects of Temperature and Salinity</t>
  </si>
  <si>
    <t>Mar. Pollut. Bull.51(8-12): 830-837</t>
  </si>
  <si>
    <t>Kwok,K.W.H., and K.M.Y. Leung (2005). Toxicity of Antifouling Biocides to the Intertidal Harpacticoid Copepod Tigriopus japonicus (Crustacea, Copepoda):  Effects of Temperature and Salinity. Mar. Pollut. Bull., 51, (8-12), 830-837. doi:10.1016/j.marpolbul.2005.02.036. ECOREF#:111599</t>
  </si>
  <si>
    <t>NON-POLLUTED</t>
  </si>
  <si>
    <t xml:space="preserve"> CHAR/CUSO4.5H2O//DOSES/NA mg/L//TESTID/2//</t>
  </si>
  <si>
    <t xml:space="preserve">   CHAR/CUSO4.5H2O//DOSES/NA mg/L//TESTID/2//</t>
  </si>
  <si>
    <t xml:space="preserve"> TESTID/9//MSMT/NR//DOSES/NR//SOURCE/WLD//WTINT/2.4 UG CARBON BIOMASS//DNUM/5-7//SEX/NR//TMETH/NR//STYPE/ACUTE//ETIME/24 H//AP RATE/NR//SAMPN/NR//WTAT/NR//INTAKE/NR//COMPEP/NR//LD/NR//DW/NR//STST/NR//HMA/NR//NA/NR//CL/NR//DIC/NR//CA/NR//POT/NR//MG/NR//SO4/NR//SULF/NR//</t>
  </si>
  <si>
    <t xml:space="preserve">   TESTID/9//MSMT/NR//DOSES/NR//SOURCE/WLD//WTINT/2.4 UG CARBON BIOMASS//DNUM/5-7//SEX/NR//TMETH/NR//STYPE/ACUTE//ETIME/24 H//AP RATE/NR//SAMPN/NR//WTAT/NR//INTAKE/NR//COMPEP/NR//LD/NR//DW/NR//STST/NR//HMA/NR//NA/NR//CL/NR//DIC/NR//CA/NR//POT/NR//MG/NR//SO4/NR//SULF/NR//</t>
  </si>
  <si>
    <t>NEW YORK, NEW JERSEY HARBOR WATER, OCT 20-21, 1992, STATION B2, 2 REPLICATES</t>
  </si>
  <si>
    <t xml:space="preserve"> CONTR/O (BRINE, NATURAL SEA WATER), V:([CU]T=2.85 UG/L)//TESTID/35//MSMT/NR//DOSES/96.00/202.00/428.50/898.50 UG/L TOTAL, 85.00/152.50/316.00/620.50 UG/L DISSOLVED//SOURCE/COM//WTINT/NR//DNUM/6//SEX/NR//TMETH/EPAASTM//STYPE/ACUTE//ETIME/96 H//APRATE/NR//SAMPN/NR JV//WTAT/NR//INTAKE/NR//COMPEP/NR//LD/NR//DW/NR//STST/NR//HMA/NR//NA/NR//CL/NR//DIC/NR//CA/NR//POT/NR//MG/NR//SO4/NR//SULF/NR//</t>
  </si>
  <si>
    <t>SOURCE/COMMERCIAL//   CONTR/O (BRINE, NATURAL SEA WATER), V:([CU]T=2.85 UG/L)//TESTID/35//MSMT/NR//DOSES/96.00/202.00/428.50/898.50 UG/L TOTAL, 85.00/152.50/316.00/620.50 UG/L DISSOLVED//SOURCE/COM//WTINT/NR//DNUM/6//SEX/NR//TMETH/EPAASTM//STYPE/ACUTE//ETIME/96 H//APRATE/NR//SAMPN/NR JV//WTAT/NR//INTAKE/NR//COMPEP/NR//LD/NR//DW/NR//STST/NR//HMA/NR//NA/NR//CL/NR//DIC/NR//CA/NR//POT/NR//MG/NR//SO4/NR//SULF/NR//</t>
  </si>
  <si>
    <t>NEW YORK-NEW JERSEY HARBOR WATER, H3-HIGH STATION, OCT 20-21, 1992, 2 REPLICATES</t>
  </si>
  <si>
    <t xml:space="preserve"> CONTR/O (BRINE, NATURAL SEA WATER), V:([CU]T=6.20 UG/L)//TESTID/30//MSMT/NR//DOSES/96.50/176.50/398.50/869.00 UG/L TOTAL, 59.35/120.50/258.50/492.00 UG/L DISSOLVED//SOURCE/COM//WTINT/NR//DNUM/6//SEX/NR//TMETH/EPAASTM//STYPE/ACUTE//ETIME/96 H//APRATE/NR//SAMPN/NR JV//WTAT/NR//INTAKE/NR//COMPEP/NR//LD/NR//DW/NR//STST/NR//HMA/NR//NA/NR//CL/NR//DIC/NR//CA/NR//POT/NR//MG/NR//SO4/NR//SULF/NR//</t>
  </si>
  <si>
    <t>SOURCE/COMMERCIAL//   CONTR/O (BRINE, NATURAL SEA WATER), V:([CU]T=6.20 UG/L)//TESTID/30//MSMT/NR//DOSES/96.50/176.50/398.50/869.00 UG/L TOTAL, 59.35/120.50/258.50/492.00 UG/L DISSOLVED//SOURCE/COM//WTINT/NR//DNUM/6//SEX/NR//TMETH/EPAASTM//STYPE/ACUTE//ETIME/96 H//APRATE/NR//SAMPN/NR JV//WTAT/NR//INTAKE/NR//COMPEP/NR//LD/NR//DW/NR//STST/NR//HMA/NR//NA/NR//CL/NR//DIC/NR//CA/NR//POT/NR//MG/NR//SO4/NR//SULF/NR//</t>
  </si>
  <si>
    <t>NARRAGANSETT BAY SAMPLE, OCT 20-21, 1992, 2 REPLICATES</t>
  </si>
  <si>
    <t xml:space="preserve"> CONTR/O (BRINE, NATURAL SEA WATER), V:([CU]T=3.52 UG/L)//TESTID/29//MSMT/NR//DOSES/9.80/198.00/443.50/868.00 UG/L TOTAL, 8.40/161.00/328.50/612.00 UG/L DISSOLVED//SOURCE/COM//WTINT/NR//DNUM/6//SEX/NR//TMETH/EPAASTM//STYPE/ACUTE//ETIME/96 H//APRATE/NR//SAMPN/NR JV//WTAT/NR//INTAKE/NR//COMPEP/NR//LD/NR//DW/NR//STST/NR//HMA/NR//NA/NR//CL/NR//DIC/NR//CA/NR//POT/NR//MG/NR//SO4/NR//SULF/NR//</t>
  </si>
  <si>
    <t>SOURCE/COMMERCIAL//   CONTR/O (BRINE, NATURAL SEA WATER), V:([CU]T=3.52 UG/L)//TESTID/29//MSMT/NR//DOSES/9.80/198.00/443.50/868.00 UG/L TOTAL, 8.40/161.00/328.50/612.00 UG/L DISSOLVED//SOURCE/COM//WTINT/NR//DNUM/6//SEX/NR//TMETH/EPAASTM//STYPE/ACUTE//ETIME/96 H//APRATE/NR//SAMPN/NR JV//WTAT/NR//INTAKE/NR//COMPEP/NR//LD/NR//DW/NR//STST/NR//HMA/NR//NA/NR//CL/NR//DIC/NR//CA/NR//POT/NR//MG/NR//SO4/NR//SULF/NR//</t>
  </si>
  <si>
    <t>649 UM</t>
  </si>
  <si>
    <t>NEW YORK, NEW JERSEY HARBOR WATER, OCT 20-21, 1992, STATION E2, 2 REPLICATES</t>
  </si>
  <si>
    <t xml:space="preserve"> CONTR/O (BRINE, NATURAL SEA WATER), V:([CU]T=4.29 UG/L)//TESTID/37//MSMT/NR//DOSES/96.50/191.00/425.50/913.00 UG/L TOTAL, 75.45/146.00/307.00/593.50 UG/L DISSOLVED//SOURCE/COM//WTINT/NR//DNUM/6//SEX/NR//TMETH/EPAASTM//STYPE/ACUTE//ETIME/96 H//APRATE/NR//SAMPN/NR JV//WTAT/NR//INTAKE/NR//COMPEP/NR//LD/NR//DW/NR//STST/NR//HMA/NR//NA/NR//CL/NR//DIC/NR//CA/NR//POT/NR//MG/NR//SO4/NR//SULF/NR//</t>
  </si>
  <si>
    <t>SOURCE/COMMERCIAL//   CONTR/O (BRINE, NATURAL SEA WATER), V:([CU]T=4.29 UG/L)//TESTID/37//MSMT/NR//DOSES/96.50/191.00/425.50/913.00 UG/L TOTAL, 75.45/146.00/307.00/593.50 UG/L DISSOLVED//SOURCE/COM//WTINT/NR//DNUM/6//SEX/NR//TMETH/EPAASTM//STYPE/ACUTE//ETIME/96 H//APRATE/NR//SAMPN/NR JV//WTAT/NR//INTAKE/NR//COMPEP/NR//LD/NR//DW/NR//STST/NR//HMA/NR//NA/NR//CL/NR//DIC/NR//CA/NR//POT/NR//MG/NR//SO4/NR//SULF/NR//</t>
  </si>
  <si>
    <t>NEW YORK, NEW JERSEY HARBOR WATER, OCT 20-21, 1992, STATION B7, 2 REPLICATES</t>
  </si>
  <si>
    <t xml:space="preserve"> CONTR/O (BRINE, NATURAL SEA WATER), V:([CU]T=3.79 UG/L)//TESTID/36//MSMT/NR//DOSES/100.00/184.50/418.00/881.50 UG/L TOTAL, 75.40/146.50/307.50/605.00 UG/L DISSOLVED//SOURCE/COM//WTINT/NR//DNUM/6//SEX/NR//TMETH/EPAASTM//STYPE/ACUTE//ETIME/96 H//APRATE/NR//SAMPN/NR JV//WTAT/NR//INTAKE/NR//COMPEP/NR//LD/NR//DW/NR//STST/NR//HMA/NR//NA/NR//CL/NR//DIC/NR//CA/NR//POT/NR//MG/NR//SO4/NR//SULF/NR//</t>
  </si>
  <si>
    <t>SOURCE/COMMERCIAL//   CONTR/O (BRINE, NATURAL SEA WATER), V:([CU]T=3.79 UG/L)//TESTID/36//MSMT/NR//DOSES/100.00/184.50/418.00/881.50 UG/L TOTAL, 75.40/146.50/307.50/605.00 UG/L DISSOLVED//SOURCE/COM//WTINT/NR//DNUM/6//SEX/NR//TMETH/EPAASTM//STYPE/ACUTE//ETIME/96 H//APRATE/NR//SAMPN/NR JV//WTAT/NR//INTAKE/NR//COMPEP/NR//LD/NR//DW/NR//STST/NR//HMA/NR//NA/NR//CL/NR//DIC/NR//CA/NR//POT/NR//MG/NR//SO4/NR//SULF/NR//</t>
  </si>
  <si>
    <t xml:space="preserve"> LIFESTG/DRY SEASON//DNUM/&gt;= 6//DOSES/100 TO 2000 ug/L//TESTID/4//OEF/SEASONAL EFCTS//CONC/FROM GRAPH////</t>
  </si>
  <si>
    <t xml:space="preserve">   LIFESTG/DRY SEASON//DNUM/&gt;= 6//DOSES/100 TO 2000 ug/L//TESTID/4//OEF/SEASONAL EFCTS//CONC/FROM GRAPH////</t>
  </si>
  <si>
    <t xml:space="preserve"> CHAR/PENTAHYDRATE//TESTID/2//OEF/MIXTURE, SEDIMENT EFCTS, BCF WITH LOGCONC, SEDIMENT CONC////</t>
  </si>
  <si>
    <t xml:space="preserve">   CHAR/PENTAHYDRATE//TESTID/2//OEF/MIXTURE, SEDIMENT EFCTS, BCF WITH LOGCONC, SEDIMENT CONC////</t>
  </si>
  <si>
    <t xml:space="preserve"> LIFESTG/WET SEASON//DNUM/&gt;= 6//DOSES/100 TO 2000 ug/L//TESTID/2//OEF/SEASONAL EFCTS////</t>
  </si>
  <si>
    <t xml:space="preserve">   LIFESTG/WET SEASON//DNUM/&gt;= 6//DOSES/100 TO 2000 ug/L//TESTID/2//OEF/SEASONAL EFCTS////</t>
  </si>
  <si>
    <t>ELEFSIS BAY, POLLUTED</t>
  </si>
  <si>
    <t xml:space="preserve"> CHAR/CUSO4.5H2O//DOSES/NA mg/L//TESTID/1//</t>
  </si>
  <si>
    <t xml:space="preserve">   CHAR/CUSO4.5H2O//DOSES/NA mg/L//TESTID/1//</t>
  </si>
  <si>
    <t>10.1016/j.chemosphere.2012.09.022</t>
  </si>
  <si>
    <t>Bao,V.W.W., K.M.Y. Leung, G.C.S. Lui, and M.H.W. Lam</t>
  </si>
  <si>
    <t>Acute and Chronic Toxicities of Irgarol Alone and in Combination with Copper to the Marine Copepod Tigriopus japonicus</t>
  </si>
  <si>
    <t>Chemosphere90(3): 1140-1148</t>
  </si>
  <si>
    <t>Bao,V.W.W., K.M.Y. Leung, G.C.S. Lui, and M.H.W. Lam (2013). Acute and Chronic Toxicities of Irgarol Alone and in Combination with Copper to the Marine Copepod Tigriopus japonicus. Chemosphere, 90, (3), 1140-1148. doi:10.1016/j.chemosphere.2012.09.022. ECOREF#:166160</t>
  </si>
  <si>
    <t>NEW YORK, NEW JERSEY HARBOR WATER, OCT 20-21, 1992, STATION A2, 2 REPLICATES</t>
  </si>
  <si>
    <t xml:space="preserve"> CONTR/O (BRINE, NATURAL SEA WATER), V:([CU]T=6.99 UG/L)//TESTID/32//MSMT/NR//DOSES/70.00/148.50/410.00/825.50 UG/L TOTAL, 54.45/101.25/305.00/586.00 UG/L DISSOLVED//SOURCE/COM//WTINT/NR//DNUM/6//SEX/NR//TMETH/EPAASTM//STYPE/ACUTE//ETIME/96 H//APRATE/NR//SAMPN/NR JV//WTAT/NR//INTAKE/NR//COMPEP/NR//LD/NR//DW/NR//STST/NR//HMA/NR//NA/NR//CL/NR//DIC/NR//CA/NR//POT/NR//MG/NR//SO4/NR//SULF/NR//</t>
  </si>
  <si>
    <t>SOURCE/COMMERCIAL//   CONTR/O (BRINE, NATURAL SEA WATER), V:([CU]T=6.99 UG/L)//TESTID/32//MSMT/NR//DOSES/70.00/148.50/410.00/825.50 UG/L TOTAL, 54.45/101.25/305.00/586.00 UG/L DISSOLVED//SOURCE/COM//WTINT/NR//DNUM/6//SEX/NR//TMETH/EPAASTM//STYPE/ACUTE//ETIME/96 H//APRATE/NR//SAMPN/NR JV//WTAT/NR//INTAKE/NR//COMPEP/NR//LD/NR//DW/NR//STST/NR//HMA/NR//NA/NR//CL/NR//DIC/NR//CA/NR//POT/NR//MG/NR//SO4/NR//SULF/NR//</t>
  </si>
  <si>
    <t>NEW YORK, NEW JERSEY HARBOR WATER, OCT 20-21, 1992, STATION A7, 2 REPLICATES</t>
  </si>
  <si>
    <t xml:space="preserve"> CONTR/O (BRINE, NATURAL SEA WATER), V:([CU]T=5.79 UG/L)//TESTID/34//MSMT/NR//DOSES/88.00/211.50/446.00/781.00 UG/L TOTAL, 73.80/148.50/304.50/610.00 UG/L DISSOLVED//SOURCE/COM//WTINT/NR//DNUM/6//SEX/NR//TMETH/EPAASTM//STYPE/ACUTE//ETIME/96 H//APRATE/NR//SAMPN/NR JV//WTAT/NR//INTAKE/NR//COMPEP/NR//LD/NR//DW/NR//STST/NR//HMA/NR//NA/NR//CL/NR//DIC/NR//CA/NR//POT/NR//MG/NR//SO4/NR//SULF/NR//</t>
  </si>
  <si>
    <t>SOURCE/COMMERCIAL//   CONTR/O (BRINE, NATURAL SEA WATER), V:([CU]T=5.79 UG/L)//TESTID/34//MSMT/NR//DOSES/88.00/211.50/446.00/781.00 UG/L TOTAL, 73.80/148.50/304.50/610.00 UG/L DISSOLVED//SOURCE/COM//WTINT/NR//DNUM/6//SEX/NR//TMETH/EPAASTM//STYPE/ACUTE//ETIME/96 H//APRATE/NR//SAMPN/NR JV//WTAT/NR//INTAKE/NR//COMPEP/NR//LD/NR//DW/NR//STST/NR//HMA/NR//NA/NR//CL/NR//DIC/NR//CA/NR//POT/NR//MG/NR//SO4/NR//SULF/NR//</t>
  </si>
  <si>
    <t xml:space="preserve"> CONTR/8.75 % MORT//</t>
  </si>
  <si>
    <t xml:space="preserve">   CONTR/8.75 % MORT//</t>
  </si>
  <si>
    <t>Sulfuric acid copper (2+) salt (1:1), Hydrate (1:5)</t>
  </si>
  <si>
    <t>N.R.</t>
  </si>
  <si>
    <t>Copper sulfate, Pentahydrate, 99</t>
  </si>
  <si>
    <t>Copper sulfate, Pentahydrate, 25.2</t>
  </si>
  <si>
    <t>Copper sulfate, Pentahydrate, Tech</t>
  </si>
  <si>
    <t>Nitric acid silver (1+) salt (1:1)</t>
  </si>
  <si>
    <t>63 MM</t>
  </si>
  <si>
    <t>ZOEAE I</t>
  </si>
  <si>
    <t>10.1007/BF00388801</t>
  </si>
  <si>
    <t xml:space="preserve"> ENDPT/50 % PHOTOTAXIS//</t>
  </si>
  <si>
    <t xml:space="preserve">   ENDPT/50 % PHOTOTAXIS//</t>
  </si>
  <si>
    <t>Amiard,J.C.</t>
  </si>
  <si>
    <t>Phototactic Variations in Crustacean Larvae due to Diverse Metallic Pollutants Demonstrated by a Sublethal Toxicity Test</t>
  </si>
  <si>
    <t>Mar. Biol. (Multiple Languages)34(3): 239-245</t>
  </si>
  <si>
    <t>Amiard,J.C. (1976). Phototactic Variations in Crustacean Larvae due to Diverse Metallic Pollutants Demonstrated by a Sublethal Toxicity Test. Mar. Biol. (Multiple Languages), 34, (3), 239-245. doi:10.1007/BF00388801. ECOREF#:5628</t>
  </si>
  <si>
    <t>Silver nitrate (AgNO3), AGNO3, 1ML DOUBLE-DISTILLED HNO3 TO 1 L OF METAL STOCK SOLUTION REDUCED SURFACE PLATING ON THE CONTAINER WALLS AS WELL AS INCREASED METAL SOLUBILITY.</t>
  </si>
  <si>
    <t>Experimental Study on the Acute Toxicity of Cobalt, Antimony, Strontium and Silver Salts in Some Crustacea and Their Larvae and Some Teleostei</t>
  </si>
  <si>
    <t>Rev. Int. Oceanogr. Med. (Multiple Languages)43:79-95</t>
  </si>
  <si>
    <t>Amiard,J.C. (1976). Experimental Study on the Acute Toxicity of Cobalt, Antimony, Strontium and Silver Salts in Some Crustacea and Their Larvae and Some Teleostei. Rev. Int. Oceanogr. Med. (Multiple Languages), 43, 79-95. ECOREF#:6097</t>
  </si>
  <si>
    <t>Silver nitrate</t>
  </si>
  <si>
    <t>INTERLABORATORY COMPARISON</t>
  </si>
  <si>
    <t xml:space="preserve"> ENDPT/MOVING AVERAGE//</t>
  </si>
  <si>
    <t xml:space="preserve">   ENDPT/MOVING AVERAGE//</t>
  </si>
  <si>
    <t>Schimmel,S.C.</t>
  </si>
  <si>
    <t>Results: Interlaboratory Comparison - Acute Toxicity Tests Using Estuarine Animals</t>
  </si>
  <si>
    <t>Final Draft, EPA 600/4-81-003, U.S.EPA, Gulf Breeze, FL:13 p.</t>
  </si>
  <si>
    <t>Schimmel,S.C. (1981). Results: Interlaboratory Comparison - Acute Toxicity Tests Using Estuarine Animals. Final Draft, EPA 600/4-81-003, U.S.EPA, Gulf Breeze, FL, 13 p. ECOREF#:3740</t>
  </si>
  <si>
    <t>SILVER NITRATE</t>
  </si>
  <si>
    <t>10.1016/S1532-0456(02)00082-0</t>
  </si>
  <si>
    <t xml:space="preserve"> DNUM/6//DOSES/38/65/120/240/430 ug/L//TESTID/1//</t>
  </si>
  <si>
    <t xml:space="preserve">   DNUM/6//DOSES/38/65/120/240/430 ug/L//TESTID/1//</t>
  </si>
  <si>
    <t>Ward,T.J., and J.R. Kramer</t>
  </si>
  <si>
    <t>Silver Speciation During Chronic Toxicity Tests with the Mysid, Americamysis bahia</t>
  </si>
  <si>
    <t>Comp. Biochem. Physiol. C Comp. Pharmacol. Toxicol.133(1-2): 75-86</t>
  </si>
  <si>
    <t>Ward,T.J., and J.R. Kramer (2002). Silver Speciation During Chronic Toxicity Tests with the Mysid, Americamysis bahia. Comp. Biochem. Physiol. C Comp. Pharmacol. Toxicol., 133, (1-2), 75-86. doi:10.1016/S1532-0456(02)00082-0. ECOREF#:65743</t>
  </si>
  <si>
    <t>INTERLABORATORY TESTING</t>
  </si>
  <si>
    <t>McKenney,C.L.,Jr., and S.H. Hong</t>
  </si>
  <si>
    <t>Interlaboratory Comparison of Chronic Toxicity Testing Using the Estuarine Mysid (Mysidopsis bahia): A Final Report</t>
  </si>
  <si>
    <t>U.S.EPA, Gulf Breeze, FL:35 p.</t>
  </si>
  <si>
    <t>McKenney,C.L.,Jr., and S.H. Hong (1982). Interlaboratory Comparison of Chronic Toxicity Testing Using the Estuarine Mysid (Mysidopsis bahia): A Final Report. U.S.EPA, Gulf Breeze, FL, 35 p. ECOREF#:3736</t>
  </si>
  <si>
    <t>KESTER'S ARTIFICIAL SEAWEATER</t>
  </si>
  <si>
    <t>MSMT/CL50////</t>
  </si>
  <si>
    <t xml:space="preserve">CAS #: 7697372 | Chem Name: Nitric acid | Chem Grade: NR | Chem Formulation: NR | Chem Radiolabel: NR | Chem Characteristics: NR | Chem Purity: NR | </t>
  </si>
  <si>
    <t>LOW DOM CONTENT</t>
  </si>
  <si>
    <t>Forget,J., R. Menasria, and J.F. Pavillon</t>
  </si>
  <si>
    <t>Influence de la Teneur en Matiere Organique de l'Eau de mer sur la Toxicite de l'Argent vis-a-vis du Copepode Harpacticoide: Tigriopus brevicornis</t>
  </si>
  <si>
    <t>J. Rech. Oceanogr. (Non-English)20(1-2): 63-69</t>
  </si>
  <si>
    <t>Forget,J., R. Menasria, and J.F. Pavillon (1995). Influence de la Teneur en Matiere Organique de l'Eau de mer sur la Toxicite de l'Argent vis-a-vis du Copepode Harpacticoide: Tigriopus brevicornis. J. Rech. Oceanogr. (Non-English), 20, (1-2), 63-69. ECOREF#:19538</t>
  </si>
  <si>
    <t xml:space="preserve"> DNUM/6//DOSES/38/65/120/240/430 ug/L//TESTID/2//</t>
  </si>
  <si>
    <t xml:space="preserve">   DNUM/6//DOSES/38/65/120/240/430 ug/L//TESTID/2//</t>
  </si>
  <si>
    <t xml:space="preserve">CAS #: 7697372 | Chem Name: Nitric acid | Chem Grade: NR | Chem Formulation: NR | Chem Radiolabel: NR | Chem Characteristics: N | Chem Purity: NR | </t>
  </si>
  <si>
    <t>FEMALE,OVIGEROUS</t>
  </si>
  <si>
    <t>ACUTE</t>
  </si>
  <si>
    <t xml:space="preserve"> DOSES/50 to 250 ug/l//TESTID/1//OEF/ACCUMULATION, ORGANIC CARBON EFCTS////</t>
  </si>
  <si>
    <t xml:space="preserve">   DOSES/50 to 250 ug/l//TESTID/1//OEF/ACCUMULATION, ORGANIC CARBON EFCTS////</t>
  </si>
  <si>
    <t>Pavillon,J.F., C. Douez, R. Menasria, J. Forget, J.C. Amiard, and R. Cosson</t>
  </si>
  <si>
    <t>Impact of Dissolved and Particulate Organic Carbon on the Bioavailability of the Trace Metals Silver and Mercury for the Harpacticoid Copepod Tigriopus brevicornis</t>
  </si>
  <si>
    <t>J. Rech. Oceanogr. (Non-English)27(1): 43-52</t>
  </si>
  <si>
    <t>Pavillon,J.F., C. Douez, R. Menasria, J. Forget, J.C. Amiard, and R. Cosson (2002). Impact of Dissolved and Particulate Organic Carbon on the Bioavailability of the Trace Metals Silver and Mercury for the Harpacticoid Copepod Tigriopus brevicornis. J. Rech. Oceanogr. (Non-English), 27, (1), 43-52. ECOREF#:76315</t>
  </si>
  <si>
    <t>FILTERED NATURAL SEAWATER</t>
  </si>
  <si>
    <t xml:space="preserve"> DNUM/6//DOSES/38/65/120/240/430 ug/L//TESTID/3//</t>
  </si>
  <si>
    <t xml:space="preserve">   DNUM/6//DOSES/38/65/120/240/430 ug/L//TESTID/3//</t>
  </si>
  <si>
    <t>10.1016/j.aquatox.2008.06.011</t>
  </si>
  <si>
    <t>Lee,K.W., S. Raisuddin, J.S. Rhee, D.S. Hwang, I.T. Yu, Y.M. Lee, H.G. Park, and J.S. Lee</t>
  </si>
  <si>
    <t>Expression of Glutathione S-Transferase (GST) Genes in the Marine Copepod Tigriopus japonicus Exposed to Trace Metals</t>
  </si>
  <si>
    <t>Aquat. Toxicol.89(3): 158-166</t>
  </si>
  <si>
    <t>Lee,K.W., S. Raisuddin, J.S. Rhee, D.S. Hwang, I.T. Yu, Y.M. Lee, H.G. Park, and J.S. Lee (2008). Expression of Glutathione S-Transferase (GST) Genes in the Marine Copepod Tigriopus japonicus Exposed to Trace Metals. Aquat. Toxicol., 89, (3), 158-166. doi:10.1016/j.aquatox.2008.06.011. ECOREF#:107127</t>
  </si>
  <si>
    <t>HIGH DOM CONTENT</t>
  </si>
  <si>
    <t>Silver nitrate (AgNO3)</t>
  </si>
  <si>
    <t xml:space="preserve"> O EFCT CONT/RPTD//ENDPT/50 % PHOTOTAXIS//</t>
  </si>
  <si>
    <t xml:space="preserve">   O EFCT CONT/RPTD//ENDPT/50 % PHOTOTAXIS//</t>
  </si>
  <si>
    <t>Chromic acid (H2CrO4), Disodium salt</t>
  </si>
  <si>
    <t>ZOEAL STAGE</t>
  </si>
  <si>
    <t>CERTIFIED ANHYDROUS</t>
  </si>
  <si>
    <t>10.1007/BF00163624</t>
  </si>
  <si>
    <t>Bookhout,C.G., R.J. Monroe, R.B.,Jr. Forward, and J.D.,Jr. Costlow</t>
  </si>
  <si>
    <t>Effects of Hexavalent Chromium on Development of Crabs, Rhithropanopeus harrisii and Callinectes sapidus</t>
  </si>
  <si>
    <t>Water Air Soil Pollut.21(1-4): 199-216</t>
  </si>
  <si>
    <t>Bookhout,C.G., R.J. Monroe, R.B.,Jr. Forward, and J.D.,Jr. Costlow (1984). Effects of Hexavalent Chromium on Development of Crabs, Rhithropanopeus harrisii and Callinectes sapidus. Water Air Soil Pollut., 21, (1-4), 199-216. doi:10.1007/BF00163624. ECOREF#:7013</t>
  </si>
  <si>
    <t>Sexually mature</t>
  </si>
  <si>
    <t>AT LEAST 40 GENERATIONS AFTER WLD, OVIGEROUS WITH 1ST OR 2ND EGG SAC, F2 FEMALES FROM PREVIOUS GENERATIONS EXPOSED TO CHROMIUM</t>
  </si>
  <si>
    <t>Sodium chromate (Na2(CrO4)), NA2CRO4.4H2O</t>
  </si>
  <si>
    <t>10.1016/S0025-326X(99)00221-0</t>
  </si>
  <si>
    <t>ULTRA MARINE-WATERLIFE WATER</t>
  </si>
  <si>
    <t xml:space="preserve">SOURCE/ORIGINALLY FROM NON-POLLUTED SITE//   </t>
  </si>
  <si>
    <t>Miliou,H., G. Verriopoulos, D. Maroulis, D. Bouloukos, and M. Moraitou-Apostolopoulou</t>
  </si>
  <si>
    <t>Influence of Life-History Adaptations on the Fidelity of Laboratory Bioassays for the Impact of Heavy Metals (Co2+ and Cr6+) on Tolerance and Population Dynamics of Tisbe holothuriae</t>
  </si>
  <si>
    <t>Mar. Pollut. Bull.40(4): 352-359</t>
  </si>
  <si>
    <t>Miliou,H., G. Verriopoulos, D. Maroulis, D. Bouloukos, and M. Moraitou-Apostolopoulou (2000). Influence of Life-History Adaptations on the Fidelity of Laboratory Bioassays for the Impact of Heavy Metals (Co2+ and Cr6+) on Tolerance and Population Dynamics of Tisbe holothuriae. Mar. Pollut. Bull., 40, (4), 352-359. doi:10.1016/S0025-326X(99)00221-0. ECOREF#:52250</t>
  </si>
  <si>
    <t>Palaemonetes varians</t>
  </si>
  <si>
    <t>Grass Or Atlantic Ditch Shrimp</t>
  </si>
  <si>
    <t>varians</t>
  </si>
  <si>
    <t>2 CM</t>
  </si>
  <si>
    <t>mol/L</t>
  </si>
  <si>
    <t>MSMT/LITCHFIELD AND WILCOXON////</t>
  </si>
  <si>
    <t>Cr2O7</t>
  </si>
  <si>
    <t>10.1007/BF01881040</t>
  </si>
  <si>
    <t>Van der Meer,C., C. Teunissen, and T.F.M. Boog</t>
  </si>
  <si>
    <t>Toxicity of Sodium Chromate and 3,4-Dichloroaniline to Crustaceans</t>
  </si>
  <si>
    <t>Bull. Environ. Contam. Toxicol.40(2): 204-211</t>
  </si>
  <si>
    <t>Van der Meer,C., C. Teunissen, and T.F.M. Boog (1988). Toxicity of Sodium Chromate and 3,4-Dichloroaniline to Crustaceans. Bull. Environ. Contam. Toxicol., 40, (2), 204-211. doi:10.1007/BF01881040. ECOREF#:2419</t>
  </si>
  <si>
    <t>OVIGEROUS WITH 1ST OR 2ND EGG SAC</t>
  </si>
  <si>
    <t xml:space="preserve">SOURCE/FROM NON-POLLUTED SITE//   </t>
  </si>
  <si>
    <t>Praunus flexuosus</t>
  </si>
  <si>
    <t>Praunus</t>
  </si>
  <si>
    <t>flexuosus</t>
  </si>
  <si>
    <t>10.1127/archiv-hydrobiol/102/1984/255</t>
  </si>
  <si>
    <t xml:space="preserve"> CONTR/0 % MORT//</t>
  </si>
  <si>
    <t xml:space="preserve">   CONTR/0 % MORT//</t>
  </si>
  <si>
    <t>Kissa,E., M. Moraitou-Apostolopoulou, and V. Kiortsis</t>
  </si>
  <si>
    <t>Effects of Four Heavy Metals on Survival and Hatching Rate of Artemia salina (L.)</t>
  </si>
  <si>
    <t>Arch. Hydrobiol.102(2): 255-264</t>
  </si>
  <si>
    <t>Kissa,E., M. Moraitou-Apostolopoulou, and V. Kiortsis (1984). Effects of Four Heavy Metals on Survival and Hatching Rate of Artemia salina (L.). Arch. Hydrobiol., 102, (2), 255-264. doi:10.1127/archiv-hydrobiol/102/1984/255. ECOREF#:11259</t>
  </si>
  <si>
    <t>FIRST GENERATION, OVIGEROUS WITH 1ST OR 2ND EGG SAC</t>
  </si>
  <si>
    <t>AT LEAST 40 GENERATIONS AFTER WLD, OVIGEROUS WITH 1ST OR 2ND EGG SAC</t>
  </si>
  <si>
    <t>MSMT/LITCHFIELD-WILCOXON////</t>
  </si>
  <si>
    <t>NON-OVIGEROUS, 25(22-28) MM</t>
  </si>
  <si>
    <t>MSMT/INTERMOLT////</t>
  </si>
  <si>
    <t>10.1016/0141-1136(84)90089-8</t>
  </si>
  <si>
    <t>Rao,K.R., and D.G. Doughtie</t>
  </si>
  <si>
    <t>Histopathological Changes in Grass Shrimp Exposed to Chromium, Pentachlorophenol and Dithiocarbamates</t>
  </si>
  <si>
    <t>Mar. Environ. Res.14:371-395</t>
  </si>
  <si>
    <t>Rao,K.R., and D.G. Doughtie (1984). Histopathological Changes in Grass Shrimp Exposed to Chromium, Pentachlorophenol and Dithiocarbamates. Mar. Environ. Res., 14, 371-395. doi:10.1016/0141-1136(84)90089-8. ECOREF#:13291</t>
  </si>
  <si>
    <t>STAGE C INTERMOLT, NONGRAVID</t>
  </si>
  <si>
    <t>Sodium chromate (Na2(CrO4))</t>
  </si>
  <si>
    <t>TWENTY SHRIMP IN STAGE C INTERMOLT STAGE EXPOSED TO EACH TEST CONCENTRATION</t>
  </si>
  <si>
    <t xml:space="preserve">SOURCE/COLLECTED FROM GRASS BEDS LOCATED IN SANTA ROSA, GULF BREEZE, FLORIDA//MEDIA/FILTERED SEAWATER DILUTED WITH DISTILLED WATER//   </t>
  </si>
  <si>
    <t>Rao,K.R., and P.J. Conklin</t>
  </si>
  <si>
    <t>Molt-Related Susceptibility and Regenerative Limb Growth as Sensitive Indicators of Aquatic Pollutant Toxicity to Crustaceans</t>
  </si>
  <si>
    <t>In: M.F.Thompson, R.Sarojini, and R.Nagabhushanam (Eds.), Biology of Benthic Marine Organisms: Techniques and Methods as Applied to the Indian Ocean, A.A.Balkema, Rotterdam, Netherlands:523-534</t>
  </si>
  <si>
    <t>Rao,K.R., and P.J. Conklin (1986). Molt-Related Susceptibility and Regenerative Limb Growth as Sensitive Indicators of Aquatic Pollutant Toxicity to Crustaceans. In: M.F.Thompson, R.Sarojini, and R.Nagabhushanam (Eds.), Biology of Benthic Marine Organisms: Techniques and Methods as Applied to the Indian Ocean, A.A.Balkema, Rotterdam, Netherlands, 523-534. ECOREF#:14267</t>
  </si>
  <si>
    <t>10.1007/BF02185427</t>
  </si>
  <si>
    <t xml:space="preserve"> SUMMER GENERATION//</t>
  </si>
  <si>
    <t xml:space="preserve">   SUMMER GENERATION//</t>
  </si>
  <si>
    <t>Toxicity of Chromium to the Marine Planktonic Copepod Acartia clausi, Giesbrecht</t>
  </si>
  <si>
    <t>Hydrobiologia (Multiple Languages)96(2): 121-127</t>
  </si>
  <si>
    <t>Moraitou-Apostolopoulou,M., and G. Verriopoulos (1982). Toxicity of Chromium to the Marine Planktonic Copepod Acartia clausi, Giesbrecht. Hydrobiologia (Multiple Languages), 96, (2), 121-127. doi:10.1007/BF02185427. ECOREF#:11673</t>
  </si>
  <si>
    <t>HATCH-FIRST CRAB</t>
  </si>
  <si>
    <t>STAGE D2-D4 LATE PREMOLT, NONGRAVID</t>
  </si>
  <si>
    <t>TWENTY SHRIMP IN STAGE D2-D4 PREMOLT STAGE EXPOSED TO EACH TEST CONCENTRATION</t>
  </si>
  <si>
    <t>MSMT/MOLTING////</t>
  </si>
  <si>
    <t xml:space="preserve"> AUTUMN GENERATION//</t>
  </si>
  <si>
    <t xml:space="preserve">   AUTUMN GENERATION//</t>
  </si>
  <si>
    <t>HATCH-MEGALOPA</t>
  </si>
  <si>
    <t>Chromic acid (H2Cr2O7), Potassium salt (1:2)</t>
  </si>
  <si>
    <t>Potassium dichromate</t>
  </si>
  <si>
    <t>DEC 11, 1986, REP 1</t>
  </si>
  <si>
    <t xml:space="preserve">MEDIA/SYNTHETIC SEAWATER FROM INSTANT OCEAN SEA SALT//   </t>
  </si>
  <si>
    <t>MacLean,M.M., and K.G. Doe</t>
  </si>
  <si>
    <t>The Comparative Toxicity of Crude and Refined Oils to Daphnia magna and Artemia</t>
  </si>
  <si>
    <t>Environment Canada, EE-111, Dartmouth, Nova Scotia:64 p.</t>
  </si>
  <si>
    <t>MacLean,M.M., and K.G. Doe (1989). The Comparative Toxicity of Crude and Refined Oils to Daphnia magna and Artemia. Environment Canada, EE-111, Dartmouth, Nova Scotia, 64 p. ECOREF#:7069</t>
  </si>
  <si>
    <t>10.1016/0166-445X(87)90014-2</t>
  </si>
  <si>
    <t>McLusky,D.S., and L. Hagerman</t>
  </si>
  <si>
    <t>The Toxicity of Chromium, Nickel and Zinc: Effects of Salinity and Temperature, and the Osmoregulatory Consequences in the Mysid Praunus flexuosus</t>
  </si>
  <si>
    <t>Aquat. Toxicol.10:225-238</t>
  </si>
  <si>
    <t>McLusky,D.S., and L. Hagerman (1987). The Toxicity of Chromium, Nickel and Zinc: Effects of Salinity and Temperature, and the Osmoregulatory Consequences in the Mysid Praunus flexuosus. Aquat. Toxicol., 10, 225-238. doi:10.1016/0166-445X(87)90014-2. ECOREF#:6039</t>
  </si>
  <si>
    <t xml:space="preserve"> ENDPT/EXTRAPOLATED//</t>
  </si>
  <si>
    <t xml:space="preserve">   ENDPT/EXTRAPOLATED//</t>
  </si>
  <si>
    <t>DEC 16, 1986, REP 1</t>
  </si>
  <si>
    <t xml:space="preserve"> O EFCT CONT/FOUND//</t>
  </si>
  <si>
    <t xml:space="preserve">   O EFCT CONT/FOUND//</t>
  </si>
  <si>
    <t>Vanhaecke,P., G. Persoone, C. Claus, and P. Sorgeloos</t>
  </si>
  <si>
    <t>Research on the Development of a Short Term Standard Toxicity Test with Artemia Nauplii</t>
  </si>
  <si>
    <t>In: G.Persoone, P.Sorgeloos, O.Roels, and E.Jaspers (Eds.), The Brine Shrimp Artemia, Vol.1: Morphology, Genetics, Radiobiology, and Toxicology. Universa Press, Western Belgium:263-285</t>
  </si>
  <si>
    <t>Vanhaecke,P., G. Persoone, C. Claus, and P. Sorgeloos (1980). Research on the Development of a Short Term Standard Toxicity Test with Artemia Nauplii. In: G.Persoone, P.Sorgeloos, O.Roels, and E.Jaspers (Eds.), The Brine Shrimp Artemia, Vol.1: Morphology, Genetics, Radiobiology, and Toxicology. Universa Press, Western Belgium, 263-285. ECOREF#:15178</t>
  </si>
  <si>
    <t>8-12 MM, NON OVIGEROUS FEMALES</t>
  </si>
  <si>
    <t>Tisbe longicornis</t>
  </si>
  <si>
    <t>0.6 MM</t>
  </si>
  <si>
    <t>10.1007/s001289900775</t>
  </si>
  <si>
    <t>Larrain,A., E. Soto, J. Silva, and E. Bay-Schmith</t>
  </si>
  <si>
    <t>Sensitivity of the Meiofaunal Copepod Tisbe longicornis to K2Cr2O7 Under Varying Temperature Regimes</t>
  </si>
  <si>
    <t>Bull. Environ. Contam. Toxicol.61:391-396</t>
  </si>
  <si>
    <t>Larrain,A., E. Soto, J. Silva, and E. Bay-Schmith (1998). Sensitivity of the Meiofaunal Copepod Tisbe longicornis to K2Cr2O7 Under Varying Temperature Regimes. Bull. Environ. Contam. Toxicol., 61, 391-396. doi:10.1007/s001289900775. ECOREF#:19811</t>
  </si>
  <si>
    <t>1-1.5 CM ,3.5 MG</t>
  </si>
  <si>
    <t>CrVI</t>
  </si>
  <si>
    <t>POTASSIUM DICHROMATE</t>
  </si>
  <si>
    <t>TEST 1, 3 REPLICATES</t>
  </si>
  <si>
    <t xml:space="preserve"> DNUM/6-8//DOSES/NA mg/L//TESTID/16//</t>
  </si>
  <si>
    <t xml:space="preserve">   DNUM/6-8//DOSES/NA mg/L//TESTID/16//</t>
  </si>
  <si>
    <t>MIXED</t>
  </si>
  <si>
    <t>10.1016/0166-445X(89)90025-8</t>
  </si>
  <si>
    <t>Persoone,G., A. Van de Vel, M. Van Steertegem, and B. De Nayer</t>
  </si>
  <si>
    <t>Predictive Value of Laboratory Tests With Aquatic Invertebrates: Influence of Experimental Conditions</t>
  </si>
  <si>
    <t>Aquat. Toxicol.14(2): 149-166</t>
  </si>
  <si>
    <t>Persoone,G., A. Van de Vel, M. Van Steertegem, and B. De Nayer (1989). Predictive Value of Laboratory Tests With Aquatic Invertebrates: Influence of Experimental Conditions. Aquat. Toxicol., 14, (2), 149-166. doi:10.1016/0166-445X(89)90025-8. ECOREF#:2151</t>
  </si>
  <si>
    <t xml:space="preserve"> O EFCT CONT/FOUND// CONC/AS CR// CONTR/GRAPHED MORT// EGGS FROM SAN PABLO BAY// UNFED// FILTRATION// </t>
  </si>
  <si>
    <t xml:space="preserve">   O EFCT CONT/FOUND// CONC/AS CR// CONTR/GRAPHED MORT// EGGS FROM SAN PABLO BAY// UNFED// FILTRATION// </t>
  </si>
  <si>
    <t>Callinectes similis</t>
  </si>
  <si>
    <t>Lesser Blue Crab</t>
  </si>
  <si>
    <t>5-12 G</t>
  </si>
  <si>
    <t>10.1007/BF01702055</t>
  </si>
  <si>
    <t>Ramirez,P., G. Barrera, and C. Rosas</t>
  </si>
  <si>
    <t>Effects of Chromium and Cadmium upon Respiration and Survival of Callinectes similis</t>
  </si>
  <si>
    <t>Bull. Environ. Contam. Toxicol.43(6): 850-857</t>
  </si>
  <si>
    <t>Ramirez,P., G. Barrera, and C. Rosas (1989). Effects of Chromium and Cadmium upon Respiration and Survival of Callinectes similis. Bull. Environ. Contam. Toxicol., 43, (6), 850-857. doi:10.1007/BF01702055. ECOREF#:2549</t>
  </si>
  <si>
    <t xml:space="preserve"> O EFCT CONT/FOUND// CONC/AS CR// CONTR/MORT GRAPHED// EGGS FROM MACAU// UNFED// FILTRATION// </t>
  </si>
  <si>
    <t xml:space="preserve">   O EFCT CONT/FOUND// CONC/AS CR// CONTR/MORT GRAPHED// EGGS FROM MACAU// UNFED// FILTRATION// </t>
  </si>
  <si>
    <t xml:space="preserve"> CONC/AS CR// CONTR/MORT GRAPHED// UNFED// FILTRATION//ER// </t>
  </si>
  <si>
    <t xml:space="preserve">   CONC/AS CR// CONTR/MORT GRAPHED// UNFED// FILTRATION//ER// </t>
  </si>
  <si>
    <t xml:space="preserve"> O EFCT CONT/FOUND// CONC/AS CR// EGGS FROM MARGHERITA DI SAVOIA// UNFED// FILTRATION// CONTR/MORT GRAPHED// </t>
  </si>
  <si>
    <t xml:space="preserve">   O EFCT CONT/FOUND// CONC/AS CR// EGGS FROM MARGHERITA DI SAVOIA// UNFED// FILTRATION// CONTR/MORT GRAPHED// </t>
  </si>
  <si>
    <t xml:space="preserve"> O EFCT CONT/FOUND// CONC/AS CR// CONTR/GRAPHED MORT// EGGS FROM MACAU MAY// UNFED// FILTRATION// </t>
  </si>
  <si>
    <t xml:space="preserve">   O EFCT CONT/FOUND// CONC/AS CR// CONTR/GRAPHED MORT// EGGS FROM MACAU MAY// UNFED// FILTRATION// </t>
  </si>
  <si>
    <t xml:space="preserve"> CONC/AS CR// CONTR/MORT GRAPHED// UNFED// FILTRATION//ONE// </t>
  </si>
  <si>
    <t xml:space="preserve">   CONC/AS CR// CONTR/MORT GRAPHED// UNFED// FILTRATION//ONE// </t>
  </si>
  <si>
    <t>TEST 2, 3 REPLICATES</t>
  </si>
  <si>
    <t xml:space="preserve"> DNUM/6-8//DOSES/NA mg/L//TESTID/12//</t>
  </si>
  <si>
    <t xml:space="preserve">   DNUM/6-8//DOSES/NA mg/L//TESTID/12//</t>
  </si>
  <si>
    <t xml:space="preserve"> DNUM/6-8//DOSES/NA mg/L//TESTID/11//</t>
  </si>
  <si>
    <t xml:space="preserve">   DNUM/6-8//DOSES/NA mg/L//TESTID/11//</t>
  </si>
  <si>
    <t>TEST 4, 3 REPLICATES</t>
  </si>
  <si>
    <t xml:space="preserve"> DNUM/6-8//DOSES/NA mg/L//TESTID/19//</t>
  </si>
  <si>
    <t xml:space="preserve">   DNUM/6-8//DOSES/NA mg/L//TESTID/19//</t>
  </si>
  <si>
    <t xml:space="preserve"> O EFCT CONT/FOUND// CONC/AS CR// CONTR/MORT GRAPHED// EGGS FROM GREAT SALT LAKE// UNFED// FILTRATION// </t>
  </si>
  <si>
    <t xml:space="preserve">   O EFCT CONT/FOUND// CONC/AS CR// CONTR/MORT GRAPHED// EGGS FROM GREAT SALT LAKE// UNFED// FILTRATION// </t>
  </si>
  <si>
    <t>TEST 5, 3 REPLICATES</t>
  </si>
  <si>
    <t xml:space="preserve"> DNUM/6-8//DOSES/NA mg/L//TESTID/15//</t>
  </si>
  <si>
    <t xml:space="preserve">   DNUM/6-8//DOSES/NA mg/L//TESTID/15//</t>
  </si>
  <si>
    <t>Penaeid Shrimp Family</t>
  </si>
  <si>
    <t>16.2 G, 3.0 CM</t>
  </si>
  <si>
    <t xml:space="preserve"> AERATION// CONTR/0% MORT// CONC/AS CR// </t>
  </si>
  <si>
    <t xml:space="preserve">   AERATION// CONTR/0% MORT// CONC/AS CR// </t>
  </si>
  <si>
    <t>Oshida,P.S., and J.L. Wright</t>
  </si>
  <si>
    <t>Acute Responses of Marine Invertebrates to Chromium</t>
  </si>
  <si>
    <t>Coast. Water Res. Proj. Annu. Rep.77-1:155-159</t>
  </si>
  <si>
    <t>Oshida,P.S., and J.L. Wright (1977). Acute Responses of Marine Invertebrates to Chromium. Coast. Water Res. Proj. Annu. Rep., 77-1, 155-159. ECOREF#:8415</t>
  </si>
  <si>
    <t xml:space="preserve"> CONC/AS CR// CONTR/MORT GRAPHED// UNFED// FILTRATION/// </t>
  </si>
  <si>
    <t xml:space="preserve">   CONC/AS CR// CONTR/MORT GRAPHED// UNFED// FILTRATION/// </t>
  </si>
  <si>
    <t xml:space="preserve"> CONC/AS CR// CONTR/MORT GRAPHED// UNFED// FILTRATION//N// </t>
  </si>
  <si>
    <t xml:space="preserve">   CONC/AS CR// CONTR/MORT GRAPHED// UNFED// FILTRATION//N// </t>
  </si>
  <si>
    <t xml:space="preserve"> CONC/AS CR// CONTR/MORT GRAPHED// UNFED// FILTRATION// </t>
  </si>
  <si>
    <t xml:space="preserve">   CONC/AS CR// CONTR/MORT GRAPHED// UNFED// FILTRATION// </t>
  </si>
  <si>
    <t>1-1.5 CM, 2.2 MG</t>
  </si>
  <si>
    <t>DEC 16, 1986, REP 2</t>
  </si>
  <si>
    <t>Potassium dichromate, K2CRO7, 1ML DOUBLE-DISTILLED HNO3 TO 1 L OF METAL STOCK SOLUTION REDUCED SURFACE PLATING ON THE CONTAINER WALLS AS WELL AS INCREASED METAL SOLUBILITY.</t>
  </si>
  <si>
    <t xml:space="preserve"> DNUM/6-8//DOSES/NA mg/L//TESTID/20//</t>
  </si>
  <si>
    <t xml:space="preserve">   DNUM/6-8//DOSES/NA mg/L//TESTID/20//</t>
  </si>
  <si>
    <t xml:space="preserve"> O EFCT CONT/FOUND// CONC/AS CR// CONTR/MORT GRAPHED// EGGS FROM SHARK BAY// UNFED// FILTRATION// </t>
  </si>
  <si>
    <t xml:space="preserve">   O EFCT CONT/FOUND// CONC/AS CR// CONTR/MORT GRAPHED// EGGS FROM SHARK BAY// UNFED// FILTRATION// </t>
  </si>
  <si>
    <t xml:space="preserve"> DNUM/6-8//DOSES/NA mg/L//TESTID/14//</t>
  </si>
  <si>
    <t xml:space="preserve">   DNUM/6-8//DOSES/NA mg/L//TESTID/14//</t>
  </si>
  <si>
    <t xml:space="preserve"> DNUM/6-8//DOSES/NA mg/L//TESTID/17//</t>
  </si>
  <si>
    <t xml:space="preserve">   DNUM/6-8//DOSES/NA mg/L//TESTID/17//</t>
  </si>
  <si>
    <t>TEST 3, 3 REPLICATES</t>
  </si>
  <si>
    <t xml:space="preserve"> DNUM/6-8//DOSES/NA mg/L//TESTID/13//</t>
  </si>
  <si>
    <t xml:space="preserve">   DNUM/6-8//DOSES/NA mg/L//TESTID/13//</t>
  </si>
  <si>
    <t xml:space="preserve"> O EFCT CONT/FOUND// CONC/AS CR// CONTR/GRAPHED MORT// EGGS FROM SAN FRANCISCO BAY// UNFED// FILTRATION// </t>
  </si>
  <si>
    <t xml:space="preserve">   O EFCT CONT/FOUND// CONC/AS CR// CONTR/GRAPHED MORT// EGGS FROM SAN FRANCISCO BAY// UNFED// FILTRATION// </t>
  </si>
  <si>
    <t>2 OR 3 INSTAR</t>
  </si>
  <si>
    <t>g/L</t>
  </si>
  <si>
    <t>Kungolos,A., S. Hadjispyrou, P. Samaras, M. Petala, V. Tsiridis, K. Aravossis, and G.P. Sakellaropoulos</t>
  </si>
  <si>
    <t>Assessment of Toxicity and Bioaccumulation of Organotin Compounds</t>
  </si>
  <si>
    <t>In: Proceedings of the 7th International Conference on Environmental Science and Technology, Syros, Greece:499-505</t>
  </si>
  <si>
    <t>Kungolos,A., S. Hadjispyrou, P. Samaras, M. Petala, V. Tsiridis, K. Aravossis, and G.P. Sakellaropoulos (2001). Assessment of Toxicity and Bioaccumulation of Organotin Compounds. In: Proceedings of the 7th International Conference on Environmental Science and Technology, Syros, Greece, 499-505. ECOREF#:68179</t>
  </si>
  <si>
    <t>DEC 11, 1986, REP 2</t>
  </si>
  <si>
    <t xml:space="preserve"> DNUM/6-8//DOSES/NA mg/L//TESTID/18//</t>
  </si>
  <si>
    <t xml:space="preserve">   DNUM/6-8//DOSES/NA mg/L//TESTID/18//</t>
  </si>
  <si>
    <t>10.3354/meps020137</t>
  </si>
  <si>
    <t>Bryant,V., D.S. McLusky, K. Roddie, and D.M. Newbery</t>
  </si>
  <si>
    <t>Effect of Temperature and Salinity on the Toxicity of Chromium to Three Estuarine Invertebrates (Corophium volutator, Macoma balthica, Nereis diversicolor)</t>
  </si>
  <si>
    <t>Mar. Ecol. Prog. Ser.20(1-2): 137-149</t>
  </si>
  <si>
    <t>Bryant,V., D.S. McLusky, K. Roddie, and D.M. Newbery (1984). Effect of Temperature and Salinity on the Toxicity of Chromium to Three Estuarine Invertebrates (Corophium volutator, Macoma balthica, Nereis diversicolor). Mar. Ecol. Prog. Ser., 20, (1-2), 137-149. doi:10.3354/meps020137. ECOREF#:11873</t>
  </si>
  <si>
    <t>10.1002/tox.2530080304</t>
  </si>
  <si>
    <t>Dave,G., E. Bjornestad, H. Efraimsen, and M. Tarkpea</t>
  </si>
  <si>
    <t>Precision of the Nitocra spinipes Acute Toxicity Test and the Effect of Salinity on Toxicity of the Reference Toxicant Potassium Bichromate</t>
  </si>
  <si>
    <t>Environ. Toxicol. Water Qual.8:271-277</t>
  </si>
  <si>
    <t>Dave,G., E. Bjornestad, H. Efraimsen, and M. Tarkpea (1993). Precision of the Nitocra spinipes Acute Toxicity Test and the Effect of Salinity on Toxicity of the Reference Toxicant Potassium Bichromate. Environ. Toxicol. Water Qual., 8, 271-277. doi:10.1002/tox.2530080304. ECOREF#:18307</t>
  </si>
  <si>
    <t>10.1002/etc.5620060604</t>
  </si>
  <si>
    <t>Dorn,P.B., J.H.,Jr. Rodgers, K.M. Jop, J.C. Raia, and K.L. Dickson</t>
  </si>
  <si>
    <t>Hexavalent Chromium as a Reference Toxicant in Effluent Toxicity Tests</t>
  </si>
  <si>
    <t>Environ. Toxicol. Chem.6(6): 435-444</t>
  </si>
  <si>
    <t>Dorn,P.B., J.H.,Jr. Rodgers, K.M. Jop, J.C. Raia, and K.L. Dickson (1987). Hexavalent Chromium as a Reference Toxicant in Effluent Toxicity Tests. Environ. Toxicol. Chem., 6, (6), 435-444. doi:10.1002/etc.5620060604. ECOREF#:12660</t>
  </si>
  <si>
    <t>1.5 CM</t>
  </si>
  <si>
    <t>10.1007/BF01685389</t>
  </si>
  <si>
    <t>Frank,P.M., and P.B. Robertson</t>
  </si>
  <si>
    <t>The Influence of Salinity on Toxicity of Cadmium and Chromium to the Blue Crab, Callinectes sapidus</t>
  </si>
  <si>
    <t>Bull. Environ. Contam. Toxicol.21(1-2): 74-78</t>
  </si>
  <si>
    <t>Frank,P.M., and P.B. Robertson (1979). The Influence of Salinity on Toxicity of Cadmium and Chromium to the Blue Crab, Callinectes sapidus. Bull. Environ. Contam. Toxicol., 21, (1-2), 74-78. doi:10.1007/BF01685389. ECOREF#:5384</t>
  </si>
  <si>
    <t>7-9</t>
  </si>
  <si>
    <t>10.1002/etc.5620180731</t>
  </si>
  <si>
    <t>IN BEAKERS COVERED WITH PARAFILM, SIX TO EIGHT CONCENTRATIONS IN GEOMETRIC SERIES WITH FACTOR OF 2 TO 3 PLUS CONTROL, NATURAL SEAWATER TEST</t>
  </si>
  <si>
    <t xml:space="preserve">SOURCE/CULTURED IN LABORATORY FOR MORE THAN 20 YEARS//CONTR/C,P//TMETH/KUSK AND PETERSON (1997); ISO TEST ISO/DIS 14669 (1997)//MEDIA/NATURAL SEAWATER//   </t>
  </si>
  <si>
    <t>Kusk,K.O., and L. Wollenberger</t>
  </si>
  <si>
    <t>Fully Defined Saltwater Medium for Cultivation of and Toxicity Testing with Marine Copepod Acartia tonsa</t>
  </si>
  <si>
    <t>Environ. Toxicol. Chem.18(7): 1564-1567</t>
  </si>
  <si>
    <t>Kusk,K.O., and L. Wollenberger (1999). Fully Defined Saltwater Medium for Cultivation of and Toxicity Testing with Marine Copepod Acartia tonsa. Environ. Toxicol. Chem., 18, (7), 1564-1567. doi:10.1002/etc.5620180731. ECOREF#:52818</t>
  </si>
  <si>
    <t>IN BEAKERS COVERED WITH PARAFILM, SIX TO EIGHT CONCENTRATIONS IN GEOMETRIC SERIES WITH FACTOR OF 2 TO 3 PLUS CONTROL, SYNTHETIC MEDIUM TEST</t>
  </si>
  <si>
    <t xml:space="preserve">SOURCE/CULTURED IN LABORATORY FOR MORE THAN 20 YEARS//CONTR/C,P//TMETH/KUSK AND PETERSON (1997); ISO TEST ISO/DIS 14669 (1997)//MEDIA/SYNTHETIC MEDIUM MIXTURE//   </t>
  </si>
  <si>
    <t>STAGE 5 COPEPODIDS OR ADULTS</t>
  </si>
  <si>
    <t>4 REPLICATES, STUDY 3</t>
  </si>
  <si>
    <t>Parametrix Inc.</t>
  </si>
  <si>
    <t>Acute Toxicity of Sodium Cyanide to Marine Copepods (Acartia tonsa)</t>
  </si>
  <si>
    <t>Report 3555, Parametrix Environmental Research Laboratory, Albany, OR:158 p.</t>
  </si>
  <si>
    <t>Parametrix Inc. (2006). Acute Toxicity of Sodium Cyanide to Marine Copepods (Acartia tonsa). Report 3555, Parametrix Environmental Research Laboratory, Albany, OR, 158 p. ECOREF#:167149</t>
  </si>
  <si>
    <t>4 REPLICATES, STUDY 1</t>
  </si>
  <si>
    <t>IN BEAKERS COVERED WITH PARAFILM, SIX TO EIGHT CONCENTRATIONS IN GEOMETRIC SERIES WITH FACTOR OF 2 TO 3 PLUS CONTROL, RED SEA MEDIA TEST</t>
  </si>
  <si>
    <t xml:space="preserve">SOURCE/CULTURED IN LABORATORY FOR MORE THAN 20 YEARS//CONTR/C,P//TMETH/KUSK AND PETERSON (1997); ISO TEST ISO/DIS 14669 (1997)//MEDIA/COMMERCIAL SALT MIXTURE MEDIA//   </t>
  </si>
  <si>
    <t>4 REPLICATES, STUDY 2</t>
  </si>
  <si>
    <t>10.1016/j.ecoenv.2006.10.011</t>
  </si>
  <si>
    <t>Ek,H., E. Nilsson, G. Birgersson, and G. Dave</t>
  </si>
  <si>
    <t>TNT Leakage Through Sediment to Water and Toxicity to Nitocra spinipes</t>
  </si>
  <si>
    <t>Ecotoxicol. Environ. Saf.67(3): 341-348</t>
  </si>
  <si>
    <t>Ek,H., E. Nilsson, G. Birgersson, and G. Dave (2007). TNT Leakage Through Sediment to Water and Toxicity to Nitocra spinipes. Ecotoxicol. Environ. Saf., 67, (3), 341-348. doi:10.1016/j.ecoenv.2006.10.011. ECOREF#:97664</t>
  </si>
  <si>
    <t xml:space="preserve">CAS #: 67641 | Chem Name: Propan-2-one | Chem Grade: NR | Chem Formulation: PU | Chem Radiolabel: NR | Chem Characteristics: AS NEEDED |  &lt;=0.1 ML/L | Chem Purity: &gt;95.5 | </t>
  </si>
  <si>
    <t>10.1002/etc.5620201222</t>
  </si>
  <si>
    <t>ARTIFICIAL SEA WATER</t>
  </si>
  <si>
    <t>Andersen,H.R., L. Wollenberger, B. Halling-Sorensen, and K.O. Kusk</t>
  </si>
  <si>
    <t>Development of Copepod Nauplii to Copepodites - a Parameter for Chronic Toxicity Including Endocrine Disruption</t>
  </si>
  <si>
    <t>Environ. Toxicol. Chem.20(12): 2821-2829</t>
  </si>
  <si>
    <t>Andersen,H.R., L. Wollenberger, B. Halling-Sorensen, and K.O. Kusk (2001). Development of Copepod Nauplii to Copepodites - a Parameter for Chronic Toxicity Including Endocrine Disruption. Environ. Toxicol. Chem., 20, (12), 2821-2829. doi:10.1002/etc.5620201222. ECOREF#:66691</t>
  </si>
  <si>
    <t>10.1080/14634980008657028</t>
  </si>
  <si>
    <t>Dave,G., E. Nilsson, and A.S. Wernersson</t>
  </si>
  <si>
    <t>Sediment and Water Phase Toxicity and UV-Activation of Six Chemicals Used in Military Explosives</t>
  </si>
  <si>
    <t>Aquat. Ecosyst. Health Manag.3(3): 291-299</t>
  </si>
  <si>
    <t>Dave,G., E. Nilsson, and A.S. Wernersson (2000). Sediment and Water Phase Toxicity and UV-Activation of Six Chemicals Used in Military Explosives. Aquat. Ecosyst. Health Manag., 3, (3), 291-299. doi:10.1080/14634980008657028. ECOREF#:157913</t>
  </si>
  <si>
    <t>4 REPLICATES, STUDY 4</t>
  </si>
  <si>
    <t>Sulfuric acid, Nickel(2+)salt (1:1)</t>
  </si>
  <si>
    <t>NICKEL SULFATE, NISO4.7H2O</t>
  </si>
  <si>
    <t xml:space="preserve"> DOSES/1 to 6 mg/L//TESTID/10//OEF/SURVEY STUDY////</t>
  </si>
  <si>
    <t xml:space="preserve">   DOSES/1 to 6 mg/L//TESTID/10//OEF/SURVEY STUDY////</t>
  </si>
  <si>
    <t xml:space="preserve"> DOSES/1 to 6 mg/L//TESTID/9//OEF/SURVEY STUDY////</t>
  </si>
  <si>
    <t xml:space="preserve">   DOSES/1 to 6 mg/L//TESTID/9//OEF/SURVEY STUDY////</t>
  </si>
  <si>
    <t>Nickel sulfate (NiSO4), NISO4.6H2O, 1ML DOUBLE-DISTILLED HNO3 TO 1 L OF METAL STOCK SOLUTION REDUCED SURFACE PLATING ON THE CONTAINER WALLS AS WELL AS INCREASED METAL SOLUBILITY.</t>
  </si>
  <si>
    <t>Chromic acid (H2CrO4), Potassium salt (1:2)</t>
  </si>
  <si>
    <t>DIPOTASSIUM CHROMATE</t>
  </si>
  <si>
    <t xml:space="preserve"> DNUM/&gt;= 6//DOSES/0.5 to 50 mg/L//TESTID/34//OEF/TOXICITY SYMPTOMS////</t>
  </si>
  <si>
    <t xml:space="preserve">   DNUM/&gt;= 6//DOSES/0.5 to 50 mg/L//TESTID/34//OEF/TOXICITY SYMPTOMS////</t>
  </si>
  <si>
    <t xml:space="preserve"> DNUM/&gt;= 6//DOSES/2.5 to 60 mg/L//TESTID/35//OEF/TOXICITY SYMPTOMS////</t>
  </si>
  <si>
    <t xml:space="preserve">   DNUM/&gt;= 6//DOSES/2.5 to 60 mg/L//TESTID/35//OEF/TOXICITY SYMPTOMS////</t>
  </si>
  <si>
    <t>&gt;2 CM</t>
  </si>
  <si>
    <t>10.1007/BF01683547</t>
  </si>
  <si>
    <t>Fales,R.R.</t>
  </si>
  <si>
    <t>The Influence of Temperature and Salinity on the Toxicity of Hexavalent Chromium to the Grass Shrimp Palaemonetes pugio (Holthuis)</t>
  </si>
  <si>
    <t>Bull. Environ. Contam. Toxicol.20(4): 447-450</t>
  </si>
  <si>
    <t>Fales,R.R. (1978). The Influence of Temperature and Salinity on the Toxicity of Hexavalent Chromium to the Grass Shrimp Palaemonetes pugio (Holthuis). Bull. Environ. Contam. Toxicol., 20, (4), 447-450. doi:10.1007/BF01683547. ECOREF#:6082</t>
  </si>
  <si>
    <t>Jop,K.M.</t>
  </si>
  <si>
    <t>Acute and Rapid-Chronic Toxicity of Hexavalent Chromium to Five Marine Species</t>
  </si>
  <si>
    <t>ASTM Spec. Tech. Publ.12:251-260</t>
  </si>
  <si>
    <t>Jop,K.M. (1989). Acute and Rapid-Chronic Toxicity of Hexavalent Chromium to Five Marine Species. ASTM Spec. Tech. Publ., 12, 251-260. ECOREF#:198</t>
  </si>
  <si>
    <t>10.1007/BF01055624</t>
  </si>
  <si>
    <t>Buikema,A.L.J., B.R. Niederlehner, and J.,Jr. Cairns</t>
  </si>
  <si>
    <t>The Effects of a Simulated Refinery Effluent and Its Components on the Estuarine Crustacean, Mysidopsis bahia</t>
  </si>
  <si>
    <t>Arch. Environ. Contam. Toxicol.10:231-240</t>
  </si>
  <si>
    <t>Buikema,A.L.J., B.R. Niederlehner, and J.,Jr. Cairns (1981). The Effects of a Simulated Refinery Effluent and Its Components on the Estuarine Crustacean, Mysidopsis bahia. Arch. Environ. Contam. Toxicol., 10, 231-240. doi:10.1007/BF01055624. ECOREF#:14256</t>
  </si>
  <si>
    <t>[N-[2-[(Dithiocarboxy)amino]ethyl]carbamodithioato(2-)-kappaS,kappaS']manganese mixt. with [N-[2-[(dithiocarboxy)amino]ethyl]carbamodithioato(2-)-kappaS,kappaS']zinc</t>
  </si>
  <si>
    <t>3 D</t>
  </si>
  <si>
    <t>Nitric acid, Lead (2+) salt (2:1)</t>
  </si>
  <si>
    <t xml:space="preserve"> TESTID/8//MSMT/NR//DOSES/0.001-20 MG/L//SOURCE/WLD//WTINT/NR//DNUM/6//SEX/NR//TMETH/NR//STYPE/ACUTE//ETIME/4 D//AP RATE/NR//SAMPN/NR//WTAT/NR//INTAKE/NR//COMPEP/NR//LD/NR//DW/NR//STST/NR//HMA/NR//NA/NR//CL/NR//DIC/NR//CA/NR//POT/NR//MG/NR//SO4/NR//SULF/NR//</t>
  </si>
  <si>
    <t xml:space="preserve">   TESTID/8//MSMT/NR//DOSES/0.001-20 MG/L//SOURCE/WLD//WTINT/NR//DNUM/6//SEX/NR//TMETH/NR//STYPE/ACUTE//ETIME/4 D//AP RATE/NR//SAMPN/NR//WTAT/NR//INTAKE/NR//COMPEP/NR//LD/NR//DW/NR//STST/NR//HMA/NR//NA/NR//CL/NR//DIC/NR//CA/NR//POT/NR//MG/NR//SO4/NR//SULF/NR//</t>
  </si>
  <si>
    <t>LEAD NITRATE</t>
  </si>
  <si>
    <t xml:space="preserve"> LIFESTG/LENGTH (POST ORBITAL MARGIN TO TELSON TIP)//TESTID/35//OEF/TEMPERATURE AND SALINITY EFCTS////</t>
  </si>
  <si>
    <t xml:space="preserve">   LIFESTG/LENGTH (POST ORBITAL MARGIN TO TELSON TIP)//TESTID/35//OEF/TEMPERATURE AND SALINITY EFCTS////</t>
  </si>
  <si>
    <t xml:space="preserve"> LIFESTG/LENGTH (POST ORBITAL MARGIN TO TELSON TIP)//TESTID/34//OEF/TEMPERATURE AND SALINITY EFCTS////</t>
  </si>
  <si>
    <t xml:space="preserve">   LIFESTG/LENGTH (POST ORBITAL MARGIN TO TELSON TIP)//TESTID/34//OEF/TEMPERATURE AND SALINITY EFCTS////</t>
  </si>
  <si>
    <t xml:space="preserve"> TESTID/7//MSMT/NR//DOSES/0.001-20 MG/L//SOURCE/WLD//WTINT/NR//DNUM/6//SEX/NR//TMETH/NR//STYPE/ACUTE//ETIME/4 D//AP RATE/NR//SAMPN/NR//WTAT/NR//INTAKE/NR//COMPEP/NR//LD/NR//DW/NR//STST/NR//HMA/NR//NA/NR//CL/NR//DIC/NR//CA/NR//POT/NR//MG/NR//SO4/NR//SULF/NR//</t>
  </si>
  <si>
    <t xml:space="preserve">   TESTID/7//MSMT/NR//DOSES/0.001-20 MG/L//SOURCE/WLD//WTINT/NR//DNUM/6//SEX/NR//TMETH/NR//STYPE/ACUTE//ETIME/4 D//AP RATE/NR//SAMPN/NR//WTAT/NR//INTAKE/NR//COMPEP/NR//LD/NR//DW/NR//STST/NR//HMA/NR//NA/NR//CL/NR//DIC/NR//CA/NR//POT/NR//MG/NR//SO4/NR//SULF/NR//</t>
  </si>
  <si>
    <t xml:space="preserve"> DNUM/6//TESTID/12//OEF/MIXTURE, SALINITY EFCTS////</t>
  </si>
  <si>
    <t xml:space="preserve">   DNUM/6//TESTID/12//OEF/MIXTURE, SALINITY EFCTS////</t>
  </si>
  <si>
    <t xml:space="preserve"> DNUM/6//TESTID/11//OEF/MIXTURE, SALINITY EFCTS////</t>
  </si>
  <si>
    <t xml:space="preserve">   DNUM/6//TESTID/11//OEF/MIXTURE, SALINITY EFCTS////</t>
  </si>
  <si>
    <t>Lead nitrate (Pb(NO3)2), PB(NO3)3, 1ML DOUBLE-DISTILLED HNO3 TO 1 L OF METAL STOCK SOLUTION REDUCED SURFACE PLATING ON THE CONTAINER WALLS AS WELL AS INCREASED METAL SOLUBILITY.</t>
  </si>
  <si>
    <t xml:space="preserve"> DNUM/5//DOSES/0.1/1/10/100 mg/l//TESTID/7//</t>
  </si>
  <si>
    <t xml:space="preserve">   DNUM/5//DOSES/0.1/1/10/100 mg/l//TESTID/7//</t>
  </si>
  <si>
    <t xml:space="preserve"> LIFESTG/LENGTH (POST ORBITAL MARGIN TO TELSON TIP)//TESTID/36//OEF/TEMPERATURE AND SALINITY EFCTS////</t>
  </si>
  <si>
    <t xml:space="preserve">   LIFESTG/LENGTH (POST ORBITAL MARGIN TO TELSON TIP)//TESTID/36//OEF/TEMPERATURE AND SALINITY EFCTS////</t>
  </si>
  <si>
    <t xml:space="preserve"> DNUM/7//DOSES/400/800/1600/3200/6400/12800 ug/L//TESTID/4//OEF/MIXTURE////</t>
  </si>
  <si>
    <t xml:space="preserve">   DNUM/7//DOSES/400/800/1600/3200/6400/12800 ug/L//TESTID/4//OEF/MIXTURE////</t>
  </si>
  <si>
    <t xml:space="preserve"> TESTID/9//MSMT/NR//DOSES/0.001-20 MG/L//SOURCE/WLD//WTINT/NR//DNUM/6//SEX/NR//TMETH/NR//STYPE/ACUTE//ETIME/4 D//AP RATE/NR//SAMPN/NR//WTAT/NR//INTAKE/NR//COMPEP/NR//LD/NR//DW/NR//STST/NR//HMA/NR//NA/NR//CL/NR//DIC/NR//CA/NR//POT/NR//MG/NR//SO4/NR//SULF/NR//</t>
  </si>
  <si>
    <t xml:space="preserve">   TESTID/9//MSMT/NR//DOSES/0.001-20 MG/L//SOURCE/WLD//WTINT/NR//DNUM/6//SEX/NR//TMETH/NR//STYPE/ACUTE//ETIME/4 D//AP RATE/NR//SAMPN/NR//WTAT/NR//INTAKE/NR//COMPEP/NR//LD/NR//DW/NR//STST/NR//HMA/NR//NA/NR//CL/NR//DIC/NR//CA/NR//POT/NR//MG/NR//SO4/NR//SULF/NR//</t>
  </si>
  <si>
    <t xml:space="preserve"> LIFESTG/LENGTH (POST ORBITAL MARGIN TO TELSON TIP)//TESTID/33//OEF/TEMPERATURE AND SALINITY EFCTS////</t>
  </si>
  <si>
    <t xml:space="preserve">   LIFESTG/LENGTH (POST ORBITAL MARGIN TO TELSON TIP)//TESTID/33//OEF/TEMPERATURE AND SALINITY EFCTS////</t>
  </si>
  <si>
    <t>Lead nitrate</t>
  </si>
  <si>
    <t xml:space="preserve"> LIFESTG/LENGTH (POST ORBITAL MARGIN TO TELSON TIP)//TESTID/32//OEF/TEMPERATURE AND SALINITY EFCTS////</t>
  </si>
  <si>
    <t xml:space="preserve">   LIFESTG/LENGTH (POST ORBITAL MARGIN TO TELSON TIP)//TESTID/32//OEF/TEMPERATURE AND SALINITY EFCTS////</t>
  </si>
  <si>
    <t xml:space="preserve"> LIFESTG/LENGTH (POST ORBITAL MARGIN TO TELSON TIP)//TESTID/31//OEF/TEMPERATURE AND SALINITY EFCTS////</t>
  </si>
  <si>
    <t xml:space="preserve">   LIFESTG/LENGTH (POST ORBITAL MARGIN TO TELSON TIP)//TESTID/31//OEF/TEMPERATURE AND SALINITY EFCTS////</t>
  </si>
  <si>
    <t>Lead nitrate (Pb(NO3)2)</t>
  </si>
  <si>
    <t xml:space="preserve">CONC1/CI REPORTED AS 2350 UG/L-INF// </t>
  </si>
  <si>
    <t xml:space="preserve">SOURCE/FROM US EPA-ENVIRONMENTAL RESEARCH LABORATORY CULTURES, NARRAGANSETT, RHODE ISLAND, ORIGINALLY FROM US EPA-ENVIRONMENTAL RESEARCH LABORATORY CULTURES, GULF BREEZE, FLORIDA//TMETH/1980, E729-80//MEDIA/NATURAL SEA WATER//  CONC1/CI REPORTED AS 2350 UG/L-INF// </t>
  </si>
  <si>
    <t>ENDPT/NO CORRECTION FOR CONTROL MORTALILTY//</t>
  </si>
  <si>
    <t xml:space="preserve">SOURCE/COLLECTED FROM SOFT SEDIMENTS IN NARROW RIVER, ESTUARY WHICH DRAINS INTO NARRAGANSETT BAY (LAT. 41 27' 05" N, LONG. 71 25' 15" W)//MEDIA/FILTERED ERL-N PUMPED NATURAL SEAWATER//   </t>
  </si>
  <si>
    <t>Scott,K.J., P.P. Yevich, and W.S. Boothman</t>
  </si>
  <si>
    <t>Toxicological Methods Using the Benthic Amphipod Ampelisca abdita Mills</t>
  </si>
  <si>
    <t>U.S.EPA, Narragansett, RI:23 p.</t>
  </si>
  <si>
    <t>Scott,K.J., P.P. Yevich, and W.S. Boothman (1982). Toxicological Methods Using the Benthic Amphipod Ampelisca abdita Mills. U.S.EPA, Narragansett, RI, 23 p. ECOREF#:3741</t>
  </si>
  <si>
    <t>ENDPT/WITH ABBOT'S CORRECTION//</t>
  </si>
  <si>
    <t>Cadmium chloride (CdCl2)</t>
  </si>
  <si>
    <t>Paracerceis sculpta</t>
  </si>
  <si>
    <t>Paracerceis</t>
  </si>
  <si>
    <t>sculpta</t>
  </si>
  <si>
    <t>Bellan-Santini,D., G. Bellan, and D.J. Reish</t>
  </si>
  <si>
    <t>Variations of the Effects of Toxicity According to the Day-Night Cycle of Certain Marine Invertebrates</t>
  </si>
  <si>
    <t>C. R. Hebd. Seances Acad. Sci. Ser. D Sci. Nat. (Non-English)288(1): 139-141</t>
  </si>
  <si>
    <t>Bellan-Santini,D., G. Bellan, and D.J. Reish (1979). Variations of the Effects of Toxicity According to the Day-Night Cycle of Certain Marine Invertebrates. C. R. Hebd. Seances Acad. Sci. Ser. D Sci. Nat. (Non-English), 288, (1), 139-141. ECOREF#:15300</t>
  </si>
  <si>
    <t>20 MM, 0.47 G</t>
  </si>
  <si>
    <t>10.1139/f71-188</t>
  </si>
  <si>
    <t xml:space="preserve"> CONTR/&lt; 1 % MORT//</t>
  </si>
  <si>
    <t xml:space="preserve">   CONTR/&lt; 1 % MORT//</t>
  </si>
  <si>
    <t>Eisler,R.</t>
  </si>
  <si>
    <t>Cadmium Poisoning in Fundulus heteroclitus (Pisces:  Cyprinodontidae) and Other Marine Organisms</t>
  </si>
  <si>
    <t>J. Fish. Res. Board Can.28(9): 1225-1234</t>
  </si>
  <si>
    <t>Eisler,R. (1971). Cadmium Poisoning in Fundulus heteroclitus (Pisces:  Cyprinodontidae) and Other Marine Organisms. J. Fish. Res. Board Can., 28, (9), 1225-1234. doi:10.1139/f71-188. ECOREF#:9316</t>
  </si>
  <si>
    <t>Analytical or reagent grade</t>
  </si>
  <si>
    <t>Varuna litterata</t>
  </si>
  <si>
    <t>Varuna</t>
  </si>
  <si>
    <t>litterata</t>
  </si>
  <si>
    <t>VARUNA LITTORATA</t>
  </si>
  <si>
    <t xml:space="preserve"> TESTID/5//MSMT/NR//DOSES/NR//SOURCE/WLD//WTINT/NR//DNUM/NR//SEX/NR//TMETH/NR//STYPE/ACUTE//ETIME/96 H//AP RATE/NR//SAMPN/NR//WTAT/NR//INTAKE/NR//COMPEP/NR//LD/NR//DW/NR//STST/NR//HMA/NR//NA/NR//CL/NR//DIC/NR//CA/NR//POT/NR//MG/NR//SO4/NR//SULF/NR//</t>
  </si>
  <si>
    <t xml:space="preserve">   TESTID/5//MSMT/NR//DOSES/NR//SOURCE/WLD//WTINT/NR//DNUM/NR//SEX/NR//TMETH/NR//STYPE/ACUTE//ETIME/96 H//AP RATE/NR//SAMPN/NR//WTAT/NR//INTAKE/NR//COMPEP/NR//LD/NR//DW/NR//STST/NR//HMA/NR//NA/NR//CL/NR//DIC/NR//CA/NR//POT/NR//MG/NR//SO4/NR//SULF/NR//</t>
  </si>
  <si>
    <t>Kulkarni,K.M.</t>
  </si>
  <si>
    <t>Influence of Temperature and Salinity on the Toxicity of Cadmium to the Estuarine Crab Varuna littorata</t>
  </si>
  <si>
    <t>Environ. Ecol.1(3): 193-195</t>
  </si>
  <si>
    <t>Kulkarni,K.M. (1983). Influence of Temperature and Salinity on the Toxicity of Cadmium to the Estuarine Crab Varuna littorata. Environ. Ecol., 1, (3), 193-195. ECOREF#:11524</t>
  </si>
  <si>
    <t>Podocerus fulanus</t>
  </si>
  <si>
    <t>Podoceridae</t>
  </si>
  <si>
    <t>Podocerus</t>
  </si>
  <si>
    <t>fulanus</t>
  </si>
  <si>
    <t>AD, NON-GRAVID FEMALE</t>
  </si>
  <si>
    <t>10.1007/BF00349166</t>
  </si>
  <si>
    <t>Zanders,I.P., and W.E. Rojas</t>
  </si>
  <si>
    <t>Cadmium Accumulation, LC50 and Oxygen Consumption in the Tropical Marine Amphipod Elasmopus rapax</t>
  </si>
  <si>
    <t>Mar. Biol. (Multiple Languages)113(3): 409-413</t>
  </si>
  <si>
    <t>Zanders,I.P., and W.E. Rojas (1992). Cadmium Accumulation, LC50 and Oxygen Consumption in the Tropical Marine Amphipod Elasmopus rapax. Mar. Biol. (Multiple Languages), 113, (3), 409-413. doi:10.1007/BF00349166. ECOREF#:6416</t>
  </si>
  <si>
    <t>10.1007/BF01855870</t>
  </si>
  <si>
    <t>Hong,J.S., and D.J. Reish</t>
  </si>
  <si>
    <t>Acute Toxicity of Cadmium to Eight Species of Marine Amphipod and Isopod Crustaceans from Southern California</t>
  </si>
  <si>
    <t>Bull. Environ. Contam. Toxicol.39(5): 884-888</t>
  </si>
  <si>
    <t>Hong,J.S., and D.J. Reish (1987). Acute Toxicity of Cadmium to Eight Species of Marine Amphipod and Isopod Crustaceans from Southern California. Bull. Environ. Contam. Toxicol., 39, (5), 884-888. doi:10.1007/BF01855870. ECOREF#:2621</t>
  </si>
  <si>
    <t>Uca pugilator</t>
  </si>
  <si>
    <t>1.5-2.2 G</t>
  </si>
  <si>
    <t>O'Hara,J.</t>
  </si>
  <si>
    <t>The Influence of Temperature and Salinity on the Toxicity of Cadmium to the Fiddler Crab, Uca pugilator</t>
  </si>
  <si>
    <t>Fish. Bull.71(1): 149-153</t>
  </si>
  <si>
    <t>O'Hara,J. (1973). The Influence of Temperature and Salinity on the Toxicity of Cadmium to the Fiddler Crab, Uca pugilator. Fish. Bull., 71, (1), 149-153. ECOREF#:8412</t>
  </si>
  <si>
    <t>CADMIUM CHLORIDE, CDCL2 2.5H2O</t>
  </si>
  <si>
    <t xml:space="preserve"> LIFESTG/LENGTH (POST ORBITAL MARGIN TO TELSON TIP)//TESTID/12//OEF/TEMPERATURE AND SALINITY EFCTS////</t>
  </si>
  <si>
    <t xml:space="preserve">   LIFESTG/LENGTH (POST ORBITAL MARGIN TO TELSON TIP)//TESTID/12//OEF/TEMPERATURE AND SALINITY EFCTS////</t>
  </si>
  <si>
    <t>FEMALE AND IMMATURE</t>
  </si>
  <si>
    <t>3RD BROOD</t>
  </si>
  <si>
    <t>CdCl2.2.5H2O</t>
  </si>
  <si>
    <t>10.1007/s10646-008-0255-4</t>
  </si>
  <si>
    <t>3 REPLICATES, ARTIFICIAL SEAWATER</t>
  </si>
  <si>
    <t>Wang,Z., C. Yan, and X. Zhang</t>
  </si>
  <si>
    <t>Acute and Chronic Cadmium Toxicity to a Saltwater Cladoceran Moina monogolica Daday and Its Relative Importance</t>
  </si>
  <si>
    <t>Ecotoxicology18(1): 47-54</t>
  </si>
  <si>
    <t>Wang,Z., C. Yan, and X. Zhang (2009). Acute and Chronic Cadmium Toxicity to a Saltwater Cladoceran Moina monogolica Daday and Its Relative Importance. Ecotoxicology, 18, (1), 47-54. doi:10.1007/s10646-008-0255-4. ECOREF#:118182</t>
  </si>
  <si>
    <t>MYSIS 1</t>
  </si>
  <si>
    <t>10.1007/BF00349223</t>
  </si>
  <si>
    <t>Bambang,Y., G. Charmantier, P. Thuet, and J.P. Trilles</t>
  </si>
  <si>
    <t>Effect of Cadmium on Survival and Osmoregulation of Various Developmental Stages of the Shrimp Penaeus japonicus (Crustacea: Decapoda)</t>
  </si>
  <si>
    <t>Mar. Biol. (Multiple Languages)123:443-450</t>
  </si>
  <si>
    <t>Bambang,Y., G. Charmantier, P. Thuet, and J.P. Trilles (1995). Effect of Cadmium on Survival and Osmoregulation of Various Developmental Stages of the Shrimp Penaeus japonicus (Crustacea: Decapoda). Mar. Biol. (Multiple Languages), 123, 443-450. doi:10.1007/BF00349223. ECOREF#:18546</t>
  </si>
  <si>
    <t>HIGH GRADE</t>
  </si>
  <si>
    <t>Borgaonkar,S.S., and K.S. Gokhale</t>
  </si>
  <si>
    <t>Size Related Toxicity of Cadmium on Ilyoplax gangetica and Antagonistic Activity of NH4OH and Sewage</t>
  </si>
  <si>
    <t>J. Environ. Biol.6(3): 179-183</t>
  </si>
  <si>
    <t>Borgaonkar,S.S., and K.S. Gokhale (1985). Size Related Toxicity of Cadmium on Ilyoplax gangetica and Antagonistic Activity of NH4OH and Sewage. J. Environ. Biol., 6, (3), 179-183. ECOREF#:11937</t>
  </si>
  <si>
    <t>CADMIUM CHLORIDE, CDCL2.H2O</t>
  </si>
  <si>
    <t xml:space="preserve"> DNUM/7//TESTID/2//OEF/OIL, MIXTURE EFCTS////</t>
  </si>
  <si>
    <t xml:space="preserve">   DNUM/7//TESTID/2//OEF/OIL, MIXTURE EFCTS////</t>
  </si>
  <si>
    <t>CADMIUM CHLORIDE, CADMIUM/</t>
  </si>
  <si>
    <t xml:space="preserve"> CHAR/CHLORIDE X 2.5 H2O//DNUM/5//DOSES/1/5/10/20 ppm//TESTID/1//</t>
  </si>
  <si>
    <t xml:space="preserve">   CHAR/CHLORIDE X 2.5 H2O//DNUM/5//DOSES/1/5/10/20 ppm//TESTID/1//</t>
  </si>
  <si>
    <t>CDCL2.2.5H2O</t>
  </si>
  <si>
    <t>10.1007/BF00195644</t>
  </si>
  <si>
    <t>Borowitz,J.L., and J.L. McLaughlin</t>
  </si>
  <si>
    <t>Evidence for Calcium Channels in Brine Shrimp: Diltiazem Protects Shrimp Against Cadmium</t>
  </si>
  <si>
    <t>Bull. Environ. Contam. Toxicol.48(3): 435-440</t>
  </si>
  <si>
    <t>Borowitz,J.L., and J.L. McLaughlin (1992). Evidence for Calcium Channels in Brine Shrimp: Diltiazem Protects Shrimp Against Cadmium. Bull. Environ. Contam. Toxicol., 48, (3), 435-440. doi:10.1007/BF00195644. ECOREF#:167231</t>
  </si>
  <si>
    <t xml:space="preserve"> TESTID/8//MSMT/NR//DOSES/NR//SOURCE/WLD//WTINT/NR//DNUM/NR//SEX/NR//TMETH/NR//STYPE/ACUTE//ETIME/96 H//AP RATE/NR//SAMPN/NR//WTAT/NR//INTAKE/NR//COMPEP/NR//LD/NR//DW/NR//STST/NR//HMA/NR//NA/NR//CL/NR//DIC/NR//CA/NR//POT/NR//MG/NR//SO4/NR//SULF/NR//</t>
  </si>
  <si>
    <t xml:space="preserve">   TESTID/8//MSMT/NR//DOSES/NR//SOURCE/WLD//WTINT/NR//DNUM/NR//SEX/NR//TMETH/NR//STYPE/ACUTE//ETIME/96 H//AP RATE/NR//SAMPN/NR//WTAT/NR//INTAKE/NR//COMPEP/NR//LD/NR//DW/NR//STST/NR//HMA/NR//NA/NR//CL/NR//DIC/NR//CA/NR//POT/NR//MG/NR//SO4/NR//SULF/NR//</t>
  </si>
  <si>
    <t>CADMIUM CHLORIDE (CDCL2)/</t>
  </si>
  <si>
    <t xml:space="preserve"> CHAR/CL2CD.2(1/2)H2O//DNUM/7//DOSES/20/40/80/160/320/640 ug/L//TESTID/5//OEF/MIXTURE////</t>
  </si>
  <si>
    <t xml:space="preserve">   CHAR/CL2CD.2(1/2)H2O//DNUM/7//DOSES/20/40/80/160/320/640 ug/L//TESTID/5//OEF/MIXTURE////</t>
  </si>
  <si>
    <t>LATE</t>
  </si>
  <si>
    <t>CADMIUM CHLORIDE (CDCL2)</t>
  </si>
  <si>
    <t xml:space="preserve"> DNUM/6-8//DOSES/NA mg/L//TESTID/24//</t>
  </si>
  <si>
    <t xml:space="preserve">   DNUM/6-8//DOSES/NA mg/L//TESTID/24//</t>
  </si>
  <si>
    <t>POST-METAMORPHIC PL1</t>
  </si>
  <si>
    <t xml:space="preserve"> CHAR/CHLORIDE HEPTAHYDRATE//DNUM/6//DOSES/0.76/1.53/3.06/6.12/12.25 mg/l//TESTID/1//</t>
  </si>
  <si>
    <t xml:space="preserve">   CHAR/CHLORIDE HEPTAHYDRATE//DNUM/6//DOSES/0.76/1.53/3.06/6.12/12.25 mg/l//TESTID/1//</t>
  </si>
  <si>
    <t>Cancer irroratus</t>
  </si>
  <si>
    <t>Rock Crab</t>
  </si>
  <si>
    <t>irroratus</t>
  </si>
  <si>
    <t xml:space="preserve">CAS #: 7697372 | Chem Name: Nitric acid | Chem Grade: NR | Chem Formulation: NR | Chem Radiolabel: NR | Chem Characteristics: OR WATER | Chem Purity: NR | </t>
  </si>
  <si>
    <t xml:space="preserve"> ENDPT/PROBIT, P&lt;= 0.05//</t>
  </si>
  <si>
    <t xml:space="preserve">   ENDPT/PROBIT, P&lt;= 0.05//</t>
  </si>
  <si>
    <t>Johns,D.M., and D.C. Miller</t>
  </si>
  <si>
    <t>The Use of Bioenergetics to Investigate the Mechanisms of Pollutant Toxicity in Crustacean Larvae</t>
  </si>
  <si>
    <t>In: W.B.Vernberg, A.Calabrese, F.P.Thurberg, and F.J.Vernberg (Eds.), Physiological Mechanisms of Marine Pollutant Toxicity, Academic Press, New York, NY:261-288</t>
  </si>
  <si>
    <t>Johns,D.M., and D.C. Miller (1982). The Use of Bioenergetics to Investigate the Mechanisms of Pollutant Toxicity in Crustacean Larvae. In: W.B.Vernberg, A.Calabrese, F.P.Thurberg, and F.J.Vernberg (Eds.), Physiological Mechanisms of Marine Pollutant Toxicity, Academic Press, New York, NY, 261-288. ECOREF#:3764</t>
  </si>
  <si>
    <t>CADMIUM CHLORIDE</t>
  </si>
  <si>
    <t xml:space="preserve"> DNUM/8//DOSES/0.01/0.1/0.5/1.0/2.0/3.0/4.0 mg/l//TESTID/1//</t>
  </si>
  <si>
    <t xml:space="preserve">   DNUM/8//DOSES/0.01/0.1/0.5/1.0/2.0/3.0/4.0 mg/l//TESTID/1//</t>
  </si>
  <si>
    <t>MYSIS 3</t>
  </si>
  <si>
    <t xml:space="preserve"> TESTID/2//MSMT/NR//DOSES/NR//SOURCE/WLD//WTINT/NR//DNUM/NR//SEX/NR//TMETH/NR//STYPE/ACUTE//ETIME/96 H//AP RATE/NR//SAMPN/NR//WTAT/NR//INTAKE/NR//COMPEP/NR//LD/NR//DW/NR//STST/NR//HMA/NR//NA/NR//CL/NR//DIC/NR//CA/NR//POT/NR//MG/NR//SO4/NR//SULF/NR//</t>
  </si>
  <si>
    <t xml:space="preserve">   TESTID/2//MSMT/NR//DOSES/NR//SOURCE/WLD//WTINT/NR//DNUM/NR//SEX/NR//TMETH/NR//STYPE/ACUTE//ETIME/96 H//AP RATE/NR//SAMPN/NR//WTAT/NR//INTAKE/NR//COMPEP/NR//LD/NR//DW/NR//STST/NR//HMA/NR//NA/NR//CL/NR//DIC/NR//CA/NR//POT/NR//MG/NR//SO4/NR//SULF/NR//</t>
  </si>
  <si>
    <t>Chelura terebrans</t>
  </si>
  <si>
    <t>Cheluridae</t>
  </si>
  <si>
    <t>Chelura</t>
  </si>
  <si>
    <t>terebrans</t>
  </si>
  <si>
    <t xml:space="preserve"> DNUM/6//DOSES/0.00325 to 12.5 mg/L//TESTID/5//OEF/MIXTURE////</t>
  </si>
  <si>
    <t xml:space="preserve">   DNUM/6//DOSES/0.00325 to 12.5 mg/L//TESTID/5//OEF/MIXTURE////</t>
  </si>
  <si>
    <t xml:space="preserve"> DNUM/5//DOSES/0.2/0.4/0.8/1.6 mg/L//TESTID/1//OEF/SEDIMENT STUDY, TEMPERATURE, SALINITY, SEDIMENT, POPULATION DENSITY AND DIET EFFECTS////</t>
  </si>
  <si>
    <t xml:space="preserve">   DNUM/5//DOSES/0.2/0.4/0.8/1.6 mg/L//TESTID/1//OEF/SEDIMENT STUDY, TEMPERATURE, SALINITY, SEDIMENT, POPULATION DENSITY AND DIET EFFECTS////</t>
  </si>
  <si>
    <t>FEMALES WITH OVIGEROUS SACS</t>
  </si>
  <si>
    <t>POST-METAMORPHIC PL2</t>
  </si>
  <si>
    <t xml:space="preserve"> TESTID/7//MSMT/NR//DOSES/NR//SOURCE/WLD//WTINT/NR//DNUM/NR//SEX/NR//TMETH/NR//STYPE/ACUTE//ETIME/96 H//AP RATE/NR//SAMPN/NR//WTAT/NR//INTAKE/NR//COMPEP/NR//LD/NR//DW/NR//STST/NR//HMA/NR//NA/NR//CL/NR//DIC/NR//CA/NR//POT/NR//MG/NR//SO4/NR//SULF/NR//</t>
  </si>
  <si>
    <t xml:space="preserve">   TESTID/7//MSMT/NR//DOSES/NR//SOURCE/WLD//WTINT/NR//DNUM/NR//SEX/NR//TMETH/NR//STYPE/ACUTE//ETIME/96 H//AP RATE/NR//SAMPN/NR//WTAT/NR//INTAKE/NR//COMPEP/NR//LD/NR//DW/NR//STST/NR//HMA/NR//NA/NR//CL/NR//DIC/NR//CA/NR//POT/NR//MG/NR//SO4/NR//SULF/NR//</t>
  </si>
  <si>
    <t>NEOEPSESARMA MEDERI</t>
  </si>
  <si>
    <t xml:space="preserve"> CHAR/CHLORIDE X 2.5H2O//DNUM/6//TESTID/5//OEF/MIXTURE, SALINITY EFCTS////</t>
  </si>
  <si>
    <t xml:space="preserve">   CHAR/CHLORIDE X 2.5H2O//DNUM/6//TESTID/5//OEF/MIXTURE, SALINITY EFCTS////</t>
  </si>
  <si>
    <t xml:space="preserve"> CHAR/CL2CD.2(1/2)H2O//DNUM/7//DOSES/20/40/80/160/320/640 mg/L//TESTID/6//OEF/MIXTURE////</t>
  </si>
  <si>
    <t xml:space="preserve">   CHAR/CL2CD.2(1/2)H2O//DNUM/7//DOSES/20/40/80/160/320/640 mg/L//TESTID/6//OEF/MIXTURE////</t>
  </si>
  <si>
    <t xml:space="preserve"> DNUM/6-8//DOSES/NA mg/L//TESTID/21//</t>
  </si>
  <si>
    <t xml:space="preserve">   DNUM/6-8//DOSES/NA mg/L//TESTID/21//</t>
  </si>
  <si>
    <t xml:space="preserve"> TESTID/3//MSMT/NR//DOSES/NR//SOURCE/WLD//WTINT/NR//DNUM/NR//SEX/NR//TMETH/NR//STYPE/ACUTE//ETIME/96 H//AP RATE/NR//SAMPN/NR//WTAT/NR//INTAKE/NR//COMPEP/NR//LD/NR//DW/NR//STST/NR//HMA/NR//NA/NR//CL/NR//DIC/NR//CA/NR//POT/NR//MG/NR//SO4/NR//SULF/NR//</t>
  </si>
  <si>
    <t xml:space="preserve">   TESTID/3//MSMT/NR//DOSES/NR//SOURCE/WLD//WTINT/NR//DNUM/NR//SEX/NR//TMETH/NR//STYPE/ACUTE//ETIME/96 H//AP RATE/NR//SAMPN/NR//WTAT/NR//INTAKE/NR//COMPEP/NR//LD/NR//DW/NR//STST/NR//HMA/NR//NA/NR//CL/NR//DIC/NR//CA/NR//POT/NR//MG/NR//SO4/NR//SULF/NR//</t>
  </si>
  <si>
    <t>NAUPLII, ZOEAE</t>
  </si>
  <si>
    <t>MYSIS</t>
  </si>
  <si>
    <t xml:space="preserve"> CHAR/CDCL2.2.5H2O//DNUM/&gt;= 6//DOSES/0.5 TO 50 mg/L//TESTID/25//OEF/TOXICITY SYMPTOMS////</t>
  </si>
  <si>
    <t xml:space="preserve">   CHAR/CDCL2.2.5H2O//DNUM/&gt;= 6//DOSES/0.5 TO 50 mg/L//TESTID/25//OEF/TOXICITY SYMPTOMS////</t>
  </si>
  <si>
    <t>150 UM SIZE CLASS</t>
  </si>
  <si>
    <t xml:space="preserve"> DNUM/5//DOSES/0.2/0.4/0.8/1.6 mg/L//TESTID/5//OEF/SEDIMENT STUDY, TEMPERATURE, SALINITY, SEDIMENT, POPULATION DENSITY AND DIET EFFECTS//RVALUE/FROM GRAPH////</t>
  </si>
  <si>
    <t xml:space="preserve">   DNUM/5//DOSES/0.2/0.4/0.8/1.6 mg/L//TESTID/5//OEF/SEDIMENT STUDY, TEMPERATURE, SALINITY, SEDIMENT, POPULATION DENSITY AND DIET EFFECTS//RVALUE/FROM GRAPH////</t>
  </si>
  <si>
    <t xml:space="preserve"> LIFESTG/LENGTH (POST ORBITAL MARGIN TO TELSON TIP)//TESTID/10//OEF/TEMPERATURE AND SALINITY EFCTS////</t>
  </si>
  <si>
    <t xml:space="preserve">   LIFESTG/LENGTH (POST ORBITAL MARGIN TO TELSON TIP)//TESTID/10//OEF/TEMPERATURE AND SALINITY EFCTS////</t>
  </si>
  <si>
    <t xml:space="preserve"> LIFESTG/LENGTH (POST ORBITAL MARGIN TO TELSON TIP)//TESTID/7//OEF/TEMPERATURE AND SALINITY EFCTS////</t>
  </si>
  <si>
    <t xml:space="preserve">   LIFESTG/LENGTH (POST ORBITAL MARGIN TO TELSON TIP)//TESTID/7//OEF/TEMPERATURE AND SALINITY EFCTS////</t>
  </si>
  <si>
    <t xml:space="preserve"> LIFESTG/LENGTH (POST ORBITAL MARGIN TO TELSON TIP)//TESTID/11//OEF/TEMPERATURE AND SALINITY EFCTS////</t>
  </si>
  <si>
    <t xml:space="preserve">   LIFESTG/LENGTH (POST ORBITAL MARGIN TO TELSON TIP)//TESTID/11//OEF/TEMPERATURE AND SALINITY EFCTS////</t>
  </si>
  <si>
    <t>MALE,14.21 G,MOLT STGE C OR D</t>
  </si>
  <si>
    <t>Vitale,A.M., J.M. Monserrat, P. Castilho, and E.M. Rodriguez</t>
  </si>
  <si>
    <t>Inhibitory Effects of Cadmium on Carbonic Anhydrase Activity and Ionic Regulation of the Estuarine Crab Chasmagnathus granulata (Decapoda, Grapsidae)</t>
  </si>
  <si>
    <t>Comp. Biochem. Physiol. C Comp. Pharmacol. Toxicol.122(1): 121-129</t>
  </si>
  <si>
    <t>Vitale,A.M., J.M. Monserrat, P. Castilho, and E.M. Rodriguez (1999). Inhibitory Effects of Cadmium on Carbonic Anhydrase Activity and Ionic Regulation of the Estuarine Crab Chasmagnathus granulata (Decapoda, Grapsidae). Comp. Biochem. Physiol. C Comp. Pharmacol. Toxicol., 122, (1), 121-129. ECOREF#:19662</t>
  </si>
  <si>
    <t>MSMT/PROBIT, FINNEY////</t>
  </si>
  <si>
    <t>10.1016/0043-1354(94)90242-9</t>
  </si>
  <si>
    <t>Emson,S., and M. Crane</t>
  </si>
  <si>
    <t>A Comparison of the Toxicity of Cadmium to the Mysid Shrimps Neomysis integer (Leach) and Mysidopsis bahia (Molenock)</t>
  </si>
  <si>
    <t>Water Res.28(8):1711-1713</t>
  </si>
  <si>
    <t>Emson,S., and M. Crane (1994). A Comparison of the Toxicity of Cadmium to the Mysid Shrimps Neomysis integer (Leach) and Mysidopsis bahia (Molenock). Water Res., 28(8), 1711-1713. doi:10.1016/0043-1354(94)90242-9. ECOREF#:4439</t>
  </si>
  <si>
    <t>3 MM CARAPACE BREADTH</t>
  </si>
  <si>
    <t>6 MM CARAPACE BREADTH</t>
  </si>
  <si>
    <t>Siriella armata</t>
  </si>
  <si>
    <t>Siriella</t>
  </si>
  <si>
    <t>armata</t>
  </si>
  <si>
    <t>10.1016/0141-1136(94)00012-E</t>
  </si>
  <si>
    <t>Birmelin,C., J. Cuzin-Roudy, M. Romeo, M. Gnassia-Barelli, and S. Puiseux-Dao</t>
  </si>
  <si>
    <t>The Mysid Siriella armata as a Test Organisms in Toxicology: Effects of Cadmium</t>
  </si>
  <si>
    <t>Mar. Environ. Res.39(1-4): 317-320</t>
  </si>
  <si>
    <t>Birmelin,C., J. Cuzin-Roudy, M. Romeo, M. Gnassia-Barelli, and S. Puiseux-Dao (1995). The Mysid Siriella armata as a Test Organisms in Toxicology: Effects of Cadmium. Mar. Environ. Res., 39, (1-4), 317-320. doi:10.1016/0141-1136(94)00012-E. ECOREF#:16897</t>
  </si>
  <si>
    <t xml:space="preserve"> CONTR/13.3 % MORT//</t>
  </si>
  <si>
    <t xml:space="preserve">   CONTR/13.3 % MORT//</t>
  </si>
  <si>
    <t>25 G</t>
  </si>
  <si>
    <t>10.1016/0147-6513(94)90002-7</t>
  </si>
  <si>
    <t>Sreenivasula Reddy,P., and A. Bhagyalakshmi</t>
  </si>
  <si>
    <t>Changes in Oxidative Metabolism in Selected Tissues of the Crab (Scylla serrata) in Response to Cadmium Toxicity</t>
  </si>
  <si>
    <t>Ecotoxicol. Environ. Saf.29(3): 255-264</t>
  </si>
  <si>
    <t>Sreenivasula Reddy,P., and A. Bhagyalakshmi (1994). Changes in Oxidative Metabolism in Selected Tissues of the Crab (Scylla serrata) in Response to Cadmium Toxicity. Ecotoxicol. Environ. Saf., 29, (3), 255-264. doi:10.1016/0147-6513(94)90002-7. ECOREF#:13749</t>
  </si>
  <si>
    <t>MYSIS 2</t>
  </si>
  <si>
    <t>Excirolana sp.</t>
  </si>
  <si>
    <t>Isopod</t>
  </si>
  <si>
    <t>Excirolana</t>
  </si>
  <si>
    <t>EXCIROLANA VANCOUVERENSIS, ADULT</t>
  </si>
  <si>
    <t>10.1007/s002449900201</t>
  </si>
  <si>
    <t>COURSE SAND</t>
  </si>
  <si>
    <t>Boese,B.L., J.O. Lamberson, R.C. Swartz, and R.J. Ozretich</t>
  </si>
  <si>
    <t>Photoinduced Toxicity of Fluoranthene to Seven Marine Benthic Crustaceans</t>
  </si>
  <si>
    <t>Arch. Environ. Contam. Toxicol.32(4): 389-393</t>
  </si>
  <si>
    <t>Boese,B.L., J.O. Lamberson, R.C. Swartz, and R.J. Ozretich (1997). Photoinduced Toxicity of Fluoranthene to Seven Marine Benthic Crustaceans. Arch. Environ. Contam. Toxicol., 32, (4), 389-393. doi:10.1007/s002449900201. ECOREF#:18408</t>
  </si>
  <si>
    <t>10.1016/S0166-445X(97)00105-7</t>
  </si>
  <si>
    <t>Wildgust,M.A., and M.B. Jones</t>
  </si>
  <si>
    <t>Salinity Change and the Toxicity of the Free Cadmium Ion [Cd2+(aq)] to Neomysis integer (Crustacea:Mysidacea)</t>
  </si>
  <si>
    <t>Aquat. Toxicol.41(3):187-192</t>
  </si>
  <si>
    <t>Wildgust,M.A., and M.B. Jones (1998). Salinity Change and the Toxicity of the Free Cadmium Ion [Cd2+(aq)] to Neomysis integer (Crustacea:Mysidacea). Aquat. Toxicol., 41(3), 187-192. doi:10.1016/S0166-445X(97)00105-7. ECOREF#:4037</t>
  </si>
  <si>
    <t>Jaeropsis sp.</t>
  </si>
  <si>
    <t>Jaeropsididae</t>
  </si>
  <si>
    <t>Jaeropsis</t>
  </si>
  <si>
    <t>500 UM SIZE CLASS</t>
  </si>
  <si>
    <t xml:space="preserve"> DNUM/5//DOSES/0.2/0.4/0.8/1.6 mg/L//TESTID/6//OEF/SEDIMENT STUDY, TEMPERATURE, SALINITY, SEDIMENT, POPULATION DENSITY AND DIET EFFECTS//RVALUE/FROM GRAPH////</t>
  </si>
  <si>
    <t xml:space="preserve">   DNUM/5//DOSES/0.2/0.4/0.8/1.6 mg/L//TESTID/6//OEF/SEDIMENT STUDY, TEMPERATURE, SALINITY, SEDIMENT, POPULATION DENSITY AND DIET EFFECTS//RVALUE/FROM GRAPH////</t>
  </si>
  <si>
    <t xml:space="preserve"> LIFESTG/LENGTH (POST ORBITAL MARGIN TO TELSON TIP)//TESTID/8//OEF/TEMPERATURE AND SALINITY EFCTS////</t>
  </si>
  <si>
    <t xml:space="preserve">   LIFESTG/LENGTH (POST ORBITAL MARGIN TO TELSON TIP)//TESTID/8//OEF/TEMPERATURE AND SALINITY EFCTS////</t>
  </si>
  <si>
    <t>CDCL2, 1ML DOUBLE-DISTILLED HNO3 TO 1 L OF METAL STOCK SOLUTION REDUCED SURFACE PLATING ON THE CONTAINER WALLS AS WELL AS INCREASED METAL SOLUBILITY.</t>
  </si>
  <si>
    <t xml:space="preserve"> LIFESTG/LENGTH (POST ORBITAL MARGIN TO TELSON TIP)//TESTID/9//OEF/TEMPERATURE AND SALINITY EFCTS////</t>
  </si>
  <si>
    <t xml:space="preserve">   LIFESTG/LENGTH (POST ORBITAL MARGIN TO TELSON TIP)//TESTID/9//OEF/TEMPERATURE AND SALINITY EFCTS////</t>
  </si>
  <si>
    <t>Leptomysis lingvura</t>
  </si>
  <si>
    <t>Leptomysis</t>
  </si>
  <si>
    <t>lingvura</t>
  </si>
  <si>
    <t>10.1007/BF01313515</t>
  </si>
  <si>
    <t>Gaudy,R., J.P. Guerin, and P. Kerambrun</t>
  </si>
  <si>
    <t>Sublethal Effects of Cadmium on Respiratory Metabolism, Nutrition, Excretion and Hydrolase Activity in Leptomysis lingvura (Crustacea: Mysidacea)</t>
  </si>
  <si>
    <t>Mar. Biol. (Multiple Languages)109(3): 493-501</t>
  </si>
  <si>
    <t>Gaudy,R., J.P. Guerin, and P. Kerambrun (1991). Sublethal Effects of Cadmium on Respiratory Metabolism, Nutrition, Excretion and Hydrolase Activity in Leptomysis lingvura (Crustacea: Mysidacea). Mar. Biol. (Multiple Languages), 109, (3), 493-501. doi:10.1007/BF01313515. ECOREF#:3802</t>
  </si>
  <si>
    <t>Gammarus locusta</t>
  </si>
  <si>
    <t>locusta</t>
  </si>
  <si>
    <t>2-4 MM</t>
  </si>
  <si>
    <t>Costa,F.O., A.D. Correia, and M.H. Costa</t>
  </si>
  <si>
    <t>Sensitivity of a Marine Amphipod to Non-Contaminant Variables and to Copper in the Sediment</t>
  </si>
  <si>
    <t>Ecologie. Brunoy (Multiple Languages)27(4): 269-276</t>
  </si>
  <si>
    <t>Costa,F.O., A.D. Correia, and M.H. Costa (1996). Sensitivity of a Marine Amphipod to Non-Contaminant Variables and to Copper in the Sediment. Ecologie. Brunoy (Multiple Languages), 27, (4), 269-276. ECOREF#:19838</t>
  </si>
  <si>
    <t>Monoculodes edwardsi</t>
  </si>
  <si>
    <t>Oedicerotidae</t>
  </si>
  <si>
    <t>Monoculodes</t>
  </si>
  <si>
    <t>edwardsi</t>
  </si>
  <si>
    <t>&lt;=0.25 MM</t>
  </si>
  <si>
    <t>DeWitt,T.H., M.S. Redmond, J.E. Sewall, and R.C. Swartz</t>
  </si>
  <si>
    <t>Development of a Chronic Sediment Toxicity Test for Marine Benthic Amphipods</t>
  </si>
  <si>
    <t>Cbp/Trs 89/93, U.S.Epa-Erlin, Pacific Ecosystems Branch, Newport, OR:247 p.</t>
  </si>
  <si>
    <t>DeWitt,T.H., M.S. Redmond, J.E. Sewall, and R.C. Swartz (1992). Development of a Chronic Sediment Toxicity Test for Marine Benthic Amphipods. Cbp/Trs 89/93, U.S.Epa-Erlin, Pacific Ecosystems Branch, Newport, OR, 247 p. ECOREF#:17362</t>
  </si>
  <si>
    <t>MEDIUM SILT</t>
  </si>
  <si>
    <t>6 MM CARAPACE BREADTH, SPENT FEMALE</t>
  </si>
  <si>
    <t>8.00 CM</t>
  </si>
  <si>
    <t>10.1016/j.cbpc.2008.12.011</t>
  </si>
  <si>
    <t>Chang,M., W.N. Wang, A.L. Wang, T.T. Tian, P. Wang, Y. Zheng, and Y. Liu</t>
  </si>
  <si>
    <t>Effects of Cadmium on Respiratory Burst, Intracellular Ca2+ and DNA Damage in the White Shrimp Litopenaeus vannamei</t>
  </si>
  <si>
    <t>Comp. Biochem. Physiol. C Comp. Pharmacol. Toxicol.149(4): 581-586</t>
  </si>
  <si>
    <t>Chang,M., W.N. Wang, A.L. Wang, T.T. Tian, P. Wang, Y. Zheng, and Y. Liu (2009). Effects of Cadmium on Respiratory Burst, Intracellular Ca2+ and DNA Damage in the White Shrimp Litopenaeus vannamei. Comp. Biochem. Physiol. C Comp. Pharmacol. Toxicol., 149, (4), 581-586. doi:10.1016/j.cbpc.2008.12.011. ECOREF#:116636</t>
  </si>
  <si>
    <t>Neomysis americana</t>
  </si>
  <si>
    <t>americana</t>
  </si>
  <si>
    <t>10.1007/BF01059155</t>
  </si>
  <si>
    <t>Roberts,M.H.,Jr., J.E. Warinner, C.F. Tsai, D. Wright, and L.E. Cronin</t>
  </si>
  <si>
    <t>Comparison of Estuarine Species Sensitivities to Three Toxicants</t>
  </si>
  <si>
    <t>Arch. Environ. Contam. Toxicol.11(6): 681-692</t>
  </si>
  <si>
    <t>Roberts,M.H.,Jr., J.E. Warinner, C.F. Tsai, D. Wright, and L.E. Cronin (1982). Comparison of Estuarine Species Sensitivities to Three Toxicants. Arch. Environ. Contam. Toxicol., 11, (6), 681-692. doi:10.1007/BF01059155. ECOREF#:10443</t>
  </si>
  <si>
    <t>Results of Acute Toxicity Tests Conducted with Cadmium at ERL, Narragansett</t>
  </si>
  <si>
    <t>Lussier,S.M., and J.A. Cardin (1985). Results of Acute Toxicity Tests Conducted with Cadmium at ERL, Narragansett. U.S.EPA, Narragansett, RI, 5 p. ECOREF#:14601</t>
  </si>
  <si>
    <t>1 MM CARAPACE BREADTH</t>
  </si>
  <si>
    <t xml:space="preserve"> CHAR/CHLORIDE X H2O//DNUM/6//DOSES/5/10/20/40/80 mg/L//TESTID/2//</t>
  </si>
  <si>
    <t xml:space="preserve">   CHAR/CHLORIDE X H2O//DNUM/6//DOSES/5/10/20/40/80 mg/L//TESTID/2//</t>
  </si>
  <si>
    <t>Eurypanopeus depressus</t>
  </si>
  <si>
    <t>Eurypanopeus</t>
  </si>
  <si>
    <t>depressus</t>
  </si>
  <si>
    <t>1 G</t>
  </si>
  <si>
    <t>10.1007/BF01721007</t>
  </si>
  <si>
    <t>SYNTHETIC MEDIUM</t>
  </si>
  <si>
    <t>Collier,R.S., J.E. Miller, M.A. Dawson, and F.P. Thurberg</t>
  </si>
  <si>
    <t>Physiological Response of the Mud Crab, Eurypanopeus depressus to Cadmium</t>
  </si>
  <si>
    <t>Bull. Environ. Contam. Toxicol.10(6): 378-382</t>
  </si>
  <si>
    <t>Collier,R.S., J.E. Miller, M.A. Dawson, and F.P. Thurberg (1973). Physiological Response of the Mud Crab, Eurypanopeus depressus to Cadmium. Bull. Environ. Contam. Toxicol., 10, (6), 378-382. doi:10.1007/BF01721007. ECOREF#:8800</t>
  </si>
  <si>
    <t xml:space="preserve"> TESTID/4//MSMT/NR//DOSES/NR//SOURCE/WLD//WTINT/NR//DNUM/NR//SEX/NR//TMETH/NR//STYPE/ACUTE//ETIME/96 H//AP RATE/NR//SAMPN/NR//WTAT/NR//INTAKE/NR//COMPEP/NR//LD/NR//DW/NR//STST/NR//HMA/NR//NA/NR//CL/NR//DIC/NR//CA/NR//POT/NR//MG/NR//SO4/NR//SULF/NR//</t>
  </si>
  <si>
    <t xml:space="preserve">   TESTID/4//MSMT/NR//DOSES/NR//SOURCE/WLD//WTINT/NR//DNUM/NR//SEX/NR//TMETH/NR//STYPE/ACUTE//ETIME/96 H//AP RATE/NR//SAMPN/NR//WTAT/NR//INTAKE/NR//COMPEP/NR//LD/NR//DW/NR//STST/NR//HMA/NR//NA/NR//CL/NR//DIC/NR//CA/NR//POT/NR//MG/NR//SO4/NR//SULF/NR//</t>
  </si>
  <si>
    <t>1000 UM SIZE CLASS</t>
  </si>
  <si>
    <t xml:space="preserve"> DNUM/5//DOSES/0.2/0.4/0.8/1.6 mg/L//TESTID/3//OEF/SEDIMENT STUDY, TEMPERATURE, SALINITY, SEDIMENT, POPULATION DENSITY AND DIET EFFECTS//RVALUE/FROM GRAPH////</t>
  </si>
  <si>
    <t xml:space="preserve">   DNUM/5//DOSES/0.2/0.4/0.8/1.6 mg/L//TESTID/3//OEF/SEDIMENT STUDY, TEMPERATURE, SALINITY, SEDIMENT, POPULATION DENSITY AND DIET EFFECTS//RVALUE/FROM GRAPH////</t>
  </si>
  <si>
    <t xml:space="preserve"> DNUM/6//DOSES/0.00325 to 12.5 mg/L//TESTID/2//OEF/MIXTURE////</t>
  </si>
  <si>
    <t xml:space="preserve">   DNUM/6//DOSES/0.00325 to 12.5 mg/L//TESTID/2//OEF/MIXTURE////</t>
  </si>
  <si>
    <t xml:space="preserve"> DNUM/7//DOSES/3/7.5/10/15/20/40 ppm//TESTID/3//</t>
  </si>
  <si>
    <t xml:space="preserve">   DNUM/7//DOSES/3/7.5/10/15/20/40 ppm//TESTID/3//</t>
  </si>
  <si>
    <t>60 MM</t>
  </si>
  <si>
    <t>LARVAE, STAGE 2 NAUPLII</t>
  </si>
  <si>
    <t xml:space="preserve"> CONC/AS CD// CONTR/0.8 % MORT// </t>
  </si>
  <si>
    <t xml:space="preserve">   CONC/AS CD// CONTR/0.8 % MORT// </t>
  </si>
  <si>
    <t>Lang,W.H., D.C. Miller, P.J. Ritacco, and M. Marcy</t>
  </si>
  <si>
    <t>The Effects of Copper and Cadmium on the Behavior and Development of Barnacle Larvae</t>
  </si>
  <si>
    <t>In: F.J.Vernberg, A.Calabrese, F.P.Thurberg, and W.B.Vernberg (Eds.), Biological Monitoring of Marine Pollutants, Academic Press:165-203</t>
  </si>
  <si>
    <t>Lang,W.H., D.C. Miller, P.J. Ritacco, and M. Marcy (1981). The Effects of Copper and Cadmium on the Behavior and Development of Barnacle Larvae. In: F.J.Vernberg, A.Calabrese, F.P.Thurberg, and W.B.Vernberg (Eds.), Biological Monitoring of Marine Pollutants, Academic Press, 165-203. ECOREF#:2579</t>
  </si>
  <si>
    <t xml:space="preserve"> DNUM/6-8//DOSES/NA mg/L//TESTID/25//</t>
  </si>
  <si>
    <t xml:space="preserve">   DNUM/6-8//DOSES/NA mg/L//TESTID/25//</t>
  </si>
  <si>
    <t xml:space="preserve"> TESTID/6//MSMT/NR//DOSES/NR//SOURCE/WLD//WTINT/NR//DNUM/NR//SEX/NR//TMETH/NR//STYPE/ACUTE//ETIME/96 H//AP RATE/NR//SAMPN/NR//WTAT/NR//INTAKE/NR//COMPEP/NR//LD/NR//DW/NR//STST/NR//HMA/NR//NA/NR//CL/NR//DIC/NR//CA/NR//POT/NR//MG/NR//SO4/NR//SULF/NR//</t>
  </si>
  <si>
    <t xml:space="preserve">   TESTID/6//MSMT/NR//DOSES/NR//SOURCE/WLD//WTINT/NR//DNUM/NR//SEX/NR//TMETH/NR//STYPE/ACUTE//ETIME/96 H//AP RATE/NR//SAMPN/NR//WTAT/NR//INTAKE/NR//COMPEP/NR//LD/NR//DW/NR//STST/NR//HMA/NR//NA/NR//CL/NR//DIC/NR//CA/NR//POT/NR//MG/NR//SO4/NR//SULF/NR//</t>
  </si>
  <si>
    <t>ZOEAE 1</t>
  </si>
  <si>
    <t>Marinogammarus obtusatus</t>
  </si>
  <si>
    <t>Marinogammarus</t>
  </si>
  <si>
    <t>obtusatus</t>
  </si>
  <si>
    <t>10.1016/0013-9351(81)90164-X</t>
  </si>
  <si>
    <t>Wright,D.A., and J.W. Frain</t>
  </si>
  <si>
    <t>Cadmium Toxicity in Marinogammarus obtusatus:  Effect of External Calcium</t>
  </si>
  <si>
    <t>Environ. Res.24(2): 338-344</t>
  </si>
  <si>
    <t>Wright,D.A., and J.W. Frain (1981). Cadmium Toxicity in Marinogammarus obtusatus:  Effect of External Calcium. Environ. Res., 24, (2), 338-344. doi:10.1016/0013-9351(81)90164-X. ECOREF#:9508</t>
  </si>
  <si>
    <t>Uca rapax</t>
  </si>
  <si>
    <t>MALE, 5.3(4.1-5.9) G</t>
  </si>
  <si>
    <t>10.1016/S0269-7491(96)00095-4</t>
  </si>
  <si>
    <t>Salinity Effects on Cadmium Accumulation in Various Tissues of the Tropical Fiddler Crab Uca rapax</t>
  </si>
  <si>
    <t>Environ. Pollut.94(3): 293-299</t>
  </si>
  <si>
    <t>Zanders,I.P., and W.E. Rojas (1996). Salinity Effects on Cadmium Accumulation in Various Tissues of the Tropical Fiddler Crab Uca rapax. Environ. Pollut., 94, (3), 293-299. doi:10.1016/S0269-7491(96)00095-4. ECOREF#:18382</t>
  </si>
  <si>
    <t xml:space="preserve"> DNUM/5//TESTID/6//MMST/BASED ON MEASURED CONCENTRATIONS WHICH ARE NOT REPORTED; NOMINAL CONCENTRATIONS ARE 500/1000/1500/2000 UG/L//OEF/SEDIMENT STUDIES////</t>
  </si>
  <si>
    <t xml:space="preserve">   DNUM/5//TESTID/6//MMST/BASED ON MEASURED CONCENTRATIONS WHICH ARE NOT REPORTED; NOMINAL CONCENTRATIONS ARE 500/1000/1500/2000 UG/L//OEF/SEDIMENT STUDIES////</t>
  </si>
  <si>
    <t xml:space="preserve"> DNUM/5//TESTID/11//MMST/BASED ON MEASURED CONCENTRATIONS WHICH ARE NOT REPORTED; NOMINAL CONCENTRATIONS ARE 500/1000/1500/2000 UG/L//OEF/SEDIMENT STUDIES////</t>
  </si>
  <si>
    <t xml:space="preserve">   DNUM/5//TESTID/11//MMST/BASED ON MEASURED CONCENTRATIONS WHICH ARE NOT REPORTED; NOMINAL CONCENTRATIONS ARE 500/1000/1500/2000 UG/L//OEF/SEDIMENT STUDIES////</t>
  </si>
  <si>
    <t>CDCL2. 2.5H2O</t>
  </si>
  <si>
    <t>MSMT/MEAN OF LC50 OUTSIDE OF RANGE OF 30.8-34.0 MG/L//</t>
  </si>
  <si>
    <t xml:space="preserve"> TESTID/9//MSMT/NR//DOSES/NR//SOURCE/WLD//WTINT/NR//DNUM/NR//SEX/NR//TMETH/NR//STYPE/ACUTE//ETIME/96 H//AP RATE/NR//SAMPN/NR//WTAT/NR//INTAKE/NR//COMPEP/NR//LD/NR//DW/NR//STST/NR//HMA/NR//NA/NR//CL/NR//DIC/NR//CA/NR//POT/NR//MG/NR//SO4/NR//SULF/NR//</t>
  </si>
  <si>
    <t xml:space="preserve">   TESTID/9//MSMT/NR//DOSES/NR//SOURCE/WLD//WTINT/NR//DNUM/NR//SEX/NR//TMETH/NR//STYPE/ACUTE//ETIME/96 H//AP RATE/NR//SAMPN/NR//WTAT/NR//INTAKE/NR//COMPEP/NR//LD/NR//DW/NR//STST/NR//HMA/NR//NA/NR//CL/NR//DIC/NR//CA/NR//POT/NR//MG/NR//SO4/NR//SULF/NR//</t>
  </si>
  <si>
    <t xml:space="preserve"> CHAR/CDCL2.2.5H2O//DNUM/&gt;= 6//DOSES/5 TO 35 mg/L//TESTID/26//OEF/TOXICITY SYMPTOMS////</t>
  </si>
  <si>
    <t xml:space="preserve">   CHAR/CDCL2.2.5H2O//DNUM/&gt;= 6//DOSES/5 TO 35 mg/L//TESTID/26//OEF/TOXICITY SYMPTOMS////</t>
  </si>
  <si>
    <t>LA MATA STRAIN</t>
  </si>
  <si>
    <t>10.1016/0141-1136(94)00067-Y</t>
  </si>
  <si>
    <t>Del Ramo,J., A. Torreblanca, M. Martinez, A. Pastor, and J. Diaz-Mayans</t>
  </si>
  <si>
    <t>Quantification of Cadmium-Induced Metallothionein in Crustaceans by the Silver-Saturation Method</t>
  </si>
  <si>
    <t>Mar. Environ. Res.39(1-4): 121-125</t>
  </si>
  <si>
    <t>Del Ramo,J., A. Torreblanca, M. Martinez, A. Pastor, and J. Diaz-Mayans (1995). Quantification of Cadmium-Induced Metallothionein in Crustaceans by the Silver-Saturation Method. Mar. Environ. Res., 39, (1-4), 121-125. doi:10.1016/0141-1136(94)00067-Y. ECOREF#:16911</t>
  </si>
  <si>
    <t xml:space="preserve"> DNUM/6-8//DOSES/NA mg/L//TESTID/23//</t>
  </si>
  <si>
    <t xml:space="preserve">   DNUM/6-8//DOSES/NA mg/L//TESTID/23//</t>
  </si>
  <si>
    <t>750 UM SIZE CLASS</t>
  </si>
  <si>
    <t xml:space="preserve"> DNUM/5//DOSES/0.2/0.4/0.8/1.6 mg/L//TESTID/4//OEF/SEDIMENT STUDY, TEMPERATURE, SALINITY, SEDIMENT, POPULATION DENSITY AND DIET EFFECTS//RVALUE/FROM GRAPH////</t>
  </si>
  <si>
    <t xml:space="preserve">   DNUM/5//DOSES/0.2/0.4/0.8/1.6 mg/L//TESTID/4//OEF/SEDIMENT STUDY, TEMPERATURE, SALINITY, SEDIMENT, POPULATION DENSITY AND DIET EFFECTS//RVALUE/FROM GRAPH////</t>
  </si>
  <si>
    <t>Limnoria tripunctata</t>
  </si>
  <si>
    <t>Wood Borer</t>
  </si>
  <si>
    <t>Limnoriidae</t>
  </si>
  <si>
    <t>Limnoria</t>
  </si>
  <si>
    <t>tripunctata</t>
  </si>
  <si>
    <t xml:space="preserve"> DNUM/6-8//DOSES/NA mg/L//TESTID/22//</t>
  </si>
  <si>
    <t xml:space="preserve">   DNUM/6-8//DOSES/NA mg/L//TESTID/22//</t>
  </si>
  <si>
    <t xml:space="preserve"> DNUM/6//DOSES/0.00325 to 12.5 mg/L//TESTID/8//OEF/MIXTURE////</t>
  </si>
  <si>
    <t xml:space="preserve">   DNUM/6//DOSES/0.00325 to 12.5 mg/L//TESTID/8//OEF/MIXTURE////</t>
  </si>
  <si>
    <t xml:space="preserve"> DNUM/5//DOSES/0.02/0.2/2/20 mg/l//TESTID/3//</t>
  </si>
  <si>
    <t xml:space="preserve">   DNUM/5//DOSES/0.02/0.2/2/20 mg/l//TESTID/3//</t>
  </si>
  <si>
    <t xml:space="preserve"> CHAR/CHLORIDE X 2.5H2O//DNUM/6//TESTID/6//OEF/MIXTURE, SALINITY EFCTS////</t>
  </si>
  <si>
    <t xml:space="preserve">   CHAR/CHLORIDE X 2.5H2O//DNUM/6//TESTID/6//OEF/MIXTURE, SALINITY EFCTS////</t>
  </si>
  <si>
    <t>&gt;=5</t>
  </si>
  <si>
    <t>Cadmium chloride</t>
  </si>
  <si>
    <t>10-26-1988, 2 REPLICATES</t>
  </si>
  <si>
    <t xml:space="preserve">SOURCE/FROM PARRISH CREEK AREA OF CHESAPEAKE BAY, MD//TMETH/JOHN HOPKINS UNIVERSITY APPLIED PHYSICS LABORATORY - AQUATIC ECOLOGY SECTION'S STANDARD OPERATING PROCEDURE NO. TT001, JHU/APL-AES, 1985//MEDIA/FILTERED CHESAPEAKE BAY WATER FROM PARRISH CREEK AT THE MOUTH OF THE WEST RIVER, MD//   </t>
  </si>
  <si>
    <t>Upjohn Co.</t>
  </si>
  <si>
    <t>Acute Toxicity of Selected Compounds in the Upjohn Company's North Haven Facility NPDES Discharge Serial #001 to Juvenile Grass &amp; Shrimp Mummichogs (Final Report) w-Cover Letter</t>
  </si>
  <si>
    <t>EPA/OTS Doc.#86-890000585:56 p.</t>
  </si>
  <si>
    <t>Upjohn Co. (1989). Acute Toxicity of Selected Compounds in the Upjohn Company's North Haven Facility NPDES Discharge Serial #001 to Juvenile Grass &amp; Shrimp Mummichogs (Final Report) w-Cover Letter. EPA/OTS Doc.#86-890000585, 56 p. ECOREF#:177340</t>
  </si>
  <si>
    <t>Crangon septemspinosa</t>
  </si>
  <si>
    <t>Bay Shrimp, Sand Shrimp</t>
  </si>
  <si>
    <t>septemspinosa</t>
  </si>
  <si>
    <t>25 MM, 0.25 G</t>
  </si>
  <si>
    <t>10.1007/s002449900283</t>
  </si>
  <si>
    <t>LAB REARED, AUGUST</t>
  </si>
  <si>
    <t>McGee,B.L., D.A. Wright, and D.J. Fisher</t>
  </si>
  <si>
    <t>Biotic Factors Modifying Acute Toxicity of Aqueous Cadmium to Estuarine Amphipod Leptocheirus plumulosus</t>
  </si>
  <si>
    <t>Arch. Environ. Contam. Toxicol.34(1): 34-40</t>
  </si>
  <si>
    <t>McGee,B.L., D.A. Wright, and D.J. Fisher (1998). Biotic Factors Modifying Acute Toxicity of Aqueous Cadmium to Estuarine Amphipod Leptocheirus plumulosus. Arch. Environ. Contam. Toxicol., 34, (1), 34-40. doi:10.1007/s002449900283. ECOREF#:19002</t>
  </si>
  <si>
    <t>10.1016/0025-326X(94)00186-D</t>
  </si>
  <si>
    <t xml:space="preserve"> CONC/L VALUE FROM GRAPH//</t>
  </si>
  <si>
    <t xml:space="preserve">   CONC/L VALUE FROM GRAPH//</t>
  </si>
  <si>
    <t>Hall,L.W.,Jr., M.C. Ziegenfuss, R.D. Anderson, and B.L. Lewis</t>
  </si>
  <si>
    <t>The Effect of Salinity on the Acute Toxicity of Total and Free Cadmium to a Chesapeake Bay Copepod and Fish</t>
  </si>
  <si>
    <t>Mar. Pollut. Bull.30(6): 376-384</t>
  </si>
  <si>
    <t>Hall,L.W.,Jr., M.C. Ziegenfuss, R.D. Anderson, and B.L. Lewis (1995). The Effect of Salinity on the Acute Toxicity of Total and Free Cadmium to a Chesapeake Bay Copepod and Fish. Mar. Pollut. Bull., 30, (6), 376-384. doi:10.1016/0025-326X(94)00186-D. ECOREF#:18671</t>
  </si>
  <si>
    <t>425-600 UM</t>
  </si>
  <si>
    <t>10.1002/etc.5620160921</t>
  </si>
  <si>
    <t xml:space="preserve"> O EFCT CONT/SEASON//CONC/FROM GRAPH//</t>
  </si>
  <si>
    <t xml:space="preserve">   O EFCT CONT/SEASON//CONC/FROM GRAPH//</t>
  </si>
  <si>
    <t>Emery,V.L.J., D.W. Moore, B.R. Gray, B.M. Duke, A.B. Gibson, R.B. Wright, and J.D. Farrar</t>
  </si>
  <si>
    <t>Development of a Chronic Sublethal Sediment Bioassay Using the Estuarine Amphipod Leptocheirus plumulosus (Shoemaker)</t>
  </si>
  <si>
    <t>Environ. Toxicol. Chem.16(9): 1912-1920</t>
  </si>
  <si>
    <t>Emery,V.L.J., D.W. Moore, B.R. Gray, B.M. Duke, A.B. Gibson, R.B. Wright, and J.D. Farrar (1997). Development of a Chronic Sublethal Sediment Bioassay Using the Estuarine Amphipod Leptocheirus plumulosus (Shoemaker). Environ. Toxicol. Chem., 16, (9), 1912-1920. doi:10.1002/etc.5620160921. ECOREF#:18159</t>
  </si>
  <si>
    <t xml:space="preserve"> CONTR/21-24 % MORT, GRAPHED//</t>
  </si>
  <si>
    <t xml:space="preserve">   CONTR/21-24 % MORT, GRAPHED//</t>
  </si>
  <si>
    <t>28 MM, 0.33 G</t>
  </si>
  <si>
    <t>LAB COLLECTED, MAY</t>
  </si>
  <si>
    <t>10.1007/BF00008113</t>
  </si>
  <si>
    <t>Gentile,S.M., J.H. Gentile, J. Walker, and J.F. Heltshe</t>
  </si>
  <si>
    <t>Chronic Effects of Cadmium on Two Species of Mysid Shrimp: Mysidopsis bahia and Mysidopsis bigelowi</t>
  </si>
  <si>
    <t>Hydrobiologia (Multiple Languages)93(1-2): 195-204</t>
  </si>
  <si>
    <t>Gentile,S.M., J.H. Gentile, J. Walker, and J.F. Heltshe (1982). Chronic Effects of Cadmium on Two Species of Mysid Shrimp: Mysidopsis bahia and Mysidopsis bigelowi. Hydrobiologia (Multiple Languages), 93, (1-2), 195-204. doi:10.1007/BF00008113. ECOREF#:15744</t>
  </si>
  <si>
    <t>10.3354/meps037141</t>
  </si>
  <si>
    <t>Toudal,K., and H.U. Riisgard</t>
  </si>
  <si>
    <t>Acute and Sublethal Effects of Cadmium on Ingestion, Egg Production and Life-Cycle Development in the Copepod Acartia tonsa</t>
  </si>
  <si>
    <t>Mar. Ecol. Prog. Ser.37(2-3):141-146</t>
  </si>
  <si>
    <t>Toudal,K., and H.U. Riisgard (1987). Acute and Sublethal Effects of Cadmium on Ingestion, Egg Production and Life-Cycle Development in the Copepod Acartia tonsa. Mar. Ecol. Prog. Ser., 37(2-3), 141-146. doi:10.3354/meps037141. ECOREF#:9029</t>
  </si>
  <si>
    <t>4.10 G WET WT</t>
  </si>
  <si>
    <t>SELECTED TO BE NOT VERY SMALL, NOR LARGE, NOR REPRODUCTIVELY ACTIVE</t>
  </si>
  <si>
    <t>20-40</t>
  </si>
  <si>
    <t xml:space="preserve">SOURCE/COLLECTED FROM SOFT SEDIMENTS IN NARROW RIVER, ESTUARY WHICH DRAINS INTO NARRAGANSETT BAY (LAT. 41 27' 05" N, LONG. 71 25' 15" W)//MEDIA/SEAWATER//   </t>
  </si>
  <si>
    <t>4.2 MG</t>
  </si>
  <si>
    <t>MSMT/MOVING AVERAGE OR PROBIT////</t>
  </si>
  <si>
    <t>10.1016/0022-0981(93)90019-K</t>
  </si>
  <si>
    <t>HELD 121 D BEFORE TESTING</t>
  </si>
  <si>
    <t>mg/L C</t>
  </si>
  <si>
    <t>Meador,J.P.</t>
  </si>
  <si>
    <t>The Effect of Laboratory Holding on the Toxicity Response of Marine Infaunal Amphipods to Cadmium and Tributyltin</t>
  </si>
  <si>
    <t>J. Exp. Mar. Biol. Ecol.174(2): 227-242</t>
  </si>
  <si>
    <t>Meador,J.P. (1993). The Effect of Laboratory Holding on the Toxicity Response of Marine Infaunal Amphipods to Cadmium and Tributyltin. J. Exp. Mar. Biol. Ecol., 174, (2), 227-242. doi:10.1016/0022-0981(93)90019-K. ECOREF#:4114</t>
  </si>
  <si>
    <t xml:space="preserve"> CONTR/8-20 % MORT, GRAPHED//</t>
  </si>
  <si>
    <t xml:space="preserve">   CONTR/8-20 % MORT, GRAPHED//</t>
  </si>
  <si>
    <t>11-02-1988, 2 REPLICATES</t>
  </si>
  <si>
    <t>11-04-1987, 2 REPLICATES</t>
  </si>
  <si>
    <t>10-06-1987, 2 REPLICATES</t>
  </si>
  <si>
    <t>07-20-1988, 2 REPLICATES</t>
  </si>
  <si>
    <t>11-18-1987, 2 REPLICATES</t>
  </si>
  <si>
    <t>08-24-1988, 2 REPLICATES</t>
  </si>
  <si>
    <t>STARVED</t>
  </si>
  <si>
    <t>10.1006/eesa.1998.1686</t>
  </si>
  <si>
    <t>Forget,J., J.F. Pavillon, M.R. Menasria, and G. Bocquene</t>
  </si>
  <si>
    <t>Mortality and LC50 Values for Several Stages of the Marine Copepod Tigriopus brevicornis (Muller) Exposed to the Metals Arsenic and Cadmium and the Pesticides Atrazine, Carbofuran, Dichlorvos, and Malathion</t>
  </si>
  <si>
    <t>Ecotoxicol. Environ. Saf.40(3): 239-244</t>
  </si>
  <si>
    <t>Forget,J., J.F. Pavillon, M.R. Menasria, and G. Bocquene (1998). Mortality and LC50 Values for Several Stages of the Marine Copepod Tigriopus brevicornis (Muller) Exposed to the Metals Arsenic and Cadmium and the Pesticides Atrazine, Carbofuran, Dichlorvos, and Malathion. Ecotoxicol. Environ. Saf., 40, (3), 239-244. doi:10.1006/eesa.1998.1686. ECOREF#:19281</t>
  </si>
  <si>
    <t xml:space="preserve"> DO/NEAR SAT//</t>
  </si>
  <si>
    <t xml:space="preserve">   DO/NEAR SAT//</t>
  </si>
  <si>
    <t>Bahner,L.H., and D.R. Nimmo</t>
  </si>
  <si>
    <t>Methods to Assess Effects of Combinations of Toxicants, Salinity and Temperature on Estuarine Animals</t>
  </si>
  <si>
    <t>Trace Subst. Environ. Health9:169-177</t>
  </si>
  <si>
    <t>Bahner,L.H., and D.R. Nimmo (1975). Methods to Assess Effects of Combinations of Toxicants, Salinity and Temperature on Estuarine Animals. Trace Subst. Environ. Health, 9, 169-177. ECOREF#:2839</t>
  </si>
  <si>
    <t>3.6 MG</t>
  </si>
  <si>
    <t>HELD 11 D BEFORE TESTING</t>
  </si>
  <si>
    <t>08-26-1987, 2 REPLICATES</t>
  </si>
  <si>
    <t>Lepidactylus dytiscus</t>
  </si>
  <si>
    <t>Lepidactylus</t>
  </si>
  <si>
    <t>dytiscus</t>
  </si>
  <si>
    <t>Pre-, sub-, semi-, near adult, or peripubertal</t>
  </si>
  <si>
    <t xml:space="preserve"> CONC/AS CD// </t>
  </si>
  <si>
    <t xml:space="preserve">   CONC/AS CD// </t>
  </si>
  <si>
    <t>FROM PINE CREEK</t>
  </si>
  <si>
    <t>10.1007/BF01689382</t>
  </si>
  <si>
    <t>PRE-EXPOSURE TO 0.05 MG/L CD FOR 1 WK</t>
  </si>
  <si>
    <t>Khan,A.T., J.S. Weis, and L. D'Andrea</t>
  </si>
  <si>
    <t>Studies of Cadmium Tolerance in Two Populations of Grass Shrimp, Palaemonetes pugio</t>
  </si>
  <si>
    <t>Bull. Environ. Contam. Toxicol.40(1): 30-34</t>
  </si>
  <si>
    <t>Khan,A.T., J.S. Weis, and L. D'Andrea (1988). Studies of Cadmium Tolerance in Two Populations of Grass Shrimp, Palaemonetes pugio. Bull. Environ. Contam. Toxicol., 40, (1), 30-34. doi:10.1007/BF01689382. ECOREF#:2196</t>
  </si>
  <si>
    <t>2-5 MM</t>
  </si>
  <si>
    <t>FIELD-COLLECTED</t>
  </si>
  <si>
    <t xml:space="preserve"> O EFCT CONT/SOURCEEFCT//</t>
  </si>
  <si>
    <t xml:space="preserve">   O EFCT CONT/SOURCEEFCT//</t>
  </si>
  <si>
    <t>Redmond,M.S., K.J. Scott, R.C. Swartz, and J.K.P. Jones</t>
  </si>
  <si>
    <t>Preliminary Culture and Life-Cycle Experiments with the Benthic Amphipod Ampelisca abdita</t>
  </si>
  <si>
    <t>Environ. Toxicol. Chem.13(8): 1355-1365</t>
  </si>
  <si>
    <t>Redmond,M.S., K.J. Scott, R.C. Swartz, and J.K.P. Jones (1994). Preliminary Culture and Life-Cycle Experiments with the Benthic Amphipod Ampelisca abdita. Environ. Toxicol. Chem., 13, (8), 1355-1365. ECOREF#:4443</t>
  </si>
  <si>
    <t>&gt;=500-&lt;710 UM TL</t>
  </si>
  <si>
    <t>FROM BIG SHEEPSHEAD CREEK</t>
  </si>
  <si>
    <t>The Effect of Salinity on the Acute Toxicity of Total Dissolved and Free Cadmium to the Copepod Eurytemora affinis and the Larval Fish Cyprinodon</t>
  </si>
  <si>
    <t>Chesapeake Bay Prog., CBP/TRS 130/94, U.S.EPA, Annapolis, MD:46 p.</t>
  </si>
  <si>
    <t>Hall,L.W.,Jr., M.C. Ziegenfuss, R.D. Anderson, and B.L. Lewis (1994). The Effect of Salinity on the Acute Toxicity of Total Dissolved and Free Cadmium to the Copepod Eurytemora affinis and the Larval Fish Cyprinodon. Chesapeake Bay Prog., CBP/TRS 130/94, U.S.EPA, Annapolis, MD, 46 p. ECOREF#:17219</t>
  </si>
  <si>
    <t>10.1002/etc.5620161127</t>
  </si>
  <si>
    <t>Werner,I., and R. Nagel</t>
  </si>
  <si>
    <t>Stress Proteins HSP60 and HSP70 in Three Species of Amphipods Exposed to Cadmium, Diazinon, Dieldrin and Fluoranthene</t>
  </si>
  <si>
    <t>Environ. Toxicol. Chem.16(11): 2393-2403</t>
  </si>
  <si>
    <t>Werner,I., and R. Nagel (1997). Stress Proteins HSP60 and HSP70 in Three Species of Amphipods Exposed to Cadmium, Diazinon, Dieldrin and Fluoranthene. Environ. Toxicol. Chem., 16, (11), 2393-2403. doi:10.1002/etc.5620161127. ECOREF#:18129</t>
  </si>
  <si>
    <t>Hyalella azteca</t>
  </si>
  <si>
    <t>Hyalellidae</t>
  </si>
  <si>
    <t>Hyalella</t>
  </si>
  <si>
    <t>azteca</t>
  </si>
  <si>
    <t>10.1002/etc.5620110212</t>
  </si>
  <si>
    <t>Schlekat,C.E., B.L. McGee, and E. Reinharz</t>
  </si>
  <si>
    <t>Testing Sediment Toxicity in Chesapeake Bay with the Amphipod Leptocheirus plumulosus: An Evaluation</t>
  </si>
  <si>
    <t>Environ. Toxicol. Chem.11(2): 225-236</t>
  </si>
  <si>
    <t>Schlekat,C.E., B.L. McGee, and E. Reinharz (1992). Testing Sediment Toxicity in Chesapeake Bay with the Amphipod Leptocheirus plumulosus: An Evaluation. Environ. Toxicol. Chem., 11, (2), 225-236. doi:10.1002/etc.5620110212. ECOREF#:3911</t>
  </si>
  <si>
    <t>05-18-1988, 2 REPLICATES</t>
  </si>
  <si>
    <t>01-20-1988, 2 REPLICATES</t>
  </si>
  <si>
    <t>09-09-1987, 2 REPLICATES</t>
  </si>
  <si>
    <t>10-21-1987, 2 REPLICATES</t>
  </si>
  <si>
    <t>10.1007/BF01054976</t>
  </si>
  <si>
    <t>Howard,C.L., and C.S. Hacker</t>
  </si>
  <si>
    <t>Effects of Salinity, Temperature, and Cadmium on Cadmium-Binding Protein in the Grass Shrimp, Palaemonetes pugio</t>
  </si>
  <si>
    <t>Arch. Environ. Contam. Toxicol.19(3): 341-347</t>
  </si>
  <si>
    <t>Howard,C.L., and C.S. Hacker (1990). Effects of Salinity, Temperature, and Cadmium on Cadmium-Binding Protein in the Grass Shrimp, Palaemonetes pugio. Arch. Environ. Contam. Toxicol., 19, (3), 341-347. doi:10.1007/BF01054976. ECOREF#:3170</t>
  </si>
  <si>
    <t>08-15-1987, 2 REPLICATES</t>
  </si>
  <si>
    <t>12-29-1987, 2 REPLICATES</t>
  </si>
  <si>
    <t>FINE SAND</t>
  </si>
  <si>
    <t>03-16-1988, 2 REPLICATES</t>
  </si>
  <si>
    <t>MALES</t>
  </si>
  <si>
    <t>~15-25 MM CW</t>
  </si>
  <si>
    <t>10.1016/0141-1136(94)00148-I</t>
  </si>
  <si>
    <t>Guerin,J.L., and W.B. Stickle</t>
  </si>
  <si>
    <t>Effects of Cadmium on Survival, Osmoregulatory Ability and Bioenergetics of Juvenile Blue Crabs Callinectes sapidus at Different Salinities</t>
  </si>
  <si>
    <t>Mar. Environ. Res.40(3): 227-246</t>
  </si>
  <si>
    <t>Guerin,J.L., and W.B. Stickle (1995). Effects of Cadmium on Survival, Osmoregulatory Ability and Bioenergetics of Juvenile Blue Crabs Callinectes sapidus at Different Salinities. Mar. Environ. Res., 40, (3), 227-246. doi:10.1016/0141-1136(94)00148-I. ECOREF#:49789</t>
  </si>
  <si>
    <t>04-20-1988, 2 REPLICATES</t>
  </si>
  <si>
    <t xml:space="preserve"> TESTID/6//OEF/MIXTURE, SEDIMENT EFCTS, BCF WITH LOGCONC, SEDIMENT CONC////</t>
  </si>
  <si>
    <t xml:space="preserve">   TESTID/6//OEF/MIXTURE, SEDIMENT EFCTS, BCF WITH LOGCONC, SEDIMENT CONC////</t>
  </si>
  <si>
    <t>3.2 MG</t>
  </si>
  <si>
    <t>HELD 17 D BEFORE TESTING</t>
  </si>
  <si>
    <t>06-08-1988, 2 REPLICATES</t>
  </si>
  <si>
    <t>09-21-1988, 2 REPLICATES</t>
  </si>
  <si>
    <t>Nimmo,D.R., L.H. Bahner, R.A. Rigby, J.M. Sheppard, and A.J.,Jr. Wilson</t>
  </si>
  <si>
    <t>Mysidopsis bahia: An Estuarine Species Suitable for Life-Cycle Toxicity Tests to Determine the Effects of a Pollutant</t>
  </si>
  <si>
    <t>ASTM Spec. Tech. Publ.:109-116</t>
  </si>
  <si>
    <t>Nimmo,D.R., L.H. Bahner, R.A. Rigby, J.M. Sheppard, and A.J.,Jr. Wilson (1977). Mysidopsis bahia: An Estuarine Species Suitable for Life-Cycle Toxicity Tests to Determine the Effects of a Pollutant. ASTM Spec. Tech. Publ., 109-116. ECOREF#:6036</t>
  </si>
  <si>
    <t>09-23-1987, 2 REPLICATES</t>
  </si>
  <si>
    <t>09-07-1988, 2 REPLICATES</t>
  </si>
  <si>
    <t>05-04-1988, 2 REPLICATES</t>
  </si>
  <si>
    <t>&gt;=710-&lt;1000 UM TL</t>
  </si>
  <si>
    <t>TEMP, SALINITY, LIFE CYCLE, NUTRITION, SEDIMENT, ANIMAL/</t>
  </si>
  <si>
    <t>&gt;=1000 UM TL</t>
  </si>
  <si>
    <t>03-02-1988, 2 REPLICATES</t>
  </si>
  <si>
    <t>04-06-1988, 2 REPLICATES</t>
  </si>
  <si>
    <t>FIELD COLLECTED, NOVEMBER</t>
  </si>
  <si>
    <t>FIELD COLLECTED, AUGUST</t>
  </si>
  <si>
    <t xml:space="preserve"> TESTID/5//OEF/MIXTURE, SEDIMENT EFCTS, BCF WITH LOGCONC, SEDIMENT CONC////</t>
  </si>
  <si>
    <t xml:space="preserve">   TESTID/5//OEF/MIXTURE, SEDIMENT EFCTS, BCF WITH LOGCONC, SEDIMENT CONC////</t>
  </si>
  <si>
    <t>4-8 MM</t>
  </si>
  <si>
    <t xml:space="preserve"> CHAR/CHLORIDE PENTAHYDRATE//TESTID/12//</t>
  </si>
  <si>
    <t xml:space="preserve">   CHAR/CHLORIDE PENTAHYDRATE//TESTID/12//</t>
  </si>
  <si>
    <t xml:space="preserve"> O EFCT CONT/SEASON//</t>
  </si>
  <si>
    <t xml:space="preserve">   O EFCT CONT/SEASON//</t>
  </si>
  <si>
    <t>Nimmo,D.W.R., D.V. Lightner, and L.H. Bahner</t>
  </si>
  <si>
    <t>Effects of Cadmium on the Shrimps, Penaeus duorarum, Palaemonetes pugio, and Palaemonetes vulgaris</t>
  </si>
  <si>
    <t>In: Symp.Physiol.Responses of Marine Biota to Pollutants, Academy Press, New York, NY:131-183</t>
  </si>
  <si>
    <t>Nimmo,D.W.R., D.V. Lightner, and L.H. Bahner (1977). Effects of Cadmium on the Shrimps, Penaeus duorarum, Palaemonetes pugio, and Palaemonetes vulgaris. In: Symp.Physiol.Responses of Marine Biota to Pollutants, Academy Press, New York, NY, 131-183. ECOREF#:2982</t>
  </si>
  <si>
    <t>07-06-1988, 2 REPLICATES</t>
  </si>
  <si>
    <t>12-16-1987, 2 REPLICATES</t>
  </si>
  <si>
    <t>37 MM, 5.9 G</t>
  </si>
  <si>
    <t>Mercury chloride (Hg2Cl2)</t>
  </si>
  <si>
    <t>Sulfuric acid, Cadmium salt (1:1)</t>
  </si>
  <si>
    <t>CADMIUM SULFATE (CDSO4)/</t>
  </si>
  <si>
    <t xml:space="preserve"> CHAR/3CDSO4.8H2O//DNUM/13//DOSES/0.02/0.03/0.04/0.05/0.10/0.19/0.29/0.38/0.48/0.58/0.67/0.77 mM//TESTID/3//OEF/MIXTURE, MODELING////</t>
  </si>
  <si>
    <t xml:space="preserve">   CHAR/3CDSO4.8H2O//DNUM/13//DOSES/0.02/0.03/0.04/0.05/0.10/0.19/0.29/0.38/0.48/0.58/0.67/0.77 mM//TESTID/3//OEF/MIXTURE, MODELING////</t>
  </si>
  <si>
    <t>Cardwell,R.D.</t>
  </si>
  <si>
    <t>Relative Acute Toxicity of a Pesticide, Heavy Metal and Anionic Surfactants to Marine Organisms</t>
  </si>
  <si>
    <t>Proc. Natl. Shellfish. Assoc.66:107-</t>
  </si>
  <si>
    <t>Cardwell,R.D. (1976). Relative Acute Toxicity of a Pesticide, Heavy Metal and Anionic Surfactants to Marine Organisms. Proc. Natl. Shellfish. Assoc., 66, 107-. ECOREF#:6081</t>
  </si>
  <si>
    <t>Nitric acid, Cadmium salt (2:1)</t>
  </si>
  <si>
    <t>Cadmium nitrate (Cd(NO3)2)</t>
  </si>
  <si>
    <t xml:space="preserve"> CONTR/3% MORT//</t>
  </si>
  <si>
    <t xml:space="preserve">   CONTR/3% MORT//</t>
  </si>
  <si>
    <t>Chromic acid (H2Cr2O7) disodium salt</t>
  </si>
  <si>
    <t>MOULT STAGES D2-D4, 23-28 MM</t>
  </si>
  <si>
    <t>Sodium chromate (Na2Cr2O7)</t>
  </si>
  <si>
    <t>10.1016/0141-1136(83)90013-2</t>
  </si>
  <si>
    <t>Conklin,P.J., D. Drysdale, D.G. Doughtie, K.R. Rao, J.P. Kakareka, T.R. Gilbert, and R.F. Shokes</t>
  </si>
  <si>
    <t>Comparative Toxicity of Drilling Muds:  Role of Chromium and Petroleum Hydrocarbons</t>
  </si>
  <si>
    <t>Mar. Environ. Res.10(2): 105-125</t>
  </si>
  <si>
    <t>Conklin,P.J., D. Drysdale, D.G. Doughtie, K.R. Rao, J.P. Kakareka, T.R. Gilbert, and R.F. Shokes (1983). Comparative Toxicity of Drilling Muds:  Role of Chromium and Petroleum Hydrocarbons. Mar. Environ. Res., 10, (2), 105-125. doi:10.1016/0141-1136(83)90013-2. ECOREF#:48336</t>
  </si>
  <si>
    <t>[N-[2-[(Dithiocarboxy)amino]ethyl]carbamodithioato(2-)-kappaS,kappaS']zinc</t>
  </si>
  <si>
    <t>Zineb</t>
  </si>
  <si>
    <t>Nitric acid, Nickel(2+) salt (2:1)</t>
  </si>
  <si>
    <t xml:space="preserve"> CONTR/0 % MORT//CONC/AS NI// </t>
  </si>
  <si>
    <t xml:space="preserve">   CONTR/0 % MORT//CONC/AS NI// </t>
  </si>
  <si>
    <t>(T-4)-Bis[1-(hydroxy-kappaO)-2(1H)-pyridinethionato-kappaS2]zinc</t>
  </si>
  <si>
    <t>ZINC PYRITHIONE</t>
  </si>
  <si>
    <t xml:space="preserve">CAS #: 67685 | Chem Name: Sulfinyl bis(methane) | Chem Grade: NC | Chem Formulation: NC | Chem Radiolabel: NC | Chem Characteristics: DMSO | Chem Purity: NC | </t>
  </si>
  <si>
    <t>TROPIC MARINE ARTIFICAL SEAWATER, 3 REPLICATES</t>
  </si>
  <si>
    <t xml:space="preserve"> DNUM/6//DOSES/5/10/20/50/100 ug/L//TESTID/4//OEF/MIXTURE//CONTR/C,V////</t>
  </si>
  <si>
    <t xml:space="preserve">   DNUM/6//DOSES/5/10/20/50/100 ug/L//TESTID/4//OEF/MIXTURE//CONTR/C,V////</t>
  </si>
  <si>
    <t>Zinc pyrithione</t>
  </si>
  <si>
    <t xml:space="preserve">CAS #: 67685 | Chem Name: Sulfinyl bis(methane) | Chem Grade: NR | Chem Formulation: NR | Chem Radiolabel: NR | Chem Characteristics: NR | Chem Purity: NR | </t>
  </si>
  <si>
    <t>10.1016/j.scitotenv.2007.07.023</t>
  </si>
  <si>
    <t>Koutsaftis,A., and I. Aoyama</t>
  </si>
  <si>
    <t>Toxicity of Four Antifouling Biocides and Their Mixtures on the Brine Shrimp Artemia salina</t>
  </si>
  <si>
    <t>Sci. Total Environ.387(1-3): 166-174</t>
  </si>
  <si>
    <t>Koutsaftis,A., and I. Aoyama (2007). Toxicity of Four Antifouling Biocides and Their Mixtures on the Brine Shrimp Artemia salina. Sci. Total Environ., 387, (1-3), 166-174. doi:10.1016/j.scitotenv.2007.07.023. ECOREF#:101947</t>
  </si>
  <si>
    <t xml:space="preserve">CAS #: 67685 | Chem Name: Sulfinyl bis(methane) | Chem Grade: ACS | Chem Formulation: PU | Chem Radiolabel: NR | Chem Characteristics: NR | Chem Purity: &gt;=99.9 | </t>
  </si>
  <si>
    <t xml:space="preserve">ORG LIFESTAGE/CYPRID LARVAL STAGE//   </t>
  </si>
  <si>
    <t xml:space="preserve">CAS #: 67685 | Chem Name: Sulfinyl bis(methane) | Chem Grade: NC | Chem Formulation: NC | Chem Radiolabel: NC | Chem Characteristics: DIMETHYL SULFOXIDE | Chem Purity: NC | </t>
  </si>
  <si>
    <t xml:space="preserve"> DNUM/11//DOSES/50/100/125/176/200/250/350/400/500/800 ug/L//TESTID/2//OEF/MIXTURE////</t>
  </si>
  <si>
    <t xml:space="preserve">   DNUM/11//DOSES/50/100/125/176/200/250/350/400/500/800 ug/L//TESTID/2//OEF/MIXTURE////</t>
  </si>
  <si>
    <t xml:space="preserve">CONC1/GEOMETRIC MEAN OF 3 TESTS// </t>
  </si>
  <si>
    <t xml:space="preserve">  CONC1/GEOMETRIC MEAN OF 3 TESTS// </t>
  </si>
  <si>
    <t>Nitric acid, Chromium(3+) salt</t>
  </si>
  <si>
    <t>Nitrous acid, Lead (2+) salt</t>
  </si>
  <si>
    <t>LEAD NITRITE</t>
  </si>
  <si>
    <t xml:space="preserve"> DNUM/6//DOSES/1/1.5/2.1/2.42/2.51 mg/l//TESTID/2//</t>
  </si>
  <si>
    <t xml:space="preserve">   DNUM/6//DOSES/1/1.5/2.1/2.42/2.51 mg/l//TESTID/2//</t>
  </si>
  <si>
    <t>Mercury oxide (HgO)</t>
  </si>
  <si>
    <t xml:space="preserve"> TESTID/3//MSMT/NR//DOSES/0.003/0.005/0.007/0.009/0.020 UG/L//SOURCE/WLD//WTINT/NR//DNUM/6//SEX/NR//TMETH/STDMETH//STYPE/ACUTE//ETIME/48 H//AP RATE/NR//SAMPN/NR//WTAT/NR//INTAKE/NR//COMPEP/NR//LD/NR//DW/NR//STST/NR//HMA/NR//NA/NR//CL/NR//DIC/NR//CA/NR//POT/NR//MG/NR//SO4/NR//SULF/NR//</t>
  </si>
  <si>
    <t xml:space="preserve">   TESTID/3//MSMT/NR//DOSES/0.003/0.005/0.007/0.009/0.020 UG/L//SOURCE/WLD//WTINT/NR//DNUM/6//SEX/NR//TMETH/STDMETH//STYPE/ACUTE//ETIME/48 H//AP RATE/NR//SAMPN/NR//WTAT/NR//INTAKE/NR//COMPEP/NR//LD/NR//DW/NR//STST/NR//HMA/NR//NA/NR//CL/NR//DIC/NR//CA/NR//POT/NR//MG/NR//SO4/NR//SULF/NR//</t>
  </si>
  <si>
    <t>Ref. Number</t>
  </si>
  <si>
    <t>Pub. Year</t>
  </si>
  <si>
    <t>Ref. Type</t>
  </si>
  <si>
    <t>Google Scholar</t>
  </si>
  <si>
    <t>French Dataset</t>
  </si>
  <si>
    <t>German Dataset</t>
  </si>
  <si>
    <t>EPA Office of Pesticides Program Database</t>
  </si>
  <si>
    <t>Category</t>
  </si>
  <si>
    <t>Parameter Group</t>
  </si>
  <si>
    <t>Name</t>
  </si>
  <si>
    <t>Value</t>
  </si>
  <si>
    <t>Additional Info</t>
  </si>
  <si>
    <t>Search run-time</t>
  </si>
  <si>
    <t>Habitat</t>
  </si>
  <si>
    <t>Aquatic</t>
  </si>
  <si>
    <t>Chemicals</t>
  </si>
  <si>
    <t>Inorganic, Metal or Organometal Compounds</t>
  </si>
  <si>
    <t>ALL</t>
  </si>
  <si>
    <t>Effect Measurements</t>
  </si>
  <si>
    <t>Mortality Group</t>
  </si>
  <si>
    <t>Endpoints</t>
  </si>
  <si>
    <t>Concentration Based Endpoints</t>
  </si>
  <si>
    <t>Animals</t>
  </si>
  <si>
    <t>Crustaceans</t>
  </si>
  <si>
    <t>Test Conditions</t>
  </si>
  <si>
    <t>Obs. Duration (Min. Num Days)</t>
  </si>
  <si>
    <t>Obs. Duration (Max. Num Days)</t>
  </si>
  <si>
    <t>Exposure Media</t>
  </si>
  <si>
    <t>Water - Salt Water</t>
  </si>
  <si>
    <t>Test Locations</t>
  </si>
  <si>
    <t>Publication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</si>
</sst>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11" x14ac:knownFonts="1">
    <font>
      <sz val="11"/>
      <color indexed="8"/>
      <name val="Aptos Narrow"/>
      <family val="2"/>
      <scheme val="minor"/>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0" fontId="85" fillId="0" borderId="0" xfId="0" applyFont="1"/>
    <xf numFmtId="0" fontId="86" fillId="0" borderId="0" xfId="0" applyFont="1"/>
    <xf numFmtId="0" fontId="87" fillId="0" borderId="0" xfId="0" applyFont="1"/>
    <xf numFmtId="0" fontId="88" fillId="0" borderId="0" xfId="0" applyFont="1"/>
    <xf numFmtId="0" fontId="89" fillId="0" borderId="0" xfId="0" applyFont="1"/>
    <xf numFmtId="0" fontId="90" fillId="0" borderId="0" xfId="0" applyFont="1"/>
    <xf numFmtId="0" fontId="91" fillId="0" borderId="0" xfId="0" applyFont="1"/>
    <xf numFmtId="0" fontId="92" fillId="0" borderId="0" xfId="0" applyFont="1"/>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101" fillId="0" borderId="0" xfId="0" applyFont="1"/>
    <xf numFmtId="0" fontId="102" fillId="0" borderId="0" xfId="0" applyFont="1"/>
    <xf numFmtId="0" fontId="103" fillId="0" borderId="0" xfId="0" applyFont="1"/>
    <xf numFmtId="0" fontId="104" fillId="0" borderId="0" xfId="0" applyFont="1"/>
    <xf numFmtId="0" fontId="105" fillId="0" borderId="0" xfId="0" applyFont="1"/>
    <xf numFmtId="0" fontId="106" fillId="0" borderId="0" xfId="0" applyFont="1"/>
    <xf numFmtId="0" fontId="107" fillId="0" borderId="0" xfId="0" applyFont="1"/>
    <xf numFmtId="0" fontId="108" fillId="0" borderId="0" xfId="0" applyFont="1"/>
    <xf numFmtId="0" fontId="109" fillId="0" borderId="0" xfId="0" applyFont="1"/>
    <xf numFmtId="0" fontId="110" fillId="0" borderId="0" xfId="0" applyFont="1"/>
    <xf numFmtId="0" fontId="111" fillId="0" borderId="0" xfId="0" applyFont="1"/>
    <xf numFmtId="0" fontId="112" fillId="0" borderId="0" xfId="0" applyFont="1"/>
    <xf numFmtId="0" fontId="113" fillId="0" borderId="0" xfId="0" applyFont="1"/>
    <xf numFmtId="0" fontId="114" fillId="0" borderId="0" xfId="0" applyFont="1"/>
    <xf numFmtId="0" fontId="115" fillId="0" borderId="0" xfId="0" applyFont="1"/>
    <xf numFmtId="0" fontId="116" fillId="0" borderId="0" xfId="0" applyFont="1"/>
    <xf numFmtId="0" fontId="117" fillId="0" borderId="0" xfId="0" applyFont="1"/>
    <xf numFmtId="0" fontId="118" fillId="0" borderId="0" xfId="0" applyFont="1"/>
    <xf numFmtId="0" fontId="119" fillId="0" borderId="0" xfId="0" applyFont="1"/>
    <xf numFmtId="0" fontId="120" fillId="0" borderId="0" xfId="0" applyFont="1"/>
    <xf numFmtId="0" fontId="121" fillId="0" borderId="0" xfId="0" applyFont="1"/>
    <xf numFmtId="0" fontId="122" fillId="0" borderId="0" xfId="0" applyFont="1"/>
    <xf numFmtId="0" fontId="123" fillId="0" borderId="0" xfId="0" applyFont="1"/>
    <xf numFmtId="0" fontId="124" fillId="0" borderId="0" xfId="0" applyFont="1"/>
    <xf numFmtId="0" fontId="125" fillId="0" borderId="0" xfId="0" applyFont="1"/>
    <xf numFmtId="0" fontId="126" fillId="0" borderId="0" xfId="0" applyFont="1"/>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0" fontId="133" fillId="0" borderId="0" xfId="0" applyFont="1"/>
    <xf numFmtId="0" fontId="134" fillId="0" borderId="0" xfId="0" applyFont="1"/>
    <xf numFmtId="0" fontId="135" fillId="0" borderId="0" xfId="0" applyFont="1"/>
    <xf numFmtId="0" fontId="136" fillId="0" borderId="0" xfId="0" applyFont="1"/>
    <xf numFmtId="0" fontId="137" fillId="0" borderId="0" xfId="0" applyFont="1"/>
    <xf numFmtId="0" fontId="138" fillId="0" borderId="0" xfId="0" applyFont="1"/>
    <xf numFmtId="0" fontId="139" fillId="0" borderId="0" xfId="0" applyFont="1"/>
    <xf numFmtId="0" fontId="140" fillId="0" borderId="0" xfId="0" applyFont="1"/>
    <xf numFmtId="0" fontId="141" fillId="0" borderId="0" xfId="0" applyFont="1"/>
    <xf numFmtId="0" fontId="142" fillId="0" borderId="0" xfId="0" applyFont="1"/>
    <xf numFmtId="0" fontId="143" fillId="0" borderId="0" xfId="0" applyFont="1"/>
    <xf numFmtId="0" fontId="144" fillId="0" borderId="0" xfId="0" applyFont="1"/>
    <xf numFmtId="0" fontId="145" fillId="0" borderId="0" xfId="0" applyFont="1"/>
    <xf numFmtId="0" fontId="146" fillId="0" borderId="0" xfId="0" applyFont="1"/>
    <xf numFmtId="0" fontId="147" fillId="0" borderId="0" xfId="0" applyFont="1"/>
    <xf numFmtId="0" fontId="148" fillId="0" borderId="0" xfId="0" applyFont="1"/>
    <xf numFmtId="0" fontId="149" fillId="0" borderId="0" xfId="0" applyFont="1"/>
    <xf numFmtId="0" fontId="150" fillId="0" borderId="0" xfId="0" applyFont="1"/>
    <xf numFmtId="0" fontId="151" fillId="0" borderId="0" xfId="0" applyFont="1"/>
    <xf numFmtId="0" fontId="152" fillId="0" borderId="0" xfId="0" applyFont="1"/>
    <xf numFmtId="0" fontId="153"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8" fillId="0" borderId="0" xfId="0" applyFont="1"/>
    <xf numFmtId="0" fontId="159" fillId="0" borderId="0" xfId="0" applyFont="1"/>
    <xf numFmtId="0" fontId="160" fillId="0" borderId="0" xfId="0" applyFont="1"/>
    <xf numFmtId="0" fontId="161" fillId="0" borderId="0" xfId="0" applyFont="1"/>
    <xf numFmtId="0" fontId="162" fillId="0" borderId="0" xfId="0" applyFont="1"/>
    <xf numFmtId="0" fontId="163" fillId="0" borderId="0" xfId="0" applyFont="1"/>
    <xf numFmtId="0" fontId="164" fillId="0" borderId="0" xfId="0" applyFont="1"/>
    <xf numFmtId="0" fontId="165" fillId="0" borderId="0" xfId="0" applyFont="1"/>
    <xf numFmtId="0" fontId="166" fillId="0" borderId="0" xfId="0" applyFont="1"/>
    <xf numFmtId="0" fontId="167" fillId="0" borderId="0" xfId="0" applyFont="1"/>
    <xf numFmtId="0" fontId="168" fillId="0" borderId="0" xfId="0" applyFont="1"/>
    <xf numFmtId="0" fontId="169" fillId="0" borderId="0" xfId="0" applyFont="1"/>
    <xf numFmtId="0" fontId="170" fillId="0" borderId="0" xfId="0" applyFont="1"/>
    <xf numFmtId="0" fontId="171" fillId="0" borderId="0" xfId="0" applyFont="1"/>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0" fontId="179" fillId="0" borderId="0" xfId="0" applyFont="1"/>
    <xf numFmtId="0" fontId="180" fillId="0" borderId="0" xfId="0" applyFont="1"/>
    <xf numFmtId="0" fontId="181" fillId="0" borderId="0" xfId="0" applyFont="1"/>
    <xf numFmtId="0" fontId="182" fillId="0" borderId="0" xfId="0" applyFont="1"/>
    <xf numFmtId="0" fontId="183" fillId="0" borderId="0" xfId="0" applyFont="1"/>
    <xf numFmtId="0" fontId="184" fillId="0" borderId="0" xfId="0" applyFont="1"/>
    <xf numFmtId="0" fontId="185" fillId="0" borderId="0" xfId="0" applyFont="1"/>
    <xf numFmtId="0" fontId="186" fillId="0" borderId="0" xfId="0" applyFont="1"/>
    <xf numFmtId="0" fontId="187" fillId="0" borderId="0" xfId="0" applyFont="1"/>
    <xf numFmtId="0" fontId="188" fillId="0" borderId="0" xfId="0" applyFont="1"/>
    <xf numFmtId="0" fontId="189" fillId="0" borderId="0" xfId="0" applyFont="1"/>
    <xf numFmtId="0" fontId="190" fillId="0" borderId="0" xfId="0" applyFont="1"/>
    <xf numFmtId="0" fontId="191" fillId="0" borderId="0" xfId="0" applyFont="1"/>
    <xf numFmtId="0" fontId="192" fillId="0" borderId="0" xfId="0" applyFont="1"/>
    <xf numFmtId="0" fontId="193" fillId="0" borderId="0" xfId="0" applyFont="1"/>
    <xf numFmtId="0" fontId="194" fillId="0" borderId="0" xfId="0" applyFont="1"/>
    <xf numFmtId="0" fontId="195" fillId="0" borderId="0" xfId="0" applyFont="1"/>
    <xf numFmtId="0" fontId="196" fillId="0" borderId="0" xfId="0" applyFont="1"/>
    <xf numFmtId="0" fontId="197" fillId="0" borderId="0" xfId="0" applyFont="1"/>
    <xf numFmtId="0" fontId="198" fillId="0" borderId="0" xfId="0" applyFont="1"/>
    <xf numFmtId="0" fontId="199" fillId="0" borderId="0" xfId="0" applyFont="1"/>
    <xf numFmtId="0" fontId="200" fillId="0" borderId="0" xfId="0" applyFont="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7" fillId="0" borderId="0" xfId="0" applyFont="1"/>
    <xf numFmtId="0" fontId="208" fillId="0" borderId="0" xfId="0" applyFont="1"/>
    <xf numFmtId="0" fontId="209" fillId="0" borderId="0" xfId="0" applyFont="1"/>
    <xf numFmtId="0" fontId="210" fillId="0" borderId="0" xfId="0" applyFont="1"/>
    <xf numFmtId="0" fontId="211" fillId="0" borderId="0" xfId="0" applyFont="1"/>
    <xf numFmtId="0" fontId="212" fillId="0" borderId="0" xfId="0" applyFont="1"/>
    <xf numFmtId="0" fontId="213" fillId="0" borderId="0" xfId="0" applyFont="1"/>
    <xf numFmtId="0" fontId="214" fillId="0" borderId="0" xfId="0" applyFont="1"/>
    <xf numFmtId="0" fontId="215" fillId="0" borderId="0" xfId="0" applyFont="1"/>
    <xf numFmtId="0" fontId="216" fillId="0" borderId="0" xfId="0" applyFont="1"/>
    <xf numFmtId="0" fontId="217" fillId="0" borderId="0" xfId="0" applyFont="1"/>
    <xf numFmtId="0" fontId="218" fillId="0" borderId="0" xfId="0" applyFont="1"/>
    <xf numFmtId="0" fontId="219" fillId="0" borderId="0" xfId="0" applyFont="1"/>
    <xf numFmtId="0" fontId="220" fillId="0" borderId="0" xfId="0" applyFont="1"/>
    <xf numFmtId="0" fontId="221" fillId="0" borderId="0" xfId="0" applyFont="1"/>
    <xf numFmtId="0" fontId="222" fillId="0" borderId="0" xfId="0" applyFont="1"/>
    <xf numFmtId="0" fontId="223" fillId="0" borderId="0" xfId="0" applyFont="1"/>
    <xf numFmtId="0" fontId="224" fillId="0" borderId="0" xfId="0" applyFont="1"/>
    <xf numFmtId="0" fontId="225" fillId="0" borderId="0" xfId="0" applyFont="1"/>
    <xf numFmtId="0" fontId="226" fillId="0" borderId="0" xfId="0" applyFont="1"/>
    <xf numFmtId="0" fontId="227" fillId="0" borderId="0" xfId="0" applyFont="1"/>
    <xf numFmtId="0" fontId="228" fillId="0" borderId="0" xfId="0" applyFont="1"/>
    <xf numFmtId="0" fontId="229" fillId="0" borderId="0" xfId="0" applyFont="1"/>
    <xf numFmtId="0" fontId="230" fillId="0" borderId="0" xfId="0" applyFont="1"/>
    <xf numFmtId="0" fontId="231" fillId="0" borderId="0" xfId="0" applyFont="1"/>
    <xf numFmtId="0" fontId="232" fillId="0" borderId="0" xfId="0" applyFont="1"/>
    <xf numFmtId="0" fontId="233" fillId="0" borderId="0" xfId="0" applyFont="1"/>
    <xf numFmtId="0" fontId="234" fillId="0" borderId="0" xfId="0" applyFont="1"/>
    <xf numFmtId="0" fontId="235" fillId="0" borderId="0" xfId="0" applyFont="1"/>
    <xf numFmtId="0" fontId="236" fillId="0" borderId="0" xfId="0" applyFont="1"/>
    <xf numFmtId="0" fontId="237" fillId="0" borderId="0" xfId="0" applyFont="1"/>
    <xf numFmtId="0" fontId="238" fillId="0" borderId="0" xfId="0" applyFont="1"/>
    <xf numFmtId="0" fontId="239" fillId="0" borderId="0" xfId="0" applyFont="1"/>
    <xf numFmtId="0" fontId="240" fillId="0" borderId="0" xfId="0" applyFont="1"/>
    <xf numFmtId="0" fontId="241" fillId="0" borderId="0" xfId="0" applyFont="1"/>
    <xf numFmtId="0" fontId="242" fillId="0" borderId="0" xfId="0" applyFont="1"/>
    <xf numFmtId="0" fontId="243" fillId="0" borderId="0" xfId="0" applyFont="1"/>
    <xf numFmtId="0" fontId="244" fillId="0" borderId="0" xfId="0" applyFont="1"/>
    <xf numFmtId="0" fontId="245" fillId="0" borderId="0" xfId="0" applyFont="1"/>
    <xf numFmtId="0" fontId="246" fillId="0" borderId="0" xfId="0" applyFont="1"/>
    <xf numFmtId="0" fontId="247" fillId="0" borderId="0" xfId="0" applyFont="1"/>
    <xf numFmtId="0" fontId="248" fillId="0" borderId="0" xfId="0" applyFont="1"/>
    <xf numFmtId="0" fontId="249" fillId="0" borderId="0" xfId="0" applyFont="1"/>
    <xf numFmtId="0" fontId="250" fillId="0" borderId="0" xfId="0" applyFont="1"/>
    <xf numFmtId="0" fontId="251" fillId="0" borderId="0" xfId="0" applyFont="1"/>
    <xf numFmtId="0" fontId="252" fillId="0" borderId="0" xfId="0" applyFont="1"/>
    <xf numFmtId="0" fontId="253" fillId="0" borderId="0" xfId="0" applyFont="1"/>
    <xf numFmtId="0" fontId="254" fillId="0" borderId="0" xfId="0" applyFont="1"/>
    <xf numFmtId="0" fontId="255" fillId="0" borderId="0" xfId="0" applyFont="1"/>
    <xf numFmtId="0" fontId="256" fillId="0" borderId="0" xfId="0" applyFont="1"/>
    <xf numFmtId="0" fontId="257" fillId="0" borderId="0" xfId="0" applyFont="1"/>
    <xf numFmtId="0" fontId="258" fillId="0" borderId="0" xfId="0" applyFont="1"/>
    <xf numFmtId="0" fontId="259" fillId="0" borderId="0" xfId="0" applyFont="1"/>
    <xf numFmtId="0" fontId="260" fillId="0" borderId="0" xfId="0" applyFont="1"/>
    <xf numFmtId="0" fontId="261" fillId="0" borderId="0" xfId="0" applyFont="1"/>
    <xf numFmtId="0" fontId="262" fillId="0" borderId="0" xfId="0" applyFont="1"/>
    <xf numFmtId="0" fontId="263" fillId="0" borderId="0" xfId="0" applyFont="1"/>
    <xf numFmtId="0" fontId="264" fillId="0" borderId="0" xfId="0" applyFont="1"/>
    <xf numFmtId="0" fontId="265" fillId="0" borderId="0" xfId="0" applyFont="1"/>
    <xf numFmtId="0" fontId="266" fillId="0" borderId="0" xfId="0" applyFont="1"/>
    <xf numFmtId="0" fontId="267" fillId="0" borderId="0" xfId="0" applyFont="1"/>
    <xf numFmtId="0" fontId="268" fillId="0" borderId="0" xfId="0" applyFont="1"/>
    <xf numFmtId="0" fontId="269" fillId="0" borderId="0" xfId="0" applyFont="1"/>
    <xf numFmtId="0" fontId="270" fillId="0" borderId="0" xfId="0" applyFont="1"/>
    <xf numFmtId="0" fontId="271" fillId="0" borderId="0" xfId="0" applyFont="1"/>
    <xf numFmtId="0" fontId="272" fillId="0" borderId="0" xfId="0" applyFont="1"/>
    <xf numFmtId="0" fontId="273" fillId="0" borderId="0" xfId="0" applyFont="1"/>
    <xf numFmtId="0" fontId="274" fillId="0" borderId="0" xfId="0" applyFont="1"/>
    <xf numFmtId="0" fontId="275" fillId="0" borderId="0" xfId="0" applyFont="1"/>
    <xf numFmtId="0" fontId="276" fillId="0" borderId="0" xfId="0" applyFont="1"/>
    <xf numFmtId="0" fontId="277" fillId="0" borderId="0" xfId="0" applyFont="1"/>
    <xf numFmtId="0" fontId="278" fillId="0" borderId="0" xfId="0" applyFont="1"/>
    <xf numFmtId="0" fontId="279" fillId="0" borderId="0" xfId="0" applyFont="1"/>
    <xf numFmtId="0" fontId="280" fillId="0" borderId="0" xfId="0" applyFont="1"/>
    <xf numFmtId="0" fontId="281" fillId="0" borderId="0" xfId="0" applyFont="1"/>
    <xf numFmtId="0" fontId="282" fillId="0" borderId="0" xfId="0" applyFont="1"/>
    <xf numFmtId="0" fontId="283" fillId="0" borderId="0" xfId="0" applyFont="1"/>
    <xf numFmtId="0" fontId="284" fillId="0" borderId="0" xfId="0" applyFont="1"/>
    <xf numFmtId="0" fontId="285" fillId="0" borderId="0" xfId="0" applyFont="1"/>
    <xf numFmtId="0" fontId="286" fillId="0" borderId="0" xfId="0" applyFont="1"/>
    <xf numFmtId="0" fontId="287" fillId="0" borderId="0" xfId="0" applyFont="1"/>
    <xf numFmtId="0" fontId="288" fillId="0" borderId="0" xfId="0" applyFont="1"/>
    <xf numFmtId="0" fontId="289" fillId="0" borderId="0" xfId="0" applyFont="1"/>
    <xf numFmtId="0" fontId="290" fillId="0" borderId="0" xfId="0" applyFont="1"/>
    <xf numFmtId="0" fontId="291" fillId="0" borderId="0" xfId="0" applyFont="1"/>
    <xf numFmtId="0" fontId="292" fillId="0" borderId="0" xfId="0" applyFont="1"/>
    <xf numFmtId="0" fontId="293" fillId="0" borderId="0" xfId="0" applyFont="1"/>
    <xf numFmtId="0" fontId="294" fillId="0" borderId="0" xfId="0" applyFont="1"/>
    <xf numFmtId="0" fontId="295" fillId="0" borderId="0" xfId="0" applyFont="1"/>
    <xf numFmtId="0" fontId="296" fillId="0" borderId="0" xfId="0" applyFont="1"/>
    <xf numFmtId="0" fontId="297" fillId="0" borderId="0" xfId="0" applyFont="1"/>
    <xf numFmtId="0" fontId="298" fillId="0" borderId="0" xfId="0" applyFont="1"/>
    <xf numFmtId="0" fontId="299" fillId="0" borderId="0" xfId="0" applyFont="1"/>
    <xf numFmtId="0" fontId="300" fillId="0" borderId="0" xfId="0" applyFont="1"/>
    <xf numFmtId="0" fontId="301" fillId="0" borderId="0" xfId="0" applyFont="1"/>
    <xf numFmtId="0" fontId="302" fillId="0" borderId="0" xfId="0" applyFont="1"/>
    <xf numFmtId="0" fontId="303" fillId="0" borderId="0" xfId="0" applyFont="1"/>
    <xf numFmtId="0" fontId="304" fillId="0" borderId="0" xfId="0" applyFont="1"/>
    <xf numFmtId="0" fontId="305" fillId="0" borderId="0" xfId="0" applyFont="1"/>
    <xf numFmtId="0" fontId="306" fillId="0" borderId="0" xfId="0" applyFont="1"/>
    <xf numFmtId="0" fontId="307" fillId="0" borderId="0" xfId="0" applyFont="1"/>
    <xf numFmtId="0" fontId="308" fillId="0" borderId="0" xfId="0" applyFont="1"/>
    <xf numFmtId="0" fontId="309" fillId="0" borderId="0" xfId="0" applyFont="1"/>
    <xf numFmtId="0" fontId="310" fillId="0" borderId="0" xfId="0" applyFont="1"/>
    <xf numFmtId="164"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J2300"/>
  <sheetViews>
    <sheetView tabSelected="1" workbookViewId="0">
      <pane xSplit="1" ySplit="1" topLeftCell="B92" activePane="bottomRight" state="frozen"/>
      <selection pane="topRight"/>
      <selection pane="bottomLeft"/>
      <selection pane="bottomRight" activeCell="A103" sqref="A103:XFD103"/>
    </sheetView>
  </sheetViews>
  <sheetFormatPr defaultRowHeight="14.25" x14ac:dyDescent="0.45"/>
  <sheetData>
    <row r="1" spans="1:24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row>
    <row r="2" spans="1:244" x14ac:dyDescent="0.45">
      <c r="A2">
        <v>1146880</v>
      </c>
      <c r="B2">
        <v>104718</v>
      </c>
      <c r="C2">
        <v>62384</v>
      </c>
      <c r="D2" t="s">
        <v>244</v>
      </c>
      <c r="F2" t="s">
        <v>245</v>
      </c>
      <c r="G2" t="s">
        <v>246</v>
      </c>
      <c r="N2" t="s">
        <v>247</v>
      </c>
      <c r="O2" t="s">
        <v>248</v>
      </c>
      <c r="P2" t="s">
        <v>249</v>
      </c>
      <c r="Q2" t="s">
        <v>250</v>
      </c>
      <c r="R2" t="s">
        <v>251</v>
      </c>
      <c r="T2" t="s">
        <v>252</v>
      </c>
      <c r="U2" t="s">
        <v>253</v>
      </c>
      <c r="V2" t="s">
        <v>254</v>
      </c>
      <c r="W2" t="s">
        <v>255</v>
      </c>
      <c r="X2" t="s">
        <v>256</v>
      </c>
      <c r="AL2" t="s">
        <v>257</v>
      </c>
      <c r="AM2" t="s">
        <v>258</v>
      </c>
      <c r="AN2" t="s">
        <v>259</v>
      </c>
      <c r="AO2" t="s">
        <v>260</v>
      </c>
      <c r="AQ2" t="s">
        <v>261</v>
      </c>
      <c r="AS2">
        <v>540</v>
      </c>
      <c r="AU2">
        <v>500</v>
      </c>
      <c r="AW2">
        <v>570</v>
      </c>
      <c r="AX2" t="s">
        <v>262</v>
      </c>
      <c r="BO2" t="s">
        <v>261</v>
      </c>
      <c r="BQ2">
        <v>0.54</v>
      </c>
      <c r="BS2">
        <v>0.5</v>
      </c>
      <c r="BU2">
        <v>0.56999999999999995</v>
      </c>
      <c r="BV2" t="s">
        <v>263</v>
      </c>
      <c r="CM2" t="s">
        <v>264</v>
      </c>
      <c r="CN2" t="s">
        <v>264</v>
      </c>
      <c r="CP2" t="s">
        <v>265</v>
      </c>
      <c r="CQ2" t="s">
        <v>266</v>
      </c>
      <c r="DB2">
        <v>4</v>
      </c>
      <c r="DG2" t="s">
        <v>267</v>
      </c>
      <c r="DI2">
        <v>96</v>
      </c>
      <c r="DN2" t="s">
        <v>268</v>
      </c>
      <c r="DQ2" t="s">
        <v>269</v>
      </c>
      <c r="DR2">
        <v>6761</v>
      </c>
      <c r="DS2">
        <v>2461</v>
      </c>
      <c r="DT2" t="s">
        <v>270</v>
      </c>
      <c r="EW2" t="s">
        <v>271</v>
      </c>
      <c r="HH2" t="s">
        <v>272</v>
      </c>
      <c r="IE2" t="s">
        <v>273</v>
      </c>
      <c r="IF2">
        <v>12413</v>
      </c>
      <c r="IG2" t="s">
        <v>274</v>
      </c>
      <c r="IH2" t="s">
        <v>275</v>
      </c>
      <c r="II2">
        <v>1987</v>
      </c>
      <c r="IJ2" t="s">
        <v>276</v>
      </c>
    </row>
    <row r="3" spans="1:244" x14ac:dyDescent="0.45">
      <c r="A3">
        <v>1146877</v>
      </c>
      <c r="B3">
        <v>104715</v>
      </c>
      <c r="C3">
        <v>62384</v>
      </c>
      <c r="D3" t="s">
        <v>244</v>
      </c>
      <c r="F3" t="s">
        <v>245</v>
      </c>
      <c r="G3" t="s">
        <v>246</v>
      </c>
      <c r="N3" t="s">
        <v>247</v>
      </c>
      <c r="O3" t="s">
        <v>248</v>
      </c>
      <c r="P3" t="s">
        <v>249</v>
      </c>
      <c r="Q3" t="s">
        <v>250</v>
      </c>
      <c r="R3" t="s">
        <v>251</v>
      </c>
      <c r="T3" t="s">
        <v>252</v>
      </c>
      <c r="U3" t="s">
        <v>253</v>
      </c>
      <c r="V3" t="s">
        <v>254</v>
      </c>
      <c r="W3" t="s">
        <v>255</v>
      </c>
      <c r="X3" t="s">
        <v>256</v>
      </c>
      <c r="AL3" t="s">
        <v>257</v>
      </c>
      <c r="AM3" t="s">
        <v>258</v>
      </c>
      <c r="AN3" t="s">
        <v>259</v>
      </c>
      <c r="AO3" t="s">
        <v>260</v>
      </c>
      <c r="AQ3" t="s">
        <v>261</v>
      </c>
      <c r="AS3">
        <v>700</v>
      </c>
      <c r="AX3" t="s">
        <v>262</v>
      </c>
      <c r="BO3" t="s">
        <v>261</v>
      </c>
      <c r="BQ3">
        <v>0.7</v>
      </c>
      <c r="BV3" t="s">
        <v>263</v>
      </c>
      <c r="CM3" t="s">
        <v>264</v>
      </c>
      <c r="CN3" t="s">
        <v>264</v>
      </c>
      <c r="CP3" t="s">
        <v>265</v>
      </c>
      <c r="CQ3" t="s">
        <v>266</v>
      </c>
      <c r="DB3">
        <v>1</v>
      </c>
      <c r="DG3" t="s">
        <v>267</v>
      </c>
      <c r="DI3">
        <v>24</v>
      </c>
      <c r="DN3" t="s">
        <v>268</v>
      </c>
      <c r="DQ3" t="s">
        <v>269</v>
      </c>
      <c r="DR3">
        <v>6761</v>
      </c>
      <c r="DS3">
        <v>2461</v>
      </c>
      <c r="DT3" t="s">
        <v>270</v>
      </c>
      <c r="EW3" t="s">
        <v>271</v>
      </c>
      <c r="HH3" t="s">
        <v>272</v>
      </c>
      <c r="IE3" t="s">
        <v>273</v>
      </c>
      <c r="IF3">
        <v>12413</v>
      </c>
      <c r="IG3" t="s">
        <v>274</v>
      </c>
      <c r="IH3" t="s">
        <v>275</v>
      </c>
      <c r="II3">
        <v>1987</v>
      </c>
      <c r="IJ3" t="s">
        <v>276</v>
      </c>
    </row>
    <row r="4" spans="1:244" x14ac:dyDescent="0.45">
      <c r="A4">
        <v>1146879</v>
      </c>
      <c r="B4">
        <v>104717</v>
      </c>
      <c r="C4">
        <v>62384</v>
      </c>
      <c r="D4" t="s">
        <v>244</v>
      </c>
      <c r="F4" t="s">
        <v>245</v>
      </c>
      <c r="G4" t="s">
        <v>246</v>
      </c>
      <c r="N4" t="s">
        <v>247</v>
      </c>
      <c r="O4" t="s">
        <v>248</v>
      </c>
      <c r="P4" t="s">
        <v>249</v>
      </c>
      <c r="Q4" t="s">
        <v>250</v>
      </c>
      <c r="R4" t="s">
        <v>251</v>
      </c>
      <c r="T4" t="s">
        <v>252</v>
      </c>
      <c r="U4" t="s">
        <v>253</v>
      </c>
      <c r="V4" t="s">
        <v>254</v>
      </c>
      <c r="W4" t="s">
        <v>255</v>
      </c>
      <c r="X4" t="s">
        <v>256</v>
      </c>
      <c r="AL4" t="s">
        <v>257</v>
      </c>
      <c r="AM4" t="s">
        <v>258</v>
      </c>
      <c r="AN4" t="s">
        <v>259</v>
      </c>
      <c r="AO4" t="s">
        <v>260</v>
      </c>
      <c r="AQ4" t="s">
        <v>261</v>
      </c>
      <c r="AS4">
        <v>540</v>
      </c>
      <c r="AX4" t="s">
        <v>262</v>
      </c>
      <c r="BO4" t="s">
        <v>261</v>
      </c>
      <c r="BQ4">
        <v>0.54</v>
      </c>
      <c r="BV4" t="s">
        <v>263</v>
      </c>
      <c r="CM4" t="s">
        <v>264</v>
      </c>
      <c r="CN4" t="s">
        <v>264</v>
      </c>
      <c r="CP4" t="s">
        <v>265</v>
      </c>
      <c r="CQ4" t="s">
        <v>266</v>
      </c>
      <c r="DB4">
        <v>3</v>
      </c>
      <c r="DG4" t="s">
        <v>267</v>
      </c>
      <c r="DI4">
        <v>72</v>
      </c>
      <c r="DN4" t="s">
        <v>268</v>
      </c>
      <c r="DQ4" t="s">
        <v>269</v>
      </c>
      <c r="DR4">
        <v>6761</v>
      </c>
      <c r="DS4">
        <v>2461</v>
      </c>
      <c r="DT4" t="s">
        <v>270</v>
      </c>
      <c r="EW4" t="s">
        <v>271</v>
      </c>
      <c r="HH4" t="s">
        <v>272</v>
      </c>
      <c r="IE4" t="s">
        <v>273</v>
      </c>
      <c r="IF4">
        <v>12413</v>
      </c>
      <c r="IG4" t="s">
        <v>274</v>
      </c>
      <c r="IH4" t="s">
        <v>275</v>
      </c>
      <c r="II4">
        <v>1987</v>
      </c>
      <c r="IJ4" t="s">
        <v>276</v>
      </c>
    </row>
    <row r="5" spans="1:244" x14ac:dyDescent="0.45">
      <c r="A5">
        <v>1146878</v>
      </c>
      <c r="B5">
        <v>104716</v>
      </c>
      <c r="C5">
        <v>62384</v>
      </c>
      <c r="D5" t="s">
        <v>244</v>
      </c>
      <c r="F5" t="s">
        <v>245</v>
      </c>
      <c r="G5" t="s">
        <v>246</v>
      </c>
      <c r="N5" t="s">
        <v>247</v>
      </c>
      <c r="O5" t="s">
        <v>248</v>
      </c>
      <c r="P5" t="s">
        <v>249</v>
      </c>
      <c r="Q5" t="s">
        <v>250</v>
      </c>
      <c r="R5" t="s">
        <v>251</v>
      </c>
      <c r="T5" t="s">
        <v>252</v>
      </c>
      <c r="U5" t="s">
        <v>253</v>
      </c>
      <c r="V5" t="s">
        <v>254</v>
      </c>
      <c r="W5" t="s">
        <v>255</v>
      </c>
      <c r="X5" t="s">
        <v>256</v>
      </c>
      <c r="AL5" t="s">
        <v>257</v>
      </c>
      <c r="AM5" t="s">
        <v>258</v>
      </c>
      <c r="AN5" t="s">
        <v>259</v>
      </c>
      <c r="AO5" t="s">
        <v>260</v>
      </c>
      <c r="AQ5" t="s">
        <v>261</v>
      </c>
      <c r="AS5">
        <v>580</v>
      </c>
      <c r="AU5">
        <v>530</v>
      </c>
      <c r="AW5">
        <v>620</v>
      </c>
      <c r="AX5" t="s">
        <v>262</v>
      </c>
      <c r="BO5" t="s">
        <v>261</v>
      </c>
      <c r="BQ5">
        <v>0.57999999999999996</v>
      </c>
      <c r="BS5">
        <v>0.53</v>
      </c>
      <c r="BU5">
        <v>0.62</v>
      </c>
      <c r="BV5" t="s">
        <v>263</v>
      </c>
      <c r="CM5" t="s">
        <v>264</v>
      </c>
      <c r="CN5" t="s">
        <v>264</v>
      </c>
      <c r="CP5" t="s">
        <v>265</v>
      </c>
      <c r="CQ5" t="s">
        <v>266</v>
      </c>
      <c r="DB5">
        <v>2</v>
      </c>
      <c r="DG5" t="s">
        <v>267</v>
      </c>
      <c r="DI5">
        <v>48</v>
      </c>
      <c r="DN5" t="s">
        <v>268</v>
      </c>
      <c r="DQ5" t="s">
        <v>269</v>
      </c>
      <c r="DR5">
        <v>6761</v>
      </c>
      <c r="DS5">
        <v>2461</v>
      </c>
      <c r="DT5" t="s">
        <v>270</v>
      </c>
      <c r="EW5" t="s">
        <v>271</v>
      </c>
      <c r="HH5" t="s">
        <v>272</v>
      </c>
      <c r="IE5" t="s">
        <v>273</v>
      </c>
      <c r="IF5">
        <v>12413</v>
      </c>
      <c r="IG5" t="s">
        <v>274</v>
      </c>
      <c r="IH5" t="s">
        <v>275</v>
      </c>
      <c r="II5">
        <v>1987</v>
      </c>
      <c r="IJ5" t="s">
        <v>276</v>
      </c>
    </row>
    <row r="6" spans="1:244" x14ac:dyDescent="0.45">
      <c r="A6">
        <v>2171188</v>
      </c>
      <c r="B6">
        <v>2337381</v>
      </c>
      <c r="C6">
        <v>115093</v>
      </c>
      <c r="D6" t="s">
        <v>277</v>
      </c>
      <c r="F6" t="s">
        <v>245</v>
      </c>
      <c r="G6" t="s">
        <v>272</v>
      </c>
      <c r="H6" t="s">
        <v>278</v>
      </c>
      <c r="I6">
        <v>90</v>
      </c>
      <c r="N6" t="s">
        <v>279</v>
      </c>
      <c r="O6" t="s">
        <v>280</v>
      </c>
      <c r="P6" t="s">
        <v>249</v>
      </c>
      <c r="Q6" t="s">
        <v>250</v>
      </c>
      <c r="R6" t="s">
        <v>251</v>
      </c>
      <c r="T6" t="s">
        <v>252</v>
      </c>
      <c r="U6" t="s">
        <v>253</v>
      </c>
      <c r="V6" t="s">
        <v>281</v>
      </c>
      <c r="W6" t="s">
        <v>282</v>
      </c>
      <c r="X6" t="s">
        <v>283</v>
      </c>
      <c r="Z6" t="s">
        <v>284</v>
      </c>
      <c r="AI6">
        <v>10</v>
      </c>
      <c r="AJ6" t="s">
        <v>285</v>
      </c>
      <c r="AL6" t="s">
        <v>286</v>
      </c>
      <c r="AM6" t="s">
        <v>287</v>
      </c>
      <c r="AN6" t="s">
        <v>259</v>
      </c>
      <c r="AO6" t="s">
        <v>260</v>
      </c>
      <c r="AP6">
        <v>12</v>
      </c>
      <c r="AQ6" t="s">
        <v>261</v>
      </c>
      <c r="AT6" t="s">
        <v>288</v>
      </c>
      <c r="AU6">
        <v>75</v>
      </c>
      <c r="AV6" t="s">
        <v>289</v>
      </c>
      <c r="AW6">
        <v>100</v>
      </c>
      <c r="AX6" t="s">
        <v>290</v>
      </c>
      <c r="BO6" t="s">
        <v>261</v>
      </c>
      <c r="BR6" t="s">
        <v>288</v>
      </c>
      <c r="BS6">
        <v>7.4999999999999997E-2</v>
      </c>
      <c r="BT6" t="s">
        <v>289</v>
      </c>
      <c r="BU6">
        <v>0.1</v>
      </c>
      <c r="BV6" t="s">
        <v>263</v>
      </c>
      <c r="CM6" t="s">
        <v>264</v>
      </c>
      <c r="CN6" t="s">
        <v>264</v>
      </c>
      <c r="CP6" t="s">
        <v>265</v>
      </c>
      <c r="CQ6" t="s">
        <v>266</v>
      </c>
      <c r="DB6">
        <v>4</v>
      </c>
      <c r="DG6" t="s">
        <v>267</v>
      </c>
      <c r="DI6">
        <v>96</v>
      </c>
      <c r="DN6" t="s">
        <v>268</v>
      </c>
      <c r="DO6" t="s">
        <v>291</v>
      </c>
      <c r="DP6" t="s">
        <v>292</v>
      </c>
      <c r="DS6">
        <v>2900</v>
      </c>
      <c r="DV6">
        <v>96</v>
      </c>
      <c r="EA6" t="s">
        <v>268</v>
      </c>
      <c r="EC6">
        <v>4</v>
      </c>
      <c r="EH6" t="s">
        <v>267</v>
      </c>
      <c r="EJ6">
        <v>96</v>
      </c>
      <c r="EO6" t="s">
        <v>268</v>
      </c>
      <c r="EQ6">
        <v>4</v>
      </c>
      <c r="EV6" t="s">
        <v>267</v>
      </c>
      <c r="EW6" t="s">
        <v>293</v>
      </c>
      <c r="EZ6">
        <v>10</v>
      </c>
      <c r="FA6" t="s">
        <v>294</v>
      </c>
      <c r="FM6">
        <v>17.5</v>
      </c>
      <c r="FR6" t="s">
        <v>295</v>
      </c>
      <c r="GQ6">
        <v>7.9</v>
      </c>
      <c r="GS6">
        <v>8.3000000000000007</v>
      </c>
      <c r="GU6">
        <v>31.7</v>
      </c>
      <c r="GZ6" t="s">
        <v>296</v>
      </c>
      <c r="HH6" t="s">
        <v>272</v>
      </c>
      <c r="ID6" t="s">
        <v>297</v>
      </c>
      <c r="IE6" t="s">
        <v>298</v>
      </c>
      <c r="IF6">
        <v>9006</v>
      </c>
      <c r="IG6" t="s">
        <v>299</v>
      </c>
      <c r="IH6" t="s">
        <v>300</v>
      </c>
      <c r="II6">
        <v>1973</v>
      </c>
      <c r="IJ6" t="s">
        <v>301</v>
      </c>
    </row>
    <row r="7" spans="1:244" x14ac:dyDescent="0.45">
      <c r="A7">
        <v>1166384</v>
      </c>
      <c r="B7">
        <v>1774</v>
      </c>
      <c r="C7">
        <v>115093</v>
      </c>
      <c r="D7" t="s">
        <v>277</v>
      </c>
      <c r="F7" t="s">
        <v>272</v>
      </c>
      <c r="G7" t="s">
        <v>246</v>
      </c>
      <c r="N7" t="s">
        <v>302</v>
      </c>
      <c r="O7" t="s">
        <v>303</v>
      </c>
      <c r="P7" t="s">
        <v>249</v>
      </c>
      <c r="Q7" t="s">
        <v>250</v>
      </c>
      <c r="R7" t="s">
        <v>251</v>
      </c>
      <c r="T7" t="s">
        <v>252</v>
      </c>
      <c r="U7" t="s">
        <v>253</v>
      </c>
      <c r="V7" t="s">
        <v>304</v>
      </c>
      <c r="W7" t="s">
        <v>305</v>
      </c>
      <c r="X7" t="s">
        <v>306</v>
      </c>
      <c r="AM7" t="s">
        <v>307</v>
      </c>
      <c r="AN7" t="s">
        <v>259</v>
      </c>
      <c r="AO7" t="s">
        <v>260</v>
      </c>
      <c r="AQ7" t="s">
        <v>261</v>
      </c>
      <c r="AS7">
        <v>31</v>
      </c>
      <c r="AX7" t="s">
        <v>262</v>
      </c>
      <c r="BO7" t="s">
        <v>261</v>
      </c>
      <c r="BQ7">
        <v>3.1E-2</v>
      </c>
      <c r="BV7" t="s">
        <v>263</v>
      </c>
      <c r="CM7" t="s">
        <v>264</v>
      </c>
      <c r="CN7" t="s">
        <v>264</v>
      </c>
      <c r="CP7" t="s">
        <v>265</v>
      </c>
      <c r="DB7">
        <v>4</v>
      </c>
      <c r="DG7" t="s">
        <v>267</v>
      </c>
      <c r="DI7">
        <v>96</v>
      </c>
      <c r="DN7" t="s">
        <v>268</v>
      </c>
      <c r="DR7">
        <v>338212</v>
      </c>
      <c r="DS7">
        <v>732</v>
      </c>
      <c r="EW7" t="s">
        <v>272</v>
      </c>
      <c r="FM7">
        <v>10</v>
      </c>
      <c r="FR7" t="s">
        <v>295</v>
      </c>
      <c r="GU7">
        <v>38</v>
      </c>
      <c r="GZ7" t="s">
        <v>296</v>
      </c>
      <c r="HH7" t="s">
        <v>272</v>
      </c>
      <c r="IE7" t="s">
        <v>308</v>
      </c>
      <c r="IF7">
        <v>14770</v>
      </c>
      <c r="IG7" t="s">
        <v>309</v>
      </c>
      <c r="IH7" t="s">
        <v>310</v>
      </c>
      <c r="II7">
        <v>1991</v>
      </c>
      <c r="IJ7" t="s">
        <v>311</v>
      </c>
    </row>
    <row r="8" spans="1:244" x14ac:dyDescent="0.45">
      <c r="A8">
        <v>1145280</v>
      </c>
      <c r="B8">
        <v>132095</v>
      </c>
      <c r="C8">
        <v>115093</v>
      </c>
      <c r="D8" t="s">
        <v>277</v>
      </c>
      <c r="F8" t="s">
        <v>245</v>
      </c>
      <c r="G8" t="s">
        <v>246</v>
      </c>
      <c r="N8" t="s">
        <v>312</v>
      </c>
      <c r="O8" t="s">
        <v>313</v>
      </c>
      <c r="P8" t="s">
        <v>249</v>
      </c>
      <c r="Q8" t="s">
        <v>250</v>
      </c>
      <c r="R8" t="s">
        <v>251</v>
      </c>
      <c r="T8" t="s">
        <v>252</v>
      </c>
      <c r="U8" t="s">
        <v>253</v>
      </c>
      <c r="V8" t="s">
        <v>304</v>
      </c>
      <c r="W8" t="s">
        <v>305</v>
      </c>
      <c r="X8" t="s">
        <v>314</v>
      </c>
      <c r="Z8" t="s">
        <v>315</v>
      </c>
      <c r="AJ8" t="s">
        <v>285</v>
      </c>
      <c r="AL8" t="s">
        <v>316</v>
      </c>
      <c r="AM8" t="s">
        <v>317</v>
      </c>
      <c r="AN8" t="s">
        <v>259</v>
      </c>
      <c r="AO8" t="s">
        <v>260</v>
      </c>
      <c r="AP8">
        <v>9</v>
      </c>
      <c r="AQ8" t="s">
        <v>261</v>
      </c>
      <c r="AS8">
        <v>2490</v>
      </c>
      <c r="AX8" t="s">
        <v>262</v>
      </c>
      <c r="BO8" t="s">
        <v>261</v>
      </c>
      <c r="BQ8">
        <v>2.4900000000000002</v>
      </c>
      <c r="BV8" t="s">
        <v>263</v>
      </c>
      <c r="CM8" t="s">
        <v>264</v>
      </c>
      <c r="CN8" t="s">
        <v>264</v>
      </c>
      <c r="CP8" t="s">
        <v>265</v>
      </c>
      <c r="CQ8" t="s">
        <v>266</v>
      </c>
      <c r="DB8">
        <v>4</v>
      </c>
      <c r="DG8" t="s">
        <v>267</v>
      </c>
      <c r="DI8">
        <v>96</v>
      </c>
      <c r="DN8" t="s">
        <v>268</v>
      </c>
      <c r="DP8" t="s">
        <v>318</v>
      </c>
      <c r="DR8">
        <v>221654</v>
      </c>
      <c r="DS8">
        <v>65263</v>
      </c>
      <c r="DT8" t="s">
        <v>319</v>
      </c>
      <c r="EW8" t="s">
        <v>293</v>
      </c>
      <c r="FA8" t="s">
        <v>320</v>
      </c>
      <c r="FK8" t="s">
        <v>321</v>
      </c>
      <c r="FO8">
        <v>22</v>
      </c>
      <c r="FQ8">
        <v>24</v>
      </c>
      <c r="FR8" t="s">
        <v>295</v>
      </c>
      <c r="GU8">
        <v>20</v>
      </c>
      <c r="GZ8" t="s">
        <v>296</v>
      </c>
      <c r="HH8" t="s">
        <v>272</v>
      </c>
      <c r="ID8" t="s">
        <v>322</v>
      </c>
      <c r="IE8" t="s">
        <v>323</v>
      </c>
      <c r="IF8">
        <v>12227</v>
      </c>
      <c r="IG8" t="s">
        <v>324</v>
      </c>
      <c r="IH8" t="s">
        <v>325</v>
      </c>
      <c r="II8">
        <v>1986</v>
      </c>
      <c r="IJ8" t="s">
        <v>326</v>
      </c>
    </row>
    <row r="9" spans="1:244" x14ac:dyDescent="0.45">
      <c r="A9">
        <v>1111662</v>
      </c>
      <c r="B9">
        <v>64196</v>
      </c>
      <c r="C9">
        <v>115093</v>
      </c>
      <c r="D9" t="s">
        <v>277</v>
      </c>
      <c r="F9" t="s">
        <v>327</v>
      </c>
      <c r="G9" t="s">
        <v>246</v>
      </c>
      <c r="N9" t="s">
        <v>328</v>
      </c>
      <c r="O9" t="s">
        <v>329</v>
      </c>
      <c r="P9" t="s">
        <v>249</v>
      </c>
      <c r="Q9" t="s">
        <v>250</v>
      </c>
      <c r="R9" t="s">
        <v>251</v>
      </c>
      <c r="T9" t="s">
        <v>252</v>
      </c>
      <c r="U9" t="s">
        <v>253</v>
      </c>
      <c r="V9" t="s">
        <v>304</v>
      </c>
      <c r="W9" t="s">
        <v>330</v>
      </c>
      <c r="X9" t="s">
        <v>331</v>
      </c>
      <c r="AM9" t="s">
        <v>317</v>
      </c>
      <c r="AN9" t="s">
        <v>259</v>
      </c>
      <c r="AO9" t="s">
        <v>260</v>
      </c>
      <c r="AQ9" t="s">
        <v>261</v>
      </c>
      <c r="AS9">
        <v>125</v>
      </c>
      <c r="AX9" t="s">
        <v>262</v>
      </c>
      <c r="BO9" t="s">
        <v>261</v>
      </c>
      <c r="BQ9">
        <v>0.125</v>
      </c>
      <c r="BV9" t="s">
        <v>263</v>
      </c>
      <c r="CM9" t="s">
        <v>264</v>
      </c>
      <c r="CN9" t="s">
        <v>264</v>
      </c>
      <c r="CP9" t="s">
        <v>265</v>
      </c>
      <c r="DB9">
        <v>1</v>
      </c>
      <c r="DG9" t="s">
        <v>267</v>
      </c>
      <c r="DI9">
        <v>24</v>
      </c>
      <c r="DN9" t="s">
        <v>268</v>
      </c>
      <c r="DR9">
        <v>294125</v>
      </c>
      <c r="DS9">
        <v>72</v>
      </c>
      <c r="DT9" t="s">
        <v>332</v>
      </c>
      <c r="EW9" t="s">
        <v>333</v>
      </c>
      <c r="FA9" t="s">
        <v>320</v>
      </c>
      <c r="FK9" t="s">
        <v>334</v>
      </c>
      <c r="FM9">
        <v>20</v>
      </c>
      <c r="FR9" t="s">
        <v>295</v>
      </c>
      <c r="GQ9">
        <v>8</v>
      </c>
      <c r="GS9">
        <v>8.4</v>
      </c>
      <c r="GU9">
        <v>25</v>
      </c>
      <c r="GZ9" t="s">
        <v>296</v>
      </c>
      <c r="HH9" t="s">
        <v>272</v>
      </c>
      <c r="ID9" t="s">
        <v>335</v>
      </c>
      <c r="IE9" t="s">
        <v>336</v>
      </c>
      <c r="IF9">
        <v>8425</v>
      </c>
      <c r="IG9" t="s">
        <v>337</v>
      </c>
      <c r="IH9" t="s">
        <v>338</v>
      </c>
      <c r="II9">
        <v>1976</v>
      </c>
      <c r="IJ9" t="s">
        <v>339</v>
      </c>
    </row>
    <row r="10" spans="1:244" x14ac:dyDescent="0.45">
      <c r="A10">
        <v>1145278</v>
      </c>
      <c r="B10">
        <v>132093</v>
      </c>
      <c r="C10">
        <v>115093</v>
      </c>
      <c r="D10" t="s">
        <v>277</v>
      </c>
      <c r="F10" t="s">
        <v>245</v>
      </c>
      <c r="G10" t="s">
        <v>246</v>
      </c>
      <c r="N10" t="s">
        <v>312</v>
      </c>
      <c r="O10" t="s">
        <v>313</v>
      </c>
      <c r="P10" t="s">
        <v>249</v>
      </c>
      <c r="Q10" t="s">
        <v>250</v>
      </c>
      <c r="R10" t="s">
        <v>251</v>
      </c>
      <c r="T10" t="s">
        <v>252</v>
      </c>
      <c r="U10" t="s">
        <v>253</v>
      </c>
      <c r="V10" t="s">
        <v>304</v>
      </c>
      <c r="W10" t="s">
        <v>305</v>
      </c>
      <c r="X10" t="s">
        <v>314</v>
      </c>
      <c r="Z10" t="s">
        <v>315</v>
      </c>
      <c r="AJ10" t="s">
        <v>285</v>
      </c>
      <c r="AL10" t="s">
        <v>340</v>
      </c>
      <c r="AM10" t="s">
        <v>317</v>
      </c>
      <c r="AN10" t="s">
        <v>259</v>
      </c>
      <c r="AO10" t="s">
        <v>260</v>
      </c>
      <c r="AP10">
        <v>9</v>
      </c>
      <c r="AQ10" t="s">
        <v>261</v>
      </c>
      <c r="AS10">
        <v>2420</v>
      </c>
      <c r="AX10" t="s">
        <v>262</v>
      </c>
      <c r="BO10" t="s">
        <v>261</v>
      </c>
      <c r="BQ10">
        <v>2.42</v>
      </c>
      <c r="BV10" t="s">
        <v>263</v>
      </c>
      <c r="CM10" t="s">
        <v>264</v>
      </c>
      <c r="CN10" t="s">
        <v>264</v>
      </c>
      <c r="CP10" t="s">
        <v>265</v>
      </c>
      <c r="CQ10" t="s">
        <v>266</v>
      </c>
      <c r="DB10">
        <v>4</v>
      </c>
      <c r="DG10" t="s">
        <v>267</v>
      </c>
      <c r="DI10">
        <v>96</v>
      </c>
      <c r="DN10" t="s">
        <v>268</v>
      </c>
      <c r="DP10" t="s">
        <v>318</v>
      </c>
      <c r="DR10">
        <v>221654</v>
      </c>
      <c r="DS10">
        <v>65263</v>
      </c>
      <c r="DT10" t="s">
        <v>319</v>
      </c>
      <c r="EW10" t="s">
        <v>293</v>
      </c>
      <c r="FA10" t="s">
        <v>320</v>
      </c>
      <c r="FK10" t="s">
        <v>341</v>
      </c>
      <c r="FO10">
        <v>22</v>
      </c>
      <c r="FQ10">
        <v>24</v>
      </c>
      <c r="FR10" t="s">
        <v>295</v>
      </c>
      <c r="GU10">
        <v>20</v>
      </c>
      <c r="GZ10" t="s">
        <v>296</v>
      </c>
      <c r="HH10" t="s">
        <v>272</v>
      </c>
      <c r="ID10" t="s">
        <v>342</v>
      </c>
      <c r="IE10" t="s">
        <v>323</v>
      </c>
      <c r="IF10">
        <v>12227</v>
      </c>
      <c r="IG10" t="s">
        <v>324</v>
      </c>
      <c r="IH10" t="s">
        <v>325</v>
      </c>
      <c r="II10">
        <v>1986</v>
      </c>
      <c r="IJ10" t="s">
        <v>326</v>
      </c>
    </row>
    <row r="11" spans="1:244" x14ac:dyDescent="0.45">
      <c r="A11">
        <v>2203590</v>
      </c>
      <c r="B11">
        <v>2408224</v>
      </c>
      <c r="C11">
        <v>137304</v>
      </c>
      <c r="D11" t="s">
        <v>343</v>
      </c>
      <c r="F11" t="s">
        <v>245</v>
      </c>
      <c r="G11" t="s">
        <v>344</v>
      </c>
      <c r="I11">
        <v>97</v>
      </c>
      <c r="N11" t="s">
        <v>345</v>
      </c>
      <c r="O11" t="s">
        <v>346</v>
      </c>
      <c r="P11" t="s">
        <v>249</v>
      </c>
      <c r="Q11" t="s">
        <v>250</v>
      </c>
      <c r="R11" t="s">
        <v>251</v>
      </c>
      <c r="T11" t="s">
        <v>347</v>
      </c>
      <c r="U11" t="s">
        <v>348</v>
      </c>
      <c r="V11" t="s">
        <v>349</v>
      </c>
      <c r="W11" t="s">
        <v>350</v>
      </c>
      <c r="X11" t="s">
        <v>351</v>
      </c>
      <c r="AA11" t="s">
        <v>352</v>
      </c>
      <c r="AB11">
        <v>24</v>
      </c>
      <c r="AG11" t="s">
        <v>353</v>
      </c>
      <c r="AI11">
        <v>6</v>
      </c>
      <c r="AJ11" t="s">
        <v>354</v>
      </c>
      <c r="AM11" t="s">
        <v>317</v>
      </c>
      <c r="AN11" t="s">
        <v>259</v>
      </c>
      <c r="AO11" t="s">
        <v>260</v>
      </c>
      <c r="AP11">
        <v>8</v>
      </c>
      <c r="AQ11" t="s">
        <v>355</v>
      </c>
      <c r="AS11">
        <v>4.7779999999999996</v>
      </c>
      <c r="AX11" t="s">
        <v>356</v>
      </c>
      <c r="BO11" t="s">
        <v>355</v>
      </c>
      <c r="BQ11">
        <v>4.7779999999999996</v>
      </c>
      <c r="BV11" t="s">
        <v>263</v>
      </c>
      <c r="CM11" t="s">
        <v>264</v>
      </c>
      <c r="CN11" t="s">
        <v>264</v>
      </c>
      <c r="CP11" t="s">
        <v>265</v>
      </c>
      <c r="DB11">
        <v>2</v>
      </c>
      <c r="DG11" t="s">
        <v>267</v>
      </c>
      <c r="DI11">
        <v>48</v>
      </c>
      <c r="DN11" t="s">
        <v>268</v>
      </c>
      <c r="DP11" t="s">
        <v>357</v>
      </c>
      <c r="DQ11" t="s">
        <v>358</v>
      </c>
      <c r="DR11">
        <v>6660</v>
      </c>
      <c r="DS11">
        <v>421</v>
      </c>
      <c r="DT11" t="s">
        <v>359</v>
      </c>
      <c r="DV11">
        <v>48</v>
      </c>
      <c r="EA11" t="s">
        <v>268</v>
      </c>
      <c r="EC11">
        <v>2</v>
      </c>
      <c r="EH11" t="s">
        <v>267</v>
      </c>
      <c r="EJ11">
        <v>48</v>
      </c>
      <c r="EO11" t="s">
        <v>268</v>
      </c>
      <c r="EQ11">
        <v>2</v>
      </c>
      <c r="EV11" t="s">
        <v>267</v>
      </c>
      <c r="EW11" t="s">
        <v>360</v>
      </c>
      <c r="EZ11">
        <v>10</v>
      </c>
      <c r="FA11" t="s">
        <v>361</v>
      </c>
      <c r="FM11">
        <v>25</v>
      </c>
      <c r="FR11" t="s">
        <v>295</v>
      </c>
      <c r="GO11">
        <v>7.5</v>
      </c>
      <c r="GU11">
        <v>32</v>
      </c>
      <c r="GZ11" t="s">
        <v>362</v>
      </c>
      <c r="HH11" t="s">
        <v>272</v>
      </c>
      <c r="ID11" t="s">
        <v>363</v>
      </c>
      <c r="IE11" t="s">
        <v>364</v>
      </c>
      <c r="IF11">
        <v>175889</v>
      </c>
      <c r="IG11" t="s">
        <v>365</v>
      </c>
      <c r="IH11" t="s">
        <v>366</v>
      </c>
      <c r="II11">
        <v>2016</v>
      </c>
      <c r="IJ11" t="s">
        <v>367</v>
      </c>
    </row>
    <row r="12" spans="1:244" x14ac:dyDescent="0.45">
      <c r="A12">
        <v>2068162</v>
      </c>
      <c r="B12">
        <v>2104134</v>
      </c>
      <c r="C12">
        <v>137304</v>
      </c>
      <c r="D12" t="s">
        <v>343</v>
      </c>
      <c r="F12" t="s">
        <v>246</v>
      </c>
      <c r="G12" t="s">
        <v>368</v>
      </c>
      <c r="I12">
        <v>98</v>
      </c>
      <c r="N12" t="s">
        <v>369</v>
      </c>
      <c r="O12" t="s">
        <v>370</v>
      </c>
      <c r="P12" t="s">
        <v>249</v>
      </c>
      <c r="Q12" t="s">
        <v>250</v>
      </c>
      <c r="R12" t="s">
        <v>251</v>
      </c>
      <c r="T12" t="s">
        <v>252</v>
      </c>
      <c r="U12" t="s">
        <v>371</v>
      </c>
      <c r="V12" t="s">
        <v>372</v>
      </c>
      <c r="W12" t="s">
        <v>373</v>
      </c>
      <c r="X12" t="s">
        <v>374</v>
      </c>
      <c r="AA12" t="s">
        <v>289</v>
      </c>
      <c r="AB12">
        <v>24</v>
      </c>
      <c r="AG12" t="s">
        <v>268</v>
      </c>
      <c r="AL12" t="s">
        <v>375</v>
      </c>
      <c r="AM12" t="s">
        <v>307</v>
      </c>
      <c r="AN12" t="s">
        <v>259</v>
      </c>
      <c r="AO12" t="s">
        <v>260</v>
      </c>
      <c r="AQ12" t="s">
        <v>355</v>
      </c>
      <c r="AS12">
        <v>14</v>
      </c>
      <c r="AU12">
        <v>9</v>
      </c>
      <c r="AW12">
        <v>18</v>
      </c>
      <c r="AX12" t="s">
        <v>290</v>
      </c>
      <c r="BO12" t="s">
        <v>355</v>
      </c>
      <c r="BQ12">
        <v>1.4E-2</v>
      </c>
      <c r="BS12">
        <v>8.9999999999999993E-3</v>
      </c>
      <c r="BU12">
        <v>1.7999999999999999E-2</v>
      </c>
      <c r="BV12" t="s">
        <v>263</v>
      </c>
      <c r="CM12" t="s">
        <v>264</v>
      </c>
      <c r="CN12" t="s">
        <v>264</v>
      </c>
      <c r="CP12" t="s">
        <v>265</v>
      </c>
      <c r="DB12">
        <v>4</v>
      </c>
      <c r="DG12" t="s">
        <v>267</v>
      </c>
      <c r="DI12">
        <v>96</v>
      </c>
      <c r="DN12" t="s">
        <v>268</v>
      </c>
      <c r="DP12">
        <v>98</v>
      </c>
      <c r="DR12">
        <v>110441</v>
      </c>
      <c r="DS12">
        <v>142</v>
      </c>
      <c r="EJ12">
        <v>96</v>
      </c>
      <c r="EO12" t="s">
        <v>268</v>
      </c>
      <c r="EQ12">
        <v>4</v>
      </c>
      <c r="EV12" t="s">
        <v>267</v>
      </c>
      <c r="EW12" t="s">
        <v>376</v>
      </c>
      <c r="EY12" t="s">
        <v>377</v>
      </c>
      <c r="FR12" t="s">
        <v>378</v>
      </c>
      <c r="FY12" t="s">
        <v>378</v>
      </c>
      <c r="GF12" t="s">
        <v>378</v>
      </c>
      <c r="GM12" t="s">
        <v>378</v>
      </c>
      <c r="GZ12" t="s">
        <v>378</v>
      </c>
      <c r="HG12" t="s">
        <v>378</v>
      </c>
      <c r="HH12" t="s">
        <v>379</v>
      </c>
      <c r="HO12" t="s">
        <v>378</v>
      </c>
      <c r="HV12" t="s">
        <v>378</v>
      </c>
      <c r="IC12" t="s">
        <v>378</v>
      </c>
      <c r="ID12" t="s">
        <v>380</v>
      </c>
      <c r="IE12" t="s">
        <v>381</v>
      </c>
      <c r="IF12">
        <v>344</v>
      </c>
      <c r="IG12" t="s">
        <v>382</v>
      </c>
      <c r="IH12" t="s">
        <v>383</v>
      </c>
      <c r="II12">
        <v>1992</v>
      </c>
      <c r="IJ12" t="s">
        <v>384</v>
      </c>
    </row>
    <row r="13" spans="1:244" x14ac:dyDescent="0.45">
      <c r="A13">
        <v>2073568</v>
      </c>
      <c r="B13">
        <v>2114018</v>
      </c>
      <c r="C13">
        <v>137304</v>
      </c>
      <c r="D13" t="s">
        <v>343</v>
      </c>
      <c r="F13" t="s">
        <v>246</v>
      </c>
      <c r="G13" t="s">
        <v>368</v>
      </c>
      <c r="I13">
        <v>98.2</v>
      </c>
      <c r="N13" t="s">
        <v>369</v>
      </c>
      <c r="O13" t="s">
        <v>370</v>
      </c>
      <c r="P13" t="s">
        <v>249</v>
      </c>
      <c r="Q13" t="s">
        <v>250</v>
      </c>
      <c r="R13" t="s">
        <v>251</v>
      </c>
      <c r="T13" t="s">
        <v>252</v>
      </c>
      <c r="U13" t="s">
        <v>371</v>
      </c>
      <c r="V13" t="s">
        <v>372</v>
      </c>
      <c r="W13" t="s">
        <v>373</v>
      </c>
      <c r="X13" t="s">
        <v>374</v>
      </c>
      <c r="AA13" t="s">
        <v>289</v>
      </c>
      <c r="AB13">
        <v>24</v>
      </c>
      <c r="AG13" t="s">
        <v>268</v>
      </c>
      <c r="AL13" t="s">
        <v>375</v>
      </c>
      <c r="AM13" t="s">
        <v>307</v>
      </c>
      <c r="AN13" t="s">
        <v>259</v>
      </c>
      <c r="AO13" t="s">
        <v>260</v>
      </c>
      <c r="AQ13" t="s">
        <v>355</v>
      </c>
      <c r="AS13">
        <v>134</v>
      </c>
      <c r="AU13">
        <v>105</v>
      </c>
      <c r="AW13">
        <v>169</v>
      </c>
      <c r="AX13" t="s">
        <v>290</v>
      </c>
      <c r="BO13" t="s">
        <v>355</v>
      </c>
      <c r="BQ13">
        <v>0.13400000000000001</v>
      </c>
      <c r="BS13">
        <v>0.105</v>
      </c>
      <c r="BU13">
        <v>0.16900000000000001</v>
      </c>
      <c r="BV13" t="s">
        <v>263</v>
      </c>
      <c r="CM13" t="s">
        <v>264</v>
      </c>
      <c r="CN13" t="s">
        <v>264</v>
      </c>
      <c r="CP13" t="s">
        <v>265</v>
      </c>
      <c r="DB13">
        <v>4</v>
      </c>
      <c r="DG13" t="s">
        <v>267</v>
      </c>
      <c r="DI13">
        <v>96</v>
      </c>
      <c r="DN13" t="s">
        <v>268</v>
      </c>
      <c r="DP13">
        <v>98.2</v>
      </c>
      <c r="DR13">
        <v>110441</v>
      </c>
      <c r="DS13">
        <v>142</v>
      </c>
      <c r="EJ13">
        <v>96</v>
      </c>
      <c r="EO13" t="s">
        <v>268</v>
      </c>
      <c r="EQ13">
        <v>4</v>
      </c>
      <c r="EV13" t="s">
        <v>267</v>
      </c>
      <c r="EW13" t="s">
        <v>376</v>
      </c>
      <c r="EY13" t="s">
        <v>377</v>
      </c>
      <c r="FR13" t="s">
        <v>378</v>
      </c>
      <c r="FY13" t="s">
        <v>378</v>
      </c>
      <c r="GF13" t="s">
        <v>378</v>
      </c>
      <c r="GM13" t="s">
        <v>378</v>
      </c>
      <c r="GZ13" t="s">
        <v>378</v>
      </c>
      <c r="HG13" t="s">
        <v>378</v>
      </c>
      <c r="HH13" t="s">
        <v>379</v>
      </c>
      <c r="HO13" t="s">
        <v>378</v>
      </c>
      <c r="HV13" t="s">
        <v>378</v>
      </c>
      <c r="IC13" t="s">
        <v>378</v>
      </c>
      <c r="ID13" t="s">
        <v>380</v>
      </c>
      <c r="IE13" t="s">
        <v>381</v>
      </c>
      <c r="IF13">
        <v>344</v>
      </c>
      <c r="IG13" t="s">
        <v>382</v>
      </c>
      <c r="IH13" t="s">
        <v>383</v>
      </c>
      <c r="II13">
        <v>1992</v>
      </c>
      <c r="IJ13" t="s">
        <v>384</v>
      </c>
    </row>
    <row r="14" spans="1:244" x14ac:dyDescent="0.45">
      <c r="A14">
        <v>1301484</v>
      </c>
      <c r="B14">
        <v>757363</v>
      </c>
      <c r="C14">
        <v>142712</v>
      </c>
      <c r="D14" t="s">
        <v>385</v>
      </c>
      <c r="E14" t="s">
        <v>386</v>
      </c>
      <c r="F14" t="s">
        <v>245</v>
      </c>
      <c r="G14" t="s">
        <v>246</v>
      </c>
      <c r="N14" t="s">
        <v>387</v>
      </c>
      <c r="O14" t="s">
        <v>388</v>
      </c>
      <c r="P14" t="s">
        <v>249</v>
      </c>
      <c r="Q14" t="s">
        <v>250</v>
      </c>
      <c r="R14" t="s">
        <v>251</v>
      </c>
      <c r="T14" t="s">
        <v>389</v>
      </c>
      <c r="U14" t="s">
        <v>390</v>
      </c>
      <c r="V14" t="s">
        <v>391</v>
      </c>
      <c r="W14" t="s">
        <v>392</v>
      </c>
      <c r="X14" t="s">
        <v>393</v>
      </c>
      <c r="Z14" t="s">
        <v>315</v>
      </c>
      <c r="AM14" t="s">
        <v>287</v>
      </c>
      <c r="AN14" t="s">
        <v>259</v>
      </c>
      <c r="AO14" t="s">
        <v>260</v>
      </c>
      <c r="AP14">
        <v>2</v>
      </c>
      <c r="AQ14" t="s">
        <v>261</v>
      </c>
      <c r="AS14">
        <v>743</v>
      </c>
      <c r="AX14" t="s">
        <v>262</v>
      </c>
      <c r="BO14" t="s">
        <v>261</v>
      </c>
      <c r="BQ14">
        <v>0.74299999999999999</v>
      </c>
      <c r="BV14" t="s">
        <v>263</v>
      </c>
      <c r="CM14" t="s">
        <v>264</v>
      </c>
      <c r="CN14" t="s">
        <v>264</v>
      </c>
      <c r="CP14" t="s">
        <v>265</v>
      </c>
      <c r="CQ14" t="s">
        <v>394</v>
      </c>
      <c r="DB14">
        <v>4</v>
      </c>
      <c r="DG14" t="s">
        <v>267</v>
      </c>
      <c r="DI14">
        <v>96</v>
      </c>
      <c r="DN14" t="s">
        <v>268</v>
      </c>
      <c r="DP14" t="s">
        <v>395</v>
      </c>
      <c r="DR14">
        <v>158387</v>
      </c>
      <c r="DS14">
        <v>6038</v>
      </c>
      <c r="DT14" t="s">
        <v>396</v>
      </c>
      <c r="EW14" t="s">
        <v>293</v>
      </c>
      <c r="FA14" t="s">
        <v>397</v>
      </c>
      <c r="FK14" t="s">
        <v>398</v>
      </c>
      <c r="FM14">
        <v>25</v>
      </c>
      <c r="FR14" t="s">
        <v>295</v>
      </c>
      <c r="GQ14">
        <v>8.1</v>
      </c>
      <c r="GS14">
        <v>8.4</v>
      </c>
      <c r="GU14">
        <v>33</v>
      </c>
      <c r="GZ14" t="s">
        <v>296</v>
      </c>
      <c r="HH14" t="s">
        <v>272</v>
      </c>
      <c r="ID14" t="s">
        <v>399</v>
      </c>
      <c r="IE14" t="s">
        <v>400</v>
      </c>
      <c r="IF14">
        <v>115854</v>
      </c>
      <c r="IG14" t="s">
        <v>401</v>
      </c>
      <c r="IH14" t="s">
        <v>402</v>
      </c>
      <c r="II14">
        <v>2008</v>
      </c>
      <c r="IJ14" t="s">
        <v>403</v>
      </c>
    </row>
    <row r="15" spans="1:244" x14ac:dyDescent="0.45">
      <c r="A15">
        <v>1024817</v>
      </c>
      <c r="B15">
        <v>10725</v>
      </c>
      <c r="C15">
        <v>142712</v>
      </c>
      <c r="D15" t="s">
        <v>385</v>
      </c>
      <c r="F15" t="s">
        <v>327</v>
      </c>
      <c r="G15" t="s">
        <v>368</v>
      </c>
      <c r="N15" t="s">
        <v>312</v>
      </c>
      <c r="O15" t="s">
        <v>313</v>
      </c>
      <c r="P15" t="s">
        <v>249</v>
      </c>
      <c r="Q15" t="s">
        <v>250</v>
      </c>
      <c r="R15" t="s">
        <v>251</v>
      </c>
      <c r="T15" t="s">
        <v>252</v>
      </c>
      <c r="U15" t="s">
        <v>253</v>
      </c>
      <c r="V15" t="s">
        <v>304</v>
      </c>
      <c r="W15" t="s">
        <v>305</v>
      </c>
      <c r="X15" t="s">
        <v>314</v>
      </c>
      <c r="AI15">
        <v>2</v>
      </c>
      <c r="AJ15" t="s">
        <v>285</v>
      </c>
      <c r="AM15" t="s">
        <v>317</v>
      </c>
      <c r="AN15" t="s">
        <v>259</v>
      </c>
      <c r="AO15" t="s">
        <v>260</v>
      </c>
      <c r="AQ15" t="s">
        <v>261</v>
      </c>
      <c r="AS15">
        <v>35.9</v>
      </c>
      <c r="AX15" t="s">
        <v>356</v>
      </c>
      <c r="BO15" t="s">
        <v>261</v>
      </c>
      <c r="BQ15">
        <v>35.9</v>
      </c>
      <c r="BV15" t="s">
        <v>263</v>
      </c>
      <c r="CM15" t="s">
        <v>264</v>
      </c>
      <c r="CN15" t="s">
        <v>264</v>
      </c>
      <c r="CP15" t="s">
        <v>265</v>
      </c>
      <c r="CQ15" t="s">
        <v>394</v>
      </c>
      <c r="DB15">
        <v>4</v>
      </c>
      <c r="DG15" t="s">
        <v>267</v>
      </c>
      <c r="DI15">
        <v>96</v>
      </c>
      <c r="DN15" t="s">
        <v>268</v>
      </c>
      <c r="DP15" t="s">
        <v>404</v>
      </c>
      <c r="DQ15" t="s">
        <v>405</v>
      </c>
      <c r="DR15">
        <v>221654</v>
      </c>
      <c r="DS15">
        <v>65263</v>
      </c>
      <c r="DT15" t="s">
        <v>406</v>
      </c>
      <c r="DV15">
        <v>96</v>
      </c>
      <c r="EA15" t="s">
        <v>268</v>
      </c>
      <c r="EC15">
        <v>4</v>
      </c>
      <c r="EH15" t="s">
        <v>267</v>
      </c>
      <c r="EJ15">
        <v>96</v>
      </c>
      <c r="EO15" t="s">
        <v>268</v>
      </c>
      <c r="EQ15">
        <v>4</v>
      </c>
      <c r="EV15" t="s">
        <v>267</v>
      </c>
      <c r="EW15" t="s">
        <v>293</v>
      </c>
      <c r="EY15" t="s">
        <v>377</v>
      </c>
      <c r="EZ15">
        <v>5</v>
      </c>
      <c r="FA15" t="s">
        <v>407</v>
      </c>
      <c r="FK15" t="s">
        <v>408</v>
      </c>
      <c r="FM15">
        <v>22</v>
      </c>
      <c r="FR15" t="s">
        <v>295</v>
      </c>
      <c r="GQ15">
        <v>8.3000000000000007</v>
      </c>
      <c r="GS15">
        <v>8.6999999999999993</v>
      </c>
      <c r="GU15">
        <v>25</v>
      </c>
      <c r="GZ15" t="s">
        <v>296</v>
      </c>
      <c r="HH15" t="s">
        <v>272</v>
      </c>
      <c r="ID15" t="s">
        <v>409</v>
      </c>
      <c r="IE15" t="s">
        <v>410</v>
      </c>
      <c r="IF15">
        <v>875</v>
      </c>
      <c r="IG15" t="s">
        <v>411</v>
      </c>
      <c r="IH15" t="s">
        <v>412</v>
      </c>
      <c r="II15">
        <v>1979</v>
      </c>
      <c r="IJ15" t="s">
        <v>413</v>
      </c>
    </row>
    <row r="16" spans="1:244" x14ac:dyDescent="0.45">
      <c r="A16">
        <v>1245039</v>
      </c>
      <c r="B16">
        <v>236788</v>
      </c>
      <c r="C16">
        <v>301042</v>
      </c>
      <c r="D16" t="s">
        <v>414</v>
      </c>
      <c r="E16" t="s">
        <v>415</v>
      </c>
      <c r="F16" t="s">
        <v>245</v>
      </c>
      <c r="G16" t="s">
        <v>246</v>
      </c>
      <c r="N16" t="s">
        <v>416</v>
      </c>
      <c r="O16" t="s">
        <v>417</v>
      </c>
      <c r="P16" t="s">
        <v>249</v>
      </c>
      <c r="Q16" t="s">
        <v>250</v>
      </c>
      <c r="R16" t="s">
        <v>251</v>
      </c>
      <c r="T16" t="s">
        <v>252</v>
      </c>
      <c r="U16" t="s">
        <v>253</v>
      </c>
      <c r="V16" t="s">
        <v>418</v>
      </c>
      <c r="W16" t="s">
        <v>419</v>
      </c>
      <c r="X16" t="s">
        <v>420</v>
      </c>
      <c r="Z16" t="s">
        <v>421</v>
      </c>
      <c r="AJ16" t="s">
        <v>285</v>
      </c>
      <c r="AM16" t="s">
        <v>258</v>
      </c>
      <c r="AN16" t="s">
        <v>259</v>
      </c>
      <c r="AO16" t="s">
        <v>260</v>
      </c>
      <c r="AP16">
        <v>5</v>
      </c>
      <c r="AQ16" t="s">
        <v>261</v>
      </c>
      <c r="AS16">
        <v>5.18</v>
      </c>
      <c r="AU16">
        <v>3.75</v>
      </c>
      <c r="AW16">
        <v>6.61</v>
      </c>
      <c r="AX16" t="s">
        <v>422</v>
      </c>
      <c r="BO16" t="s">
        <v>261</v>
      </c>
      <c r="BQ16">
        <v>5.18</v>
      </c>
      <c r="BS16">
        <v>3.75</v>
      </c>
      <c r="BU16">
        <v>6.61</v>
      </c>
      <c r="BV16" t="s">
        <v>263</v>
      </c>
      <c r="CM16" t="s">
        <v>264</v>
      </c>
      <c r="CN16" t="s">
        <v>264</v>
      </c>
      <c r="CP16" t="s">
        <v>265</v>
      </c>
      <c r="CQ16" t="s">
        <v>423</v>
      </c>
      <c r="DB16">
        <v>4</v>
      </c>
      <c r="DG16" t="s">
        <v>267</v>
      </c>
      <c r="DI16">
        <v>96</v>
      </c>
      <c r="DN16" t="s">
        <v>268</v>
      </c>
      <c r="DS16">
        <v>1009</v>
      </c>
      <c r="DT16" t="s">
        <v>424</v>
      </c>
      <c r="EW16" t="s">
        <v>293</v>
      </c>
      <c r="FK16" t="s">
        <v>425</v>
      </c>
      <c r="FM16">
        <v>29</v>
      </c>
      <c r="FR16" t="s">
        <v>295</v>
      </c>
      <c r="GO16">
        <v>2.8</v>
      </c>
      <c r="GU16">
        <v>20</v>
      </c>
      <c r="GZ16" t="s">
        <v>296</v>
      </c>
      <c r="HH16" t="s">
        <v>272</v>
      </c>
      <c r="ID16" t="s">
        <v>426</v>
      </c>
      <c r="IE16" t="s">
        <v>427</v>
      </c>
      <c r="IF16">
        <v>82291</v>
      </c>
      <c r="IG16" t="s">
        <v>428</v>
      </c>
      <c r="IH16" t="s">
        <v>429</v>
      </c>
      <c r="II16">
        <v>2000</v>
      </c>
      <c r="IJ16" t="s">
        <v>430</v>
      </c>
    </row>
    <row r="17" spans="1:244" x14ac:dyDescent="0.45">
      <c r="A17">
        <v>1282501</v>
      </c>
      <c r="B17">
        <v>736161</v>
      </c>
      <c r="C17">
        <v>301042</v>
      </c>
      <c r="D17" t="s">
        <v>414</v>
      </c>
      <c r="F17" t="s">
        <v>245</v>
      </c>
      <c r="G17" t="s">
        <v>246</v>
      </c>
      <c r="N17" t="s">
        <v>416</v>
      </c>
      <c r="O17" t="s">
        <v>417</v>
      </c>
      <c r="P17" t="s">
        <v>249</v>
      </c>
      <c r="Q17" t="s">
        <v>250</v>
      </c>
      <c r="R17" t="s">
        <v>251</v>
      </c>
      <c r="T17" t="s">
        <v>252</v>
      </c>
      <c r="U17" t="s">
        <v>253</v>
      </c>
      <c r="V17" t="s">
        <v>418</v>
      </c>
      <c r="W17" t="s">
        <v>419</v>
      </c>
      <c r="X17" t="s">
        <v>420</v>
      </c>
      <c r="Z17" t="s">
        <v>421</v>
      </c>
      <c r="AL17" t="s">
        <v>431</v>
      </c>
      <c r="AM17" t="s">
        <v>258</v>
      </c>
      <c r="AN17" t="s">
        <v>259</v>
      </c>
      <c r="AO17" t="s">
        <v>260</v>
      </c>
      <c r="AP17">
        <v>5</v>
      </c>
      <c r="AQ17" t="s">
        <v>261</v>
      </c>
      <c r="AS17">
        <v>7.2229999999999999</v>
      </c>
      <c r="AU17">
        <v>5.6955</v>
      </c>
      <c r="AW17">
        <v>10.333</v>
      </c>
      <c r="AX17" t="s">
        <v>356</v>
      </c>
      <c r="BO17" t="s">
        <v>261</v>
      </c>
      <c r="BQ17">
        <v>7.2229999999999999</v>
      </c>
      <c r="BS17">
        <v>5.6955</v>
      </c>
      <c r="BU17">
        <v>10.333</v>
      </c>
      <c r="BV17" t="s">
        <v>263</v>
      </c>
      <c r="CM17" t="s">
        <v>264</v>
      </c>
      <c r="CN17" t="s">
        <v>264</v>
      </c>
      <c r="CP17" t="s">
        <v>265</v>
      </c>
      <c r="CQ17" t="s">
        <v>423</v>
      </c>
      <c r="DB17">
        <v>4</v>
      </c>
      <c r="DG17" t="s">
        <v>267</v>
      </c>
      <c r="DI17">
        <v>96</v>
      </c>
      <c r="DN17" t="s">
        <v>268</v>
      </c>
      <c r="DP17" t="s">
        <v>432</v>
      </c>
      <c r="DS17">
        <v>1009</v>
      </c>
      <c r="EW17" t="s">
        <v>293</v>
      </c>
      <c r="FK17" t="s">
        <v>433</v>
      </c>
      <c r="FM17">
        <v>29</v>
      </c>
      <c r="FR17" t="s">
        <v>295</v>
      </c>
      <c r="GU17">
        <v>20</v>
      </c>
      <c r="GZ17" t="s">
        <v>296</v>
      </c>
      <c r="HH17" t="s">
        <v>272</v>
      </c>
      <c r="ID17" t="s">
        <v>434</v>
      </c>
      <c r="IE17" t="s">
        <v>435</v>
      </c>
      <c r="IF17">
        <v>59783</v>
      </c>
      <c r="IG17" t="s">
        <v>436</v>
      </c>
      <c r="IH17" t="s">
        <v>437</v>
      </c>
      <c r="II17">
        <v>2000</v>
      </c>
      <c r="IJ17" t="s">
        <v>438</v>
      </c>
    </row>
    <row r="18" spans="1:244" x14ac:dyDescent="0.45">
      <c r="A18">
        <v>1236513</v>
      </c>
      <c r="B18">
        <v>233589</v>
      </c>
      <c r="C18">
        <v>301042</v>
      </c>
      <c r="D18" t="s">
        <v>414</v>
      </c>
      <c r="E18" t="s">
        <v>439</v>
      </c>
      <c r="F18" t="s">
        <v>245</v>
      </c>
      <c r="G18" t="s">
        <v>246</v>
      </c>
      <c r="N18" t="s">
        <v>416</v>
      </c>
      <c r="O18" t="s">
        <v>417</v>
      </c>
      <c r="P18" t="s">
        <v>249</v>
      </c>
      <c r="Q18" t="s">
        <v>250</v>
      </c>
      <c r="R18" t="s">
        <v>251</v>
      </c>
      <c r="T18" t="s">
        <v>252</v>
      </c>
      <c r="U18" t="s">
        <v>253</v>
      </c>
      <c r="V18" t="s">
        <v>418</v>
      </c>
      <c r="W18" t="s">
        <v>419</v>
      </c>
      <c r="X18" t="s">
        <v>420</v>
      </c>
      <c r="Z18" t="s">
        <v>421</v>
      </c>
      <c r="AJ18" t="s">
        <v>285</v>
      </c>
      <c r="AL18" t="s">
        <v>440</v>
      </c>
      <c r="AM18" t="s">
        <v>258</v>
      </c>
      <c r="AN18" t="s">
        <v>259</v>
      </c>
      <c r="AO18" t="s">
        <v>260</v>
      </c>
      <c r="AQ18" t="s">
        <v>261</v>
      </c>
      <c r="AS18">
        <v>7.2229999999999999</v>
      </c>
      <c r="AU18">
        <v>5.6958000000000002</v>
      </c>
      <c r="AW18">
        <v>10.333</v>
      </c>
      <c r="AX18" t="s">
        <v>422</v>
      </c>
      <c r="BO18" t="s">
        <v>261</v>
      </c>
      <c r="BQ18">
        <v>7.2229999999999999</v>
      </c>
      <c r="BS18">
        <v>5.6958000000000002</v>
      </c>
      <c r="BU18">
        <v>10.333</v>
      </c>
      <c r="BV18" t="s">
        <v>263</v>
      </c>
      <c r="CM18" t="s">
        <v>264</v>
      </c>
      <c r="CN18" t="s">
        <v>264</v>
      </c>
      <c r="CP18" t="s">
        <v>265</v>
      </c>
      <c r="DB18">
        <v>4</v>
      </c>
      <c r="DG18" t="s">
        <v>267</v>
      </c>
      <c r="DI18">
        <v>96</v>
      </c>
      <c r="DN18" t="s">
        <v>268</v>
      </c>
      <c r="DS18">
        <v>1009</v>
      </c>
      <c r="DT18" t="s">
        <v>441</v>
      </c>
      <c r="EW18" t="s">
        <v>293</v>
      </c>
      <c r="FK18" t="s">
        <v>442</v>
      </c>
      <c r="FM18">
        <v>29</v>
      </c>
      <c r="FR18" t="s">
        <v>295</v>
      </c>
      <c r="GU18">
        <v>20</v>
      </c>
      <c r="GZ18" t="s">
        <v>296</v>
      </c>
      <c r="HH18" t="s">
        <v>272</v>
      </c>
      <c r="ID18" t="s">
        <v>443</v>
      </c>
      <c r="IE18" t="s">
        <v>444</v>
      </c>
      <c r="IF18">
        <v>65824</v>
      </c>
      <c r="IG18" t="s">
        <v>445</v>
      </c>
      <c r="IH18" t="s">
        <v>446</v>
      </c>
      <c r="II18">
        <v>2002</v>
      </c>
      <c r="IJ18" t="s">
        <v>447</v>
      </c>
    </row>
    <row r="19" spans="1:244" x14ac:dyDescent="0.45">
      <c r="A19">
        <v>1245030</v>
      </c>
      <c r="B19">
        <v>236779</v>
      </c>
      <c r="C19">
        <v>301042</v>
      </c>
      <c r="D19" t="s">
        <v>414</v>
      </c>
      <c r="E19" t="s">
        <v>415</v>
      </c>
      <c r="F19" t="s">
        <v>245</v>
      </c>
      <c r="G19" t="s">
        <v>246</v>
      </c>
      <c r="N19" t="s">
        <v>416</v>
      </c>
      <c r="O19" t="s">
        <v>417</v>
      </c>
      <c r="P19" t="s">
        <v>249</v>
      </c>
      <c r="Q19" t="s">
        <v>250</v>
      </c>
      <c r="R19" t="s">
        <v>251</v>
      </c>
      <c r="T19" t="s">
        <v>252</v>
      </c>
      <c r="U19" t="s">
        <v>253</v>
      </c>
      <c r="V19" t="s">
        <v>418</v>
      </c>
      <c r="W19" t="s">
        <v>419</v>
      </c>
      <c r="X19" t="s">
        <v>420</v>
      </c>
      <c r="Z19" t="s">
        <v>421</v>
      </c>
      <c r="AJ19" t="s">
        <v>285</v>
      </c>
      <c r="AM19" t="s">
        <v>258</v>
      </c>
      <c r="AN19" t="s">
        <v>259</v>
      </c>
      <c r="AO19" t="s">
        <v>260</v>
      </c>
      <c r="AP19">
        <v>5</v>
      </c>
      <c r="AQ19" t="s">
        <v>261</v>
      </c>
      <c r="AS19">
        <v>4.7699999999999996</v>
      </c>
      <c r="AU19">
        <v>3.13</v>
      </c>
      <c r="AW19">
        <v>6.4</v>
      </c>
      <c r="AX19" t="s">
        <v>422</v>
      </c>
      <c r="BO19" t="s">
        <v>261</v>
      </c>
      <c r="BQ19">
        <v>4.7699999999999996</v>
      </c>
      <c r="BS19">
        <v>3.13</v>
      </c>
      <c r="BU19">
        <v>6.4</v>
      </c>
      <c r="BV19" t="s">
        <v>263</v>
      </c>
      <c r="CM19" t="s">
        <v>264</v>
      </c>
      <c r="CN19" t="s">
        <v>264</v>
      </c>
      <c r="CP19" t="s">
        <v>265</v>
      </c>
      <c r="CQ19" t="s">
        <v>423</v>
      </c>
      <c r="DB19">
        <v>4</v>
      </c>
      <c r="DG19" t="s">
        <v>267</v>
      </c>
      <c r="DI19">
        <v>96</v>
      </c>
      <c r="DN19" t="s">
        <v>268</v>
      </c>
      <c r="DS19">
        <v>1009</v>
      </c>
      <c r="DT19" t="s">
        <v>424</v>
      </c>
      <c r="EW19" t="s">
        <v>293</v>
      </c>
      <c r="FK19" t="s">
        <v>448</v>
      </c>
      <c r="FM19">
        <v>45</v>
      </c>
      <c r="FR19" t="s">
        <v>295</v>
      </c>
      <c r="GO19">
        <v>7.2</v>
      </c>
      <c r="GU19">
        <v>20</v>
      </c>
      <c r="GZ19" t="s">
        <v>296</v>
      </c>
      <c r="HH19" t="s">
        <v>272</v>
      </c>
      <c r="ID19" t="s">
        <v>449</v>
      </c>
      <c r="IE19" t="s">
        <v>427</v>
      </c>
      <c r="IF19">
        <v>82291</v>
      </c>
      <c r="IG19" t="s">
        <v>428</v>
      </c>
      <c r="IH19" t="s">
        <v>429</v>
      </c>
      <c r="II19">
        <v>2000</v>
      </c>
      <c r="IJ19" t="s">
        <v>430</v>
      </c>
    </row>
    <row r="20" spans="1:244" x14ac:dyDescent="0.45">
      <c r="A20">
        <v>1245024</v>
      </c>
      <c r="B20">
        <v>236773</v>
      </c>
      <c r="C20">
        <v>301042</v>
      </c>
      <c r="D20" t="s">
        <v>414</v>
      </c>
      <c r="E20" t="s">
        <v>415</v>
      </c>
      <c r="F20" t="s">
        <v>245</v>
      </c>
      <c r="G20" t="s">
        <v>246</v>
      </c>
      <c r="N20" t="s">
        <v>416</v>
      </c>
      <c r="O20" t="s">
        <v>417</v>
      </c>
      <c r="P20" t="s">
        <v>249</v>
      </c>
      <c r="Q20" t="s">
        <v>250</v>
      </c>
      <c r="R20" t="s">
        <v>251</v>
      </c>
      <c r="T20" t="s">
        <v>252</v>
      </c>
      <c r="U20" t="s">
        <v>253</v>
      </c>
      <c r="V20" t="s">
        <v>418</v>
      </c>
      <c r="W20" t="s">
        <v>419</v>
      </c>
      <c r="X20" t="s">
        <v>420</v>
      </c>
      <c r="Z20" t="s">
        <v>421</v>
      </c>
      <c r="AJ20" t="s">
        <v>285</v>
      </c>
      <c r="AM20" t="s">
        <v>258</v>
      </c>
      <c r="AN20" t="s">
        <v>259</v>
      </c>
      <c r="AO20" t="s">
        <v>260</v>
      </c>
      <c r="AP20">
        <v>5</v>
      </c>
      <c r="AQ20" t="s">
        <v>261</v>
      </c>
      <c r="AS20">
        <v>5.45</v>
      </c>
      <c r="AU20">
        <v>5.3</v>
      </c>
      <c r="AW20">
        <v>5.6</v>
      </c>
      <c r="AX20" t="s">
        <v>422</v>
      </c>
      <c r="BO20" t="s">
        <v>261</v>
      </c>
      <c r="BQ20">
        <v>5.45</v>
      </c>
      <c r="BS20">
        <v>5.3</v>
      </c>
      <c r="BU20">
        <v>5.6</v>
      </c>
      <c r="BV20" t="s">
        <v>263</v>
      </c>
      <c r="CM20" t="s">
        <v>264</v>
      </c>
      <c r="CN20" t="s">
        <v>264</v>
      </c>
      <c r="CP20" t="s">
        <v>265</v>
      </c>
      <c r="CQ20" t="s">
        <v>423</v>
      </c>
      <c r="DB20">
        <v>4</v>
      </c>
      <c r="DG20" t="s">
        <v>267</v>
      </c>
      <c r="DI20">
        <v>96</v>
      </c>
      <c r="DN20" t="s">
        <v>268</v>
      </c>
      <c r="DS20">
        <v>1009</v>
      </c>
      <c r="DT20" t="s">
        <v>424</v>
      </c>
      <c r="EW20" t="s">
        <v>293</v>
      </c>
      <c r="FK20" t="s">
        <v>450</v>
      </c>
      <c r="FM20">
        <v>29</v>
      </c>
      <c r="FR20" t="s">
        <v>295</v>
      </c>
      <c r="GO20">
        <v>7.2</v>
      </c>
      <c r="GU20">
        <v>29</v>
      </c>
      <c r="GZ20" t="s">
        <v>296</v>
      </c>
      <c r="HH20" t="s">
        <v>272</v>
      </c>
      <c r="ID20" t="s">
        <v>451</v>
      </c>
      <c r="IE20" t="s">
        <v>427</v>
      </c>
      <c r="IF20">
        <v>82291</v>
      </c>
      <c r="IG20" t="s">
        <v>428</v>
      </c>
      <c r="IH20" t="s">
        <v>429</v>
      </c>
      <c r="II20">
        <v>2000</v>
      </c>
      <c r="IJ20" t="s">
        <v>430</v>
      </c>
    </row>
    <row r="21" spans="1:244" x14ac:dyDescent="0.45">
      <c r="A21">
        <v>1116106</v>
      </c>
      <c r="B21">
        <v>107337</v>
      </c>
      <c r="C21">
        <v>301042</v>
      </c>
      <c r="D21" t="s">
        <v>414</v>
      </c>
      <c r="F21" t="s">
        <v>245</v>
      </c>
      <c r="G21" t="s">
        <v>246</v>
      </c>
      <c r="N21" t="s">
        <v>452</v>
      </c>
      <c r="O21" t="s">
        <v>346</v>
      </c>
      <c r="P21" t="s">
        <v>249</v>
      </c>
      <c r="Q21" t="s">
        <v>250</v>
      </c>
      <c r="R21" t="s">
        <v>251</v>
      </c>
      <c r="T21" t="s">
        <v>347</v>
      </c>
      <c r="U21" t="s">
        <v>348</v>
      </c>
      <c r="V21" t="s">
        <v>349</v>
      </c>
      <c r="W21" t="s">
        <v>350</v>
      </c>
      <c r="X21" t="s">
        <v>453</v>
      </c>
      <c r="Z21" t="s">
        <v>284</v>
      </c>
      <c r="AM21" t="s">
        <v>317</v>
      </c>
      <c r="AN21" t="s">
        <v>259</v>
      </c>
      <c r="AO21" t="s">
        <v>260</v>
      </c>
      <c r="AQ21" t="s">
        <v>261</v>
      </c>
      <c r="AS21">
        <v>116000</v>
      </c>
      <c r="AU21">
        <v>109000</v>
      </c>
      <c r="AW21">
        <v>123000</v>
      </c>
      <c r="AX21" t="s">
        <v>262</v>
      </c>
      <c r="BO21" t="s">
        <v>261</v>
      </c>
      <c r="BQ21">
        <v>116</v>
      </c>
      <c r="BS21">
        <v>109</v>
      </c>
      <c r="BU21">
        <v>123</v>
      </c>
      <c r="BV21" t="s">
        <v>263</v>
      </c>
      <c r="CM21" t="s">
        <v>264</v>
      </c>
      <c r="CN21" t="s">
        <v>264</v>
      </c>
      <c r="CP21" t="s">
        <v>265</v>
      </c>
      <c r="CQ21" t="s">
        <v>423</v>
      </c>
      <c r="DB21">
        <v>3</v>
      </c>
      <c r="DG21" t="s">
        <v>267</v>
      </c>
      <c r="DI21">
        <v>3</v>
      </c>
      <c r="DN21" t="s">
        <v>267</v>
      </c>
      <c r="DR21">
        <v>85549</v>
      </c>
      <c r="DS21">
        <v>366</v>
      </c>
      <c r="EW21" t="s">
        <v>271</v>
      </c>
      <c r="HH21" t="s">
        <v>272</v>
      </c>
      <c r="IE21" t="s">
        <v>454</v>
      </c>
      <c r="IF21">
        <v>9001</v>
      </c>
      <c r="IG21" t="s">
        <v>455</v>
      </c>
      <c r="IH21" t="s">
        <v>456</v>
      </c>
      <c r="II21">
        <v>1973</v>
      </c>
      <c r="IJ21" t="s">
        <v>457</v>
      </c>
    </row>
    <row r="22" spans="1:244" x14ac:dyDescent="0.45">
      <c r="A22">
        <v>1245036</v>
      </c>
      <c r="B22">
        <v>236785</v>
      </c>
      <c r="C22">
        <v>301042</v>
      </c>
      <c r="D22" t="s">
        <v>414</v>
      </c>
      <c r="E22" t="s">
        <v>415</v>
      </c>
      <c r="F22" t="s">
        <v>245</v>
      </c>
      <c r="G22" t="s">
        <v>246</v>
      </c>
      <c r="N22" t="s">
        <v>416</v>
      </c>
      <c r="O22" t="s">
        <v>417</v>
      </c>
      <c r="P22" t="s">
        <v>249</v>
      </c>
      <c r="Q22" t="s">
        <v>250</v>
      </c>
      <c r="R22" t="s">
        <v>251</v>
      </c>
      <c r="T22" t="s">
        <v>252</v>
      </c>
      <c r="U22" t="s">
        <v>253</v>
      </c>
      <c r="V22" t="s">
        <v>418</v>
      </c>
      <c r="W22" t="s">
        <v>419</v>
      </c>
      <c r="X22" t="s">
        <v>420</v>
      </c>
      <c r="Z22" t="s">
        <v>421</v>
      </c>
      <c r="AJ22" t="s">
        <v>285</v>
      </c>
      <c r="AM22" t="s">
        <v>258</v>
      </c>
      <c r="AN22" t="s">
        <v>259</v>
      </c>
      <c r="AO22" t="s">
        <v>260</v>
      </c>
      <c r="AP22">
        <v>5</v>
      </c>
      <c r="AQ22" t="s">
        <v>261</v>
      </c>
      <c r="AS22">
        <v>4.6500000000000004</v>
      </c>
      <c r="AU22">
        <v>3.93</v>
      </c>
      <c r="AW22">
        <v>5.34</v>
      </c>
      <c r="AX22" t="s">
        <v>422</v>
      </c>
      <c r="BO22" t="s">
        <v>261</v>
      </c>
      <c r="BQ22">
        <v>4.6500000000000004</v>
      </c>
      <c r="BS22">
        <v>3.93</v>
      </c>
      <c r="BU22">
        <v>5.34</v>
      </c>
      <c r="BV22" t="s">
        <v>263</v>
      </c>
      <c r="CM22" t="s">
        <v>264</v>
      </c>
      <c r="CN22" t="s">
        <v>264</v>
      </c>
      <c r="CP22" t="s">
        <v>265</v>
      </c>
      <c r="CQ22" t="s">
        <v>423</v>
      </c>
      <c r="DB22">
        <v>4</v>
      </c>
      <c r="DG22" t="s">
        <v>267</v>
      </c>
      <c r="DI22">
        <v>96</v>
      </c>
      <c r="DN22" t="s">
        <v>268</v>
      </c>
      <c r="DS22">
        <v>1009</v>
      </c>
      <c r="DT22" t="s">
        <v>424</v>
      </c>
      <c r="EW22" t="s">
        <v>293</v>
      </c>
      <c r="FK22" t="s">
        <v>458</v>
      </c>
      <c r="FM22">
        <v>29</v>
      </c>
      <c r="FR22" t="s">
        <v>295</v>
      </c>
      <c r="GO22">
        <v>11</v>
      </c>
      <c r="GU22">
        <v>20</v>
      </c>
      <c r="GZ22" t="s">
        <v>296</v>
      </c>
      <c r="HH22" t="s">
        <v>272</v>
      </c>
      <c r="ID22" t="s">
        <v>459</v>
      </c>
      <c r="IE22" t="s">
        <v>427</v>
      </c>
      <c r="IF22">
        <v>82291</v>
      </c>
      <c r="IG22" t="s">
        <v>428</v>
      </c>
      <c r="IH22" t="s">
        <v>429</v>
      </c>
      <c r="II22">
        <v>2000</v>
      </c>
      <c r="IJ22" t="s">
        <v>430</v>
      </c>
    </row>
    <row r="23" spans="1:244" x14ac:dyDescent="0.45">
      <c r="A23">
        <v>1116104</v>
      </c>
      <c r="B23">
        <v>107335</v>
      </c>
      <c r="C23">
        <v>301042</v>
      </c>
      <c r="D23" t="s">
        <v>414</v>
      </c>
      <c r="F23" t="s">
        <v>245</v>
      </c>
      <c r="G23" t="s">
        <v>246</v>
      </c>
      <c r="N23" t="s">
        <v>460</v>
      </c>
      <c r="O23" t="s">
        <v>461</v>
      </c>
      <c r="P23" t="s">
        <v>249</v>
      </c>
      <c r="Q23" t="s">
        <v>250</v>
      </c>
      <c r="R23" t="s">
        <v>251</v>
      </c>
      <c r="T23" t="s">
        <v>389</v>
      </c>
      <c r="U23" t="s">
        <v>462</v>
      </c>
      <c r="V23" t="s">
        <v>463</v>
      </c>
      <c r="W23" t="s">
        <v>464</v>
      </c>
      <c r="X23" t="s">
        <v>465</v>
      </c>
      <c r="Z23" t="s">
        <v>284</v>
      </c>
      <c r="AM23" t="s">
        <v>317</v>
      </c>
      <c r="AN23" t="s">
        <v>259</v>
      </c>
      <c r="AO23" t="s">
        <v>260</v>
      </c>
      <c r="AQ23" t="s">
        <v>261</v>
      </c>
      <c r="AS23">
        <v>52100</v>
      </c>
      <c r="AU23">
        <v>45700</v>
      </c>
      <c r="AW23">
        <v>59400</v>
      </c>
      <c r="AX23" t="s">
        <v>262</v>
      </c>
      <c r="BO23" t="s">
        <v>261</v>
      </c>
      <c r="BQ23">
        <v>52.1</v>
      </c>
      <c r="BS23">
        <v>45.7</v>
      </c>
      <c r="BU23">
        <v>59.4</v>
      </c>
      <c r="BV23" t="s">
        <v>263</v>
      </c>
      <c r="CM23" t="s">
        <v>264</v>
      </c>
      <c r="CN23" t="s">
        <v>264</v>
      </c>
      <c r="CP23" t="s">
        <v>265</v>
      </c>
      <c r="CQ23" t="s">
        <v>423</v>
      </c>
      <c r="DB23">
        <v>3</v>
      </c>
      <c r="DG23" t="s">
        <v>267</v>
      </c>
      <c r="DI23">
        <v>3</v>
      </c>
      <c r="DN23" t="s">
        <v>267</v>
      </c>
      <c r="DR23">
        <v>637417</v>
      </c>
      <c r="DS23">
        <v>214</v>
      </c>
      <c r="EW23" t="s">
        <v>271</v>
      </c>
      <c r="HH23" t="s">
        <v>272</v>
      </c>
      <c r="IE23" t="s">
        <v>454</v>
      </c>
      <c r="IF23">
        <v>9001</v>
      </c>
      <c r="IG23" t="s">
        <v>455</v>
      </c>
      <c r="IH23" t="s">
        <v>456</v>
      </c>
      <c r="II23">
        <v>1973</v>
      </c>
      <c r="IJ23" t="s">
        <v>457</v>
      </c>
    </row>
    <row r="24" spans="1:244" x14ac:dyDescent="0.45">
      <c r="A24">
        <v>1245033</v>
      </c>
      <c r="B24">
        <v>236782</v>
      </c>
      <c r="C24">
        <v>301042</v>
      </c>
      <c r="D24" t="s">
        <v>414</v>
      </c>
      <c r="E24" t="s">
        <v>415</v>
      </c>
      <c r="F24" t="s">
        <v>245</v>
      </c>
      <c r="G24" t="s">
        <v>246</v>
      </c>
      <c r="N24" t="s">
        <v>416</v>
      </c>
      <c r="O24" t="s">
        <v>417</v>
      </c>
      <c r="P24" t="s">
        <v>249</v>
      </c>
      <c r="Q24" t="s">
        <v>250</v>
      </c>
      <c r="R24" t="s">
        <v>251</v>
      </c>
      <c r="T24" t="s">
        <v>252</v>
      </c>
      <c r="U24" t="s">
        <v>253</v>
      </c>
      <c r="V24" t="s">
        <v>418</v>
      </c>
      <c r="W24" t="s">
        <v>419</v>
      </c>
      <c r="X24" t="s">
        <v>420</v>
      </c>
      <c r="Z24" t="s">
        <v>421</v>
      </c>
      <c r="AJ24" t="s">
        <v>285</v>
      </c>
      <c r="AM24" t="s">
        <v>258</v>
      </c>
      <c r="AN24" t="s">
        <v>259</v>
      </c>
      <c r="AO24" t="s">
        <v>260</v>
      </c>
      <c r="AP24">
        <v>5</v>
      </c>
      <c r="AQ24" t="s">
        <v>261</v>
      </c>
      <c r="AS24">
        <v>6.84</v>
      </c>
      <c r="AU24">
        <v>4.62</v>
      </c>
      <c r="AW24">
        <v>9.0399999999999991</v>
      </c>
      <c r="AX24" t="s">
        <v>422</v>
      </c>
      <c r="BO24" t="s">
        <v>261</v>
      </c>
      <c r="BQ24">
        <v>6.84</v>
      </c>
      <c r="BS24">
        <v>4.62</v>
      </c>
      <c r="BU24">
        <v>9.0399999999999991</v>
      </c>
      <c r="BV24" t="s">
        <v>263</v>
      </c>
      <c r="CM24" t="s">
        <v>264</v>
      </c>
      <c r="CN24" t="s">
        <v>264</v>
      </c>
      <c r="CP24" t="s">
        <v>265</v>
      </c>
      <c r="CQ24" t="s">
        <v>423</v>
      </c>
      <c r="DB24">
        <v>4</v>
      </c>
      <c r="DG24" t="s">
        <v>267</v>
      </c>
      <c r="DI24">
        <v>96</v>
      </c>
      <c r="DN24" t="s">
        <v>268</v>
      </c>
      <c r="DS24">
        <v>1009</v>
      </c>
      <c r="DT24" t="s">
        <v>424</v>
      </c>
      <c r="EW24" t="s">
        <v>293</v>
      </c>
      <c r="FK24" t="s">
        <v>466</v>
      </c>
      <c r="FM24">
        <v>10</v>
      </c>
      <c r="FR24" t="s">
        <v>295</v>
      </c>
      <c r="GO24">
        <v>7.2</v>
      </c>
      <c r="GU24">
        <v>20</v>
      </c>
      <c r="GZ24" t="s">
        <v>296</v>
      </c>
      <c r="HH24" t="s">
        <v>272</v>
      </c>
      <c r="ID24" t="s">
        <v>467</v>
      </c>
      <c r="IE24" t="s">
        <v>427</v>
      </c>
      <c r="IF24">
        <v>82291</v>
      </c>
      <c r="IG24" t="s">
        <v>428</v>
      </c>
      <c r="IH24" t="s">
        <v>429</v>
      </c>
      <c r="II24">
        <v>2000</v>
      </c>
      <c r="IJ24" t="s">
        <v>430</v>
      </c>
    </row>
    <row r="25" spans="1:244" x14ac:dyDescent="0.45">
      <c r="A25">
        <v>1245021</v>
      </c>
      <c r="B25">
        <v>236770</v>
      </c>
      <c r="C25">
        <v>301042</v>
      </c>
      <c r="D25" t="s">
        <v>414</v>
      </c>
      <c r="E25" t="s">
        <v>415</v>
      </c>
      <c r="F25" t="s">
        <v>245</v>
      </c>
      <c r="G25" t="s">
        <v>246</v>
      </c>
      <c r="N25" t="s">
        <v>416</v>
      </c>
      <c r="O25" t="s">
        <v>417</v>
      </c>
      <c r="P25" t="s">
        <v>249</v>
      </c>
      <c r="Q25" t="s">
        <v>250</v>
      </c>
      <c r="R25" t="s">
        <v>251</v>
      </c>
      <c r="T25" t="s">
        <v>252</v>
      </c>
      <c r="U25" t="s">
        <v>253</v>
      </c>
      <c r="V25" t="s">
        <v>418</v>
      </c>
      <c r="W25" t="s">
        <v>419</v>
      </c>
      <c r="X25" t="s">
        <v>420</v>
      </c>
      <c r="Z25" t="s">
        <v>421</v>
      </c>
      <c r="AJ25" t="s">
        <v>285</v>
      </c>
      <c r="AM25" t="s">
        <v>258</v>
      </c>
      <c r="AN25" t="s">
        <v>259</v>
      </c>
      <c r="AO25" t="s">
        <v>260</v>
      </c>
      <c r="AP25">
        <v>5</v>
      </c>
      <c r="AQ25" t="s">
        <v>261</v>
      </c>
      <c r="AS25">
        <v>7.22</v>
      </c>
      <c r="AU25">
        <v>5.69</v>
      </c>
      <c r="AW25">
        <v>10.3</v>
      </c>
      <c r="AX25" t="s">
        <v>422</v>
      </c>
      <c r="BO25" t="s">
        <v>261</v>
      </c>
      <c r="BQ25">
        <v>7.22</v>
      </c>
      <c r="BS25">
        <v>5.69</v>
      </c>
      <c r="BU25">
        <v>10.3</v>
      </c>
      <c r="BV25" t="s">
        <v>263</v>
      </c>
      <c r="CM25" t="s">
        <v>264</v>
      </c>
      <c r="CN25" t="s">
        <v>264</v>
      </c>
      <c r="CP25" t="s">
        <v>265</v>
      </c>
      <c r="CQ25" t="s">
        <v>423</v>
      </c>
      <c r="DB25">
        <v>4</v>
      </c>
      <c r="DG25" t="s">
        <v>267</v>
      </c>
      <c r="DI25">
        <v>96</v>
      </c>
      <c r="DN25" t="s">
        <v>268</v>
      </c>
      <c r="DS25">
        <v>1009</v>
      </c>
      <c r="DT25" t="s">
        <v>424</v>
      </c>
      <c r="EW25" t="s">
        <v>293</v>
      </c>
      <c r="FK25" t="s">
        <v>468</v>
      </c>
      <c r="FM25">
        <v>29</v>
      </c>
      <c r="FR25" t="s">
        <v>295</v>
      </c>
      <c r="GO25">
        <v>7.2</v>
      </c>
      <c r="GU25">
        <v>20</v>
      </c>
      <c r="GZ25" t="s">
        <v>296</v>
      </c>
      <c r="HH25" t="s">
        <v>272</v>
      </c>
      <c r="ID25" t="s">
        <v>469</v>
      </c>
      <c r="IE25" t="s">
        <v>427</v>
      </c>
      <c r="IF25">
        <v>82291</v>
      </c>
      <c r="IG25" t="s">
        <v>428</v>
      </c>
      <c r="IH25" t="s">
        <v>429</v>
      </c>
      <c r="II25">
        <v>2000</v>
      </c>
      <c r="IJ25" t="s">
        <v>430</v>
      </c>
    </row>
    <row r="26" spans="1:244" x14ac:dyDescent="0.45">
      <c r="A26">
        <v>1152733</v>
      </c>
      <c r="B26">
        <v>86472</v>
      </c>
      <c r="C26">
        <v>373024</v>
      </c>
      <c r="D26" t="s">
        <v>470</v>
      </c>
      <c r="F26" t="s">
        <v>245</v>
      </c>
      <c r="G26" t="s">
        <v>246</v>
      </c>
      <c r="N26" t="s">
        <v>471</v>
      </c>
      <c r="O26" t="s">
        <v>388</v>
      </c>
      <c r="P26" t="s">
        <v>249</v>
      </c>
      <c r="Q26" t="s">
        <v>250</v>
      </c>
      <c r="R26" t="s">
        <v>251</v>
      </c>
      <c r="T26" t="s">
        <v>389</v>
      </c>
      <c r="U26" t="s">
        <v>390</v>
      </c>
      <c r="V26" t="s">
        <v>472</v>
      </c>
      <c r="W26" t="s">
        <v>473</v>
      </c>
      <c r="X26" t="s">
        <v>474</v>
      </c>
      <c r="AL26" t="s">
        <v>475</v>
      </c>
      <c r="AM26" t="s">
        <v>317</v>
      </c>
      <c r="AN26" t="s">
        <v>259</v>
      </c>
      <c r="AO26" t="s">
        <v>260</v>
      </c>
      <c r="AQ26" t="s">
        <v>261</v>
      </c>
      <c r="AS26">
        <v>2580</v>
      </c>
      <c r="AX26" t="s">
        <v>262</v>
      </c>
      <c r="BO26" t="s">
        <v>261</v>
      </c>
      <c r="BQ26">
        <v>2.58</v>
      </c>
      <c r="BV26" t="s">
        <v>263</v>
      </c>
      <c r="CM26" t="s">
        <v>264</v>
      </c>
      <c r="CN26" t="s">
        <v>264</v>
      </c>
      <c r="CP26" t="s">
        <v>265</v>
      </c>
      <c r="DB26">
        <v>2</v>
      </c>
      <c r="DG26" t="s">
        <v>267</v>
      </c>
      <c r="DI26">
        <v>48</v>
      </c>
      <c r="DN26" t="s">
        <v>268</v>
      </c>
      <c r="DR26">
        <v>2056173</v>
      </c>
      <c r="DS26">
        <v>1053</v>
      </c>
      <c r="DT26" t="s">
        <v>476</v>
      </c>
      <c r="EW26" t="s">
        <v>271</v>
      </c>
      <c r="FA26" t="s">
        <v>477</v>
      </c>
      <c r="FK26" t="s">
        <v>478</v>
      </c>
      <c r="FM26">
        <v>22</v>
      </c>
      <c r="FR26" t="s">
        <v>295</v>
      </c>
      <c r="GU26">
        <v>38</v>
      </c>
      <c r="GZ26" t="s">
        <v>296</v>
      </c>
      <c r="HH26" t="s">
        <v>272</v>
      </c>
      <c r="ID26" t="s">
        <v>479</v>
      </c>
      <c r="IE26" t="s">
        <v>480</v>
      </c>
      <c r="IF26">
        <v>13179</v>
      </c>
      <c r="IG26" t="s">
        <v>481</v>
      </c>
      <c r="IH26" t="s">
        <v>482</v>
      </c>
      <c r="II26">
        <v>1988</v>
      </c>
      <c r="IJ26" t="s">
        <v>483</v>
      </c>
    </row>
    <row r="27" spans="1:244" x14ac:dyDescent="0.45">
      <c r="A27">
        <v>2278671</v>
      </c>
      <c r="B27">
        <v>2641254</v>
      </c>
      <c r="C27">
        <v>592858</v>
      </c>
      <c r="D27" t="s">
        <v>484</v>
      </c>
      <c r="F27" t="s">
        <v>327</v>
      </c>
      <c r="G27" t="s">
        <v>368</v>
      </c>
      <c r="N27" t="s">
        <v>312</v>
      </c>
      <c r="O27" t="s">
        <v>313</v>
      </c>
      <c r="P27" t="s">
        <v>249</v>
      </c>
      <c r="Q27" t="s">
        <v>250</v>
      </c>
      <c r="R27" t="s">
        <v>251</v>
      </c>
      <c r="T27" t="s">
        <v>252</v>
      </c>
      <c r="U27" t="s">
        <v>253</v>
      </c>
      <c r="V27" t="s">
        <v>304</v>
      </c>
      <c r="W27" t="s">
        <v>305</v>
      </c>
      <c r="X27" t="s">
        <v>314</v>
      </c>
      <c r="AI27">
        <v>2</v>
      </c>
      <c r="AJ27" t="s">
        <v>285</v>
      </c>
      <c r="AM27" t="s">
        <v>317</v>
      </c>
      <c r="AN27" t="s">
        <v>259</v>
      </c>
      <c r="AO27" t="s">
        <v>260</v>
      </c>
      <c r="AQ27" t="s">
        <v>261</v>
      </c>
      <c r="AS27">
        <v>0.12</v>
      </c>
      <c r="AX27" t="s">
        <v>356</v>
      </c>
      <c r="BO27" t="s">
        <v>261</v>
      </c>
      <c r="BQ27">
        <v>0.12</v>
      </c>
      <c r="BV27" t="s">
        <v>263</v>
      </c>
      <c r="CM27" t="s">
        <v>264</v>
      </c>
      <c r="CN27" t="s">
        <v>264</v>
      </c>
      <c r="CP27" t="s">
        <v>265</v>
      </c>
      <c r="CQ27" t="s">
        <v>266</v>
      </c>
      <c r="DB27">
        <v>4</v>
      </c>
      <c r="DG27" t="s">
        <v>267</v>
      </c>
      <c r="DI27">
        <v>96</v>
      </c>
      <c r="DN27" t="s">
        <v>268</v>
      </c>
      <c r="DP27" t="s">
        <v>485</v>
      </c>
      <c r="DQ27" t="s">
        <v>405</v>
      </c>
      <c r="DR27">
        <v>221654</v>
      </c>
      <c r="DS27">
        <v>65263</v>
      </c>
      <c r="DT27" t="s">
        <v>406</v>
      </c>
      <c r="DV27">
        <v>96</v>
      </c>
      <c r="EA27" t="s">
        <v>268</v>
      </c>
      <c r="EC27">
        <v>4</v>
      </c>
      <c r="EH27" t="s">
        <v>267</v>
      </c>
      <c r="EJ27">
        <v>96</v>
      </c>
      <c r="EO27" t="s">
        <v>268</v>
      </c>
      <c r="EQ27">
        <v>4</v>
      </c>
      <c r="EV27" t="s">
        <v>267</v>
      </c>
      <c r="EW27" t="s">
        <v>293</v>
      </c>
      <c r="EY27" t="s">
        <v>377</v>
      </c>
      <c r="EZ27">
        <v>5</v>
      </c>
      <c r="FA27" t="s">
        <v>407</v>
      </c>
      <c r="FK27" t="s">
        <v>408</v>
      </c>
      <c r="FM27">
        <v>22</v>
      </c>
      <c r="FR27" t="s">
        <v>295</v>
      </c>
      <c r="GQ27">
        <v>8.3000000000000007</v>
      </c>
      <c r="GS27">
        <v>8.6999999999999993</v>
      </c>
      <c r="GU27">
        <v>25</v>
      </c>
      <c r="GZ27" t="s">
        <v>296</v>
      </c>
      <c r="HH27" t="s">
        <v>272</v>
      </c>
      <c r="ID27" t="s">
        <v>409</v>
      </c>
      <c r="IE27" t="s">
        <v>410</v>
      </c>
      <c r="IF27">
        <v>875</v>
      </c>
      <c r="IG27" t="s">
        <v>411</v>
      </c>
      <c r="IH27" t="s">
        <v>412</v>
      </c>
      <c r="II27">
        <v>1979</v>
      </c>
      <c r="IJ27" t="s">
        <v>413</v>
      </c>
    </row>
    <row r="28" spans="1:244" x14ac:dyDescent="0.45">
      <c r="A28">
        <v>2101330</v>
      </c>
      <c r="B28">
        <v>2185888</v>
      </c>
      <c r="C28">
        <v>1314132</v>
      </c>
      <c r="D28" t="s">
        <v>486</v>
      </c>
      <c r="F28" t="s">
        <v>245</v>
      </c>
      <c r="G28" t="s">
        <v>344</v>
      </c>
      <c r="I28">
        <v>99.8</v>
      </c>
      <c r="N28" t="s">
        <v>452</v>
      </c>
      <c r="O28" t="s">
        <v>346</v>
      </c>
      <c r="P28" t="s">
        <v>249</v>
      </c>
      <c r="Q28" t="s">
        <v>250</v>
      </c>
      <c r="R28" t="s">
        <v>251</v>
      </c>
      <c r="T28" t="s">
        <v>347</v>
      </c>
      <c r="U28" t="s">
        <v>348</v>
      </c>
      <c r="V28" t="s">
        <v>349</v>
      </c>
      <c r="W28" t="s">
        <v>350</v>
      </c>
      <c r="X28" t="s">
        <v>453</v>
      </c>
      <c r="Z28" t="s">
        <v>284</v>
      </c>
      <c r="AI28">
        <v>3</v>
      </c>
      <c r="AM28" t="s">
        <v>317</v>
      </c>
      <c r="AN28" t="s">
        <v>259</v>
      </c>
      <c r="AO28" t="s">
        <v>260</v>
      </c>
      <c r="AP28">
        <v>4</v>
      </c>
      <c r="AQ28" t="s">
        <v>261</v>
      </c>
      <c r="AR28" t="s">
        <v>288</v>
      </c>
      <c r="AS28">
        <v>100</v>
      </c>
      <c r="AX28" t="s">
        <v>356</v>
      </c>
      <c r="BO28" t="s">
        <v>261</v>
      </c>
      <c r="BP28" t="s">
        <v>288</v>
      </c>
      <c r="BQ28">
        <v>100</v>
      </c>
      <c r="BV28" t="s">
        <v>263</v>
      </c>
      <c r="CM28" t="s">
        <v>264</v>
      </c>
      <c r="CN28" t="s">
        <v>264</v>
      </c>
      <c r="CP28" t="s">
        <v>265</v>
      </c>
      <c r="DB28">
        <v>4</v>
      </c>
      <c r="DG28" t="s">
        <v>267</v>
      </c>
      <c r="DI28">
        <v>96</v>
      </c>
      <c r="DN28" t="s">
        <v>268</v>
      </c>
      <c r="DO28" t="s">
        <v>291</v>
      </c>
      <c r="DP28" t="s">
        <v>487</v>
      </c>
      <c r="DR28">
        <v>85549</v>
      </c>
      <c r="DS28">
        <v>366</v>
      </c>
      <c r="DT28" t="s">
        <v>488</v>
      </c>
      <c r="DV28">
        <v>96</v>
      </c>
      <c r="EA28" t="s">
        <v>268</v>
      </c>
      <c r="EC28">
        <v>4</v>
      </c>
      <c r="EH28" t="s">
        <v>267</v>
      </c>
      <c r="EJ28">
        <v>96</v>
      </c>
      <c r="EO28" t="s">
        <v>268</v>
      </c>
      <c r="EQ28">
        <v>4</v>
      </c>
      <c r="EV28" t="s">
        <v>267</v>
      </c>
      <c r="EW28" t="s">
        <v>293</v>
      </c>
      <c r="EY28" t="s">
        <v>377</v>
      </c>
      <c r="EZ28" t="s">
        <v>489</v>
      </c>
      <c r="FA28" t="s">
        <v>490</v>
      </c>
      <c r="FM28">
        <v>24</v>
      </c>
      <c r="FR28" t="s">
        <v>295</v>
      </c>
      <c r="GQ28">
        <v>8.1999999999999993</v>
      </c>
      <c r="GS28">
        <v>8.8000000000000007</v>
      </c>
      <c r="HH28" t="s">
        <v>272</v>
      </c>
      <c r="IE28" t="s">
        <v>491</v>
      </c>
      <c r="IF28">
        <v>164307</v>
      </c>
      <c r="IG28" t="s">
        <v>492</v>
      </c>
      <c r="IH28" t="s">
        <v>493</v>
      </c>
      <c r="II28">
        <v>2013</v>
      </c>
      <c r="IJ28" t="s">
        <v>494</v>
      </c>
    </row>
    <row r="29" spans="1:244" x14ac:dyDescent="0.45">
      <c r="A29">
        <v>2101346</v>
      </c>
      <c r="B29">
        <v>2185911</v>
      </c>
      <c r="C29">
        <v>1314132</v>
      </c>
      <c r="D29" t="s">
        <v>486</v>
      </c>
      <c r="F29" t="s">
        <v>245</v>
      </c>
      <c r="G29" t="s">
        <v>344</v>
      </c>
      <c r="I29">
        <v>99.8</v>
      </c>
      <c r="N29" t="s">
        <v>452</v>
      </c>
      <c r="O29" t="s">
        <v>346</v>
      </c>
      <c r="P29" t="s">
        <v>249</v>
      </c>
      <c r="Q29" t="s">
        <v>250</v>
      </c>
      <c r="R29" t="s">
        <v>251</v>
      </c>
      <c r="T29" t="s">
        <v>347</v>
      </c>
      <c r="U29" t="s">
        <v>348</v>
      </c>
      <c r="V29" t="s">
        <v>349</v>
      </c>
      <c r="W29" t="s">
        <v>350</v>
      </c>
      <c r="X29" t="s">
        <v>453</v>
      </c>
      <c r="Z29" t="s">
        <v>284</v>
      </c>
      <c r="AI29">
        <v>3</v>
      </c>
      <c r="AM29" t="s">
        <v>317</v>
      </c>
      <c r="AN29" t="s">
        <v>259</v>
      </c>
      <c r="AO29" t="s">
        <v>260</v>
      </c>
      <c r="AP29">
        <v>4</v>
      </c>
      <c r="AQ29" t="s">
        <v>261</v>
      </c>
      <c r="AR29" t="s">
        <v>288</v>
      </c>
      <c r="AS29">
        <v>100</v>
      </c>
      <c r="AX29" t="s">
        <v>356</v>
      </c>
      <c r="BO29" t="s">
        <v>261</v>
      </c>
      <c r="BP29" t="s">
        <v>288</v>
      </c>
      <c r="BQ29">
        <v>100</v>
      </c>
      <c r="BV29" t="s">
        <v>263</v>
      </c>
      <c r="CM29" t="s">
        <v>264</v>
      </c>
      <c r="CN29" t="s">
        <v>264</v>
      </c>
      <c r="CP29" t="s">
        <v>265</v>
      </c>
      <c r="DB29">
        <v>4</v>
      </c>
      <c r="DG29" t="s">
        <v>267</v>
      </c>
      <c r="DI29">
        <v>96</v>
      </c>
      <c r="DN29" t="s">
        <v>268</v>
      </c>
      <c r="DO29" t="s">
        <v>291</v>
      </c>
      <c r="DP29" t="s">
        <v>495</v>
      </c>
      <c r="DR29">
        <v>85549</v>
      </c>
      <c r="DS29">
        <v>366</v>
      </c>
      <c r="DT29" t="s">
        <v>488</v>
      </c>
      <c r="DV29">
        <v>96</v>
      </c>
      <c r="EA29" t="s">
        <v>268</v>
      </c>
      <c r="EC29">
        <v>4</v>
      </c>
      <c r="EH29" t="s">
        <v>267</v>
      </c>
      <c r="EJ29">
        <v>96</v>
      </c>
      <c r="EO29" t="s">
        <v>268</v>
      </c>
      <c r="EQ29">
        <v>4</v>
      </c>
      <c r="EV29" t="s">
        <v>267</v>
      </c>
      <c r="EW29" t="s">
        <v>293</v>
      </c>
      <c r="EY29" t="s">
        <v>377</v>
      </c>
      <c r="EZ29" t="s">
        <v>496</v>
      </c>
      <c r="FA29" t="s">
        <v>490</v>
      </c>
      <c r="FM29">
        <v>24</v>
      </c>
      <c r="FR29" t="s">
        <v>295</v>
      </c>
      <c r="GQ29">
        <v>8.1999999999999993</v>
      </c>
      <c r="GS29">
        <v>8.8000000000000007</v>
      </c>
      <c r="HH29" t="s">
        <v>272</v>
      </c>
      <c r="IE29" t="s">
        <v>491</v>
      </c>
      <c r="IF29">
        <v>164307</v>
      </c>
      <c r="IG29" t="s">
        <v>492</v>
      </c>
      <c r="IH29" t="s">
        <v>493</v>
      </c>
      <c r="II29">
        <v>2013</v>
      </c>
      <c r="IJ29" t="s">
        <v>494</v>
      </c>
    </row>
    <row r="30" spans="1:244" x14ac:dyDescent="0.45">
      <c r="A30">
        <v>2101663</v>
      </c>
      <c r="B30">
        <v>2186588</v>
      </c>
      <c r="C30">
        <v>1314132</v>
      </c>
      <c r="D30" t="s">
        <v>486</v>
      </c>
      <c r="F30" t="s">
        <v>245</v>
      </c>
      <c r="G30" t="s">
        <v>272</v>
      </c>
      <c r="N30" t="s">
        <v>497</v>
      </c>
      <c r="O30" t="s">
        <v>498</v>
      </c>
      <c r="P30" t="s">
        <v>249</v>
      </c>
      <c r="Q30" t="s">
        <v>250</v>
      </c>
      <c r="R30" t="s">
        <v>251</v>
      </c>
      <c r="T30" t="s">
        <v>252</v>
      </c>
      <c r="U30" t="s">
        <v>499</v>
      </c>
      <c r="V30" t="s">
        <v>500</v>
      </c>
      <c r="W30" t="s">
        <v>501</v>
      </c>
      <c r="X30" t="s">
        <v>502</v>
      </c>
      <c r="AJ30" t="s">
        <v>354</v>
      </c>
      <c r="AL30" t="s">
        <v>503</v>
      </c>
      <c r="AM30" t="s">
        <v>258</v>
      </c>
      <c r="AN30" t="s">
        <v>259</v>
      </c>
      <c r="AO30" t="s">
        <v>260</v>
      </c>
      <c r="AQ30" t="s">
        <v>504</v>
      </c>
      <c r="AS30">
        <v>0.95</v>
      </c>
      <c r="AU30">
        <v>0.55000000000000004</v>
      </c>
      <c r="AW30">
        <v>1.66</v>
      </c>
      <c r="AX30" t="s">
        <v>356</v>
      </c>
      <c r="BO30" t="s">
        <v>504</v>
      </c>
      <c r="BQ30">
        <v>0.95</v>
      </c>
      <c r="BS30">
        <v>0.55000000000000004</v>
      </c>
      <c r="BU30">
        <v>1.66</v>
      </c>
      <c r="BV30" t="s">
        <v>263</v>
      </c>
      <c r="CM30" t="s">
        <v>264</v>
      </c>
      <c r="CN30" t="s">
        <v>264</v>
      </c>
      <c r="CP30" t="s">
        <v>265</v>
      </c>
      <c r="DB30">
        <v>4</v>
      </c>
      <c r="DG30" t="s">
        <v>267</v>
      </c>
      <c r="DI30">
        <v>96</v>
      </c>
      <c r="DN30" t="s">
        <v>268</v>
      </c>
      <c r="DO30" t="s">
        <v>291</v>
      </c>
      <c r="DP30" t="s">
        <v>505</v>
      </c>
      <c r="DR30">
        <v>1400849</v>
      </c>
      <c r="DS30">
        <v>4389</v>
      </c>
      <c r="DT30" t="s">
        <v>506</v>
      </c>
      <c r="DV30">
        <v>96</v>
      </c>
      <c r="EA30" t="s">
        <v>268</v>
      </c>
      <c r="EC30">
        <v>4</v>
      </c>
      <c r="EH30" t="s">
        <v>267</v>
      </c>
      <c r="EJ30">
        <v>96</v>
      </c>
      <c r="EO30" t="s">
        <v>268</v>
      </c>
      <c r="EQ30">
        <v>4</v>
      </c>
      <c r="EV30" t="s">
        <v>267</v>
      </c>
      <c r="EW30" t="s">
        <v>272</v>
      </c>
      <c r="EY30" t="s">
        <v>377</v>
      </c>
      <c r="FA30" t="s">
        <v>397</v>
      </c>
      <c r="FM30">
        <v>25</v>
      </c>
      <c r="FR30" t="s">
        <v>295</v>
      </c>
      <c r="HH30" t="s">
        <v>272</v>
      </c>
      <c r="ID30" t="s">
        <v>507</v>
      </c>
      <c r="IE30" t="s">
        <v>508</v>
      </c>
      <c r="IF30">
        <v>150008</v>
      </c>
      <c r="IG30" t="s">
        <v>509</v>
      </c>
      <c r="IH30" t="s">
        <v>510</v>
      </c>
      <c r="II30">
        <v>2010</v>
      </c>
      <c r="IJ30" t="s">
        <v>511</v>
      </c>
    </row>
    <row r="31" spans="1:244" x14ac:dyDescent="0.45">
      <c r="A31">
        <v>2101329</v>
      </c>
      <c r="B31">
        <v>2185884</v>
      </c>
      <c r="C31">
        <v>1314132</v>
      </c>
      <c r="D31" t="s">
        <v>486</v>
      </c>
      <c r="F31" t="s">
        <v>245</v>
      </c>
      <c r="G31" t="s">
        <v>344</v>
      </c>
      <c r="I31">
        <v>99.8</v>
      </c>
      <c r="N31" t="s">
        <v>452</v>
      </c>
      <c r="O31" t="s">
        <v>346</v>
      </c>
      <c r="P31" t="s">
        <v>249</v>
      </c>
      <c r="Q31" t="s">
        <v>250</v>
      </c>
      <c r="R31" t="s">
        <v>251</v>
      </c>
      <c r="T31" t="s">
        <v>347</v>
      </c>
      <c r="U31" t="s">
        <v>348</v>
      </c>
      <c r="V31" t="s">
        <v>349</v>
      </c>
      <c r="W31" t="s">
        <v>350</v>
      </c>
      <c r="X31" t="s">
        <v>453</v>
      </c>
      <c r="Z31" t="s">
        <v>284</v>
      </c>
      <c r="AI31">
        <v>3</v>
      </c>
      <c r="AM31" t="s">
        <v>317</v>
      </c>
      <c r="AN31" t="s">
        <v>259</v>
      </c>
      <c r="AO31" t="s">
        <v>260</v>
      </c>
      <c r="AP31">
        <v>4</v>
      </c>
      <c r="AQ31" t="s">
        <v>261</v>
      </c>
      <c r="AR31" t="s">
        <v>288</v>
      </c>
      <c r="AS31">
        <v>100</v>
      </c>
      <c r="AX31" t="s">
        <v>356</v>
      </c>
      <c r="BO31" t="s">
        <v>261</v>
      </c>
      <c r="BP31" t="s">
        <v>288</v>
      </c>
      <c r="BQ31">
        <v>100</v>
      </c>
      <c r="BV31" t="s">
        <v>263</v>
      </c>
      <c r="CM31" t="s">
        <v>264</v>
      </c>
      <c r="CN31" t="s">
        <v>264</v>
      </c>
      <c r="CP31" t="s">
        <v>265</v>
      </c>
      <c r="DB31">
        <v>1</v>
      </c>
      <c r="DG31" t="s">
        <v>267</v>
      </c>
      <c r="DI31">
        <v>24</v>
      </c>
      <c r="DN31" t="s">
        <v>268</v>
      </c>
      <c r="DO31" t="s">
        <v>291</v>
      </c>
      <c r="DP31" t="s">
        <v>487</v>
      </c>
      <c r="DR31">
        <v>85549</v>
      </c>
      <c r="DS31">
        <v>366</v>
      </c>
      <c r="DT31" t="s">
        <v>488</v>
      </c>
      <c r="DV31">
        <v>24</v>
      </c>
      <c r="EA31" t="s">
        <v>268</v>
      </c>
      <c r="EC31">
        <v>1</v>
      </c>
      <c r="EH31" t="s">
        <v>267</v>
      </c>
      <c r="EJ31">
        <v>24</v>
      </c>
      <c r="EO31" t="s">
        <v>268</v>
      </c>
      <c r="EQ31">
        <v>1</v>
      </c>
      <c r="EV31" t="s">
        <v>267</v>
      </c>
      <c r="EW31" t="s">
        <v>293</v>
      </c>
      <c r="EY31" t="s">
        <v>377</v>
      </c>
      <c r="EZ31" t="s">
        <v>512</v>
      </c>
      <c r="FA31" t="s">
        <v>490</v>
      </c>
      <c r="FM31">
        <v>24</v>
      </c>
      <c r="FR31" t="s">
        <v>295</v>
      </c>
      <c r="GQ31">
        <v>8.1</v>
      </c>
      <c r="GS31">
        <v>8.8000000000000007</v>
      </c>
      <c r="HH31" t="s">
        <v>272</v>
      </c>
      <c r="IE31" t="s">
        <v>491</v>
      </c>
      <c r="IF31">
        <v>164307</v>
      </c>
      <c r="IG31" t="s">
        <v>492</v>
      </c>
      <c r="IH31" t="s">
        <v>493</v>
      </c>
      <c r="II31">
        <v>2013</v>
      </c>
      <c r="IJ31" t="s">
        <v>494</v>
      </c>
    </row>
    <row r="32" spans="1:244" x14ac:dyDescent="0.45">
      <c r="A32">
        <v>2101659</v>
      </c>
      <c r="B32">
        <v>2186584</v>
      </c>
      <c r="C32">
        <v>1314132</v>
      </c>
      <c r="D32" t="s">
        <v>486</v>
      </c>
      <c r="F32" t="s">
        <v>245</v>
      </c>
      <c r="G32" t="s">
        <v>272</v>
      </c>
      <c r="N32" t="s">
        <v>497</v>
      </c>
      <c r="O32" t="s">
        <v>498</v>
      </c>
      <c r="P32" t="s">
        <v>249</v>
      </c>
      <c r="Q32" t="s">
        <v>250</v>
      </c>
      <c r="R32" t="s">
        <v>251</v>
      </c>
      <c r="T32" t="s">
        <v>252</v>
      </c>
      <c r="U32" t="s">
        <v>499</v>
      </c>
      <c r="V32" t="s">
        <v>500</v>
      </c>
      <c r="W32" t="s">
        <v>501</v>
      </c>
      <c r="X32" t="s">
        <v>502</v>
      </c>
      <c r="AJ32" t="s">
        <v>354</v>
      </c>
      <c r="AL32" t="s">
        <v>503</v>
      </c>
      <c r="AM32" t="s">
        <v>258</v>
      </c>
      <c r="AN32" t="s">
        <v>259</v>
      </c>
      <c r="AO32" t="s">
        <v>260</v>
      </c>
      <c r="AQ32" t="s">
        <v>261</v>
      </c>
      <c r="AS32">
        <v>0.37</v>
      </c>
      <c r="AU32">
        <v>0.25</v>
      </c>
      <c r="AW32">
        <v>0.53</v>
      </c>
      <c r="AX32" t="s">
        <v>356</v>
      </c>
      <c r="BO32" t="s">
        <v>261</v>
      </c>
      <c r="BQ32">
        <v>0.37</v>
      </c>
      <c r="BS32">
        <v>0.25</v>
      </c>
      <c r="BU32">
        <v>0.53</v>
      </c>
      <c r="BV32" t="s">
        <v>263</v>
      </c>
      <c r="CM32" t="s">
        <v>264</v>
      </c>
      <c r="CN32" t="s">
        <v>264</v>
      </c>
      <c r="CP32" t="s">
        <v>265</v>
      </c>
      <c r="DB32">
        <v>4</v>
      </c>
      <c r="DG32" t="s">
        <v>267</v>
      </c>
      <c r="DI32">
        <v>96</v>
      </c>
      <c r="DN32" t="s">
        <v>268</v>
      </c>
      <c r="DO32" t="s">
        <v>291</v>
      </c>
      <c r="DP32" t="s">
        <v>513</v>
      </c>
      <c r="DR32">
        <v>1400849</v>
      </c>
      <c r="DS32">
        <v>4389</v>
      </c>
      <c r="DT32" t="s">
        <v>506</v>
      </c>
      <c r="DV32">
        <v>96</v>
      </c>
      <c r="EA32" t="s">
        <v>268</v>
      </c>
      <c r="EC32">
        <v>4</v>
      </c>
      <c r="EH32" t="s">
        <v>267</v>
      </c>
      <c r="EJ32">
        <v>96</v>
      </c>
      <c r="EO32" t="s">
        <v>268</v>
      </c>
      <c r="EQ32">
        <v>4</v>
      </c>
      <c r="EV32" t="s">
        <v>267</v>
      </c>
      <c r="EW32" t="s">
        <v>272</v>
      </c>
      <c r="EY32" t="s">
        <v>377</v>
      </c>
      <c r="FA32" t="s">
        <v>397</v>
      </c>
      <c r="FM32">
        <v>25</v>
      </c>
      <c r="FR32" t="s">
        <v>295</v>
      </c>
      <c r="HH32" t="s">
        <v>272</v>
      </c>
      <c r="ID32" t="s">
        <v>507</v>
      </c>
      <c r="IE32" t="s">
        <v>508</v>
      </c>
      <c r="IF32">
        <v>150008</v>
      </c>
      <c r="IG32" t="s">
        <v>509</v>
      </c>
      <c r="IH32" t="s">
        <v>510</v>
      </c>
      <c r="II32">
        <v>2010</v>
      </c>
      <c r="IJ32" t="s">
        <v>511</v>
      </c>
    </row>
    <row r="33" spans="1:244" x14ac:dyDescent="0.45">
      <c r="A33">
        <v>2101344</v>
      </c>
      <c r="B33">
        <v>2185908</v>
      </c>
      <c r="C33">
        <v>1314132</v>
      </c>
      <c r="D33" t="s">
        <v>486</v>
      </c>
      <c r="F33" t="s">
        <v>245</v>
      </c>
      <c r="G33" t="s">
        <v>344</v>
      </c>
      <c r="I33">
        <v>99.8</v>
      </c>
      <c r="N33" t="s">
        <v>452</v>
      </c>
      <c r="O33" t="s">
        <v>346</v>
      </c>
      <c r="P33" t="s">
        <v>249</v>
      </c>
      <c r="Q33" t="s">
        <v>250</v>
      </c>
      <c r="R33" t="s">
        <v>251</v>
      </c>
      <c r="T33" t="s">
        <v>347</v>
      </c>
      <c r="U33" t="s">
        <v>348</v>
      </c>
      <c r="V33" t="s">
        <v>349</v>
      </c>
      <c r="W33" t="s">
        <v>350</v>
      </c>
      <c r="X33" t="s">
        <v>453</v>
      </c>
      <c r="Z33" t="s">
        <v>284</v>
      </c>
      <c r="AI33">
        <v>3</v>
      </c>
      <c r="AM33" t="s">
        <v>317</v>
      </c>
      <c r="AN33" t="s">
        <v>259</v>
      </c>
      <c r="AO33" t="s">
        <v>260</v>
      </c>
      <c r="AP33">
        <v>4</v>
      </c>
      <c r="AQ33" t="s">
        <v>261</v>
      </c>
      <c r="AR33" t="s">
        <v>288</v>
      </c>
      <c r="AS33">
        <v>100</v>
      </c>
      <c r="AX33" t="s">
        <v>356</v>
      </c>
      <c r="BO33" t="s">
        <v>261</v>
      </c>
      <c r="BP33" t="s">
        <v>288</v>
      </c>
      <c r="BQ33">
        <v>100</v>
      </c>
      <c r="BV33" t="s">
        <v>263</v>
      </c>
      <c r="CM33" t="s">
        <v>264</v>
      </c>
      <c r="CN33" t="s">
        <v>264</v>
      </c>
      <c r="CP33" t="s">
        <v>265</v>
      </c>
      <c r="DB33">
        <v>1</v>
      </c>
      <c r="DG33" t="s">
        <v>267</v>
      </c>
      <c r="DI33">
        <v>24</v>
      </c>
      <c r="DN33" t="s">
        <v>268</v>
      </c>
      <c r="DO33" t="s">
        <v>291</v>
      </c>
      <c r="DP33" t="s">
        <v>495</v>
      </c>
      <c r="DR33">
        <v>85549</v>
      </c>
      <c r="DS33">
        <v>366</v>
      </c>
      <c r="DT33" t="s">
        <v>488</v>
      </c>
      <c r="DV33">
        <v>24</v>
      </c>
      <c r="EA33" t="s">
        <v>268</v>
      </c>
      <c r="EC33">
        <v>1</v>
      </c>
      <c r="EH33" t="s">
        <v>267</v>
      </c>
      <c r="EJ33">
        <v>24</v>
      </c>
      <c r="EO33" t="s">
        <v>268</v>
      </c>
      <c r="EQ33">
        <v>1</v>
      </c>
      <c r="EV33" t="s">
        <v>267</v>
      </c>
      <c r="EW33" t="s">
        <v>293</v>
      </c>
      <c r="EY33" t="s">
        <v>377</v>
      </c>
      <c r="EZ33" t="s">
        <v>514</v>
      </c>
      <c r="FA33" t="s">
        <v>490</v>
      </c>
      <c r="FM33">
        <v>24</v>
      </c>
      <c r="FR33" t="s">
        <v>295</v>
      </c>
      <c r="GQ33">
        <v>8.1</v>
      </c>
      <c r="GS33">
        <v>8.8000000000000007</v>
      </c>
      <c r="HH33" t="s">
        <v>272</v>
      </c>
      <c r="IE33" t="s">
        <v>491</v>
      </c>
      <c r="IF33">
        <v>164307</v>
      </c>
      <c r="IG33" t="s">
        <v>492</v>
      </c>
      <c r="IH33" t="s">
        <v>493</v>
      </c>
      <c r="II33">
        <v>2013</v>
      </c>
      <c r="IJ33" t="s">
        <v>494</v>
      </c>
    </row>
    <row r="34" spans="1:244" x14ac:dyDescent="0.45">
      <c r="A34">
        <v>2101655</v>
      </c>
      <c r="B34">
        <v>2186580</v>
      </c>
      <c r="C34">
        <v>1314132</v>
      </c>
      <c r="D34" t="s">
        <v>486</v>
      </c>
      <c r="F34" t="s">
        <v>245</v>
      </c>
      <c r="G34" t="s">
        <v>272</v>
      </c>
      <c r="N34" t="s">
        <v>497</v>
      </c>
      <c r="O34" t="s">
        <v>498</v>
      </c>
      <c r="P34" t="s">
        <v>249</v>
      </c>
      <c r="Q34" t="s">
        <v>250</v>
      </c>
      <c r="R34" t="s">
        <v>251</v>
      </c>
      <c r="T34" t="s">
        <v>252</v>
      </c>
      <c r="U34" t="s">
        <v>499</v>
      </c>
      <c r="V34" t="s">
        <v>500</v>
      </c>
      <c r="W34" t="s">
        <v>501</v>
      </c>
      <c r="X34" t="s">
        <v>502</v>
      </c>
      <c r="AJ34" t="s">
        <v>354</v>
      </c>
      <c r="AL34" t="s">
        <v>503</v>
      </c>
      <c r="AM34" t="s">
        <v>258</v>
      </c>
      <c r="AN34" t="s">
        <v>259</v>
      </c>
      <c r="AO34" t="s">
        <v>260</v>
      </c>
      <c r="AQ34" t="s">
        <v>261</v>
      </c>
      <c r="AS34">
        <v>1.19</v>
      </c>
      <c r="AU34">
        <v>0.68</v>
      </c>
      <c r="AW34">
        <v>2.0699999999999998</v>
      </c>
      <c r="AX34" t="s">
        <v>356</v>
      </c>
      <c r="BO34" t="s">
        <v>261</v>
      </c>
      <c r="BQ34">
        <v>1.19</v>
      </c>
      <c r="BS34">
        <v>0.68</v>
      </c>
      <c r="BU34">
        <v>2.0699999999999998</v>
      </c>
      <c r="BV34" t="s">
        <v>263</v>
      </c>
      <c r="CM34" t="s">
        <v>264</v>
      </c>
      <c r="CN34" t="s">
        <v>264</v>
      </c>
      <c r="CP34" t="s">
        <v>265</v>
      </c>
      <c r="DB34">
        <v>4</v>
      </c>
      <c r="DG34" t="s">
        <v>267</v>
      </c>
      <c r="DI34">
        <v>96</v>
      </c>
      <c r="DN34" t="s">
        <v>268</v>
      </c>
      <c r="DO34" t="s">
        <v>291</v>
      </c>
      <c r="DP34" t="s">
        <v>505</v>
      </c>
      <c r="DR34">
        <v>1400849</v>
      </c>
      <c r="DS34">
        <v>4389</v>
      </c>
      <c r="DT34" t="s">
        <v>506</v>
      </c>
      <c r="DV34">
        <v>96</v>
      </c>
      <c r="EA34" t="s">
        <v>268</v>
      </c>
      <c r="EC34">
        <v>4</v>
      </c>
      <c r="EH34" t="s">
        <v>267</v>
      </c>
      <c r="EJ34">
        <v>96</v>
      </c>
      <c r="EO34" t="s">
        <v>268</v>
      </c>
      <c r="EQ34">
        <v>4</v>
      </c>
      <c r="EV34" t="s">
        <v>267</v>
      </c>
      <c r="EW34" t="s">
        <v>272</v>
      </c>
      <c r="EY34" t="s">
        <v>377</v>
      </c>
      <c r="FA34" t="s">
        <v>397</v>
      </c>
      <c r="FM34">
        <v>25</v>
      </c>
      <c r="FR34" t="s">
        <v>295</v>
      </c>
      <c r="HH34" t="s">
        <v>272</v>
      </c>
      <c r="ID34" t="s">
        <v>507</v>
      </c>
      <c r="IE34" t="s">
        <v>508</v>
      </c>
      <c r="IF34">
        <v>150008</v>
      </c>
      <c r="IG34" t="s">
        <v>509</v>
      </c>
      <c r="IH34" t="s">
        <v>510</v>
      </c>
      <c r="II34">
        <v>2010</v>
      </c>
      <c r="IJ34" t="s">
        <v>511</v>
      </c>
    </row>
    <row r="35" spans="1:244" x14ac:dyDescent="0.45">
      <c r="A35">
        <v>2146048</v>
      </c>
      <c r="B35">
        <v>2276276</v>
      </c>
      <c r="C35">
        <v>1314132</v>
      </c>
      <c r="D35" t="s">
        <v>486</v>
      </c>
      <c r="F35" t="s">
        <v>272</v>
      </c>
      <c r="G35" t="s">
        <v>272</v>
      </c>
      <c r="I35">
        <v>99</v>
      </c>
      <c r="N35" t="s">
        <v>387</v>
      </c>
      <c r="O35" t="s">
        <v>388</v>
      </c>
      <c r="P35" t="s">
        <v>249</v>
      </c>
      <c r="Q35" t="s">
        <v>250</v>
      </c>
      <c r="R35" t="s">
        <v>251</v>
      </c>
      <c r="T35" t="s">
        <v>389</v>
      </c>
      <c r="U35" t="s">
        <v>390</v>
      </c>
      <c r="V35" t="s">
        <v>391</v>
      </c>
      <c r="W35" t="s">
        <v>392</v>
      </c>
      <c r="X35" t="s">
        <v>393</v>
      </c>
      <c r="Z35" t="s">
        <v>315</v>
      </c>
      <c r="AA35" t="s">
        <v>515</v>
      </c>
      <c r="AB35">
        <v>3</v>
      </c>
      <c r="AG35" t="s">
        <v>516</v>
      </c>
      <c r="AJ35" t="s">
        <v>354</v>
      </c>
      <c r="AK35" t="s">
        <v>517</v>
      </c>
      <c r="AM35" t="s">
        <v>317</v>
      </c>
      <c r="AN35" t="s">
        <v>259</v>
      </c>
      <c r="AO35" t="s">
        <v>260</v>
      </c>
      <c r="AQ35" t="s">
        <v>504</v>
      </c>
      <c r="AS35">
        <v>2.44</v>
      </c>
      <c r="AX35" t="s">
        <v>356</v>
      </c>
      <c r="BO35" t="s">
        <v>504</v>
      </c>
      <c r="BQ35">
        <v>2.44</v>
      </c>
      <c r="BV35" t="s">
        <v>263</v>
      </c>
      <c r="CM35" t="s">
        <v>264</v>
      </c>
      <c r="CN35" t="s">
        <v>264</v>
      </c>
      <c r="CP35" t="s">
        <v>265</v>
      </c>
      <c r="CQ35" t="s">
        <v>518</v>
      </c>
      <c r="DB35">
        <v>4</v>
      </c>
      <c r="DG35" t="s">
        <v>267</v>
      </c>
      <c r="DI35">
        <v>96</v>
      </c>
      <c r="DN35" t="s">
        <v>268</v>
      </c>
      <c r="DO35" t="s">
        <v>291</v>
      </c>
      <c r="DP35" t="s">
        <v>519</v>
      </c>
      <c r="DR35">
        <v>158387</v>
      </c>
      <c r="DS35">
        <v>6038</v>
      </c>
      <c r="DT35" t="s">
        <v>520</v>
      </c>
      <c r="DV35">
        <v>96</v>
      </c>
      <c r="EA35" t="s">
        <v>268</v>
      </c>
      <c r="EC35">
        <v>4</v>
      </c>
      <c r="EH35" t="s">
        <v>267</v>
      </c>
      <c r="EJ35">
        <v>96</v>
      </c>
      <c r="EO35" t="s">
        <v>268</v>
      </c>
      <c r="EQ35">
        <v>4</v>
      </c>
      <c r="EV35" t="s">
        <v>267</v>
      </c>
      <c r="EW35" t="s">
        <v>293</v>
      </c>
      <c r="EY35" t="s">
        <v>377</v>
      </c>
      <c r="FA35" t="s">
        <v>397</v>
      </c>
      <c r="FM35">
        <v>20</v>
      </c>
      <c r="FR35" t="s">
        <v>295</v>
      </c>
      <c r="GO35">
        <v>8.65</v>
      </c>
      <c r="GU35">
        <v>35</v>
      </c>
      <c r="GZ35" t="s">
        <v>296</v>
      </c>
      <c r="HH35" t="s">
        <v>272</v>
      </c>
      <c r="IE35" t="s">
        <v>521</v>
      </c>
      <c r="IF35">
        <v>169694</v>
      </c>
      <c r="IG35" t="s">
        <v>522</v>
      </c>
      <c r="IH35" t="s">
        <v>523</v>
      </c>
      <c r="II35">
        <v>2014</v>
      </c>
      <c r="IJ35" t="s">
        <v>524</v>
      </c>
    </row>
    <row r="36" spans="1:244" x14ac:dyDescent="0.45">
      <c r="A36">
        <v>2146047</v>
      </c>
      <c r="B36">
        <v>2276270</v>
      </c>
      <c r="C36">
        <v>1314132</v>
      </c>
      <c r="D36" t="s">
        <v>486</v>
      </c>
      <c r="F36" t="s">
        <v>272</v>
      </c>
      <c r="G36" t="s">
        <v>272</v>
      </c>
      <c r="I36">
        <v>99</v>
      </c>
      <c r="N36" t="s">
        <v>387</v>
      </c>
      <c r="O36" t="s">
        <v>388</v>
      </c>
      <c r="P36" t="s">
        <v>249</v>
      </c>
      <c r="Q36" t="s">
        <v>250</v>
      </c>
      <c r="R36" t="s">
        <v>251</v>
      </c>
      <c r="T36" t="s">
        <v>389</v>
      </c>
      <c r="U36" t="s">
        <v>390</v>
      </c>
      <c r="V36" t="s">
        <v>391</v>
      </c>
      <c r="W36" t="s">
        <v>392</v>
      </c>
      <c r="X36" t="s">
        <v>393</v>
      </c>
      <c r="Z36" t="s">
        <v>315</v>
      </c>
      <c r="AA36" t="s">
        <v>515</v>
      </c>
      <c r="AB36">
        <v>3</v>
      </c>
      <c r="AG36" t="s">
        <v>516</v>
      </c>
      <c r="AJ36" t="s">
        <v>354</v>
      </c>
      <c r="AK36" t="s">
        <v>517</v>
      </c>
      <c r="AM36" t="s">
        <v>317</v>
      </c>
      <c r="AN36" t="s">
        <v>259</v>
      </c>
      <c r="AO36" t="s">
        <v>260</v>
      </c>
      <c r="AQ36" t="s">
        <v>504</v>
      </c>
      <c r="AS36">
        <v>1.22</v>
      </c>
      <c r="AX36" t="s">
        <v>356</v>
      </c>
      <c r="BO36" t="s">
        <v>504</v>
      </c>
      <c r="BQ36">
        <v>1.22</v>
      </c>
      <c r="BV36" t="s">
        <v>263</v>
      </c>
      <c r="CM36" t="s">
        <v>264</v>
      </c>
      <c r="CN36" t="s">
        <v>264</v>
      </c>
      <c r="CP36" t="s">
        <v>265</v>
      </c>
      <c r="CQ36" t="s">
        <v>518</v>
      </c>
      <c r="DB36">
        <v>4</v>
      </c>
      <c r="DG36" t="s">
        <v>267</v>
      </c>
      <c r="DI36">
        <v>96</v>
      </c>
      <c r="DN36" t="s">
        <v>268</v>
      </c>
      <c r="DO36" t="s">
        <v>291</v>
      </c>
      <c r="DP36" t="s">
        <v>519</v>
      </c>
      <c r="DR36">
        <v>158387</v>
      </c>
      <c r="DS36">
        <v>6038</v>
      </c>
      <c r="DT36" t="s">
        <v>520</v>
      </c>
      <c r="DV36">
        <v>96</v>
      </c>
      <c r="EA36" t="s">
        <v>268</v>
      </c>
      <c r="EC36">
        <v>4</v>
      </c>
      <c r="EH36" t="s">
        <v>267</v>
      </c>
      <c r="EJ36">
        <v>96</v>
      </c>
      <c r="EO36" t="s">
        <v>268</v>
      </c>
      <c r="EQ36">
        <v>4</v>
      </c>
      <c r="EV36" t="s">
        <v>267</v>
      </c>
      <c r="EW36" t="s">
        <v>293</v>
      </c>
      <c r="EY36" t="s">
        <v>377</v>
      </c>
      <c r="FA36" t="s">
        <v>397</v>
      </c>
      <c r="FM36">
        <v>20</v>
      </c>
      <c r="FR36" t="s">
        <v>295</v>
      </c>
      <c r="GO36">
        <v>8.65</v>
      </c>
      <c r="GU36">
        <v>5</v>
      </c>
      <c r="GZ36" t="s">
        <v>296</v>
      </c>
      <c r="HH36" t="s">
        <v>272</v>
      </c>
      <c r="IE36" t="s">
        <v>521</v>
      </c>
      <c r="IF36">
        <v>169694</v>
      </c>
      <c r="IG36" t="s">
        <v>522</v>
      </c>
      <c r="IH36" t="s">
        <v>523</v>
      </c>
      <c r="II36">
        <v>2014</v>
      </c>
      <c r="IJ36" t="s">
        <v>524</v>
      </c>
    </row>
    <row r="37" spans="1:244" x14ac:dyDescent="0.45">
      <c r="A37">
        <v>2101662</v>
      </c>
      <c r="B37">
        <v>2186587</v>
      </c>
      <c r="C37">
        <v>1314132</v>
      </c>
      <c r="D37" t="s">
        <v>486</v>
      </c>
      <c r="F37" t="s">
        <v>245</v>
      </c>
      <c r="G37" t="s">
        <v>272</v>
      </c>
      <c r="N37" t="s">
        <v>387</v>
      </c>
      <c r="O37" t="s">
        <v>388</v>
      </c>
      <c r="P37" t="s">
        <v>249</v>
      </c>
      <c r="Q37" t="s">
        <v>250</v>
      </c>
      <c r="R37" t="s">
        <v>251</v>
      </c>
      <c r="T37" t="s">
        <v>389</v>
      </c>
      <c r="U37" t="s">
        <v>390</v>
      </c>
      <c r="V37" t="s">
        <v>391</v>
      </c>
      <c r="W37" t="s">
        <v>392</v>
      </c>
      <c r="X37" t="s">
        <v>393</v>
      </c>
      <c r="Z37" t="s">
        <v>525</v>
      </c>
      <c r="AA37" t="s">
        <v>352</v>
      </c>
      <c r="AB37">
        <v>24</v>
      </c>
      <c r="AG37" t="s">
        <v>268</v>
      </c>
      <c r="AJ37" t="s">
        <v>285</v>
      </c>
      <c r="AM37" t="s">
        <v>258</v>
      </c>
      <c r="AN37" t="s">
        <v>259</v>
      </c>
      <c r="AO37" t="s">
        <v>260</v>
      </c>
      <c r="AQ37" t="s">
        <v>504</v>
      </c>
      <c r="AS37">
        <v>0.68</v>
      </c>
      <c r="AU37">
        <v>0.62</v>
      </c>
      <c r="AW37">
        <v>0.75</v>
      </c>
      <c r="AX37" t="s">
        <v>356</v>
      </c>
      <c r="BO37" t="s">
        <v>504</v>
      </c>
      <c r="BQ37">
        <v>0.68</v>
      </c>
      <c r="BS37">
        <v>0.62</v>
      </c>
      <c r="BU37">
        <v>0.75</v>
      </c>
      <c r="BV37" t="s">
        <v>263</v>
      </c>
      <c r="CM37" t="s">
        <v>264</v>
      </c>
      <c r="CN37" t="s">
        <v>264</v>
      </c>
      <c r="CP37" t="s">
        <v>265</v>
      </c>
      <c r="DB37">
        <v>4</v>
      </c>
      <c r="DG37" t="s">
        <v>267</v>
      </c>
      <c r="DI37">
        <v>96</v>
      </c>
      <c r="DN37" t="s">
        <v>268</v>
      </c>
      <c r="DO37" t="s">
        <v>291</v>
      </c>
      <c r="DP37" t="s">
        <v>505</v>
      </c>
      <c r="DR37">
        <v>158387</v>
      </c>
      <c r="DS37">
        <v>6038</v>
      </c>
      <c r="DT37" t="s">
        <v>506</v>
      </c>
      <c r="DV37">
        <v>96</v>
      </c>
      <c r="EA37" t="s">
        <v>268</v>
      </c>
      <c r="EC37">
        <v>4</v>
      </c>
      <c r="EH37" t="s">
        <v>267</v>
      </c>
      <c r="EJ37">
        <v>96</v>
      </c>
      <c r="EO37" t="s">
        <v>268</v>
      </c>
      <c r="EQ37">
        <v>4</v>
      </c>
      <c r="EV37" t="s">
        <v>267</v>
      </c>
      <c r="EW37" t="s">
        <v>272</v>
      </c>
      <c r="EY37" t="s">
        <v>377</v>
      </c>
      <c r="FA37" t="s">
        <v>397</v>
      </c>
      <c r="FM37">
        <v>25</v>
      </c>
      <c r="FR37" t="s">
        <v>295</v>
      </c>
      <c r="HH37" t="s">
        <v>272</v>
      </c>
      <c r="IE37" t="s">
        <v>508</v>
      </c>
      <c r="IF37">
        <v>150008</v>
      </c>
      <c r="IG37" t="s">
        <v>509</v>
      </c>
      <c r="IH37" t="s">
        <v>510</v>
      </c>
      <c r="II37">
        <v>2010</v>
      </c>
      <c r="IJ37" t="s">
        <v>511</v>
      </c>
    </row>
    <row r="38" spans="1:244" x14ac:dyDescent="0.45">
      <c r="A38">
        <v>2101658</v>
      </c>
      <c r="B38">
        <v>2186583</v>
      </c>
      <c r="C38">
        <v>1314132</v>
      </c>
      <c r="D38" t="s">
        <v>486</v>
      </c>
      <c r="F38" t="s">
        <v>245</v>
      </c>
      <c r="G38" t="s">
        <v>272</v>
      </c>
      <c r="N38" t="s">
        <v>387</v>
      </c>
      <c r="O38" t="s">
        <v>388</v>
      </c>
      <c r="P38" t="s">
        <v>249</v>
      </c>
      <c r="Q38" t="s">
        <v>250</v>
      </c>
      <c r="R38" t="s">
        <v>251</v>
      </c>
      <c r="T38" t="s">
        <v>389</v>
      </c>
      <c r="U38" t="s">
        <v>390</v>
      </c>
      <c r="V38" t="s">
        <v>391</v>
      </c>
      <c r="W38" t="s">
        <v>392</v>
      </c>
      <c r="X38" t="s">
        <v>393</v>
      </c>
      <c r="Z38" t="s">
        <v>525</v>
      </c>
      <c r="AA38" t="s">
        <v>352</v>
      </c>
      <c r="AB38">
        <v>24</v>
      </c>
      <c r="AG38" t="s">
        <v>268</v>
      </c>
      <c r="AJ38" t="s">
        <v>285</v>
      </c>
      <c r="AM38" t="s">
        <v>258</v>
      </c>
      <c r="AN38" t="s">
        <v>259</v>
      </c>
      <c r="AO38" t="s">
        <v>260</v>
      </c>
      <c r="AQ38" t="s">
        <v>261</v>
      </c>
      <c r="AS38">
        <v>0.43</v>
      </c>
      <c r="AU38">
        <v>0.4</v>
      </c>
      <c r="AW38">
        <v>0.47</v>
      </c>
      <c r="AX38" t="s">
        <v>356</v>
      </c>
      <c r="BO38" t="s">
        <v>261</v>
      </c>
      <c r="BQ38">
        <v>0.43</v>
      </c>
      <c r="BS38">
        <v>0.4</v>
      </c>
      <c r="BU38">
        <v>0.47</v>
      </c>
      <c r="BV38" t="s">
        <v>263</v>
      </c>
      <c r="CM38" t="s">
        <v>264</v>
      </c>
      <c r="CN38" t="s">
        <v>264</v>
      </c>
      <c r="CP38" t="s">
        <v>265</v>
      </c>
      <c r="DB38">
        <v>4</v>
      </c>
      <c r="DG38" t="s">
        <v>267</v>
      </c>
      <c r="DI38">
        <v>96</v>
      </c>
      <c r="DN38" t="s">
        <v>268</v>
      </c>
      <c r="DO38" t="s">
        <v>291</v>
      </c>
      <c r="DP38" t="s">
        <v>513</v>
      </c>
      <c r="DR38">
        <v>158387</v>
      </c>
      <c r="DS38">
        <v>6038</v>
      </c>
      <c r="DT38" t="s">
        <v>506</v>
      </c>
      <c r="DV38">
        <v>96</v>
      </c>
      <c r="EA38" t="s">
        <v>268</v>
      </c>
      <c r="EC38">
        <v>4</v>
      </c>
      <c r="EH38" t="s">
        <v>267</v>
      </c>
      <c r="EJ38">
        <v>96</v>
      </c>
      <c r="EO38" t="s">
        <v>268</v>
      </c>
      <c r="EQ38">
        <v>4</v>
      </c>
      <c r="EV38" t="s">
        <v>267</v>
      </c>
      <c r="EW38" t="s">
        <v>272</v>
      </c>
      <c r="EY38" t="s">
        <v>377</v>
      </c>
      <c r="FA38" t="s">
        <v>397</v>
      </c>
      <c r="FM38">
        <v>25</v>
      </c>
      <c r="FR38" t="s">
        <v>295</v>
      </c>
      <c r="HH38" t="s">
        <v>272</v>
      </c>
      <c r="IE38" t="s">
        <v>508</v>
      </c>
      <c r="IF38">
        <v>150008</v>
      </c>
      <c r="IG38" t="s">
        <v>509</v>
      </c>
      <c r="IH38" t="s">
        <v>510</v>
      </c>
      <c r="II38">
        <v>2010</v>
      </c>
      <c r="IJ38" t="s">
        <v>511</v>
      </c>
    </row>
    <row r="39" spans="1:244" x14ac:dyDescent="0.45">
      <c r="A39">
        <v>2101654</v>
      </c>
      <c r="B39">
        <v>2186579</v>
      </c>
      <c r="C39">
        <v>1314132</v>
      </c>
      <c r="D39" t="s">
        <v>486</v>
      </c>
      <c r="F39" t="s">
        <v>245</v>
      </c>
      <c r="G39" t="s">
        <v>272</v>
      </c>
      <c r="N39" t="s">
        <v>387</v>
      </c>
      <c r="O39" t="s">
        <v>388</v>
      </c>
      <c r="P39" t="s">
        <v>249</v>
      </c>
      <c r="Q39" t="s">
        <v>250</v>
      </c>
      <c r="R39" t="s">
        <v>251</v>
      </c>
      <c r="T39" t="s">
        <v>389</v>
      </c>
      <c r="U39" t="s">
        <v>390</v>
      </c>
      <c r="V39" t="s">
        <v>391</v>
      </c>
      <c r="W39" t="s">
        <v>392</v>
      </c>
      <c r="X39" t="s">
        <v>393</v>
      </c>
      <c r="Z39" t="s">
        <v>525</v>
      </c>
      <c r="AA39" t="s">
        <v>352</v>
      </c>
      <c r="AB39">
        <v>24</v>
      </c>
      <c r="AG39" t="s">
        <v>268</v>
      </c>
      <c r="AJ39" t="s">
        <v>285</v>
      </c>
      <c r="AM39" t="s">
        <v>258</v>
      </c>
      <c r="AN39" t="s">
        <v>259</v>
      </c>
      <c r="AO39" t="s">
        <v>260</v>
      </c>
      <c r="AQ39" t="s">
        <v>261</v>
      </c>
      <c r="AS39">
        <v>0.85</v>
      </c>
      <c r="AU39">
        <v>0.78</v>
      </c>
      <c r="AW39">
        <v>0.94</v>
      </c>
      <c r="AX39" t="s">
        <v>356</v>
      </c>
      <c r="BO39" t="s">
        <v>261</v>
      </c>
      <c r="BQ39">
        <v>0.85</v>
      </c>
      <c r="BS39">
        <v>0.78</v>
      </c>
      <c r="BU39">
        <v>0.94</v>
      </c>
      <c r="BV39" t="s">
        <v>263</v>
      </c>
      <c r="CM39" t="s">
        <v>264</v>
      </c>
      <c r="CN39" t="s">
        <v>264</v>
      </c>
      <c r="CP39" t="s">
        <v>265</v>
      </c>
      <c r="DB39">
        <v>4</v>
      </c>
      <c r="DG39" t="s">
        <v>267</v>
      </c>
      <c r="DI39">
        <v>96</v>
      </c>
      <c r="DN39" t="s">
        <v>268</v>
      </c>
      <c r="DO39" t="s">
        <v>291</v>
      </c>
      <c r="DP39" t="s">
        <v>505</v>
      </c>
      <c r="DR39">
        <v>158387</v>
      </c>
      <c r="DS39">
        <v>6038</v>
      </c>
      <c r="DT39" t="s">
        <v>506</v>
      </c>
      <c r="DV39">
        <v>96</v>
      </c>
      <c r="EA39" t="s">
        <v>268</v>
      </c>
      <c r="EC39">
        <v>4</v>
      </c>
      <c r="EH39" t="s">
        <v>267</v>
      </c>
      <c r="EJ39">
        <v>96</v>
      </c>
      <c r="EO39" t="s">
        <v>268</v>
      </c>
      <c r="EQ39">
        <v>4</v>
      </c>
      <c r="EV39" t="s">
        <v>267</v>
      </c>
      <c r="EW39" t="s">
        <v>272</v>
      </c>
      <c r="EY39" t="s">
        <v>377</v>
      </c>
      <c r="FA39" t="s">
        <v>397</v>
      </c>
      <c r="FM39">
        <v>25</v>
      </c>
      <c r="FR39" t="s">
        <v>295</v>
      </c>
      <c r="HH39" t="s">
        <v>272</v>
      </c>
      <c r="IE39" t="s">
        <v>508</v>
      </c>
      <c r="IF39">
        <v>150008</v>
      </c>
      <c r="IG39" t="s">
        <v>509</v>
      </c>
      <c r="IH39" t="s">
        <v>510</v>
      </c>
      <c r="II39">
        <v>2010</v>
      </c>
      <c r="IJ39" t="s">
        <v>511</v>
      </c>
    </row>
    <row r="40" spans="1:244" x14ac:dyDescent="0.45">
      <c r="A40">
        <v>1185182</v>
      </c>
      <c r="B40">
        <v>98508</v>
      </c>
      <c r="C40">
        <v>1317391</v>
      </c>
      <c r="D40" t="s">
        <v>526</v>
      </c>
      <c r="F40" t="s">
        <v>245</v>
      </c>
      <c r="G40" t="s">
        <v>246</v>
      </c>
      <c r="N40" t="s">
        <v>527</v>
      </c>
      <c r="O40" t="s">
        <v>461</v>
      </c>
      <c r="P40" t="s">
        <v>249</v>
      </c>
      <c r="Q40" t="s">
        <v>250</v>
      </c>
      <c r="R40" t="s">
        <v>251</v>
      </c>
      <c r="T40" t="s">
        <v>389</v>
      </c>
      <c r="U40" t="s">
        <v>462</v>
      </c>
      <c r="V40" t="s">
        <v>463</v>
      </c>
      <c r="W40" t="s">
        <v>464</v>
      </c>
      <c r="X40" t="s">
        <v>528</v>
      </c>
      <c r="Z40" t="s">
        <v>525</v>
      </c>
      <c r="AB40">
        <v>3</v>
      </c>
      <c r="AG40" t="s">
        <v>268</v>
      </c>
      <c r="AL40" t="s">
        <v>529</v>
      </c>
      <c r="AM40" t="s">
        <v>287</v>
      </c>
      <c r="AN40" t="s">
        <v>259</v>
      </c>
      <c r="AO40" t="s">
        <v>260</v>
      </c>
      <c r="AQ40" t="s">
        <v>261</v>
      </c>
      <c r="AS40">
        <v>20</v>
      </c>
      <c r="AX40" t="s">
        <v>262</v>
      </c>
      <c r="BO40" t="s">
        <v>261</v>
      </c>
      <c r="BQ40">
        <v>0.02</v>
      </c>
      <c r="BV40" t="s">
        <v>263</v>
      </c>
      <c r="CM40" t="s">
        <v>264</v>
      </c>
      <c r="CN40" t="s">
        <v>264</v>
      </c>
      <c r="CP40" t="s">
        <v>265</v>
      </c>
      <c r="CQ40" t="s">
        <v>394</v>
      </c>
      <c r="DB40">
        <v>4</v>
      </c>
      <c r="DG40" t="s">
        <v>267</v>
      </c>
      <c r="DI40">
        <v>96</v>
      </c>
      <c r="DN40" t="s">
        <v>268</v>
      </c>
      <c r="DR40">
        <v>1220549</v>
      </c>
      <c r="DS40">
        <v>771</v>
      </c>
      <c r="EW40" t="s">
        <v>293</v>
      </c>
      <c r="FO40">
        <v>23</v>
      </c>
      <c r="FQ40">
        <v>25</v>
      </c>
      <c r="FR40" t="s">
        <v>295</v>
      </c>
      <c r="HH40" t="s">
        <v>272</v>
      </c>
      <c r="IE40" t="s">
        <v>530</v>
      </c>
      <c r="IF40">
        <v>16408</v>
      </c>
      <c r="IG40" t="s">
        <v>531</v>
      </c>
      <c r="IH40" t="s">
        <v>532</v>
      </c>
      <c r="II40">
        <v>1993</v>
      </c>
      <c r="IJ40" t="s">
        <v>533</v>
      </c>
    </row>
    <row r="41" spans="1:244" x14ac:dyDescent="0.45">
      <c r="A41">
        <v>1185183</v>
      </c>
      <c r="B41">
        <v>98509</v>
      </c>
      <c r="C41">
        <v>1317391</v>
      </c>
      <c r="D41" t="s">
        <v>526</v>
      </c>
      <c r="F41" t="s">
        <v>245</v>
      </c>
      <c r="G41" t="s">
        <v>246</v>
      </c>
      <c r="N41" t="s">
        <v>527</v>
      </c>
      <c r="O41" t="s">
        <v>461</v>
      </c>
      <c r="P41" t="s">
        <v>249</v>
      </c>
      <c r="Q41" t="s">
        <v>250</v>
      </c>
      <c r="R41" t="s">
        <v>251</v>
      </c>
      <c r="T41" t="s">
        <v>389</v>
      </c>
      <c r="U41" t="s">
        <v>462</v>
      </c>
      <c r="V41" t="s">
        <v>463</v>
      </c>
      <c r="W41" t="s">
        <v>464</v>
      </c>
      <c r="X41" t="s">
        <v>528</v>
      </c>
      <c r="Z41" t="s">
        <v>525</v>
      </c>
      <c r="AB41">
        <v>3</v>
      </c>
      <c r="AG41" t="s">
        <v>268</v>
      </c>
      <c r="AL41" t="s">
        <v>529</v>
      </c>
      <c r="AM41" t="s">
        <v>287</v>
      </c>
      <c r="AN41" t="s">
        <v>259</v>
      </c>
      <c r="AO41" t="s">
        <v>260</v>
      </c>
      <c r="AQ41" t="s">
        <v>261</v>
      </c>
      <c r="AS41">
        <v>140</v>
      </c>
      <c r="AX41" t="s">
        <v>262</v>
      </c>
      <c r="BO41" t="s">
        <v>261</v>
      </c>
      <c r="BQ41">
        <v>0.14000000000000001</v>
      </c>
      <c r="BV41" t="s">
        <v>263</v>
      </c>
      <c r="CM41" t="s">
        <v>264</v>
      </c>
      <c r="CN41" t="s">
        <v>264</v>
      </c>
      <c r="CP41" t="s">
        <v>265</v>
      </c>
      <c r="CQ41" t="s">
        <v>394</v>
      </c>
      <c r="DB41">
        <v>3</v>
      </c>
      <c r="DG41" t="s">
        <v>267</v>
      </c>
      <c r="DI41">
        <v>72</v>
      </c>
      <c r="DN41" t="s">
        <v>268</v>
      </c>
      <c r="DR41">
        <v>1220549</v>
      </c>
      <c r="DS41">
        <v>771</v>
      </c>
      <c r="EW41" t="s">
        <v>293</v>
      </c>
      <c r="FO41">
        <v>23</v>
      </c>
      <c r="FQ41">
        <v>25</v>
      </c>
      <c r="FR41" t="s">
        <v>295</v>
      </c>
      <c r="HH41" t="s">
        <v>272</v>
      </c>
      <c r="IE41" t="s">
        <v>530</v>
      </c>
      <c r="IF41">
        <v>16408</v>
      </c>
      <c r="IG41" t="s">
        <v>531</v>
      </c>
      <c r="IH41" t="s">
        <v>532</v>
      </c>
      <c r="II41">
        <v>1993</v>
      </c>
      <c r="IJ41" t="s">
        <v>533</v>
      </c>
    </row>
    <row r="42" spans="1:244" x14ac:dyDescent="0.45">
      <c r="A42">
        <v>1185181</v>
      </c>
      <c r="B42">
        <v>98507</v>
      </c>
      <c r="C42">
        <v>1317391</v>
      </c>
      <c r="D42" t="s">
        <v>526</v>
      </c>
      <c r="F42" t="s">
        <v>245</v>
      </c>
      <c r="G42" t="s">
        <v>246</v>
      </c>
      <c r="N42" t="s">
        <v>527</v>
      </c>
      <c r="O42" t="s">
        <v>461</v>
      </c>
      <c r="P42" t="s">
        <v>249</v>
      </c>
      <c r="Q42" t="s">
        <v>250</v>
      </c>
      <c r="R42" t="s">
        <v>251</v>
      </c>
      <c r="T42" t="s">
        <v>389</v>
      </c>
      <c r="U42" t="s">
        <v>462</v>
      </c>
      <c r="V42" t="s">
        <v>463</v>
      </c>
      <c r="W42" t="s">
        <v>464</v>
      </c>
      <c r="X42" t="s">
        <v>528</v>
      </c>
      <c r="Z42" t="s">
        <v>525</v>
      </c>
      <c r="AB42">
        <v>3</v>
      </c>
      <c r="AG42" t="s">
        <v>268</v>
      </c>
      <c r="AL42" t="s">
        <v>529</v>
      </c>
      <c r="AM42" t="s">
        <v>287</v>
      </c>
      <c r="AN42" t="s">
        <v>259</v>
      </c>
      <c r="AO42" t="s">
        <v>260</v>
      </c>
      <c r="AQ42" t="s">
        <v>261</v>
      </c>
      <c r="AS42">
        <v>500</v>
      </c>
      <c r="AX42" t="s">
        <v>262</v>
      </c>
      <c r="BO42" t="s">
        <v>261</v>
      </c>
      <c r="BQ42">
        <v>0.5</v>
      </c>
      <c r="BV42" t="s">
        <v>263</v>
      </c>
      <c r="CM42" t="s">
        <v>264</v>
      </c>
      <c r="CN42" t="s">
        <v>264</v>
      </c>
      <c r="CP42" t="s">
        <v>265</v>
      </c>
      <c r="CQ42" t="s">
        <v>394</v>
      </c>
      <c r="DB42">
        <v>1</v>
      </c>
      <c r="DG42" t="s">
        <v>267</v>
      </c>
      <c r="DI42">
        <v>24</v>
      </c>
      <c r="DN42" t="s">
        <v>268</v>
      </c>
      <c r="DR42">
        <v>1220549</v>
      </c>
      <c r="DS42">
        <v>771</v>
      </c>
      <c r="EW42" t="s">
        <v>293</v>
      </c>
      <c r="FO42">
        <v>23</v>
      </c>
      <c r="FQ42">
        <v>25</v>
      </c>
      <c r="FR42" t="s">
        <v>295</v>
      </c>
      <c r="HH42" t="s">
        <v>272</v>
      </c>
      <c r="IE42" t="s">
        <v>530</v>
      </c>
      <c r="IF42">
        <v>16408</v>
      </c>
      <c r="IG42" t="s">
        <v>531</v>
      </c>
      <c r="IH42" t="s">
        <v>532</v>
      </c>
      <c r="II42">
        <v>1993</v>
      </c>
      <c r="IJ42" t="s">
        <v>533</v>
      </c>
    </row>
    <row r="43" spans="1:244" x14ac:dyDescent="0.45">
      <c r="A43">
        <v>1185180</v>
      </c>
      <c r="B43">
        <v>98506</v>
      </c>
      <c r="C43">
        <v>1317391</v>
      </c>
      <c r="D43" t="s">
        <v>526</v>
      </c>
      <c r="F43" t="s">
        <v>245</v>
      </c>
      <c r="G43" t="s">
        <v>246</v>
      </c>
      <c r="N43" t="s">
        <v>527</v>
      </c>
      <c r="O43" t="s">
        <v>461</v>
      </c>
      <c r="P43" t="s">
        <v>249</v>
      </c>
      <c r="Q43" t="s">
        <v>250</v>
      </c>
      <c r="R43" t="s">
        <v>251</v>
      </c>
      <c r="T43" t="s">
        <v>389</v>
      </c>
      <c r="U43" t="s">
        <v>462</v>
      </c>
      <c r="V43" t="s">
        <v>463</v>
      </c>
      <c r="W43" t="s">
        <v>464</v>
      </c>
      <c r="X43" t="s">
        <v>528</v>
      </c>
      <c r="Z43" t="s">
        <v>525</v>
      </c>
      <c r="AB43">
        <v>3</v>
      </c>
      <c r="AG43" t="s">
        <v>268</v>
      </c>
      <c r="AL43" t="s">
        <v>529</v>
      </c>
      <c r="AM43" t="s">
        <v>287</v>
      </c>
      <c r="AN43" t="s">
        <v>259</v>
      </c>
      <c r="AO43" t="s">
        <v>260</v>
      </c>
      <c r="AQ43" t="s">
        <v>261</v>
      </c>
      <c r="AS43">
        <v>350</v>
      </c>
      <c r="AX43" t="s">
        <v>262</v>
      </c>
      <c r="BO43" t="s">
        <v>261</v>
      </c>
      <c r="BQ43">
        <v>0.35</v>
      </c>
      <c r="BV43" t="s">
        <v>263</v>
      </c>
      <c r="CM43" t="s">
        <v>264</v>
      </c>
      <c r="CN43" t="s">
        <v>264</v>
      </c>
      <c r="CP43" t="s">
        <v>265</v>
      </c>
      <c r="CQ43" t="s">
        <v>394</v>
      </c>
      <c r="DB43">
        <v>2</v>
      </c>
      <c r="DG43" t="s">
        <v>267</v>
      </c>
      <c r="DI43">
        <v>48</v>
      </c>
      <c r="DN43" t="s">
        <v>268</v>
      </c>
      <c r="DR43">
        <v>1220549</v>
      </c>
      <c r="DS43">
        <v>771</v>
      </c>
      <c r="EW43" t="s">
        <v>293</v>
      </c>
      <c r="FO43">
        <v>23</v>
      </c>
      <c r="FQ43">
        <v>25</v>
      </c>
      <c r="FR43" t="s">
        <v>295</v>
      </c>
      <c r="HH43" t="s">
        <v>272</v>
      </c>
      <c r="IE43" t="s">
        <v>530</v>
      </c>
      <c r="IF43">
        <v>16408</v>
      </c>
      <c r="IG43" t="s">
        <v>531</v>
      </c>
      <c r="IH43" t="s">
        <v>532</v>
      </c>
      <c r="II43">
        <v>1993</v>
      </c>
      <c r="IJ43" t="s">
        <v>533</v>
      </c>
    </row>
    <row r="44" spans="1:244" x14ac:dyDescent="0.45">
      <c r="A44">
        <v>2072119</v>
      </c>
      <c r="B44">
        <v>2107662</v>
      </c>
      <c r="C44">
        <v>1317391</v>
      </c>
      <c r="D44" t="s">
        <v>526</v>
      </c>
      <c r="F44" t="s">
        <v>246</v>
      </c>
      <c r="G44" t="s">
        <v>368</v>
      </c>
      <c r="I44">
        <v>97</v>
      </c>
      <c r="N44" t="s">
        <v>369</v>
      </c>
      <c r="O44" t="s">
        <v>370</v>
      </c>
      <c r="P44" t="s">
        <v>249</v>
      </c>
      <c r="Q44" t="s">
        <v>250</v>
      </c>
      <c r="R44" t="s">
        <v>251</v>
      </c>
      <c r="T44" t="s">
        <v>252</v>
      </c>
      <c r="U44" t="s">
        <v>371</v>
      </c>
      <c r="V44" t="s">
        <v>372</v>
      </c>
      <c r="W44" t="s">
        <v>373</v>
      </c>
      <c r="X44" t="s">
        <v>374</v>
      </c>
      <c r="AA44" t="s">
        <v>289</v>
      </c>
      <c r="AB44">
        <v>24</v>
      </c>
      <c r="AG44" t="s">
        <v>268</v>
      </c>
      <c r="AL44" t="s">
        <v>375</v>
      </c>
      <c r="AM44" t="s">
        <v>317</v>
      </c>
      <c r="AN44" t="s">
        <v>259</v>
      </c>
      <c r="AO44" t="s">
        <v>260</v>
      </c>
      <c r="AS44">
        <v>69.7</v>
      </c>
      <c r="AU44">
        <v>57</v>
      </c>
      <c r="AW44">
        <v>92</v>
      </c>
      <c r="AX44" t="s">
        <v>290</v>
      </c>
      <c r="BQ44">
        <v>6.9699999999999998E-2</v>
      </c>
      <c r="BS44">
        <v>5.7000000000000002E-2</v>
      </c>
      <c r="BU44">
        <v>9.1999999999999998E-2</v>
      </c>
      <c r="BV44" t="s">
        <v>263</v>
      </c>
      <c r="CM44" t="s">
        <v>264</v>
      </c>
      <c r="CN44" t="s">
        <v>264</v>
      </c>
      <c r="CP44" t="s">
        <v>265</v>
      </c>
      <c r="DB44">
        <v>4</v>
      </c>
      <c r="DG44" t="s">
        <v>267</v>
      </c>
      <c r="DI44">
        <v>96</v>
      </c>
      <c r="DN44" t="s">
        <v>268</v>
      </c>
      <c r="DP44">
        <v>97</v>
      </c>
      <c r="DR44">
        <v>110441</v>
      </c>
      <c r="DS44">
        <v>142</v>
      </c>
      <c r="EJ44">
        <v>96</v>
      </c>
      <c r="EO44" t="s">
        <v>268</v>
      </c>
      <c r="EQ44">
        <v>4</v>
      </c>
      <c r="EV44" t="s">
        <v>267</v>
      </c>
      <c r="EW44" t="s">
        <v>376</v>
      </c>
      <c r="EY44" t="s">
        <v>377</v>
      </c>
      <c r="FR44" t="s">
        <v>378</v>
      </c>
      <c r="FY44" t="s">
        <v>378</v>
      </c>
      <c r="GF44" t="s">
        <v>378</v>
      </c>
      <c r="GM44" t="s">
        <v>378</v>
      </c>
      <c r="GZ44" t="s">
        <v>378</v>
      </c>
      <c r="HG44" t="s">
        <v>378</v>
      </c>
      <c r="HH44" t="s">
        <v>379</v>
      </c>
      <c r="HO44" t="s">
        <v>378</v>
      </c>
      <c r="HV44" t="s">
        <v>378</v>
      </c>
      <c r="IC44" t="s">
        <v>378</v>
      </c>
      <c r="ID44" t="s">
        <v>380</v>
      </c>
      <c r="IE44" t="s">
        <v>381</v>
      </c>
      <c r="IF44">
        <v>344</v>
      </c>
      <c r="IG44" t="s">
        <v>382</v>
      </c>
      <c r="IH44" t="s">
        <v>383</v>
      </c>
      <c r="II44">
        <v>1992</v>
      </c>
      <c r="IJ44" t="s">
        <v>384</v>
      </c>
    </row>
    <row r="45" spans="1:244" x14ac:dyDescent="0.45">
      <c r="A45">
        <v>1253762</v>
      </c>
      <c r="B45">
        <v>702409</v>
      </c>
      <c r="C45">
        <v>1333820</v>
      </c>
      <c r="D45" t="s">
        <v>534</v>
      </c>
      <c r="F45" t="s">
        <v>245</v>
      </c>
      <c r="G45" t="s">
        <v>246</v>
      </c>
      <c r="N45" t="s">
        <v>535</v>
      </c>
      <c r="O45" t="s">
        <v>536</v>
      </c>
      <c r="P45" t="s">
        <v>249</v>
      </c>
      <c r="Q45" t="s">
        <v>250</v>
      </c>
      <c r="R45" t="s">
        <v>251</v>
      </c>
      <c r="T45" t="s">
        <v>252</v>
      </c>
      <c r="U45" t="s">
        <v>253</v>
      </c>
      <c r="V45" t="s">
        <v>304</v>
      </c>
      <c r="W45" t="s">
        <v>305</v>
      </c>
      <c r="X45" t="s">
        <v>537</v>
      </c>
      <c r="AM45" t="s">
        <v>317</v>
      </c>
      <c r="AN45" t="s">
        <v>259</v>
      </c>
      <c r="AO45" t="s">
        <v>260</v>
      </c>
      <c r="AP45">
        <v>6</v>
      </c>
      <c r="AQ45" t="s">
        <v>261</v>
      </c>
      <c r="AS45">
        <v>6</v>
      </c>
      <c r="AX45" t="s">
        <v>356</v>
      </c>
      <c r="BO45" t="s">
        <v>261</v>
      </c>
      <c r="BQ45">
        <v>6</v>
      </c>
      <c r="BV45" t="s">
        <v>263</v>
      </c>
      <c r="CM45" t="s">
        <v>264</v>
      </c>
      <c r="CN45" t="s">
        <v>264</v>
      </c>
      <c r="CP45" t="s">
        <v>265</v>
      </c>
      <c r="CQ45" t="s">
        <v>538</v>
      </c>
      <c r="DB45">
        <v>4</v>
      </c>
      <c r="DG45" t="s">
        <v>267</v>
      </c>
      <c r="DI45">
        <v>96</v>
      </c>
      <c r="DN45" t="s">
        <v>268</v>
      </c>
      <c r="DP45" t="s">
        <v>539</v>
      </c>
      <c r="DR45">
        <v>661414</v>
      </c>
      <c r="DS45">
        <v>16591</v>
      </c>
      <c r="EW45" t="s">
        <v>293</v>
      </c>
      <c r="FK45" t="s">
        <v>540</v>
      </c>
      <c r="FM45">
        <v>26</v>
      </c>
      <c r="FR45" t="s">
        <v>295</v>
      </c>
      <c r="GO45">
        <v>7.9</v>
      </c>
      <c r="GU45">
        <v>36</v>
      </c>
      <c r="GZ45" t="s">
        <v>296</v>
      </c>
      <c r="HH45" t="s">
        <v>272</v>
      </c>
      <c r="ID45" t="s">
        <v>541</v>
      </c>
      <c r="IE45" t="s">
        <v>542</v>
      </c>
      <c r="IF45">
        <v>48249</v>
      </c>
      <c r="IG45" t="s">
        <v>543</v>
      </c>
      <c r="IH45" t="s">
        <v>544</v>
      </c>
      <c r="II45">
        <v>1980</v>
      </c>
      <c r="IJ45" t="s">
        <v>545</v>
      </c>
    </row>
    <row r="46" spans="1:244" x14ac:dyDescent="0.45">
      <c r="A46">
        <v>1026233</v>
      </c>
      <c r="B46">
        <v>126003</v>
      </c>
      <c r="C46">
        <v>1333820</v>
      </c>
      <c r="D46" t="s">
        <v>534</v>
      </c>
      <c r="F46" t="s">
        <v>245</v>
      </c>
      <c r="G46" t="s">
        <v>246</v>
      </c>
      <c r="N46" t="s">
        <v>546</v>
      </c>
      <c r="O46" t="s">
        <v>547</v>
      </c>
      <c r="P46" t="s">
        <v>249</v>
      </c>
      <c r="Q46" t="s">
        <v>250</v>
      </c>
      <c r="R46" t="s">
        <v>251</v>
      </c>
      <c r="T46" t="s">
        <v>252</v>
      </c>
      <c r="U46" t="s">
        <v>253</v>
      </c>
      <c r="V46" t="s">
        <v>548</v>
      </c>
      <c r="W46" t="s">
        <v>549</v>
      </c>
      <c r="X46" t="s">
        <v>550</v>
      </c>
      <c r="Z46" t="s">
        <v>315</v>
      </c>
      <c r="AM46" t="s">
        <v>258</v>
      </c>
      <c r="AN46" t="s">
        <v>259</v>
      </c>
      <c r="AO46" t="s">
        <v>260</v>
      </c>
      <c r="AQ46" t="s">
        <v>261</v>
      </c>
      <c r="AS46">
        <v>100000</v>
      </c>
      <c r="AX46" t="s">
        <v>262</v>
      </c>
      <c r="BO46" t="s">
        <v>261</v>
      </c>
      <c r="BQ46">
        <v>100</v>
      </c>
      <c r="BV46" t="s">
        <v>263</v>
      </c>
      <c r="CM46" t="s">
        <v>264</v>
      </c>
      <c r="CN46" t="s">
        <v>264</v>
      </c>
      <c r="CP46" t="s">
        <v>265</v>
      </c>
      <c r="CQ46" t="s">
        <v>538</v>
      </c>
      <c r="DB46">
        <v>2</v>
      </c>
      <c r="DG46" t="s">
        <v>267</v>
      </c>
      <c r="DI46">
        <v>48</v>
      </c>
      <c r="DN46" t="s">
        <v>268</v>
      </c>
      <c r="DR46">
        <v>491138</v>
      </c>
      <c r="DS46">
        <v>11</v>
      </c>
      <c r="EW46" t="s">
        <v>360</v>
      </c>
      <c r="FA46" t="s">
        <v>551</v>
      </c>
      <c r="FM46">
        <v>15</v>
      </c>
      <c r="FR46" t="s">
        <v>295</v>
      </c>
      <c r="HH46" t="s">
        <v>272</v>
      </c>
      <c r="IE46" t="s">
        <v>552</v>
      </c>
      <c r="IF46">
        <v>906</v>
      </c>
      <c r="IG46" t="s">
        <v>553</v>
      </c>
      <c r="IH46" t="s">
        <v>554</v>
      </c>
      <c r="II46">
        <v>1971</v>
      </c>
      <c r="IJ46" t="s">
        <v>555</v>
      </c>
    </row>
    <row r="47" spans="1:244" x14ac:dyDescent="0.45">
      <c r="A47">
        <v>2189576</v>
      </c>
      <c r="B47">
        <v>2378540</v>
      </c>
      <c r="C47">
        <v>1344678</v>
      </c>
      <c r="D47" t="s">
        <v>556</v>
      </c>
      <c r="F47" t="s">
        <v>245</v>
      </c>
      <c r="G47" t="s">
        <v>557</v>
      </c>
      <c r="H47" t="s">
        <v>288</v>
      </c>
      <c r="I47">
        <v>99.9</v>
      </c>
      <c r="N47" t="s">
        <v>312</v>
      </c>
      <c r="O47" t="s">
        <v>313</v>
      </c>
      <c r="P47" t="s">
        <v>249</v>
      </c>
      <c r="Q47" t="s">
        <v>250</v>
      </c>
      <c r="R47" t="s">
        <v>251</v>
      </c>
      <c r="T47" t="s">
        <v>252</v>
      </c>
      <c r="U47" t="s">
        <v>253</v>
      </c>
      <c r="V47" t="s">
        <v>304</v>
      </c>
      <c r="W47" t="s">
        <v>305</v>
      </c>
      <c r="X47" t="s">
        <v>314</v>
      </c>
      <c r="Z47" t="s">
        <v>558</v>
      </c>
      <c r="AB47">
        <v>9</v>
      </c>
      <c r="AG47" t="s">
        <v>267</v>
      </c>
      <c r="AJ47" t="s">
        <v>285</v>
      </c>
      <c r="AM47" t="s">
        <v>317</v>
      </c>
      <c r="AN47" t="s">
        <v>259</v>
      </c>
      <c r="AO47" t="s">
        <v>260</v>
      </c>
      <c r="AP47" t="s">
        <v>559</v>
      </c>
      <c r="AQ47" t="s">
        <v>261</v>
      </c>
      <c r="AS47">
        <v>2.15</v>
      </c>
      <c r="AU47">
        <v>1.37</v>
      </c>
      <c r="AW47">
        <v>3.38</v>
      </c>
      <c r="AX47" t="s">
        <v>356</v>
      </c>
      <c r="BO47" t="s">
        <v>261</v>
      </c>
      <c r="BQ47">
        <v>2.15</v>
      </c>
      <c r="BS47">
        <v>1.37</v>
      </c>
      <c r="BU47">
        <v>3.38</v>
      </c>
      <c r="BV47" t="s">
        <v>263</v>
      </c>
      <c r="CM47" t="s">
        <v>264</v>
      </c>
      <c r="CN47" t="s">
        <v>264</v>
      </c>
      <c r="CP47" t="s">
        <v>265</v>
      </c>
      <c r="DB47">
        <v>4</v>
      </c>
      <c r="DG47" t="s">
        <v>267</v>
      </c>
      <c r="DI47">
        <v>4</v>
      </c>
      <c r="DN47" t="s">
        <v>267</v>
      </c>
      <c r="DR47">
        <v>221654</v>
      </c>
      <c r="DS47">
        <v>65263</v>
      </c>
      <c r="DV47">
        <v>4</v>
      </c>
      <c r="EA47" t="s">
        <v>267</v>
      </c>
      <c r="EC47">
        <v>4</v>
      </c>
      <c r="EH47" t="s">
        <v>267</v>
      </c>
      <c r="EJ47">
        <v>4</v>
      </c>
      <c r="EO47" t="s">
        <v>267</v>
      </c>
      <c r="EQ47">
        <v>4</v>
      </c>
      <c r="EV47" t="s">
        <v>267</v>
      </c>
      <c r="EW47" t="s">
        <v>293</v>
      </c>
      <c r="EY47" t="s">
        <v>377</v>
      </c>
      <c r="FA47" t="s">
        <v>560</v>
      </c>
      <c r="FE47">
        <v>24</v>
      </c>
      <c r="FJ47" t="s">
        <v>558</v>
      </c>
      <c r="FM47">
        <v>27</v>
      </c>
      <c r="FR47" t="s">
        <v>295</v>
      </c>
      <c r="GQ47">
        <v>7</v>
      </c>
      <c r="GS47">
        <v>7.8</v>
      </c>
      <c r="HH47" t="s">
        <v>272</v>
      </c>
      <c r="ID47" t="s">
        <v>561</v>
      </c>
      <c r="IE47" t="s">
        <v>562</v>
      </c>
      <c r="IF47">
        <v>53460</v>
      </c>
      <c r="IG47" t="s">
        <v>563</v>
      </c>
      <c r="IH47" t="s">
        <v>564</v>
      </c>
      <c r="II47">
        <v>1999</v>
      </c>
      <c r="IJ47" t="s">
        <v>565</v>
      </c>
    </row>
    <row r="48" spans="1:244" x14ac:dyDescent="0.45">
      <c r="A48">
        <v>2190496</v>
      </c>
      <c r="B48">
        <v>2381845</v>
      </c>
      <c r="C48">
        <v>1344678</v>
      </c>
      <c r="D48" t="s">
        <v>556</v>
      </c>
      <c r="F48" t="s">
        <v>245</v>
      </c>
      <c r="G48" t="s">
        <v>557</v>
      </c>
      <c r="H48" t="s">
        <v>288</v>
      </c>
      <c r="I48">
        <v>99.9</v>
      </c>
      <c r="N48" t="s">
        <v>312</v>
      </c>
      <c r="O48" t="s">
        <v>313</v>
      </c>
      <c r="P48" t="s">
        <v>249</v>
      </c>
      <c r="Q48" t="s">
        <v>250</v>
      </c>
      <c r="R48" t="s">
        <v>251</v>
      </c>
      <c r="T48" t="s">
        <v>252</v>
      </c>
      <c r="U48" t="s">
        <v>253</v>
      </c>
      <c r="V48" t="s">
        <v>304</v>
      </c>
      <c r="W48" t="s">
        <v>305</v>
      </c>
      <c r="X48" t="s">
        <v>314</v>
      </c>
      <c r="Z48" t="s">
        <v>558</v>
      </c>
      <c r="AB48">
        <v>9</v>
      </c>
      <c r="AG48" t="s">
        <v>267</v>
      </c>
      <c r="AJ48" t="s">
        <v>285</v>
      </c>
      <c r="AM48" t="s">
        <v>317</v>
      </c>
      <c r="AN48" t="s">
        <v>259</v>
      </c>
      <c r="AO48" t="s">
        <v>260</v>
      </c>
      <c r="AP48" t="s">
        <v>559</v>
      </c>
      <c r="AQ48" t="s">
        <v>261</v>
      </c>
      <c r="AS48">
        <v>0.75</v>
      </c>
      <c r="AU48">
        <v>0.35</v>
      </c>
      <c r="AW48">
        <v>1.6</v>
      </c>
      <c r="AX48" t="s">
        <v>356</v>
      </c>
      <c r="BO48" t="s">
        <v>261</v>
      </c>
      <c r="BQ48">
        <v>0.75</v>
      </c>
      <c r="BS48">
        <v>0.35</v>
      </c>
      <c r="BU48">
        <v>1.6</v>
      </c>
      <c r="BV48" t="s">
        <v>263</v>
      </c>
      <c r="CM48" t="s">
        <v>264</v>
      </c>
      <c r="CN48" t="s">
        <v>264</v>
      </c>
      <c r="CP48" t="s">
        <v>265</v>
      </c>
      <c r="DB48">
        <v>4</v>
      </c>
      <c r="DG48" t="s">
        <v>267</v>
      </c>
      <c r="DI48">
        <v>4</v>
      </c>
      <c r="DN48" t="s">
        <v>267</v>
      </c>
      <c r="DR48">
        <v>221654</v>
      </c>
      <c r="DS48">
        <v>65263</v>
      </c>
      <c r="DV48">
        <v>4</v>
      </c>
      <c r="EA48" t="s">
        <v>267</v>
      </c>
      <c r="EC48">
        <v>4</v>
      </c>
      <c r="EH48" t="s">
        <v>267</v>
      </c>
      <c r="EJ48">
        <v>4</v>
      </c>
      <c r="EO48" t="s">
        <v>267</v>
      </c>
      <c r="EQ48">
        <v>4</v>
      </c>
      <c r="EV48" t="s">
        <v>267</v>
      </c>
      <c r="EW48" t="s">
        <v>293</v>
      </c>
      <c r="EY48" t="s">
        <v>377</v>
      </c>
      <c r="FA48" t="s">
        <v>560</v>
      </c>
      <c r="FE48">
        <v>24</v>
      </c>
      <c r="FJ48" t="s">
        <v>558</v>
      </c>
      <c r="FM48">
        <v>27</v>
      </c>
      <c r="FR48" t="s">
        <v>295</v>
      </c>
      <c r="GQ48">
        <v>7</v>
      </c>
      <c r="GS48">
        <v>7.8</v>
      </c>
      <c r="HH48" t="s">
        <v>272</v>
      </c>
      <c r="ID48" t="s">
        <v>561</v>
      </c>
      <c r="IE48" t="s">
        <v>562</v>
      </c>
      <c r="IF48">
        <v>53460</v>
      </c>
      <c r="IG48" t="s">
        <v>563</v>
      </c>
      <c r="IH48" t="s">
        <v>564</v>
      </c>
      <c r="II48">
        <v>1999</v>
      </c>
      <c r="IJ48" t="s">
        <v>565</v>
      </c>
    </row>
    <row r="49" spans="1:244" x14ac:dyDescent="0.45">
      <c r="A49">
        <v>1035621</v>
      </c>
      <c r="B49">
        <v>54724</v>
      </c>
      <c r="C49">
        <v>1344678</v>
      </c>
      <c r="D49" t="s">
        <v>556</v>
      </c>
      <c r="F49" t="s">
        <v>245</v>
      </c>
      <c r="G49" t="s">
        <v>246</v>
      </c>
      <c r="N49" t="s">
        <v>566</v>
      </c>
      <c r="O49" t="s">
        <v>388</v>
      </c>
      <c r="P49" t="s">
        <v>249</v>
      </c>
      <c r="Q49" t="s">
        <v>250</v>
      </c>
      <c r="R49" t="s">
        <v>251</v>
      </c>
      <c r="T49" t="s">
        <v>389</v>
      </c>
      <c r="U49" t="s">
        <v>390</v>
      </c>
      <c r="V49" t="s">
        <v>567</v>
      </c>
      <c r="W49" t="s">
        <v>568</v>
      </c>
      <c r="X49" t="s">
        <v>569</v>
      </c>
      <c r="Z49" t="s">
        <v>315</v>
      </c>
      <c r="AM49" t="s">
        <v>317</v>
      </c>
      <c r="AN49" t="s">
        <v>259</v>
      </c>
      <c r="AO49" t="s">
        <v>260</v>
      </c>
      <c r="AQ49" t="s">
        <v>261</v>
      </c>
      <c r="AS49">
        <v>1800</v>
      </c>
      <c r="AU49">
        <v>1300</v>
      </c>
      <c r="AW49">
        <v>2400</v>
      </c>
      <c r="AX49" t="s">
        <v>262</v>
      </c>
      <c r="BO49" t="s">
        <v>261</v>
      </c>
      <c r="BQ49">
        <v>1.8</v>
      </c>
      <c r="BS49">
        <v>1.3</v>
      </c>
      <c r="BU49">
        <v>2.4</v>
      </c>
      <c r="BV49" t="s">
        <v>263</v>
      </c>
      <c r="CM49" t="s">
        <v>264</v>
      </c>
      <c r="CN49" t="s">
        <v>264</v>
      </c>
      <c r="CP49" t="s">
        <v>265</v>
      </c>
      <c r="CQ49" t="s">
        <v>394</v>
      </c>
      <c r="DB49">
        <v>4</v>
      </c>
      <c r="DG49" t="s">
        <v>267</v>
      </c>
      <c r="DI49">
        <v>96</v>
      </c>
      <c r="DN49" t="s">
        <v>268</v>
      </c>
      <c r="DP49" t="s">
        <v>570</v>
      </c>
      <c r="DS49">
        <v>212</v>
      </c>
      <c r="DT49" t="s">
        <v>571</v>
      </c>
      <c r="EW49" t="s">
        <v>271</v>
      </c>
      <c r="FM49">
        <v>20</v>
      </c>
      <c r="FR49" t="s">
        <v>295</v>
      </c>
      <c r="GA49">
        <v>75</v>
      </c>
      <c r="GF49" t="s">
        <v>572</v>
      </c>
      <c r="GO49">
        <v>8</v>
      </c>
      <c r="GU49">
        <v>7</v>
      </c>
      <c r="GZ49" t="s">
        <v>296</v>
      </c>
      <c r="HH49" t="s">
        <v>272</v>
      </c>
      <c r="IE49" t="s">
        <v>573</v>
      </c>
      <c r="IF49">
        <v>2183</v>
      </c>
      <c r="IG49" t="s">
        <v>574</v>
      </c>
      <c r="IH49" t="s">
        <v>575</v>
      </c>
      <c r="II49">
        <v>1978</v>
      </c>
      <c r="IJ49" t="s">
        <v>576</v>
      </c>
    </row>
    <row r="50" spans="1:244" x14ac:dyDescent="0.45">
      <c r="A50">
        <v>1252571</v>
      </c>
      <c r="B50">
        <v>700898</v>
      </c>
      <c r="C50">
        <v>1344678</v>
      </c>
      <c r="D50" t="s">
        <v>556</v>
      </c>
      <c r="F50" t="s">
        <v>327</v>
      </c>
      <c r="G50" t="s">
        <v>246</v>
      </c>
      <c r="N50" t="s">
        <v>577</v>
      </c>
      <c r="O50" t="s">
        <v>578</v>
      </c>
      <c r="P50" t="s">
        <v>249</v>
      </c>
      <c r="Q50" t="s">
        <v>250</v>
      </c>
      <c r="R50" t="s">
        <v>251</v>
      </c>
      <c r="T50" t="s">
        <v>252</v>
      </c>
      <c r="U50" t="s">
        <v>499</v>
      </c>
      <c r="V50" t="s">
        <v>579</v>
      </c>
      <c r="W50" t="s">
        <v>580</v>
      </c>
      <c r="X50" t="s">
        <v>581</v>
      </c>
      <c r="AM50" t="s">
        <v>317</v>
      </c>
      <c r="AN50" t="s">
        <v>259</v>
      </c>
      <c r="AO50" t="s">
        <v>260</v>
      </c>
      <c r="AQ50" t="s">
        <v>261</v>
      </c>
      <c r="AS50">
        <v>3.7</v>
      </c>
      <c r="AX50" t="s">
        <v>356</v>
      </c>
      <c r="BO50" t="s">
        <v>261</v>
      </c>
      <c r="BQ50">
        <v>3.7</v>
      </c>
      <c r="BV50" t="s">
        <v>263</v>
      </c>
      <c r="CM50" t="s">
        <v>264</v>
      </c>
      <c r="CN50" t="s">
        <v>264</v>
      </c>
      <c r="CP50" t="s">
        <v>265</v>
      </c>
      <c r="CQ50" t="s">
        <v>394</v>
      </c>
      <c r="DB50">
        <v>4</v>
      </c>
      <c r="DG50" t="s">
        <v>267</v>
      </c>
      <c r="DI50">
        <v>96</v>
      </c>
      <c r="DN50" t="s">
        <v>268</v>
      </c>
      <c r="DP50" t="s">
        <v>582</v>
      </c>
      <c r="DR50">
        <v>1450415</v>
      </c>
      <c r="DS50">
        <v>4619</v>
      </c>
      <c r="DT50" t="s">
        <v>583</v>
      </c>
      <c r="EW50" t="s">
        <v>293</v>
      </c>
      <c r="FK50" t="s">
        <v>584</v>
      </c>
      <c r="FM50">
        <v>15</v>
      </c>
      <c r="FR50" t="s">
        <v>295</v>
      </c>
      <c r="HH50" t="s">
        <v>272</v>
      </c>
      <c r="ID50" t="s">
        <v>585</v>
      </c>
      <c r="IE50" t="s">
        <v>586</v>
      </c>
      <c r="IF50">
        <v>52126</v>
      </c>
      <c r="IG50" t="s">
        <v>587</v>
      </c>
      <c r="IH50" t="s">
        <v>588</v>
      </c>
      <c r="II50">
        <v>2000</v>
      </c>
      <c r="IJ50" t="s">
        <v>589</v>
      </c>
    </row>
    <row r="51" spans="1:244" x14ac:dyDescent="0.45">
      <c r="A51">
        <v>2190497</v>
      </c>
      <c r="B51">
        <v>2381846</v>
      </c>
      <c r="C51">
        <v>1344678</v>
      </c>
      <c r="D51" t="s">
        <v>556</v>
      </c>
      <c r="F51" t="s">
        <v>245</v>
      </c>
      <c r="G51" t="s">
        <v>557</v>
      </c>
      <c r="H51" t="s">
        <v>288</v>
      </c>
      <c r="I51">
        <v>99.9</v>
      </c>
      <c r="N51" t="s">
        <v>312</v>
      </c>
      <c r="O51" t="s">
        <v>313</v>
      </c>
      <c r="P51" t="s">
        <v>249</v>
      </c>
      <c r="Q51" t="s">
        <v>250</v>
      </c>
      <c r="R51" t="s">
        <v>251</v>
      </c>
      <c r="T51" t="s">
        <v>252</v>
      </c>
      <c r="U51" t="s">
        <v>253</v>
      </c>
      <c r="V51" t="s">
        <v>304</v>
      </c>
      <c r="W51" t="s">
        <v>305</v>
      </c>
      <c r="X51" t="s">
        <v>314</v>
      </c>
      <c r="Z51" t="s">
        <v>558</v>
      </c>
      <c r="AB51">
        <v>9</v>
      </c>
      <c r="AG51" t="s">
        <v>267</v>
      </c>
      <c r="AJ51" t="s">
        <v>285</v>
      </c>
      <c r="AM51" t="s">
        <v>317</v>
      </c>
      <c r="AN51" t="s">
        <v>259</v>
      </c>
      <c r="AO51" t="s">
        <v>260</v>
      </c>
      <c r="AP51" t="s">
        <v>559</v>
      </c>
      <c r="AQ51" t="s">
        <v>261</v>
      </c>
      <c r="AS51">
        <v>2.56</v>
      </c>
      <c r="AU51">
        <v>1.68</v>
      </c>
      <c r="AW51">
        <v>3.9</v>
      </c>
      <c r="AX51" t="s">
        <v>356</v>
      </c>
      <c r="BO51" t="s">
        <v>261</v>
      </c>
      <c r="BQ51">
        <v>2.56</v>
      </c>
      <c r="BS51">
        <v>1.68</v>
      </c>
      <c r="BU51">
        <v>3.9</v>
      </c>
      <c r="BV51" t="s">
        <v>263</v>
      </c>
      <c r="CM51" t="s">
        <v>264</v>
      </c>
      <c r="CN51" t="s">
        <v>264</v>
      </c>
      <c r="CP51" t="s">
        <v>265</v>
      </c>
      <c r="DB51">
        <v>4</v>
      </c>
      <c r="DG51" t="s">
        <v>267</v>
      </c>
      <c r="DI51">
        <v>4</v>
      </c>
      <c r="DN51" t="s">
        <v>267</v>
      </c>
      <c r="DR51">
        <v>221654</v>
      </c>
      <c r="DS51">
        <v>65263</v>
      </c>
      <c r="DV51">
        <v>4</v>
      </c>
      <c r="EA51" t="s">
        <v>267</v>
      </c>
      <c r="EC51">
        <v>4</v>
      </c>
      <c r="EH51" t="s">
        <v>267</v>
      </c>
      <c r="EJ51">
        <v>4</v>
      </c>
      <c r="EO51" t="s">
        <v>267</v>
      </c>
      <c r="EQ51">
        <v>4</v>
      </c>
      <c r="EV51" t="s">
        <v>267</v>
      </c>
      <c r="EW51" t="s">
        <v>293</v>
      </c>
      <c r="EY51" t="s">
        <v>377</v>
      </c>
      <c r="FA51" t="s">
        <v>560</v>
      </c>
      <c r="FE51">
        <v>24</v>
      </c>
      <c r="FJ51" t="s">
        <v>558</v>
      </c>
      <c r="FM51">
        <v>27</v>
      </c>
      <c r="FR51" t="s">
        <v>295</v>
      </c>
      <c r="GQ51">
        <v>7</v>
      </c>
      <c r="GS51">
        <v>7.8</v>
      </c>
      <c r="HH51" t="s">
        <v>272</v>
      </c>
      <c r="ID51" t="s">
        <v>561</v>
      </c>
      <c r="IE51" t="s">
        <v>562</v>
      </c>
      <c r="IF51">
        <v>53460</v>
      </c>
      <c r="IG51" t="s">
        <v>563</v>
      </c>
      <c r="IH51" t="s">
        <v>564</v>
      </c>
      <c r="II51">
        <v>1999</v>
      </c>
      <c r="IJ51" t="s">
        <v>565</v>
      </c>
    </row>
    <row r="52" spans="1:244" x14ac:dyDescent="0.45">
      <c r="A52">
        <v>1252572</v>
      </c>
      <c r="B52">
        <v>700899</v>
      </c>
      <c r="C52">
        <v>1344678</v>
      </c>
      <c r="D52" t="s">
        <v>556</v>
      </c>
      <c r="F52" t="s">
        <v>327</v>
      </c>
      <c r="G52" t="s">
        <v>246</v>
      </c>
      <c r="N52" t="s">
        <v>590</v>
      </c>
      <c r="O52" t="s">
        <v>578</v>
      </c>
      <c r="P52" t="s">
        <v>249</v>
      </c>
      <c r="Q52" t="s">
        <v>250</v>
      </c>
      <c r="R52" t="s">
        <v>251</v>
      </c>
      <c r="T52" t="s">
        <v>252</v>
      </c>
      <c r="U52" t="s">
        <v>499</v>
      </c>
      <c r="V52" t="s">
        <v>591</v>
      </c>
      <c r="W52" t="s">
        <v>592</v>
      </c>
      <c r="X52" t="s">
        <v>593</v>
      </c>
      <c r="AM52" t="s">
        <v>317</v>
      </c>
      <c r="AN52" t="s">
        <v>259</v>
      </c>
      <c r="AO52" t="s">
        <v>260</v>
      </c>
      <c r="AQ52" t="s">
        <v>261</v>
      </c>
      <c r="AS52">
        <v>33.5</v>
      </c>
      <c r="AX52" t="s">
        <v>262</v>
      </c>
      <c r="BO52" t="s">
        <v>261</v>
      </c>
      <c r="BQ52">
        <v>3.3500000000000002E-2</v>
      </c>
      <c r="BV52" t="s">
        <v>263</v>
      </c>
      <c r="CM52" t="s">
        <v>264</v>
      </c>
      <c r="CN52" t="s">
        <v>264</v>
      </c>
      <c r="CP52" t="s">
        <v>265</v>
      </c>
      <c r="CQ52" t="s">
        <v>394</v>
      </c>
      <c r="DB52">
        <v>4</v>
      </c>
      <c r="DG52" t="s">
        <v>267</v>
      </c>
      <c r="DI52">
        <v>96</v>
      </c>
      <c r="DN52" t="s">
        <v>268</v>
      </c>
      <c r="DP52" t="s">
        <v>582</v>
      </c>
      <c r="DR52">
        <v>1239313</v>
      </c>
      <c r="DS52">
        <v>4665</v>
      </c>
      <c r="DT52" t="s">
        <v>583</v>
      </c>
      <c r="EW52" t="s">
        <v>293</v>
      </c>
      <c r="FK52" t="s">
        <v>594</v>
      </c>
      <c r="FM52">
        <v>15</v>
      </c>
      <c r="FR52" t="s">
        <v>295</v>
      </c>
      <c r="HH52" t="s">
        <v>272</v>
      </c>
      <c r="ID52" t="s">
        <v>595</v>
      </c>
      <c r="IE52" t="s">
        <v>586</v>
      </c>
      <c r="IF52">
        <v>52126</v>
      </c>
      <c r="IG52" t="s">
        <v>587</v>
      </c>
      <c r="IH52" t="s">
        <v>588</v>
      </c>
      <c r="II52">
        <v>2000</v>
      </c>
      <c r="IJ52" t="s">
        <v>589</v>
      </c>
    </row>
    <row r="53" spans="1:244" x14ac:dyDescent="0.45">
      <c r="A53">
        <v>1116094</v>
      </c>
      <c r="B53">
        <v>107323</v>
      </c>
      <c r="C53">
        <v>1600277</v>
      </c>
      <c r="D53" t="s">
        <v>596</v>
      </c>
      <c r="F53" t="s">
        <v>245</v>
      </c>
      <c r="G53" t="s">
        <v>246</v>
      </c>
      <c r="N53" t="s">
        <v>460</v>
      </c>
      <c r="O53" t="s">
        <v>461</v>
      </c>
      <c r="P53" t="s">
        <v>249</v>
      </c>
      <c r="Q53" t="s">
        <v>250</v>
      </c>
      <c r="R53" t="s">
        <v>251</v>
      </c>
      <c r="T53" t="s">
        <v>389</v>
      </c>
      <c r="U53" t="s">
        <v>462</v>
      </c>
      <c r="V53" t="s">
        <v>463</v>
      </c>
      <c r="W53" t="s">
        <v>464</v>
      </c>
      <c r="X53" t="s">
        <v>465</v>
      </c>
      <c r="Z53" t="s">
        <v>284</v>
      </c>
      <c r="AM53" t="s">
        <v>317</v>
      </c>
      <c r="AN53" t="s">
        <v>259</v>
      </c>
      <c r="AO53" t="s">
        <v>260</v>
      </c>
      <c r="AQ53" t="s">
        <v>261</v>
      </c>
      <c r="AS53">
        <v>490</v>
      </c>
      <c r="AU53">
        <v>420</v>
      </c>
      <c r="AW53">
        <v>580</v>
      </c>
      <c r="AX53" t="s">
        <v>262</v>
      </c>
      <c r="BO53" t="s">
        <v>261</v>
      </c>
      <c r="BQ53">
        <v>0.49</v>
      </c>
      <c r="BS53">
        <v>0.42</v>
      </c>
      <c r="BU53">
        <v>0.57999999999999996</v>
      </c>
      <c r="BV53" t="s">
        <v>263</v>
      </c>
      <c r="CM53" t="s">
        <v>264</v>
      </c>
      <c r="CN53" t="s">
        <v>264</v>
      </c>
      <c r="CP53" t="s">
        <v>265</v>
      </c>
      <c r="CQ53" t="s">
        <v>266</v>
      </c>
      <c r="DB53">
        <v>3</v>
      </c>
      <c r="DG53" t="s">
        <v>267</v>
      </c>
      <c r="DI53">
        <v>3</v>
      </c>
      <c r="DN53" t="s">
        <v>267</v>
      </c>
      <c r="DR53">
        <v>637417</v>
      </c>
      <c r="DS53">
        <v>214</v>
      </c>
      <c r="EW53" t="s">
        <v>271</v>
      </c>
      <c r="HH53" t="s">
        <v>272</v>
      </c>
      <c r="IE53" t="s">
        <v>454</v>
      </c>
      <c r="IF53">
        <v>9001</v>
      </c>
      <c r="IG53" t="s">
        <v>455</v>
      </c>
      <c r="IH53" t="s">
        <v>456</v>
      </c>
      <c r="II53">
        <v>1973</v>
      </c>
      <c r="IJ53" t="s">
        <v>457</v>
      </c>
    </row>
    <row r="54" spans="1:244" x14ac:dyDescent="0.45">
      <c r="A54">
        <v>1116096</v>
      </c>
      <c r="B54">
        <v>107325</v>
      </c>
      <c r="C54">
        <v>1600277</v>
      </c>
      <c r="D54" t="s">
        <v>596</v>
      </c>
      <c r="F54" t="s">
        <v>245</v>
      </c>
      <c r="G54" t="s">
        <v>246</v>
      </c>
      <c r="N54" t="s">
        <v>452</v>
      </c>
      <c r="O54" t="s">
        <v>346</v>
      </c>
      <c r="P54" t="s">
        <v>249</v>
      </c>
      <c r="Q54" t="s">
        <v>250</v>
      </c>
      <c r="R54" t="s">
        <v>251</v>
      </c>
      <c r="T54" t="s">
        <v>347</v>
      </c>
      <c r="U54" t="s">
        <v>348</v>
      </c>
      <c r="V54" t="s">
        <v>349</v>
      </c>
      <c r="W54" t="s">
        <v>350</v>
      </c>
      <c r="X54" t="s">
        <v>453</v>
      </c>
      <c r="Z54" t="s">
        <v>284</v>
      </c>
      <c r="AM54" t="s">
        <v>317</v>
      </c>
      <c r="AN54" t="s">
        <v>259</v>
      </c>
      <c r="AO54" t="s">
        <v>260</v>
      </c>
      <c r="AQ54" t="s">
        <v>261</v>
      </c>
      <c r="AS54">
        <v>570</v>
      </c>
      <c r="AU54">
        <v>250</v>
      </c>
      <c r="AW54">
        <v>1300</v>
      </c>
      <c r="AX54" t="s">
        <v>262</v>
      </c>
      <c r="BO54" t="s">
        <v>261</v>
      </c>
      <c r="BQ54">
        <v>0.56999999999999995</v>
      </c>
      <c r="BS54">
        <v>0.25</v>
      </c>
      <c r="BU54">
        <v>1.3</v>
      </c>
      <c r="BV54" t="s">
        <v>263</v>
      </c>
      <c r="CM54" t="s">
        <v>264</v>
      </c>
      <c r="CN54" t="s">
        <v>264</v>
      </c>
      <c r="CP54" t="s">
        <v>265</v>
      </c>
      <c r="CQ54" t="s">
        <v>266</v>
      </c>
      <c r="DB54">
        <v>3</v>
      </c>
      <c r="DG54" t="s">
        <v>267</v>
      </c>
      <c r="DI54">
        <v>3</v>
      </c>
      <c r="DN54" t="s">
        <v>267</v>
      </c>
      <c r="DR54">
        <v>85549</v>
      </c>
      <c r="DS54">
        <v>366</v>
      </c>
      <c r="EW54" t="s">
        <v>271</v>
      </c>
      <c r="HH54" t="s">
        <v>272</v>
      </c>
      <c r="IE54" t="s">
        <v>454</v>
      </c>
      <c r="IF54">
        <v>9001</v>
      </c>
      <c r="IG54" t="s">
        <v>455</v>
      </c>
      <c r="IH54" t="s">
        <v>456</v>
      </c>
      <c r="II54">
        <v>1973</v>
      </c>
      <c r="IJ54" t="s">
        <v>457</v>
      </c>
    </row>
    <row r="55" spans="1:244" x14ac:dyDescent="0.45">
      <c r="A55">
        <v>1024821</v>
      </c>
      <c r="B55">
        <v>10729</v>
      </c>
      <c r="C55">
        <v>1600277</v>
      </c>
      <c r="D55" t="s">
        <v>596</v>
      </c>
      <c r="F55" t="s">
        <v>327</v>
      </c>
      <c r="G55" t="s">
        <v>368</v>
      </c>
      <c r="N55" t="s">
        <v>312</v>
      </c>
      <c r="O55" t="s">
        <v>313</v>
      </c>
      <c r="P55" t="s">
        <v>249</v>
      </c>
      <c r="Q55" t="s">
        <v>250</v>
      </c>
      <c r="R55" t="s">
        <v>251</v>
      </c>
      <c r="T55" t="s">
        <v>252</v>
      </c>
      <c r="U55" t="s">
        <v>253</v>
      </c>
      <c r="V55" t="s">
        <v>304</v>
      </c>
      <c r="W55" t="s">
        <v>305</v>
      </c>
      <c r="X55" t="s">
        <v>314</v>
      </c>
      <c r="AI55">
        <v>2</v>
      </c>
      <c r="AJ55" t="s">
        <v>285</v>
      </c>
      <c r="AM55" t="s">
        <v>317</v>
      </c>
      <c r="AN55" t="s">
        <v>259</v>
      </c>
      <c r="AO55" t="s">
        <v>260</v>
      </c>
      <c r="AQ55" t="s">
        <v>261</v>
      </c>
      <c r="AS55">
        <v>7.4999999999999997E-2</v>
      </c>
      <c r="AX55" t="s">
        <v>356</v>
      </c>
      <c r="BO55" t="s">
        <v>261</v>
      </c>
      <c r="BQ55">
        <v>7.4999999999999997E-2</v>
      </c>
      <c r="BV55" t="s">
        <v>263</v>
      </c>
      <c r="CM55" t="s">
        <v>264</v>
      </c>
      <c r="CN55" t="s">
        <v>264</v>
      </c>
      <c r="CP55" t="s">
        <v>265</v>
      </c>
      <c r="CQ55" t="s">
        <v>266</v>
      </c>
      <c r="DB55">
        <v>4</v>
      </c>
      <c r="DG55" t="s">
        <v>267</v>
      </c>
      <c r="DI55">
        <v>96</v>
      </c>
      <c r="DN55" t="s">
        <v>268</v>
      </c>
      <c r="DQ55" t="s">
        <v>405</v>
      </c>
      <c r="DR55">
        <v>221654</v>
      </c>
      <c r="DS55">
        <v>65263</v>
      </c>
      <c r="DT55" t="s">
        <v>406</v>
      </c>
      <c r="DV55">
        <v>96</v>
      </c>
      <c r="EA55" t="s">
        <v>268</v>
      </c>
      <c r="EC55">
        <v>4</v>
      </c>
      <c r="EH55" t="s">
        <v>267</v>
      </c>
      <c r="EJ55">
        <v>96</v>
      </c>
      <c r="EO55" t="s">
        <v>268</v>
      </c>
      <c r="EQ55">
        <v>4</v>
      </c>
      <c r="EV55" t="s">
        <v>267</v>
      </c>
      <c r="EW55" t="s">
        <v>293</v>
      </c>
      <c r="EY55" t="s">
        <v>377</v>
      </c>
      <c r="EZ55">
        <v>5</v>
      </c>
      <c r="FA55" t="s">
        <v>407</v>
      </c>
      <c r="FK55" t="s">
        <v>408</v>
      </c>
      <c r="FM55">
        <v>22</v>
      </c>
      <c r="FR55" t="s">
        <v>295</v>
      </c>
      <c r="GQ55">
        <v>8.3000000000000007</v>
      </c>
      <c r="GS55">
        <v>8.6999999999999993</v>
      </c>
      <c r="GU55">
        <v>25</v>
      </c>
      <c r="GZ55" t="s">
        <v>296</v>
      </c>
      <c r="HH55" t="s">
        <v>272</v>
      </c>
      <c r="ID55" t="s">
        <v>409</v>
      </c>
      <c r="IE55" t="s">
        <v>410</v>
      </c>
      <c r="IF55">
        <v>875</v>
      </c>
      <c r="IG55" t="s">
        <v>411</v>
      </c>
      <c r="IH55" t="s">
        <v>412</v>
      </c>
      <c r="II55">
        <v>1979</v>
      </c>
      <c r="IJ55" t="s">
        <v>413</v>
      </c>
    </row>
    <row r="56" spans="1:244" x14ac:dyDescent="0.45">
      <c r="A56">
        <v>1065201</v>
      </c>
      <c r="B56">
        <v>40820</v>
      </c>
      <c r="C56">
        <v>3251238</v>
      </c>
      <c r="D56" t="s">
        <v>597</v>
      </c>
      <c r="F56" t="s">
        <v>327</v>
      </c>
      <c r="G56" t="s">
        <v>246</v>
      </c>
      <c r="N56" t="s">
        <v>527</v>
      </c>
      <c r="O56" t="s">
        <v>461</v>
      </c>
      <c r="P56" t="s">
        <v>249</v>
      </c>
      <c r="Q56" t="s">
        <v>250</v>
      </c>
      <c r="R56" t="s">
        <v>251</v>
      </c>
      <c r="T56" t="s">
        <v>389</v>
      </c>
      <c r="U56" t="s">
        <v>462</v>
      </c>
      <c r="V56" t="s">
        <v>463</v>
      </c>
      <c r="W56" t="s">
        <v>464</v>
      </c>
      <c r="X56" t="s">
        <v>528</v>
      </c>
      <c r="Z56" t="s">
        <v>525</v>
      </c>
      <c r="AB56">
        <v>2</v>
      </c>
      <c r="AG56" t="s">
        <v>598</v>
      </c>
      <c r="AM56" t="s">
        <v>317</v>
      </c>
      <c r="AN56" t="s">
        <v>259</v>
      </c>
      <c r="AO56" t="s">
        <v>260</v>
      </c>
      <c r="AQ56" t="s">
        <v>261</v>
      </c>
      <c r="AS56">
        <v>200</v>
      </c>
      <c r="AX56" t="s">
        <v>262</v>
      </c>
      <c r="BO56" t="s">
        <v>261</v>
      </c>
      <c r="BQ56">
        <v>0.2</v>
      </c>
      <c r="BV56" t="s">
        <v>263</v>
      </c>
      <c r="CM56" t="s">
        <v>264</v>
      </c>
      <c r="CN56" t="s">
        <v>264</v>
      </c>
      <c r="CP56" t="s">
        <v>265</v>
      </c>
      <c r="DB56">
        <v>1</v>
      </c>
      <c r="DG56" t="s">
        <v>267</v>
      </c>
      <c r="DI56">
        <v>24</v>
      </c>
      <c r="DN56" t="s">
        <v>268</v>
      </c>
      <c r="DR56">
        <v>1220549</v>
      </c>
      <c r="DS56">
        <v>771</v>
      </c>
      <c r="DT56" t="s">
        <v>599</v>
      </c>
      <c r="EW56" t="s">
        <v>333</v>
      </c>
      <c r="FK56" t="s">
        <v>600</v>
      </c>
      <c r="FM56">
        <v>20</v>
      </c>
      <c r="FR56" t="s">
        <v>295</v>
      </c>
      <c r="GU56">
        <v>30</v>
      </c>
      <c r="GZ56" t="s">
        <v>296</v>
      </c>
      <c r="HH56" t="s">
        <v>272</v>
      </c>
      <c r="ID56" t="s">
        <v>601</v>
      </c>
      <c r="IE56" t="s">
        <v>602</v>
      </c>
      <c r="IF56">
        <v>5258</v>
      </c>
      <c r="IG56" t="s">
        <v>603</v>
      </c>
      <c r="IH56" t="s">
        <v>604</v>
      </c>
      <c r="II56">
        <v>1980</v>
      </c>
      <c r="IJ56" t="s">
        <v>605</v>
      </c>
    </row>
    <row r="57" spans="1:244" x14ac:dyDescent="0.45">
      <c r="A57">
        <v>1068621</v>
      </c>
      <c r="B57">
        <v>813</v>
      </c>
      <c r="C57">
        <v>3251238</v>
      </c>
      <c r="D57" t="s">
        <v>597</v>
      </c>
      <c r="F57" t="s">
        <v>245</v>
      </c>
      <c r="G57" t="s">
        <v>246</v>
      </c>
      <c r="N57" t="s">
        <v>606</v>
      </c>
      <c r="O57" t="s">
        <v>607</v>
      </c>
      <c r="P57" t="s">
        <v>249</v>
      </c>
      <c r="Q57" t="s">
        <v>250</v>
      </c>
      <c r="R57" t="s">
        <v>251</v>
      </c>
      <c r="T57" t="s">
        <v>252</v>
      </c>
      <c r="U57" t="s">
        <v>253</v>
      </c>
      <c r="V57" t="s">
        <v>608</v>
      </c>
      <c r="W57" t="s">
        <v>609</v>
      </c>
      <c r="X57" t="s">
        <v>610</v>
      </c>
      <c r="Z57" t="s">
        <v>284</v>
      </c>
      <c r="AB57">
        <v>24</v>
      </c>
      <c r="AG57" t="s">
        <v>268</v>
      </c>
      <c r="AL57" t="s">
        <v>611</v>
      </c>
      <c r="AM57" t="s">
        <v>317</v>
      </c>
      <c r="AN57" t="s">
        <v>259</v>
      </c>
      <c r="AO57" t="s">
        <v>260</v>
      </c>
      <c r="AQ57" t="s">
        <v>261</v>
      </c>
      <c r="AS57">
        <v>48</v>
      </c>
      <c r="AX57" t="s">
        <v>262</v>
      </c>
      <c r="BO57" t="s">
        <v>261</v>
      </c>
      <c r="BQ57">
        <v>4.8000000000000001E-2</v>
      </c>
      <c r="BV57" t="s">
        <v>263</v>
      </c>
      <c r="CM57" t="s">
        <v>264</v>
      </c>
      <c r="CN57" t="s">
        <v>264</v>
      </c>
      <c r="CP57" t="s">
        <v>265</v>
      </c>
      <c r="CQ57" t="s">
        <v>394</v>
      </c>
      <c r="DB57">
        <v>4</v>
      </c>
      <c r="DG57" t="s">
        <v>267</v>
      </c>
      <c r="DI57">
        <v>96</v>
      </c>
      <c r="DN57" t="s">
        <v>268</v>
      </c>
      <c r="DP57" t="s">
        <v>612</v>
      </c>
      <c r="DR57">
        <v>6706</v>
      </c>
      <c r="DS57">
        <v>346</v>
      </c>
      <c r="DT57" t="s">
        <v>613</v>
      </c>
      <c r="EW57" t="s">
        <v>333</v>
      </c>
      <c r="FK57" t="s">
        <v>614</v>
      </c>
      <c r="FM57">
        <v>20</v>
      </c>
      <c r="FR57" t="s">
        <v>295</v>
      </c>
      <c r="GH57">
        <v>8.1</v>
      </c>
      <c r="GM57" t="s">
        <v>356</v>
      </c>
      <c r="GU57">
        <v>30.5</v>
      </c>
      <c r="GZ57" t="s">
        <v>296</v>
      </c>
      <c r="HH57" t="s">
        <v>272</v>
      </c>
      <c r="ID57" t="s">
        <v>615</v>
      </c>
      <c r="IE57" t="s">
        <v>616</v>
      </c>
      <c r="IF57">
        <v>5391</v>
      </c>
      <c r="IG57" t="s">
        <v>617</v>
      </c>
      <c r="IH57" t="s">
        <v>618</v>
      </c>
      <c r="II57">
        <v>1979</v>
      </c>
      <c r="IJ57" t="s">
        <v>619</v>
      </c>
    </row>
    <row r="58" spans="1:244" x14ac:dyDescent="0.45">
      <c r="A58">
        <v>1065200</v>
      </c>
      <c r="B58">
        <v>40819</v>
      </c>
      <c r="C58">
        <v>3251238</v>
      </c>
      <c r="D58" t="s">
        <v>597</v>
      </c>
      <c r="F58" t="s">
        <v>327</v>
      </c>
      <c r="G58" t="s">
        <v>246</v>
      </c>
      <c r="N58" t="s">
        <v>527</v>
      </c>
      <c r="O58" t="s">
        <v>461</v>
      </c>
      <c r="P58" t="s">
        <v>249</v>
      </c>
      <c r="Q58" t="s">
        <v>250</v>
      </c>
      <c r="R58" t="s">
        <v>251</v>
      </c>
      <c r="T58" t="s">
        <v>389</v>
      </c>
      <c r="U58" t="s">
        <v>462</v>
      </c>
      <c r="V58" t="s">
        <v>463</v>
      </c>
      <c r="W58" t="s">
        <v>464</v>
      </c>
      <c r="X58" t="s">
        <v>528</v>
      </c>
      <c r="Z58" t="s">
        <v>525</v>
      </c>
      <c r="AB58">
        <v>2</v>
      </c>
      <c r="AG58" t="s">
        <v>598</v>
      </c>
      <c r="AM58" t="s">
        <v>317</v>
      </c>
      <c r="AN58" t="s">
        <v>259</v>
      </c>
      <c r="AO58" t="s">
        <v>260</v>
      </c>
      <c r="AQ58" t="s">
        <v>261</v>
      </c>
      <c r="AS58">
        <v>88</v>
      </c>
      <c r="AX58" t="s">
        <v>262</v>
      </c>
      <c r="BO58" t="s">
        <v>261</v>
      </c>
      <c r="BQ58">
        <v>8.7999999999999995E-2</v>
      </c>
      <c r="BV58" t="s">
        <v>263</v>
      </c>
      <c r="CM58" t="s">
        <v>264</v>
      </c>
      <c r="CN58" t="s">
        <v>264</v>
      </c>
      <c r="CP58" t="s">
        <v>265</v>
      </c>
      <c r="DB58">
        <v>1</v>
      </c>
      <c r="DG58" t="s">
        <v>267</v>
      </c>
      <c r="DI58">
        <v>24</v>
      </c>
      <c r="DN58" t="s">
        <v>268</v>
      </c>
      <c r="DR58">
        <v>1220549</v>
      </c>
      <c r="DS58">
        <v>771</v>
      </c>
      <c r="DT58" t="s">
        <v>599</v>
      </c>
      <c r="EW58" t="s">
        <v>333</v>
      </c>
      <c r="FK58" t="s">
        <v>620</v>
      </c>
      <c r="FM58">
        <v>20</v>
      </c>
      <c r="FR58" t="s">
        <v>295</v>
      </c>
      <c r="GU58">
        <v>15</v>
      </c>
      <c r="GZ58" t="s">
        <v>296</v>
      </c>
      <c r="HH58" t="s">
        <v>272</v>
      </c>
      <c r="ID58" t="s">
        <v>621</v>
      </c>
      <c r="IE58" t="s">
        <v>602</v>
      </c>
      <c r="IF58">
        <v>5258</v>
      </c>
      <c r="IG58" t="s">
        <v>603</v>
      </c>
      <c r="IH58" t="s">
        <v>604</v>
      </c>
      <c r="II58">
        <v>1980</v>
      </c>
      <c r="IJ58" t="s">
        <v>605</v>
      </c>
    </row>
    <row r="59" spans="1:244" x14ac:dyDescent="0.45">
      <c r="A59">
        <v>1159856</v>
      </c>
      <c r="B59">
        <v>142865</v>
      </c>
      <c r="C59">
        <v>3251238</v>
      </c>
      <c r="D59" t="s">
        <v>597</v>
      </c>
      <c r="E59" t="s">
        <v>622</v>
      </c>
      <c r="F59" t="s">
        <v>327</v>
      </c>
      <c r="G59" t="s">
        <v>246</v>
      </c>
      <c r="N59" t="s">
        <v>623</v>
      </c>
      <c r="O59" t="s">
        <v>388</v>
      </c>
      <c r="P59" t="s">
        <v>249</v>
      </c>
      <c r="Q59" t="s">
        <v>250</v>
      </c>
      <c r="R59" t="s">
        <v>251</v>
      </c>
      <c r="T59" t="s">
        <v>389</v>
      </c>
      <c r="U59" t="s">
        <v>390</v>
      </c>
      <c r="V59" t="s">
        <v>472</v>
      </c>
      <c r="W59" t="s">
        <v>473</v>
      </c>
      <c r="X59" t="s">
        <v>624</v>
      </c>
      <c r="Z59" t="s">
        <v>315</v>
      </c>
      <c r="AM59" t="s">
        <v>258</v>
      </c>
      <c r="AN59" t="s">
        <v>259</v>
      </c>
      <c r="AO59" t="s">
        <v>260</v>
      </c>
      <c r="AQ59" t="s">
        <v>261</v>
      </c>
      <c r="AS59">
        <v>88</v>
      </c>
      <c r="AX59" t="s">
        <v>262</v>
      </c>
      <c r="BO59" t="s">
        <v>261</v>
      </c>
      <c r="BQ59">
        <v>8.7999999999999995E-2</v>
      </c>
      <c r="BV59" t="s">
        <v>263</v>
      </c>
      <c r="CM59" t="s">
        <v>264</v>
      </c>
      <c r="CN59" t="s">
        <v>264</v>
      </c>
      <c r="CP59" t="s">
        <v>265</v>
      </c>
      <c r="CQ59" t="s">
        <v>394</v>
      </c>
      <c r="DB59">
        <v>4</v>
      </c>
      <c r="DG59" t="s">
        <v>267</v>
      </c>
      <c r="DI59">
        <v>96</v>
      </c>
      <c r="DN59" t="s">
        <v>268</v>
      </c>
      <c r="DS59">
        <v>4676</v>
      </c>
      <c r="DT59" t="s">
        <v>625</v>
      </c>
      <c r="EW59" t="s">
        <v>376</v>
      </c>
      <c r="FO59">
        <v>20.100000000000001</v>
      </c>
      <c r="FQ59">
        <v>21</v>
      </c>
      <c r="FR59" t="s">
        <v>295</v>
      </c>
      <c r="GJ59">
        <v>7</v>
      </c>
      <c r="GL59">
        <v>7.9</v>
      </c>
      <c r="GM59" t="s">
        <v>356</v>
      </c>
      <c r="GQ59">
        <v>7.7</v>
      </c>
      <c r="GS59">
        <v>8.14</v>
      </c>
      <c r="GW59">
        <v>34.5</v>
      </c>
      <c r="GY59">
        <v>35.01</v>
      </c>
      <c r="GZ59" t="s">
        <v>296</v>
      </c>
      <c r="HH59" t="s">
        <v>272</v>
      </c>
      <c r="IE59" t="s">
        <v>626</v>
      </c>
      <c r="IF59">
        <v>14137</v>
      </c>
      <c r="IG59" t="s">
        <v>627</v>
      </c>
      <c r="IH59" t="s">
        <v>628</v>
      </c>
      <c r="II59">
        <v>1994</v>
      </c>
      <c r="IJ59" t="s">
        <v>629</v>
      </c>
    </row>
    <row r="60" spans="1:244" x14ac:dyDescent="0.45">
      <c r="A60">
        <v>1111947</v>
      </c>
      <c r="B60">
        <v>42366</v>
      </c>
      <c r="C60">
        <v>3251238</v>
      </c>
      <c r="D60" t="s">
        <v>597</v>
      </c>
      <c r="F60" t="s">
        <v>245</v>
      </c>
      <c r="G60" t="s">
        <v>246</v>
      </c>
      <c r="N60" t="s">
        <v>630</v>
      </c>
      <c r="O60" t="s">
        <v>631</v>
      </c>
      <c r="P60" t="s">
        <v>249</v>
      </c>
      <c r="Q60" t="s">
        <v>250</v>
      </c>
      <c r="R60" t="s">
        <v>251</v>
      </c>
      <c r="T60" t="s">
        <v>389</v>
      </c>
      <c r="U60" t="s">
        <v>632</v>
      </c>
      <c r="V60" t="s">
        <v>633</v>
      </c>
      <c r="W60" t="s">
        <v>634</v>
      </c>
      <c r="X60" t="s">
        <v>635</v>
      </c>
      <c r="AM60" t="s">
        <v>307</v>
      </c>
      <c r="AN60" t="s">
        <v>259</v>
      </c>
      <c r="AO60" t="s">
        <v>260</v>
      </c>
      <c r="AQ60" t="s">
        <v>261</v>
      </c>
      <c r="AS60">
        <v>9</v>
      </c>
      <c r="AX60" t="s">
        <v>262</v>
      </c>
      <c r="BO60" t="s">
        <v>261</v>
      </c>
      <c r="BQ60">
        <v>8.9999999999999993E-3</v>
      </c>
      <c r="BV60" t="s">
        <v>263</v>
      </c>
      <c r="CM60" t="s">
        <v>264</v>
      </c>
      <c r="CN60" t="s">
        <v>264</v>
      </c>
      <c r="CP60" t="s">
        <v>265</v>
      </c>
      <c r="CQ60" t="s">
        <v>394</v>
      </c>
      <c r="DB60">
        <v>3</v>
      </c>
      <c r="DG60" t="s">
        <v>267</v>
      </c>
      <c r="DI60">
        <v>72</v>
      </c>
      <c r="DN60" t="s">
        <v>268</v>
      </c>
      <c r="DP60" t="s">
        <v>636</v>
      </c>
      <c r="DR60">
        <v>136180</v>
      </c>
      <c r="DS60">
        <v>376</v>
      </c>
      <c r="DT60" t="s">
        <v>637</v>
      </c>
      <c r="EW60" t="s">
        <v>638</v>
      </c>
      <c r="FK60" t="s">
        <v>639</v>
      </c>
      <c r="FM60">
        <v>20</v>
      </c>
      <c r="FR60" t="s">
        <v>295</v>
      </c>
      <c r="GU60">
        <v>30</v>
      </c>
      <c r="GZ60" t="s">
        <v>296</v>
      </c>
      <c r="HH60" t="s">
        <v>272</v>
      </c>
      <c r="ID60" t="s">
        <v>640</v>
      </c>
      <c r="IE60" t="s">
        <v>641</v>
      </c>
      <c r="IF60">
        <v>8446</v>
      </c>
      <c r="IG60" t="s">
        <v>642</v>
      </c>
      <c r="IH60" t="s">
        <v>643</v>
      </c>
      <c r="II60">
        <v>1979</v>
      </c>
      <c r="IJ60" t="s">
        <v>644</v>
      </c>
    </row>
    <row r="61" spans="1:244" x14ac:dyDescent="0.45">
      <c r="A61">
        <v>1159857</v>
      </c>
      <c r="B61">
        <v>142866</v>
      </c>
      <c r="C61">
        <v>3251238</v>
      </c>
      <c r="D61" t="s">
        <v>597</v>
      </c>
      <c r="E61" t="s">
        <v>622</v>
      </c>
      <c r="F61" t="s">
        <v>327</v>
      </c>
      <c r="G61" t="s">
        <v>246</v>
      </c>
      <c r="N61" t="s">
        <v>623</v>
      </c>
      <c r="O61" t="s">
        <v>388</v>
      </c>
      <c r="P61" t="s">
        <v>249</v>
      </c>
      <c r="Q61" t="s">
        <v>250</v>
      </c>
      <c r="R61" t="s">
        <v>251</v>
      </c>
      <c r="T61" t="s">
        <v>389</v>
      </c>
      <c r="U61" t="s">
        <v>390</v>
      </c>
      <c r="V61" t="s">
        <v>472</v>
      </c>
      <c r="W61" t="s">
        <v>473</v>
      </c>
      <c r="X61" t="s">
        <v>624</v>
      </c>
      <c r="Z61" t="s">
        <v>525</v>
      </c>
      <c r="AM61" t="s">
        <v>258</v>
      </c>
      <c r="AN61" t="s">
        <v>259</v>
      </c>
      <c r="AO61" t="s">
        <v>260</v>
      </c>
      <c r="AQ61" t="s">
        <v>261</v>
      </c>
      <c r="AS61">
        <v>64</v>
      </c>
      <c r="AX61" t="s">
        <v>262</v>
      </c>
      <c r="BO61" t="s">
        <v>261</v>
      </c>
      <c r="BQ61">
        <v>6.4000000000000001E-2</v>
      </c>
      <c r="BV61" t="s">
        <v>263</v>
      </c>
      <c r="CM61" t="s">
        <v>264</v>
      </c>
      <c r="CN61" t="s">
        <v>264</v>
      </c>
      <c r="CP61" t="s">
        <v>265</v>
      </c>
      <c r="CQ61" t="s">
        <v>394</v>
      </c>
      <c r="DB61">
        <v>4</v>
      </c>
      <c r="DG61" t="s">
        <v>267</v>
      </c>
      <c r="DI61">
        <v>96</v>
      </c>
      <c r="DN61" t="s">
        <v>268</v>
      </c>
      <c r="DS61">
        <v>4676</v>
      </c>
      <c r="DT61" t="s">
        <v>625</v>
      </c>
      <c r="EW61" t="s">
        <v>376</v>
      </c>
      <c r="FO61">
        <v>20.100000000000001</v>
      </c>
      <c r="FQ61">
        <v>21</v>
      </c>
      <c r="FR61" t="s">
        <v>295</v>
      </c>
      <c r="GJ61">
        <v>7</v>
      </c>
      <c r="GL61">
        <v>7.9</v>
      </c>
      <c r="GM61" t="s">
        <v>356</v>
      </c>
      <c r="GQ61">
        <v>7.7</v>
      </c>
      <c r="GS61">
        <v>8.14</v>
      </c>
      <c r="GW61">
        <v>34.5</v>
      </c>
      <c r="GY61">
        <v>35.01</v>
      </c>
      <c r="GZ61" t="s">
        <v>296</v>
      </c>
      <c r="HH61" t="s">
        <v>272</v>
      </c>
      <c r="IE61" t="s">
        <v>626</v>
      </c>
      <c r="IF61">
        <v>14137</v>
      </c>
      <c r="IG61" t="s">
        <v>627</v>
      </c>
      <c r="IH61" t="s">
        <v>628</v>
      </c>
      <c r="II61">
        <v>1994</v>
      </c>
      <c r="IJ61" t="s">
        <v>629</v>
      </c>
    </row>
    <row r="62" spans="1:244" x14ac:dyDescent="0.45">
      <c r="A62">
        <v>1242229</v>
      </c>
      <c r="B62">
        <v>228993</v>
      </c>
      <c r="C62">
        <v>3251238</v>
      </c>
      <c r="D62" t="s">
        <v>597</v>
      </c>
      <c r="F62" t="s">
        <v>327</v>
      </c>
      <c r="G62" t="s">
        <v>246</v>
      </c>
      <c r="N62" t="s">
        <v>645</v>
      </c>
      <c r="O62" t="s">
        <v>646</v>
      </c>
      <c r="P62" t="s">
        <v>249</v>
      </c>
      <c r="Q62" t="s">
        <v>250</v>
      </c>
      <c r="R62" t="s">
        <v>251</v>
      </c>
      <c r="T62" t="s">
        <v>252</v>
      </c>
      <c r="U62" t="s">
        <v>371</v>
      </c>
      <c r="V62" t="s">
        <v>372</v>
      </c>
      <c r="W62" t="s">
        <v>647</v>
      </c>
      <c r="X62" t="s">
        <v>648</v>
      </c>
      <c r="Z62" t="s">
        <v>649</v>
      </c>
      <c r="AB62">
        <v>24</v>
      </c>
      <c r="AG62" t="s">
        <v>268</v>
      </c>
      <c r="AM62" t="s">
        <v>307</v>
      </c>
      <c r="AN62" t="s">
        <v>259</v>
      </c>
      <c r="AO62" t="s">
        <v>260</v>
      </c>
      <c r="AQ62" t="s">
        <v>261</v>
      </c>
      <c r="AS62">
        <v>141</v>
      </c>
      <c r="AX62" t="s">
        <v>290</v>
      </c>
      <c r="BO62" t="s">
        <v>261</v>
      </c>
      <c r="BQ62">
        <v>0.14099999999999999</v>
      </c>
      <c r="BV62" t="s">
        <v>263</v>
      </c>
      <c r="CM62" t="s">
        <v>264</v>
      </c>
      <c r="CN62" t="s">
        <v>264</v>
      </c>
      <c r="CP62" t="s">
        <v>265</v>
      </c>
      <c r="CQ62" t="s">
        <v>394</v>
      </c>
      <c r="DB62">
        <v>4</v>
      </c>
      <c r="DG62" t="s">
        <v>267</v>
      </c>
      <c r="DI62">
        <v>96</v>
      </c>
      <c r="DN62" t="s">
        <v>268</v>
      </c>
      <c r="DS62">
        <v>1197</v>
      </c>
      <c r="EW62" t="s">
        <v>293</v>
      </c>
      <c r="FM62">
        <v>19</v>
      </c>
      <c r="FR62" t="s">
        <v>295</v>
      </c>
      <c r="GU62">
        <v>30</v>
      </c>
      <c r="GZ62" t="s">
        <v>296</v>
      </c>
      <c r="HH62" t="s">
        <v>272</v>
      </c>
      <c r="IE62" t="s">
        <v>650</v>
      </c>
      <c r="IF62">
        <v>76240</v>
      </c>
      <c r="IG62" t="s">
        <v>651</v>
      </c>
      <c r="IH62" t="s">
        <v>652</v>
      </c>
      <c r="II62">
        <v>1985</v>
      </c>
      <c r="IJ62" t="s">
        <v>653</v>
      </c>
    </row>
    <row r="63" spans="1:244" x14ac:dyDescent="0.45">
      <c r="A63">
        <v>1307509</v>
      </c>
      <c r="B63">
        <v>764464</v>
      </c>
      <c r="C63">
        <v>3486359</v>
      </c>
      <c r="D63" t="s">
        <v>654</v>
      </c>
      <c r="F63" t="s">
        <v>245</v>
      </c>
      <c r="G63" t="s">
        <v>246</v>
      </c>
      <c r="N63" t="s">
        <v>655</v>
      </c>
      <c r="O63" t="s">
        <v>656</v>
      </c>
      <c r="P63" t="s">
        <v>249</v>
      </c>
      <c r="Q63" t="s">
        <v>250</v>
      </c>
      <c r="R63" t="s">
        <v>251</v>
      </c>
      <c r="T63" t="s">
        <v>252</v>
      </c>
      <c r="U63" t="s">
        <v>253</v>
      </c>
      <c r="V63" t="s">
        <v>657</v>
      </c>
      <c r="W63" t="s">
        <v>658</v>
      </c>
      <c r="X63" t="s">
        <v>659</v>
      </c>
      <c r="AL63" t="s">
        <v>660</v>
      </c>
      <c r="AM63" t="s">
        <v>287</v>
      </c>
      <c r="AN63" t="s">
        <v>259</v>
      </c>
      <c r="AO63" t="s">
        <v>260</v>
      </c>
      <c r="AP63">
        <v>11</v>
      </c>
      <c r="AQ63" t="s">
        <v>261</v>
      </c>
      <c r="AS63">
        <v>0.24</v>
      </c>
      <c r="AU63">
        <v>0.2</v>
      </c>
      <c r="AW63">
        <v>0.28999999999999998</v>
      </c>
      <c r="AX63" t="s">
        <v>661</v>
      </c>
      <c r="BO63" t="s">
        <v>261</v>
      </c>
      <c r="BQ63">
        <v>30.577224000000001</v>
      </c>
      <c r="BS63">
        <v>25.481020000000001</v>
      </c>
      <c r="BU63">
        <v>36.947479000000001</v>
      </c>
      <c r="BV63" t="s">
        <v>263</v>
      </c>
      <c r="CM63" t="s">
        <v>264</v>
      </c>
      <c r="CN63" t="s">
        <v>264</v>
      </c>
      <c r="CP63" t="s">
        <v>265</v>
      </c>
      <c r="CQ63" t="s">
        <v>518</v>
      </c>
      <c r="DB63">
        <v>4</v>
      </c>
      <c r="DG63" t="s">
        <v>267</v>
      </c>
      <c r="DI63">
        <v>96</v>
      </c>
      <c r="DN63" t="s">
        <v>268</v>
      </c>
      <c r="DP63" t="s">
        <v>662</v>
      </c>
      <c r="DS63">
        <v>20193</v>
      </c>
      <c r="DT63" t="s">
        <v>663</v>
      </c>
      <c r="EW63" t="s">
        <v>293</v>
      </c>
      <c r="FA63" t="s">
        <v>397</v>
      </c>
      <c r="FK63" t="s">
        <v>664</v>
      </c>
      <c r="FM63">
        <v>26</v>
      </c>
      <c r="FR63" t="s">
        <v>295</v>
      </c>
      <c r="GG63" t="s">
        <v>288</v>
      </c>
      <c r="GH63">
        <v>6.5</v>
      </c>
      <c r="GM63" t="s">
        <v>356</v>
      </c>
      <c r="GO63">
        <v>7.8</v>
      </c>
      <c r="GU63">
        <v>16.5</v>
      </c>
      <c r="GZ63" t="s">
        <v>296</v>
      </c>
      <c r="HH63" t="s">
        <v>272</v>
      </c>
      <c r="ID63" t="s">
        <v>665</v>
      </c>
      <c r="IE63" t="s">
        <v>666</v>
      </c>
      <c r="IF63">
        <v>100798</v>
      </c>
      <c r="IG63" t="s">
        <v>667</v>
      </c>
      <c r="IH63" t="s">
        <v>668</v>
      </c>
      <c r="II63">
        <v>2006</v>
      </c>
      <c r="IJ63" t="s">
        <v>669</v>
      </c>
    </row>
    <row r="64" spans="1:244" x14ac:dyDescent="0.45">
      <c r="A64">
        <v>1270023</v>
      </c>
      <c r="B64">
        <v>721321</v>
      </c>
      <c r="C64">
        <v>7439921</v>
      </c>
      <c r="D64" t="s">
        <v>670</v>
      </c>
      <c r="F64" t="s">
        <v>245</v>
      </c>
      <c r="G64" t="s">
        <v>246</v>
      </c>
      <c r="N64" t="s">
        <v>671</v>
      </c>
      <c r="O64" t="s">
        <v>672</v>
      </c>
      <c r="P64" t="s">
        <v>249</v>
      </c>
      <c r="Q64" t="s">
        <v>250</v>
      </c>
      <c r="R64" t="s">
        <v>251</v>
      </c>
      <c r="T64" t="s">
        <v>252</v>
      </c>
      <c r="U64" t="s">
        <v>253</v>
      </c>
      <c r="V64" t="s">
        <v>673</v>
      </c>
      <c r="W64" t="s">
        <v>674</v>
      </c>
      <c r="X64" t="s">
        <v>675</v>
      </c>
      <c r="Z64" t="s">
        <v>558</v>
      </c>
      <c r="AM64" t="s">
        <v>258</v>
      </c>
      <c r="AN64" t="s">
        <v>259</v>
      </c>
      <c r="AO64" t="s">
        <v>260</v>
      </c>
      <c r="AP64">
        <v>7</v>
      </c>
      <c r="AQ64" t="s">
        <v>261</v>
      </c>
      <c r="AS64">
        <v>0.85</v>
      </c>
      <c r="AX64" t="s">
        <v>356</v>
      </c>
      <c r="BO64" t="s">
        <v>261</v>
      </c>
      <c r="BQ64">
        <v>0.85</v>
      </c>
      <c r="BV64" t="s">
        <v>263</v>
      </c>
      <c r="CM64" t="s">
        <v>264</v>
      </c>
      <c r="CN64" t="s">
        <v>264</v>
      </c>
      <c r="CP64" t="s">
        <v>265</v>
      </c>
      <c r="DB64">
        <v>4</v>
      </c>
      <c r="DG64" t="s">
        <v>267</v>
      </c>
      <c r="DI64">
        <v>96</v>
      </c>
      <c r="DN64" t="s">
        <v>268</v>
      </c>
      <c r="DP64" t="s">
        <v>676</v>
      </c>
      <c r="DR64">
        <v>607701</v>
      </c>
      <c r="DS64">
        <v>18409</v>
      </c>
      <c r="DT64" t="s">
        <v>677</v>
      </c>
      <c r="EW64" t="s">
        <v>293</v>
      </c>
      <c r="FK64" t="s">
        <v>678</v>
      </c>
      <c r="FM64">
        <v>20</v>
      </c>
      <c r="FR64" t="s">
        <v>295</v>
      </c>
      <c r="GU64">
        <v>20</v>
      </c>
      <c r="GZ64" t="s">
        <v>296</v>
      </c>
      <c r="HH64" t="s">
        <v>272</v>
      </c>
      <c r="ID64" t="s">
        <v>679</v>
      </c>
      <c r="IE64" t="s">
        <v>680</v>
      </c>
      <c r="IF64">
        <v>84127</v>
      </c>
      <c r="IG64" t="s">
        <v>681</v>
      </c>
      <c r="IH64" t="s">
        <v>682</v>
      </c>
      <c r="II64">
        <v>2005</v>
      </c>
      <c r="IJ64" t="s">
        <v>683</v>
      </c>
    </row>
    <row r="65" spans="1:244" x14ac:dyDescent="0.45">
      <c r="A65">
        <v>1270042</v>
      </c>
      <c r="B65">
        <v>721340</v>
      </c>
      <c r="C65">
        <v>7439921</v>
      </c>
      <c r="D65" t="s">
        <v>670</v>
      </c>
      <c r="F65" t="s">
        <v>245</v>
      </c>
      <c r="G65" t="s">
        <v>246</v>
      </c>
      <c r="N65" t="s">
        <v>671</v>
      </c>
      <c r="O65" t="s">
        <v>672</v>
      </c>
      <c r="P65" t="s">
        <v>249</v>
      </c>
      <c r="Q65" t="s">
        <v>250</v>
      </c>
      <c r="R65" t="s">
        <v>251</v>
      </c>
      <c r="T65" t="s">
        <v>252</v>
      </c>
      <c r="U65" t="s">
        <v>253</v>
      </c>
      <c r="V65" t="s">
        <v>673</v>
      </c>
      <c r="W65" t="s">
        <v>674</v>
      </c>
      <c r="X65" t="s">
        <v>675</v>
      </c>
      <c r="Z65" t="s">
        <v>284</v>
      </c>
      <c r="AM65" t="s">
        <v>258</v>
      </c>
      <c r="AN65" t="s">
        <v>259</v>
      </c>
      <c r="AO65" t="s">
        <v>260</v>
      </c>
      <c r="AP65">
        <v>7</v>
      </c>
      <c r="AQ65" t="s">
        <v>261</v>
      </c>
      <c r="AS65">
        <v>1.1299999999999999</v>
      </c>
      <c r="AX65" t="s">
        <v>356</v>
      </c>
      <c r="BO65" t="s">
        <v>261</v>
      </c>
      <c r="BQ65">
        <v>1.1299999999999999</v>
      </c>
      <c r="BV65" t="s">
        <v>263</v>
      </c>
      <c r="CM65" t="s">
        <v>264</v>
      </c>
      <c r="CN65" t="s">
        <v>264</v>
      </c>
      <c r="CP65" t="s">
        <v>265</v>
      </c>
      <c r="DB65">
        <v>4</v>
      </c>
      <c r="DG65" t="s">
        <v>267</v>
      </c>
      <c r="DI65">
        <v>96</v>
      </c>
      <c r="DN65" t="s">
        <v>268</v>
      </c>
      <c r="DP65" t="s">
        <v>676</v>
      </c>
      <c r="DR65">
        <v>607701</v>
      </c>
      <c r="DS65">
        <v>18409</v>
      </c>
      <c r="DT65" t="s">
        <v>677</v>
      </c>
      <c r="EW65" t="s">
        <v>293</v>
      </c>
      <c r="FK65" t="s">
        <v>684</v>
      </c>
      <c r="FM65">
        <v>20</v>
      </c>
      <c r="FR65" t="s">
        <v>295</v>
      </c>
      <c r="GU65">
        <v>35</v>
      </c>
      <c r="GZ65" t="s">
        <v>296</v>
      </c>
      <c r="HH65" t="s">
        <v>272</v>
      </c>
      <c r="ID65" t="s">
        <v>685</v>
      </c>
      <c r="IE65" t="s">
        <v>680</v>
      </c>
      <c r="IF65">
        <v>84127</v>
      </c>
      <c r="IG65" t="s">
        <v>681</v>
      </c>
      <c r="IH65" t="s">
        <v>682</v>
      </c>
      <c r="II65">
        <v>2005</v>
      </c>
      <c r="IJ65" t="s">
        <v>683</v>
      </c>
    </row>
    <row r="66" spans="1:244" x14ac:dyDescent="0.45">
      <c r="A66">
        <v>1165649</v>
      </c>
      <c r="B66">
        <v>48440</v>
      </c>
      <c r="C66">
        <v>7439921</v>
      </c>
      <c r="D66" t="s">
        <v>670</v>
      </c>
      <c r="F66" t="s">
        <v>245</v>
      </c>
      <c r="G66" t="s">
        <v>246</v>
      </c>
      <c r="N66" t="s">
        <v>452</v>
      </c>
      <c r="O66" t="s">
        <v>346</v>
      </c>
      <c r="P66" t="s">
        <v>249</v>
      </c>
      <c r="Q66" t="s">
        <v>250</v>
      </c>
      <c r="R66" t="s">
        <v>251</v>
      </c>
      <c r="T66" t="s">
        <v>347</v>
      </c>
      <c r="U66" t="s">
        <v>348</v>
      </c>
      <c r="V66" t="s">
        <v>349</v>
      </c>
      <c r="W66" t="s">
        <v>350</v>
      </c>
      <c r="X66" t="s">
        <v>453</v>
      </c>
      <c r="AM66" t="s">
        <v>287</v>
      </c>
      <c r="AN66" t="s">
        <v>259</v>
      </c>
      <c r="AO66" t="s">
        <v>260</v>
      </c>
      <c r="AQ66" t="s">
        <v>261</v>
      </c>
      <c r="AS66">
        <v>10000</v>
      </c>
      <c r="AX66" t="s">
        <v>262</v>
      </c>
      <c r="BO66" t="s">
        <v>261</v>
      </c>
      <c r="BQ66">
        <v>10</v>
      </c>
      <c r="BV66" t="s">
        <v>263</v>
      </c>
      <c r="CM66" t="s">
        <v>264</v>
      </c>
      <c r="CN66" t="s">
        <v>264</v>
      </c>
      <c r="CP66" t="s">
        <v>265</v>
      </c>
      <c r="DB66">
        <v>1</v>
      </c>
      <c r="DG66" t="s">
        <v>267</v>
      </c>
      <c r="DI66">
        <v>24</v>
      </c>
      <c r="DN66" t="s">
        <v>268</v>
      </c>
      <c r="DR66">
        <v>85549</v>
      </c>
      <c r="DS66">
        <v>366</v>
      </c>
      <c r="EW66" t="s">
        <v>272</v>
      </c>
      <c r="HH66" t="s">
        <v>272</v>
      </c>
      <c r="IE66" t="s">
        <v>686</v>
      </c>
      <c r="IF66">
        <v>14577</v>
      </c>
      <c r="IG66" t="s">
        <v>687</v>
      </c>
      <c r="IH66" t="s">
        <v>688</v>
      </c>
      <c r="II66">
        <v>1993</v>
      </c>
      <c r="IJ66" t="s">
        <v>689</v>
      </c>
    </row>
    <row r="67" spans="1:244" x14ac:dyDescent="0.45">
      <c r="A67">
        <v>1205324</v>
      </c>
      <c r="B67">
        <v>203511</v>
      </c>
      <c r="C67">
        <v>7439921</v>
      </c>
      <c r="D67" t="s">
        <v>670</v>
      </c>
      <c r="F67" t="s">
        <v>245</v>
      </c>
      <c r="G67" t="s">
        <v>246</v>
      </c>
      <c r="N67" t="s">
        <v>690</v>
      </c>
      <c r="O67" t="s">
        <v>691</v>
      </c>
      <c r="P67" t="s">
        <v>249</v>
      </c>
      <c r="Q67" t="s">
        <v>250</v>
      </c>
      <c r="R67" t="s">
        <v>251</v>
      </c>
      <c r="T67" t="s">
        <v>252</v>
      </c>
      <c r="U67" t="s">
        <v>253</v>
      </c>
      <c r="V67" t="s">
        <v>418</v>
      </c>
      <c r="W67" t="s">
        <v>419</v>
      </c>
      <c r="X67" t="s">
        <v>692</v>
      </c>
      <c r="AM67" t="s">
        <v>287</v>
      </c>
      <c r="AN67" t="s">
        <v>259</v>
      </c>
      <c r="AO67" t="s">
        <v>260</v>
      </c>
      <c r="AQ67" t="s">
        <v>261</v>
      </c>
      <c r="AS67">
        <v>2080</v>
      </c>
      <c r="AU67">
        <v>1450</v>
      </c>
      <c r="AW67">
        <v>3020</v>
      </c>
      <c r="AX67" t="s">
        <v>262</v>
      </c>
      <c r="BO67" t="s">
        <v>261</v>
      </c>
      <c r="BQ67">
        <v>2.08</v>
      </c>
      <c r="BS67">
        <v>1.45</v>
      </c>
      <c r="BU67">
        <v>3.02</v>
      </c>
      <c r="BV67" t="s">
        <v>263</v>
      </c>
      <c r="CM67" t="s">
        <v>264</v>
      </c>
      <c r="CN67" t="s">
        <v>264</v>
      </c>
      <c r="CP67" t="s">
        <v>265</v>
      </c>
      <c r="CQ67" t="s">
        <v>423</v>
      </c>
      <c r="DB67">
        <v>1</v>
      </c>
      <c r="DG67" t="s">
        <v>267</v>
      </c>
      <c r="DI67">
        <v>24</v>
      </c>
      <c r="DN67" t="s">
        <v>268</v>
      </c>
      <c r="DR67">
        <v>139456</v>
      </c>
      <c r="DS67">
        <v>3044</v>
      </c>
      <c r="EW67" t="s">
        <v>272</v>
      </c>
      <c r="HH67" t="s">
        <v>272</v>
      </c>
      <c r="IE67" t="s">
        <v>693</v>
      </c>
      <c r="IF67">
        <v>18730</v>
      </c>
      <c r="IG67" t="s">
        <v>694</v>
      </c>
      <c r="IH67" t="s">
        <v>695</v>
      </c>
      <c r="II67">
        <v>1995</v>
      </c>
      <c r="IJ67" t="s">
        <v>696</v>
      </c>
    </row>
    <row r="68" spans="1:244" x14ac:dyDescent="0.45">
      <c r="A68">
        <v>1205326</v>
      </c>
      <c r="B68">
        <v>203513</v>
      </c>
      <c r="C68">
        <v>7439921</v>
      </c>
      <c r="D68" t="s">
        <v>670</v>
      </c>
      <c r="F68" t="s">
        <v>245</v>
      </c>
      <c r="G68" t="s">
        <v>246</v>
      </c>
      <c r="N68" t="s">
        <v>690</v>
      </c>
      <c r="O68" t="s">
        <v>691</v>
      </c>
      <c r="P68" t="s">
        <v>249</v>
      </c>
      <c r="Q68" t="s">
        <v>250</v>
      </c>
      <c r="R68" t="s">
        <v>251</v>
      </c>
      <c r="T68" t="s">
        <v>252</v>
      </c>
      <c r="U68" t="s">
        <v>253</v>
      </c>
      <c r="V68" t="s">
        <v>418</v>
      </c>
      <c r="W68" t="s">
        <v>419</v>
      </c>
      <c r="X68" t="s">
        <v>692</v>
      </c>
      <c r="AM68" t="s">
        <v>287</v>
      </c>
      <c r="AN68" t="s">
        <v>259</v>
      </c>
      <c r="AO68" t="s">
        <v>260</v>
      </c>
      <c r="AQ68" t="s">
        <v>261</v>
      </c>
      <c r="AS68">
        <v>630</v>
      </c>
      <c r="AU68">
        <v>380</v>
      </c>
      <c r="AW68">
        <v>1050</v>
      </c>
      <c r="AX68" t="s">
        <v>262</v>
      </c>
      <c r="BO68" t="s">
        <v>261</v>
      </c>
      <c r="BQ68">
        <v>0.63</v>
      </c>
      <c r="BS68">
        <v>0.38</v>
      </c>
      <c r="BU68">
        <v>1.05</v>
      </c>
      <c r="BV68" t="s">
        <v>263</v>
      </c>
      <c r="CM68" t="s">
        <v>264</v>
      </c>
      <c r="CN68" t="s">
        <v>264</v>
      </c>
      <c r="CP68" t="s">
        <v>265</v>
      </c>
      <c r="CQ68" t="s">
        <v>423</v>
      </c>
      <c r="DB68">
        <v>3</v>
      </c>
      <c r="DG68" t="s">
        <v>267</v>
      </c>
      <c r="DI68">
        <v>72</v>
      </c>
      <c r="DN68" t="s">
        <v>268</v>
      </c>
      <c r="DR68">
        <v>139456</v>
      </c>
      <c r="DS68">
        <v>3044</v>
      </c>
      <c r="EW68" t="s">
        <v>272</v>
      </c>
      <c r="HH68" t="s">
        <v>272</v>
      </c>
      <c r="IE68" t="s">
        <v>693</v>
      </c>
      <c r="IF68">
        <v>18730</v>
      </c>
      <c r="IG68" t="s">
        <v>694</v>
      </c>
      <c r="IH68" t="s">
        <v>695</v>
      </c>
      <c r="II68">
        <v>1995</v>
      </c>
      <c r="IJ68" t="s">
        <v>696</v>
      </c>
    </row>
    <row r="69" spans="1:244" x14ac:dyDescent="0.45">
      <c r="A69">
        <v>1205325</v>
      </c>
      <c r="B69">
        <v>203512</v>
      </c>
      <c r="C69">
        <v>7439921</v>
      </c>
      <c r="D69" t="s">
        <v>670</v>
      </c>
      <c r="F69" t="s">
        <v>245</v>
      </c>
      <c r="G69" t="s">
        <v>246</v>
      </c>
      <c r="N69" t="s">
        <v>690</v>
      </c>
      <c r="O69" t="s">
        <v>691</v>
      </c>
      <c r="P69" t="s">
        <v>249</v>
      </c>
      <c r="Q69" t="s">
        <v>250</v>
      </c>
      <c r="R69" t="s">
        <v>251</v>
      </c>
      <c r="T69" t="s">
        <v>252</v>
      </c>
      <c r="U69" t="s">
        <v>253</v>
      </c>
      <c r="V69" t="s">
        <v>418</v>
      </c>
      <c r="W69" t="s">
        <v>419</v>
      </c>
      <c r="X69" t="s">
        <v>692</v>
      </c>
      <c r="AM69" t="s">
        <v>287</v>
      </c>
      <c r="AN69" t="s">
        <v>259</v>
      </c>
      <c r="AO69" t="s">
        <v>260</v>
      </c>
      <c r="AQ69" t="s">
        <v>261</v>
      </c>
      <c r="AS69">
        <v>933</v>
      </c>
      <c r="AU69">
        <v>724</v>
      </c>
      <c r="AW69">
        <v>1200</v>
      </c>
      <c r="AX69" t="s">
        <v>262</v>
      </c>
      <c r="BO69" t="s">
        <v>261</v>
      </c>
      <c r="BQ69">
        <v>0.93300000000000005</v>
      </c>
      <c r="BS69">
        <v>0.72399999999999998</v>
      </c>
      <c r="BU69">
        <v>1.2</v>
      </c>
      <c r="BV69" t="s">
        <v>263</v>
      </c>
      <c r="CM69" t="s">
        <v>264</v>
      </c>
      <c r="CN69" t="s">
        <v>264</v>
      </c>
      <c r="CP69" t="s">
        <v>265</v>
      </c>
      <c r="CQ69" t="s">
        <v>423</v>
      </c>
      <c r="DB69">
        <v>2</v>
      </c>
      <c r="DG69" t="s">
        <v>267</v>
      </c>
      <c r="DI69">
        <v>48</v>
      </c>
      <c r="DN69" t="s">
        <v>268</v>
      </c>
      <c r="DR69">
        <v>139456</v>
      </c>
      <c r="DS69">
        <v>3044</v>
      </c>
      <c r="EW69" t="s">
        <v>272</v>
      </c>
      <c r="HH69" t="s">
        <v>272</v>
      </c>
      <c r="IE69" t="s">
        <v>693</v>
      </c>
      <c r="IF69">
        <v>18730</v>
      </c>
      <c r="IG69" t="s">
        <v>694</v>
      </c>
      <c r="IH69" t="s">
        <v>695</v>
      </c>
      <c r="II69">
        <v>1995</v>
      </c>
      <c r="IJ69" t="s">
        <v>696</v>
      </c>
    </row>
    <row r="70" spans="1:244" x14ac:dyDescent="0.45">
      <c r="A70">
        <v>1165646</v>
      </c>
      <c r="B70">
        <v>6700</v>
      </c>
      <c r="C70">
        <v>7439921</v>
      </c>
      <c r="D70" t="s">
        <v>670</v>
      </c>
      <c r="F70" t="s">
        <v>245</v>
      </c>
      <c r="G70" t="s">
        <v>246</v>
      </c>
      <c r="N70" t="s">
        <v>416</v>
      </c>
      <c r="O70" t="s">
        <v>417</v>
      </c>
      <c r="P70" t="s">
        <v>249</v>
      </c>
      <c r="Q70" t="s">
        <v>250</v>
      </c>
      <c r="R70" t="s">
        <v>251</v>
      </c>
      <c r="T70" t="s">
        <v>252</v>
      </c>
      <c r="U70" t="s">
        <v>253</v>
      </c>
      <c r="V70" t="s">
        <v>418</v>
      </c>
      <c r="W70" t="s">
        <v>419</v>
      </c>
      <c r="X70" t="s">
        <v>420</v>
      </c>
      <c r="AL70" t="s">
        <v>697</v>
      </c>
      <c r="AM70" t="s">
        <v>287</v>
      </c>
      <c r="AN70" t="s">
        <v>259</v>
      </c>
      <c r="AO70" t="s">
        <v>260</v>
      </c>
      <c r="AQ70" t="s">
        <v>261</v>
      </c>
      <c r="AS70">
        <v>4460</v>
      </c>
      <c r="AX70" t="s">
        <v>262</v>
      </c>
      <c r="BO70" t="s">
        <v>261</v>
      </c>
      <c r="BQ70">
        <v>4.46</v>
      </c>
      <c r="BV70" t="s">
        <v>263</v>
      </c>
      <c r="CM70" t="s">
        <v>264</v>
      </c>
      <c r="CN70" t="s">
        <v>264</v>
      </c>
      <c r="CP70" t="s">
        <v>265</v>
      </c>
      <c r="DB70">
        <v>2</v>
      </c>
      <c r="DG70" t="s">
        <v>267</v>
      </c>
      <c r="DI70">
        <v>48</v>
      </c>
      <c r="DN70" t="s">
        <v>268</v>
      </c>
      <c r="DS70">
        <v>1009</v>
      </c>
      <c r="EW70" t="s">
        <v>272</v>
      </c>
      <c r="HH70" t="s">
        <v>272</v>
      </c>
      <c r="IE70" t="s">
        <v>686</v>
      </c>
      <c r="IF70">
        <v>14577</v>
      </c>
      <c r="IG70" t="s">
        <v>687</v>
      </c>
      <c r="IH70" t="s">
        <v>688</v>
      </c>
      <c r="II70">
        <v>1993</v>
      </c>
      <c r="IJ70" t="s">
        <v>689</v>
      </c>
    </row>
    <row r="71" spans="1:244" x14ac:dyDescent="0.45">
      <c r="A71">
        <v>1205327</v>
      </c>
      <c r="B71">
        <v>203514</v>
      </c>
      <c r="C71">
        <v>7439921</v>
      </c>
      <c r="D71" t="s">
        <v>670</v>
      </c>
      <c r="F71" t="s">
        <v>245</v>
      </c>
      <c r="G71" t="s">
        <v>246</v>
      </c>
      <c r="N71" t="s">
        <v>690</v>
      </c>
      <c r="O71" t="s">
        <v>691</v>
      </c>
      <c r="P71" t="s">
        <v>249</v>
      </c>
      <c r="Q71" t="s">
        <v>250</v>
      </c>
      <c r="R71" t="s">
        <v>251</v>
      </c>
      <c r="T71" t="s">
        <v>252</v>
      </c>
      <c r="U71" t="s">
        <v>253</v>
      </c>
      <c r="V71" t="s">
        <v>418</v>
      </c>
      <c r="W71" t="s">
        <v>419</v>
      </c>
      <c r="X71" t="s">
        <v>692</v>
      </c>
      <c r="AM71" t="s">
        <v>287</v>
      </c>
      <c r="AN71" t="s">
        <v>259</v>
      </c>
      <c r="AO71" t="s">
        <v>260</v>
      </c>
      <c r="AQ71" t="s">
        <v>261</v>
      </c>
      <c r="AS71">
        <v>174</v>
      </c>
      <c r="AU71">
        <v>105</v>
      </c>
      <c r="AW71">
        <v>298</v>
      </c>
      <c r="AX71" t="s">
        <v>262</v>
      </c>
      <c r="BO71" t="s">
        <v>261</v>
      </c>
      <c r="BQ71">
        <v>0.17399999999999999</v>
      </c>
      <c r="BS71">
        <v>0.105</v>
      </c>
      <c r="BU71">
        <v>0.29799999999999999</v>
      </c>
      <c r="BV71" t="s">
        <v>263</v>
      </c>
      <c r="CM71" t="s">
        <v>264</v>
      </c>
      <c r="CN71" t="s">
        <v>264</v>
      </c>
      <c r="CP71" t="s">
        <v>265</v>
      </c>
      <c r="CQ71" t="s">
        <v>423</v>
      </c>
      <c r="DB71">
        <v>4</v>
      </c>
      <c r="DG71" t="s">
        <v>267</v>
      </c>
      <c r="DI71">
        <v>96</v>
      </c>
      <c r="DN71" t="s">
        <v>268</v>
      </c>
      <c r="DR71">
        <v>139456</v>
      </c>
      <c r="DS71">
        <v>3044</v>
      </c>
      <c r="EW71" t="s">
        <v>272</v>
      </c>
      <c r="HH71" t="s">
        <v>272</v>
      </c>
      <c r="IE71" t="s">
        <v>693</v>
      </c>
      <c r="IF71">
        <v>18730</v>
      </c>
      <c r="IG71" t="s">
        <v>694</v>
      </c>
      <c r="IH71" t="s">
        <v>695</v>
      </c>
      <c r="II71">
        <v>1995</v>
      </c>
      <c r="IJ71" t="s">
        <v>696</v>
      </c>
    </row>
    <row r="72" spans="1:244" x14ac:dyDescent="0.45">
      <c r="A72">
        <v>1270026</v>
      </c>
      <c r="B72">
        <v>721324</v>
      </c>
      <c r="C72">
        <v>7439921</v>
      </c>
      <c r="D72" t="s">
        <v>670</v>
      </c>
      <c r="F72" t="s">
        <v>245</v>
      </c>
      <c r="G72" t="s">
        <v>246</v>
      </c>
      <c r="N72" t="s">
        <v>671</v>
      </c>
      <c r="O72" t="s">
        <v>672</v>
      </c>
      <c r="P72" t="s">
        <v>249</v>
      </c>
      <c r="Q72" t="s">
        <v>250</v>
      </c>
      <c r="R72" t="s">
        <v>251</v>
      </c>
      <c r="T72" t="s">
        <v>252</v>
      </c>
      <c r="U72" t="s">
        <v>253</v>
      </c>
      <c r="V72" t="s">
        <v>673</v>
      </c>
      <c r="W72" t="s">
        <v>674</v>
      </c>
      <c r="X72" t="s">
        <v>675</v>
      </c>
      <c r="Z72" t="s">
        <v>558</v>
      </c>
      <c r="AM72" t="s">
        <v>258</v>
      </c>
      <c r="AN72" t="s">
        <v>259</v>
      </c>
      <c r="AO72" t="s">
        <v>260</v>
      </c>
      <c r="AP72">
        <v>7</v>
      </c>
      <c r="AQ72" t="s">
        <v>261</v>
      </c>
      <c r="AS72">
        <v>1.58</v>
      </c>
      <c r="AX72" t="s">
        <v>356</v>
      </c>
      <c r="BO72" t="s">
        <v>261</v>
      </c>
      <c r="BQ72">
        <v>1.58</v>
      </c>
      <c r="BV72" t="s">
        <v>263</v>
      </c>
      <c r="CM72" t="s">
        <v>264</v>
      </c>
      <c r="CN72" t="s">
        <v>264</v>
      </c>
      <c r="CP72" t="s">
        <v>265</v>
      </c>
      <c r="DB72">
        <v>4</v>
      </c>
      <c r="DG72" t="s">
        <v>267</v>
      </c>
      <c r="DI72">
        <v>96</v>
      </c>
      <c r="DN72" t="s">
        <v>268</v>
      </c>
      <c r="DP72" t="s">
        <v>676</v>
      </c>
      <c r="DR72">
        <v>607701</v>
      </c>
      <c r="DS72">
        <v>18409</v>
      </c>
      <c r="DT72" t="s">
        <v>677</v>
      </c>
      <c r="EW72" t="s">
        <v>293</v>
      </c>
      <c r="FK72" t="s">
        <v>698</v>
      </c>
      <c r="FM72">
        <v>20</v>
      </c>
      <c r="FR72" t="s">
        <v>295</v>
      </c>
      <c r="GU72">
        <v>35</v>
      </c>
      <c r="GZ72" t="s">
        <v>296</v>
      </c>
      <c r="HH72" t="s">
        <v>272</v>
      </c>
      <c r="ID72" t="s">
        <v>699</v>
      </c>
      <c r="IE72" t="s">
        <v>680</v>
      </c>
      <c r="IF72">
        <v>84127</v>
      </c>
      <c r="IG72" t="s">
        <v>681</v>
      </c>
      <c r="IH72" t="s">
        <v>682</v>
      </c>
      <c r="II72">
        <v>2005</v>
      </c>
      <c r="IJ72" t="s">
        <v>683</v>
      </c>
    </row>
    <row r="73" spans="1:244" x14ac:dyDescent="0.45">
      <c r="A73">
        <v>1165650</v>
      </c>
      <c r="B73">
        <v>48442</v>
      </c>
      <c r="C73">
        <v>7439921</v>
      </c>
      <c r="D73" t="s">
        <v>670</v>
      </c>
      <c r="F73" t="s">
        <v>245</v>
      </c>
      <c r="G73" t="s">
        <v>246</v>
      </c>
      <c r="N73" t="s">
        <v>452</v>
      </c>
      <c r="O73" t="s">
        <v>346</v>
      </c>
      <c r="P73" t="s">
        <v>249</v>
      </c>
      <c r="Q73" t="s">
        <v>250</v>
      </c>
      <c r="R73" t="s">
        <v>251</v>
      </c>
      <c r="T73" t="s">
        <v>347</v>
      </c>
      <c r="U73" t="s">
        <v>348</v>
      </c>
      <c r="V73" t="s">
        <v>349</v>
      </c>
      <c r="W73" t="s">
        <v>350</v>
      </c>
      <c r="X73" t="s">
        <v>453</v>
      </c>
      <c r="AM73" t="s">
        <v>287</v>
      </c>
      <c r="AN73" t="s">
        <v>259</v>
      </c>
      <c r="AO73" t="s">
        <v>260</v>
      </c>
      <c r="AQ73" t="s">
        <v>261</v>
      </c>
      <c r="AS73">
        <v>5010</v>
      </c>
      <c r="AX73" t="s">
        <v>262</v>
      </c>
      <c r="BO73" t="s">
        <v>261</v>
      </c>
      <c r="BQ73">
        <v>5.01</v>
      </c>
      <c r="BV73" t="s">
        <v>263</v>
      </c>
      <c r="CM73" t="s">
        <v>264</v>
      </c>
      <c r="CN73" t="s">
        <v>264</v>
      </c>
      <c r="CP73" t="s">
        <v>265</v>
      </c>
      <c r="DB73">
        <v>2</v>
      </c>
      <c r="DG73" t="s">
        <v>267</v>
      </c>
      <c r="DI73">
        <v>48</v>
      </c>
      <c r="DN73" t="s">
        <v>268</v>
      </c>
      <c r="DR73">
        <v>85549</v>
      </c>
      <c r="DS73">
        <v>366</v>
      </c>
      <c r="EW73" t="s">
        <v>272</v>
      </c>
      <c r="HH73" t="s">
        <v>272</v>
      </c>
      <c r="IE73" t="s">
        <v>686</v>
      </c>
      <c r="IF73">
        <v>14577</v>
      </c>
      <c r="IG73" t="s">
        <v>687</v>
      </c>
      <c r="IH73" t="s">
        <v>688</v>
      </c>
      <c r="II73">
        <v>1993</v>
      </c>
      <c r="IJ73" t="s">
        <v>689</v>
      </c>
    </row>
    <row r="74" spans="1:244" x14ac:dyDescent="0.45">
      <c r="A74">
        <v>1270037</v>
      </c>
      <c r="B74">
        <v>721335</v>
      </c>
      <c r="C74">
        <v>7439921</v>
      </c>
      <c r="D74" t="s">
        <v>670</v>
      </c>
      <c r="F74" t="s">
        <v>245</v>
      </c>
      <c r="G74" t="s">
        <v>246</v>
      </c>
      <c r="N74" t="s">
        <v>671</v>
      </c>
      <c r="O74" t="s">
        <v>672</v>
      </c>
      <c r="P74" t="s">
        <v>249</v>
      </c>
      <c r="Q74" t="s">
        <v>250</v>
      </c>
      <c r="R74" t="s">
        <v>251</v>
      </c>
      <c r="T74" t="s">
        <v>252</v>
      </c>
      <c r="U74" t="s">
        <v>253</v>
      </c>
      <c r="V74" t="s">
        <v>673</v>
      </c>
      <c r="W74" t="s">
        <v>674</v>
      </c>
      <c r="X74" t="s">
        <v>675</v>
      </c>
      <c r="Z74" t="s">
        <v>284</v>
      </c>
      <c r="AM74" t="s">
        <v>258</v>
      </c>
      <c r="AN74" t="s">
        <v>259</v>
      </c>
      <c r="AO74" t="s">
        <v>260</v>
      </c>
      <c r="AP74">
        <v>7</v>
      </c>
      <c r="AQ74" t="s">
        <v>261</v>
      </c>
      <c r="AS74">
        <v>0.74</v>
      </c>
      <c r="AX74" t="s">
        <v>356</v>
      </c>
      <c r="BO74" t="s">
        <v>261</v>
      </c>
      <c r="BQ74">
        <v>0.74</v>
      </c>
      <c r="BV74" t="s">
        <v>263</v>
      </c>
      <c r="CM74" t="s">
        <v>264</v>
      </c>
      <c r="CN74" t="s">
        <v>264</v>
      </c>
      <c r="CP74" t="s">
        <v>265</v>
      </c>
      <c r="DB74">
        <v>4</v>
      </c>
      <c r="DG74" t="s">
        <v>267</v>
      </c>
      <c r="DI74">
        <v>96</v>
      </c>
      <c r="DN74" t="s">
        <v>268</v>
      </c>
      <c r="DP74" t="s">
        <v>676</v>
      </c>
      <c r="DR74">
        <v>607701</v>
      </c>
      <c r="DS74">
        <v>18409</v>
      </c>
      <c r="DT74" t="s">
        <v>677</v>
      </c>
      <c r="EW74" t="s">
        <v>293</v>
      </c>
      <c r="FK74" t="s">
        <v>700</v>
      </c>
      <c r="FM74">
        <v>20</v>
      </c>
      <c r="FR74" t="s">
        <v>295</v>
      </c>
      <c r="GU74">
        <v>24</v>
      </c>
      <c r="GZ74" t="s">
        <v>296</v>
      </c>
      <c r="HH74" t="s">
        <v>272</v>
      </c>
      <c r="ID74" t="s">
        <v>701</v>
      </c>
      <c r="IE74" t="s">
        <v>680</v>
      </c>
      <c r="IF74">
        <v>84127</v>
      </c>
      <c r="IG74" t="s">
        <v>681</v>
      </c>
      <c r="IH74" t="s">
        <v>682</v>
      </c>
      <c r="II74">
        <v>2005</v>
      </c>
      <c r="IJ74" t="s">
        <v>683</v>
      </c>
    </row>
    <row r="75" spans="1:244" x14ac:dyDescent="0.45">
      <c r="A75">
        <v>1270025</v>
      </c>
      <c r="B75">
        <v>721323</v>
      </c>
      <c r="C75">
        <v>7439921</v>
      </c>
      <c r="D75" t="s">
        <v>670</v>
      </c>
      <c r="F75" t="s">
        <v>245</v>
      </c>
      <c r="G75" t="s">
        <v>246</v>
      </c>
      <c r="N75" t="s">
        <v>671</v>
      </c>
      <c r="O75" t="s">
        <v>672</v>
      </c>
      <c r="P75" t="s">
        <v>249</v>
      </c>
      <c r="Q75" t="s">
        <v>250</v>
      </c>
      <c r="R75" t="s">
        <v>251</v>
      </c>
      <c r="T75" t="s">
        <v>252</v>
      </c>
      <c r="U75" t="s">
        <v>253</v>
      </c>
      <c r="V75" t="s">
        <v>673</v>
      </c>
      <c r="W75" t="s">
        <v>674</v>
      </c>
      <c r="X75" t="s">
        <v>675</v>
      </c>
      <c r="Z75" t="s">
        <v>558</v>
      </c>
      <c r="AM75" t="s">
        <v>258</v>
      </c>
      <c r="AN75" t="s">
        <v>259</v>
      </c>
      <c r="AO75" t="s">
        <v>260</v>
      </c>
      <c r="AP75">
        <v>7</v>
      </c>
      <c r="AQ75" t="s">
        <v>261</v>
      </c>
      <c r="AS75">
        <v>1.1399999999999999</v>
      </c>
      <c r="AX75" t="s">
        <v>356</v>
      </c>
      <c r="BO75" t="s">
        <v>261</v>
      </c>
      <c r="BQ75">
        <v>1.1399999999999999</v>
      </c>
      <c r="BV75" t="s">
        <v>263</v>
      </c>
      <c r="CM75" t="s">
        <v>264</v>
      </c>
      <c r="CN75" t="s">
        <v>264</v>
      </c>
      <c r="CP75" t="s">
        <v>265</v>
      </c>
      <c r="DB75">
        <v>4</v>
      </c>
      <c r="DG75" t="s">
        <v>267</v>
      </c>
      <c r="DI75">
        <v>96</v>
      </c>
      <c r="DN75" t="s">
        <v>268</v>
      </c>
      <c r="DP75" t="s">
        <v>676</v>
      </c>
      <c r="DR75">
        <v>607701</v>
      </c>
      <c r="DS75">
        <v>18409</v>
      </c>
      <c r="DT75" t="s">
        <v>677</v>
      </c>
      <c r="EW75" t="s">
        <v>293</v>
      </c>
      <c r="FK75" t="s">
        <v>702</v>
      </c>
      <c r="FM75">
        <v>20</v>
      </c>
      <c r="FR75" t="s">
        <v>295</v>
      </c>
      <c r="GU75">
        <v>30</v>
      </c>
      <c r="GZ75" t="s">
        <v>296</v>
      </c>
      <c r="HH75" t="s">
        <v>272</v>
      </c>
      <c r="ID75" t="s">
        <v>703</v>
      </c>
      <c r="IE75" t="s">
        <v>680</v>
      </c>
      <c r="IF75">
        <v>84127</v>
      </c>
      <c r="IG75" t="s">
        <v>681</v>
      </c>
      <c r="IH75" t="s">
        <v>682</v>
      </c>
      <c r="II75">
        <v>2005</v>
      </c>
      <c r="IJ75" t="s">
        <v>683</v>
      </c>
    </row>
    <row r="76" spans="1:244" x14ac:dyDescent="0.45">
      <c r="A76">
        <v>2148503</v>
      </c>
      <c r="B76">
        <v>2283443</v>
      </c>
      <c r="C76">
        <v>7439921</v>
      </c>
      <c r="D76" t="s">
        <v>670</v>
      </c>
      <c r="F76" t="s">
        <v>245</v>
      </c>
      <c r="G76" t="s">
        <v>272</v>
      </c>
      <c r="N76" t="s">
        <v>704</v>
      </c>
      <c r="O76" t="s">
        <v>705</v>
      </c>
      <c r="P76" t="s">
        <v>249</v>
      </c>
      <c r="Q76" t="s">
        <v>250</v>
      </c>
      <c r="R76" t="s">
        <v>251</v>
      </c>
      <c r="T76" t="s">
        <v>252</v>
      </c>
      <c r="U76" t="s">
        <v>499</v>
      </c>
      <c r="V76" t="s">
        <v>706</v>
      </c>
      <c r="W76" t="s">
        <v>707</v>
      </c>
      <c r="X76" t="s">
        <v>708</v>
      </c>
      <c r="Z76" t="s">
        <v>315</v>
      </c>
      <c r="AI76">
        <v>3</v>
      </c>
      <c r="AJ76" t="s">
        <v>285</v>
      </c>
      <c r="AK76" t="s">
        <v>709</v>
      </c>
      <c r="AM76" t="s">
        <v>258</v>
      </c>
      <c r="AN76" t="s">
        <v>259</v>
      </c>
      <c r="AO76" t="s">
        <v>260</v>
      </c>
      <c r="AP76">
        <v>13</v>
      </c>
      <c r="AQ76" t="s">
        <v>261</v>
      </c>
      <c r="AS76">
        <v>10.38</v>
      </c>
      <c r="AU76">
        <v>9.7899999999999991</v>
      </c>
      <c r="AW76">
        <v>11.01</v>
      </c>
      <c r="AX76" t="s">
        <v>710</v>
      </c>
      <c r="BO76" t="s">
        <v>261</v>
      </c>
      <c r="BQ76">
        <v>2.1507360000000002</v>
      </c>
      <c r="BS76">
        <v>2.0284879999999998</v>
      </c>
      <c r="BU76">
        <v>2.281272</v>
      </c>
      <c r="BV76" t="s">
        <v>263</v>
      </c>
      <c r="CM76" t="s">
        <v>264</v>
      </c>
      <c r="CN76" t="s">
        <v>264</v>
      </c>
      <c r="CP76" t="s">
        <v>265</v>
      </c>
      <c r="CQ76" t="s">
        <v>423</v>
      </c>
      <c r="DB76">
        <v>4</v>
      </c>
      <c r="DG76" t="s">
        <v>267</v>
      </c>
      <c r="DI76">
        <v>96</v>
      </c>
      <c r="DN76" t="s">
        <v>268</v>
      </c>
      <c r="DR76">
        <v>587174</v>
      </c>
      <c r="DS76">
        <v>40921</v>
      </c>
      <c r="DV76">
        <v>96</v>
      </c>
      <c r="EA76" t="s">
        <v>268</v>
      </c>
      <c r="EC76">
        <v>4</v>
      </c>
      <c r="EH76" t="s">
        <v>267</v>
      </c>
      <c r="EJ76">
        <v>96</v>
      </c>
      <c r="EO76" t="s">
        <v>268</v>
      </c>
      <c r="EQ76">
        <v>4</v>
      </c>
      <c r="EV76" t="s">
        <v>267</v>
      </c>
      <c r="EW76" t="s">
        <v>293</v>
      </c>
      <c r="EZ76">
        <v>30</v>
      </c>
      <c r="FA76" t="s">
        <v>711</v>
      </c>
      <c r="FM76">
        <v>10</v>
      </c>
      <c r="FR76" t="s">
        <v>295</v>
      </c>
      <c r="GU76">
        <v>33</v>
      </c>
      <c r="GZ76" t="s">
        <v>296</v>
      </c>
      <c r="HH76" t="s">
        <v>272</v>
      </c>
      <c r="ID76" t="s">
        <v>712</v>
      </c>
      <c r="IE76" t="s">
        <v>713</v>
      </c>
      <c r="IF76">
        <v>169928</v>
      </c>
      <c r="IG76" t="s">
        <v>714</v>
      </c>
      <c r="IH76" t="s">
        <v>715</v>
      </c>
      <c r="II76">
        <v>2014</v>
      </c>
      <c r="IJ76" t="s">
        <v>716</v>
      </c>
    </row>
    <row r="77" spans="1:244" x14ac:dyDescent="0.45">
      <c r="A77">
        <v>1270024</v>
      </c>
      <c r="B77">
        <v>721322</v>
      </c>
      <c r="C77">
        <v>7439921</v>
      </c>
      <c r="D77" t="s">
        <v>670</v>
      </c>
      <c r="F77" t="s">
        <v>245</v>
      </c>
      <c r="G77" t="s">
        <v>246</v>
      </c>
      <c r="N77" t="s">
        <v>671</v>
      </c>
      <c r="O77" t="s">
        <v>672</v>
      </c>
      <c r="P77" t="s">
        <v>249</v>
      </c>
      <c r="Q77" t="s">
        <v>250</v>
      </c>
      <c r="R77" t="s">
        <v>251</v>
      </c>
      <c r="T77" t="s">
        <v>252</v>
      </c>
      <c r="U77" t="s">
        <v>253</v>
      </c>
      <c r="V77" t="s">
        <v>673</v>
      </c>
      <c r="W77" t="s">
        <v>674</v>
      </c>
      <c r="X77" t="s">
        <v>675</v>
      </c>
      <c r="Z77" t="s">
        <v>558</v>
      </c>
      <c r="AM77" t="s">
        <v>258</v>
      </c>
      <c r="AN77" t="s">
        <v>259</v>
      </c>
      <c r="AO77" t="s">
        <v>260</v>
      </c>
      <c r="AP77">
        <v>7</v>
      </c>
      <c r="AQ77" t="s">
        <v>261</v>
      </c>
      <c r="AS77">
        <v>1.05</v>
      </c>
      <c r="AX77" t="s">
        <v>356</v>
      </c>
      <c r="BO77" t="s">
        <v>261</v>
      </c>
      <c r="BQ77">
        <v>1.05</v>
      </c>
      <c r="BV77" t="s">
        <v>263</v>
      </c>
      <c r="CM77" t="s">
        <v>264</v>
      </c>
      <c r="CN77" t="s">
        <v>264</v>
      </c>
      <c r="CP77" t="s">
        <v>265</v>
      </c>
      <c r="DB77">
        <v>4</v>
      </c>
      <c r="DG77" t="s">
        <v>267</v>
      </c>
      <c r="DI77">
        <v>96</v>
      </c>
      <c r="DN77" t="s">
        <v>268</v>
      </c>
      <c r="DP77" t="s">
        <v>676</v>
      </c>
      <c r="DR77">
        <v>607701</v>
      </c>
      <c r="DS77">
        <v>18409</v>
      </c>
      <c r="DT77" t="s">
        <v>677</v>
      </c>
      <c r="EW77" t="s">
        <v>293</v>
      </c>
      <c r="FK77" t="s">
        <v>717</v>
      </c>
      <c r="FM77">
        <v>20</v>
      </c>
      <c r="FR77" t="s">
        <v>295</v>
      </c>
      <c r="GU77">
        <v>24</v>
      </c>
      <c r="GZ77" t="s">
        <v>296</v>
      </c>
      <c r="HH77" t="s">
        <v>272</v>
      </c>
      <c r="ID77" t="s">
        <v>718</v>
      </c>
      <c r="IE77" t="s">
        <v>680</v>
      </c>
      <c r="IF77">
        <v>84127</v>
      </c>
      <c r="IG77" t="s">
        <v>681</v>
      </c>
      <c r="IH77" t="s">
        <v>682</v>
      </c>
      <c r="II77">
        <v>2005</v>
      </c>
      <c r="IJ77" t="s">
        <v>683</v>
      </c>
    </row>
    <row r="78" spans="1:244" x14ac:dyDescent="0.45">
      <c r="A78">
        <v>1270032</v>
      </c>
      <c r="B78">
        <v>721330</v>
      </c>
      <c r="C78">
        <v>7439921</v>
      </c>
      <c r="D78" t="s">
        <v>670</v>
      </c>
      <c r="F78" t="s">
        <v>245</v>
      </c>
      <c r="G78" t="s">
        <v>246</v>
      </c>
      <c r="N78" t="s">
        <v>671</v>
      </c>
      <c r="O78" t="s">
        <v>672</v>
      </c>
      <c r="P78" t="s">
        <v>249</v>
      </c>
      <c r="Q78" t="s">
        <v>250</v>
      </c>
      <c r="R78" t="s">
        <v>251</v>
      </c>
      <c r="T78" t="s">
        <v>252</v>
      </c>
      <c r="U78" t="s">
        <v>253</v>
      </c>
      <c r="V78" t="s">
        <v>673</v>
      </c>
      <c r="W78" t="s">
        <v>674</v>
      </c>
      <c r="X78" t="s">
        <v>675</v>
      </c>
      <c r="Z78" t="s">
        <v>284</v>
      </c>
      <c r="AM78" t="s">
        <v>258</v>
      </c>
      <c r="AN78" t="s">
        <v>259</v>
      </c>
      <c r="AO78" t="s">
        <v>260</v>
      </c>
      <c r="AP78">
        <v>7</v>
      </c>
      <c r="AQ78" t="s">
        <v>261</v>
      </c>
      <c r="AS78">
        <v>0.68</v>
      </c>
      <c r="AX78" t="s">
        <v>356</v>
      </c>
      <c r="BO78" t="s">
        <v>261</v>
      </c>
      <c r="BQ78">
        <v>0.68</v>
      </c>
      <c r="BV78" t="s">
        <v>263</v>
      </c>
      <c r="CM78" t="s">
        <v>264</v>
      </c>
      <c r="CN78" t="s">
        <v>264</v>
      </c>
      <c r="CP78" t="s">
        <v>265</v>
      </c>
      <c r="DB78">
        <v>4</v>
      </c>
      <c r="DG78" t="s">
        <v>267</v>
      </c>
      <c r="DI78">
        <v>96</v>
      </c>
      <c r="DN78" t="s">
        <v>268</v>
      </c>
      <c r="DP78" t="s">
        <v>676</v>
      </c>
      <c r="DR78">
        <v>607701</v>
      </c>
      <c r="DS78">
        <v>18409</v>
      </c>
      <c r="DT78" t="s">
        <v>677</v>
      </c>
      <c r="EW78" t="s">
        <v>293</v>
      </c>
      <c r="FK78" t="s">
        <v>719</v>
      </c>
      <c r="FM78">
        <v>20</v>
      </c>
      <c r="FR78" t="s">
        <v>295</v>
      </c>
      <c r="GU78">
        <v>20</v>
      </c>
      <c r="GZ78" t="s">
        <v>296</v>
      </c>
      <c r="HH78" t="s">
        <v>272</v>
      </c>
      <c r="ID78" t="s">
        <v>720</v>
      </c>
      <c r="IE78" t="s">
        <v>680</v>
      </c>
      <c r="IF78">
        <v>84127</v>
      </c>
      <c r="IG78" t="s">
        <v>681</v>
      </c>
      <c r="IH78" t="s">
        <v>682</v>
      </c>
      <c r="II78">
        <v>2005</v>
      </c>
      <c r="IJ78" t="s">
        <v>683</v>
      </c>
    </row>
    <row r="79" spans="1:244" x14ac:dyDescent="0.45">
      <c r="A79">
        <v>1270041</v>
      </c>
      <c r="B79">
        <v>721339</v>
      </c>
      <c r="C79">
        <v>7439921</v>
      </c>
      <c r="D79" t="s">
        <v>670</v>
      </c>
      <c r="F79" t="s">
        <v>245</v>
      </c>
      <c r="G79" t="s">
        <v>246</v>
      </c>
      <c r="N79" t="s">
        <v>671</v>
      </c>
      <c r="O79" t="s">
        <v>672</v>
      </c>
      <c r="P79" t="s">
        <v>249</v>
      </c>
      <c r="Q79" t="s">
        <v>250</v>
      </c>
      <c r="R79" t="s">
        <v>251</v>
      </c>
      <c r="T79" t="s">
        <v>252</v>
      </c>
      <c r="U79" t="s">
        <v>253</v>
      </c>
      <c r="V79" t="s">
        <v>673</v>
      </c>
      <c r="W79" t="s">
        <v>674</v>
      </c>
      <c r="X79" t="s">
        <v>675</v>
      </c>
      <c r="Z79" t="s">
        <v>284</v>
      </c>
      <c r="AM79" t="s">
        <v>258</v>
      </c>
      <c r="AN79" t="s">
        <v>259</v>
      </c>
      <c r="AO79" t="s">
        <v>260</v>
      </c>
      <c r="AP79">
        <v>7</v>
      </c>
      <c r="AQ79" t="s">
        <v>261</v>
      </c>
      <c r="AS79">
        <v>1</v>
      </c>
      <c r="AX79" t="s">
        <v>356</v>
      </c>
      <c r="BO79" t="s">
        <v>261</v>
      </c>
      <c r="BQ79">
        <v>1</v>
      </c>
      <c r="BV79" t="s">
        <v>263</v>
      </c>
      <c r="CM79" t="s">
        <v>264</v>
      </c>
      <c r="CN79" t="s">
        <v>264</v>
      </c>
      <c r="CP79" t="s">
        <v>265</v>
      </c>
      <c r="DB79">
        <v>4</v>
      </c>
      <c r="DG79" t="s">
        <v>267</v>
      </c>
      <c r="DI79">
        <v>96</v>
      </c>
      <c r="DN79" t="s">
        <v>268</v>
      </c>
      <c r="DP79" t="s">
        <v>676</v>
      </c>
      <c r="DR79">
        <v>607701</v>
      </c>
      <c r="DS79">
        <v>18409</v>
      </c>
      <c r="DT79" t="s">
        <v>677</v>
      </c>
      <c r="EW79" t="s">
        <v>293</v>
      </c>
      <c r="FK79" t="s">
        <v>721</v>
      </c>
      <c r="FM79">
        <v>20</v>
      </c>
      <c r="FR79" t="s">
        <v>295</v>
      </c>
      <c r="GU79">
        <v>30</v>
      </c>
      <c r="GZ79" t="s">
        <v>296</v>
      </c>
      <c r="HH79" t="s">
        <v>272</v>
      </c>
      <c r="ID79" t="s">
        <v>722</v>
      </c>
      <c r="IE79" t="s">
        <v>680</v>
      </c>
      <c r="IF79">
        <v>84127</v>
      </c>
      <c r="IG79" t="s">
        <v>681</v>
      </c>
      <c r="IH79" t="s">
        <v>682</v>
      </c>
      <c r="II79">
        <v>2005</v>
      </c>
      <c r="IJ79" t="s">
        <v>683</v>
      </c>
    </row>
    <row r="80" spans="1:244" x14ac:dyDescent="0.45">
      <c r="A80">
        <v>1165668</v>
      </c>
      <c r="B80">
        <v>64889</v>
      </c>
      <c r="C80">
        <v>7439921</v>
      </c>
      <c r="D80" t="s">
        <v>670</v>
      </c>
      <c r="F80" t="s">
        <v>245</v>
      </c>
      <c r="G80" t="s">
        <v>246</v>
      </c>
      <c r="N80" t="s">
        <v>416</v>
      </c>
      <c r="O80" t="s">
        <v>417</v>
      </c>
      <c r="P80" t="s">
        <v>249</v>
      </c>
      <c r="Q80" t="s">
        <v>250</v>
      </c>
      <c r="R80" t="s">
        <v>251</v>
      </c>
      <c r="T80" t="s">
        <v>252</v>
      </c>
      <c r="U80" t="s">
        <v>253</v>
      </c>
      <c r="V80" t="s">
        <v>418</v>
      </c>
      <c r="W80" t="s">
        <v>419</v>
      </c>
      <c r="X80" t="s">
        <v>420</v>
      </c>
      <c r="AL80" t="s">
        <v>697</v>
      </c>
      <c r="AM80" t="s">
        <v>287</v>
      </c>
      <c r="AN80" t="s">
        <v>259</v>
      </c>
      <c r="AO80" t="s">
        <v>260</v>
      </c>
      <c r="AQ80" t="s">
        <v>261</v>
      </c>
      <c r="AS80">
        <v>9100</v>
      </c>
      <c r="AX80" t="s">
        <v>262</v>
      </c>
      <c r="BO80" t="s">
        <v>261</v>
      </c>
      <c r="BQ80">
        <v>9.1</v>
      </c>
      <c r="BV80" t="s">
        <v>263</v>
      </c>
      <c r="CM80" t="s">
        <v>264</v>
      </c>
      <c r="CN80" t="s">
        <v>264</v>
      </c>
      <c r="CP80" t="s">
        <v>265</v>
      </c>
      <c r="DB80">
        <v>1</v>
      </c>
      <c r="DG80" t="s">
        <v>267</v>
      </c>
      <c r="DI80">
        <v>24</v>
      </c>
      <c r="DN80" t="s">
        <v>268</v>
      </c>
      <c r="DS80">
        <v>1009</v>
      </c>
      <c r="EW80" t="s">
        <v>272</v>
      </c>
      <c r="HH80" t="s">
        <v>272</v>
      </c>
      <c r="IE80" t="s">
        <v>686</v>
      </c>
      <c r="IF80">
        <v>14577</v>
      </c>
      <c r="IG80" t="s">
        <v>687</v>
      </c>
      <c r="IH80" t="s">
        <v>688</v>
      </c>
      <c r="II80">
        <v>1993</v>
      </c>
      <c r="IJ80" t="s">
        <v>689</v>
      </c>
    </row>
    <row r="81" spans="1:244" x14ac:dyDescent="0.45">
      <c r="A81">
        <v>1054948</v>
      </c>
      <c r="B81">
        <v>220835</v>
      </c>
      <c r="C81">
        <v>7439921</v>
      </c>
      <c r="D81" t="s">
        <v>670</v>
      </c>
      <c r="F81" t="s">
        <v>245</v>
      </c>
      <c r="G81" t="s">
        <v>246</v>
      </c>
      <c r="N81" t="s">
        <v>723</v>
      </c>
      <c r="O81" t="s">
        <v>631</v>
      </c>
      <c r="P81" t="s">
        <v>249</v>
      </c>
      <c r="Q81" t="s">
        <v>250</v>
      </c>
      <c r="R81" t="s">
        <v>251</v>
      </c>
      <c r="T81" t="s">
        <v>389</v>
      </c>
      <c r="U81" t="s">
        <v>632</v>
      </c>
      <c r="V81" t="s">
        <v>633</v>
      </c>
      <c r="W81" t="s">
        <v>634</v>
      </c>
      <c r="X81" t="s">
        <v>724</v>
      </c>
      <c r="AM81" t="s">
        <v>287</v>
      </c>
      <c r="AN81" t="s">
        <v>259</v>
      </c>
      <c r="AO81" t="s">
        <v>260</v>
      </c>
      <c r="AQ81" t="s">
        <v>261</v>
      </c>
      <c r="AS81">
        <v>668</v>
      </c>
      <c r="AU81">
        <v>484</v>
      </c>
      <c r="AW81">
        <v>876</v>
      </c>
      <c r="AX81" t="s">
        <v>262</v>
      </c>
      <c r="BO81" t="s">
        <v>261</v>
      </c>
      <c r="BQ81">
        <v>0.66800000000000004</v>
      </c>
      <c r="BS81">
        <v>0.48399999999999999</v>
      </c>
      <c r="BU81">
        <v>0.876</v>
      </c>
      <c r="BV81" t="s">
        <v>263</v>
      </c>
      <c r="CM81" t="s">
        <v>264</v>
      </c>
      <c r="CN81" t="s">
        <v>264</v>
      </c>
      <c r="CP81" t="s">
        <v>265</v>
      </c>
      <c r="CQ81" t="s">
        <v>423</v>
      </c>
      <c r="DB81">
        <v>4</v>
      </c>
      <c r="DG81" t="s">
        <v>267</v>
      </c>
      <c r="DI81">
        <v>96</v>
      </c>
      <c r="DN81" t="s">
        <v>268</v>
      </c>
      <c r="DR81">
        <v>136140</v>
      </c>
      <c r="DS81">
        <v>1784</v>
      </c>
      <c r="EW81" t="s">
        <v>293</v>
      </c>
      <c r="FM81">
        <v>10</v>
      </c>
      <c r="FR81" t="s">
        <v>295</v>
      </c>
      <c r="GU81">
        <v>30</v>
      </c>
      <c r="GZ81" t="s">
        <v>296</v>
      </c>
      <c r="HH81" t="s">
        <v>272</v>
      </c>
      <c r="IE81" t="s">
        <v>725</v>
      </c>
      <c r="IF81">
        <v>3825</v>
      </c>
      <c r="IG81" t="s">
        <v>726</v>
      </c>
      <c r="IH81" t="s">
        <v>727</v>
      </c>
      <c r="II81">
        <v>1985</v>
      </c>
      <c r="IJ81" t="s">
        <v>728</v>
      </c>
    </row>
    <row r="82" spans="1:244" x14ac:dyDescent="0.45">
      <c r="A82">
        <v>1057277</v>
      </c>
      <c r="B82">
        <v>141591</v>
      </c>
      <c r="C82">
        <v>7439921</v>
      </c>
      <c r="D82" t="s">
        <v>670</v>
      </c>
      <c r="F82" t="s">
        <v>327</v>
      </c>
      <c r="G82" t="s">
        <v>246</v>
      </c>
      <c r="N82" t="s">
        <v>729</v>
      </c>
      <c r="O82" t="s">
        <v>578</v>
      </c>
      <c r="P82" t="s">
        <v>249</v>
      </c>
      <c r="Q82" t="s">
        <v>250</v>
      </c>
      <c r="R82" t="s">
        <v>251</v>
      </c>
      <c r="T82" t="s">
        <v>252</v>
      </c>
      <c r="U82" t="s">
        <v>499</v>
      </c>
      <c r="V82" t="s">
        <v>730</v>
      </c>
      <c r="W82" t="s">
        <v>731</v>
      </c>
      <c r="X82" t="s">
        <v>732</v>
      </c>
      <c r="AM82" t="s">
        <v>287</v>
      </c>
      <c r="AN82" t="s">
        <v>259</v>
      </c>
      <c r="AO82" t="s">
        <v>260</v>
      </c>
      <c r="AQ82" t="s">
        <v>261</v>
      </c>
      <c r="AS82">
        <v>14100</v>
      </c>
      <c r="AX82" t="s">
        <v>262</v>
      </c>
      <c r="BO82" t="s">
        <v>261</v>
      </c>
      <c r="BQ82">
        <v>14.1</v>
      </c>
      <c r="BV82" t="s">
        <v>263</v>
      </c>
      <c r="CM82" t="s">
        <v>264</v>
      </c>
      <c r="CN82" t="s">
        <v>264</v>
      </c>
      <c r="CP82" t="s">
        <v>265</v>
      </c>
      <c r="DB82">
        <v>4</v>
      </c>
      <c r="DG82" t="s">
        <v>267</v>
      </c>
      <c r="DI82">
        <v>96</v>
      </c>
      <c r="DN82" t="s">
        <v>268</v>
      </c>
      <c r="DP82" t="s">
        <v>733</v>
      </c>
      <c r="DS82">
        <v>2921</v>
      </c>
      <c r="DT82" t="s">
        <v>734</v>
      </c>
      <c r="EW82" t="s">
        <v>293</v>
      </c>
      <c r="FO82">
        <v>14</v>
      </c>
      <c r="FQ82">
        <v>15</v>
      </c>
      <c r="FR82" t="s">
        <v>295</v>
      </c>
      <c r="GJ82">
        <v>6.9</v>
      </c>
      <c r="GL82">
        <v>8.5</v>
      </c>
      <c r="GM82" t="s">
        <v>356</v>
      </c>
      <c r="GQ82">
        <v>7.7</v>
      </c>
      <c r="GS82">
        <v>8.5</v>
      </c>
      <c r="GW82">
        <v>27</v>
      </c>
      <c r="GY82">
        <v>29</v>
      </c>
      <c r="GZ82" t="s">
        <v>296</v>
      </c>
      <c r="HH82" t="s">
        <v>272</v>
      </c>
      <c r="IE82" t="s">
        <v>735</v>
      </c>
      <c r="IF82">
        <v>4092</v>
      </c>
      <c r="IG82" t="s">
        <v>736</v>
      </c>
      <c r="IH82" t="s">
        <v>737</v>
      </c>
      <c r="II82">
        <v>1993</v>
      </c>
      <c r="IJ82" t="s">
        <v>738</v>
      </c>
    </row>
    <row r="83" spans="1:244" x14ac:dyDescent="0.45">
      <c r="A83">
        <v>1053695</v>
      </c>
      <c r="B83">
        <v>194886</v>
      </c>
      <c r="C83">
        <v>7439921</v>
      </c>
      <c r="D83" t="s">
        <v>670</v>
      </c>
      <c r="F83" t="s">
        <v>245</v>
      </c>
      <c r="G83" t="s">
        <v>246</v>
      </c>
      <c r="N83" t="s">
        <v>723</v>
      </c>
      <c r="O83" t="s">
        <v>631</v>
      </c>
      <c r="P83" t="s">
        <v>249</v>
      </c>
      <c r="Q83" t="s">
        <v>250</v>
      </c>
      <c r="R83" t="s">
        <v>251</v>
      </c>
      <c r="T83" t="s">
        <v>389</v>
      </c>
      <c r="U83" t="s">
        <v>632</v>
      </c>
      <c r="V83" t="s">
        <v>633</v>
      </c>
      <c r="W83" t="s">
        <v>634</v>
      </c>
      <c r="X83" t="s">
        <v>724</v>
      </c>
      <c r="Z83" t="s">
        <v>315</v>
      </c>
      <c r="AM83" t="s">
        <v>287</v>
      </c>
      <c r="AN83" t="s">
        <v>259</v>
      </c>
      <c r="AO83" t="s">
        <v>260</v>
      </c>
      <c r="AQ83" t="s">
        <v>261</v>
      </c>
      <c r="AS83">
        <v>668</v>
      </c>
      <c r="AU83">
        <v>484</v>
      </c>
      <c r="AW83">
        <v>876</v>
      </c>
      <c r="AX83" t="s">
        <v>262</v>
      </c>
      <c r="BO83" t="s">
        <v>261</v>
      </c>
      <c r="BQ83">
        <v>0.66800000000000004</v>
      </c>
      <c r="BS83">
        <v>0.48399999999999999</v>
      </c>
      <c r="BU83">
        <v>0.876</v>
      </c>
      <c r="BV83" t="s">
        <v>263</v>
      </c>
      <c r="CM83" t="s">
        <v>264</v>
      </c>
      <c r="CN83" t="s">
        <v>264</v>
      </c>
      <c r="CP83" t="s">
        <v>265</v>
      </c>
      <c r="CQ83" t="s">
        <v>423</v>
      </c>
      <c r="DB83">
        <v>4</v>
      </c>
      <c r="DG83" t="s">
        <v>267</v>
      </c>
      <c r="DI83">
        <v>96</v>
      </c>
      <c r="DN83" t="s">
        <v>268</v>
      </c>
      <c r="DP83" t="s">
        <v>739</v>
      </c>
      <c r="DR83">
        <v>136140</v>
      </c>
      <c r="DS83">
        <v>1784</v>
      </c>
      <c r="EW83" t="s">
        <v>272</v>
      </c>
      <c r="FM83">
        <v>10</v>
      </c>
      <c r="FR83" t="s">
        <v>295</v>
      </c>
      <c r="GU83">
        <v>30</v>
      </c>
      <c r="GZ83" t="s">
        <v>296</v>
      </c>
      <c r="HH83" t="s">
        <v>272</v>
      </c>
      <c r="IE83" t="s">
        <v>740</v>
      </c>
      <c r="IF83">
        <v>3751</v>
      </c>
      <c r="IG83" t="s">
        <v>741</v>
      </c>
      <c r="IH83" t="s">
        <v>742</v>
      </c>
      <c r="II83">
        <v>1980</v>
      </c>
      <c r="IJ83" t="s">
        <v>743</v>
      </c>
    </row>
    <row r="84" spans="1:244" x14ac:dyDescent="0.45">
      <c r="A84">
        <v>1078773</v>
      </c>
      <c r="B84">
        <v>10206</v>
      </c>
      <c r="C84">
        <v>7439976</v>
      </c>
      <c r="D84" t="s">
        <v>744</v>
      </c>
      <c r="F84" t="s">
        <v>245</v>
      </c>
      <c r="G84" t="s">
        <v>246</v>
      </c>
      <c r="N84" t="s">
        <v>632</v>
      </c>
      <c r="O84" t="s">
        <v>745</v>
      </c>
      <c r="P84" t="s">
        <v>249</v>
      </c>
      <c r="Q84" t="s">
        <v>250</v>
      </c>
      <c r="R84" t="s">
        <v>251</v>
      </c>
      <c r="T84" t="s">
        <v>389</v>
      </c>
      <c r="U84" t="s">
        <v>632</v>
      </c>
      <c r="AL84" t="s">
        <v>746</v>
      </c>
      <c r="AM84" t="s">
        <v>317</v>
      </c>
      <c r="AN84" t="s">
        <v>259</v>
      </c>
      <c r="AO84" t="s">
        <v>260</v>
      </c>
      <c r="AQ84" t="s">
        <v>261</v>
      </c>
      <c r="AS84">
        <v>31</v>
      </c>
      <c r="AX84" t="s">
        <v>262</v>
      </c>
      <c r="BO84" t="s">
        <v>261</v>
      </c>
      <c r="BQ84">
        <v>3.1E-2</v>
      </c>
      <c r="BV84" t="s">
        <v>263</v>
      </c>
      <c r="CM84" t="s">
        <v>264</v>
      </c>
      <c r="CN84" t="s">
        <v>264</v>
      </c>
      <c r="CP84" t="s">
        <v>265</v>
      </c>
      <c r="CQ84" t="s">
        <v>266</v>
      </c>
      <c r="DB84">
        <v>2</v>
      </c>
      <c r="DG84" t="s">
        <v>267</v>
      </c>
      <c r="DI84">
        <v>48</v>
      </c>
      <c r="DN84" t="s">
        <v>268</v>
      </c>
      <c r="DR84">
        <v>6833</v>
      </c>
      <c r="DS84">
        <v>1138</v>
      </c>
      <c r="EW84" t="s">
        <v>271</v>
      </c>
      <c r="FK84" t="s">
        <v>747</v>
      </c>
      <c r="FM84">
        <v>9</v>
      </c>
      <c r="FR84" t="s">
        <v>295</v>
      </c>
      <c r="HH84" t="s">
        <v>272</v>
      </c>
      <c r="ID84" t="s">
        <v>748</v>
      </c>
      <c r="IE84" t="s">
        <v>749</v>
      </c>
      <c r="IF84">
        <v>6079</v>
      </c>
      <c r="IG84" t="s">
        <v>750</v>
      </c>
      <c r="IH84" t="s">
        <v>751</v>
      </c>
      <c r="II84">
        <v>1977</v>
      </c>
      <c r="IJ84" t="s">
        <v>752</v>
      </c>
    </row>
    <row r="85" spans="1:244" x14ac:dyDescent="0.45">
      <c r="A85">
        <v>2140903</v>
      </c>
      <c r="B85">
        <v>2264434</v>
      </c>
      <c r="C85">
        <v>7439976</v>
      </c>
      <c r="D85" t="s">
        <v>744</v>
      </c>
      <c r="F85" t="s">
        <v>245</v>
      </c>
      <c r="G85" t="s">
        <v>272</v>
      </c>
      <c r="N85" t="s">
        <v>452</v>
      </c>
      <c r="O85" t="s">
        <v>346</v>
      </c>
      <c r="P85" t="s">
        <v>249</v>
      </c>
      <c r="Q85" t="s">
        <v>250</v>
      </c>
      <c r="R85" t="s">
        <v>251</v>
      </c>
      <c r="T85" t="s">
        <v>347</v>
      </c>
      <c r="U85" t="s">
        <v>348</v>
      </c>
      <c r="V85" t="s">
        <v>349</v>
      </c>
      <c r="W85" t="s">
        <v>350</v>
      </c>
      <c r="X85" t="s">
        <v>453</v>
      </c>
      <c r="Z85" t="s">
        <v>315</v>
      </c>
      <c r="AH85" t="s">
        <v>753</v>
      </c>
      <c r="AJ85" t="s">
        <v>354</v>
      </c>
      <c r="AL85" t="s">
        <v>753</v>
      </c>
      <c r="AM85" t="s">
        <v>287</v>
      </c>
      <c r="AN85" t="s">
        <v>259</v>
      </c>
      <c r="AO85" t="s">
        <v>260</v>
      </c>
      <c r="AP85">
        <v>11</v>
      </c>
      <c r="AQ85" t="s">
        <v>261</v>
      </c>
      <c r="AS85">
        <v>3.0000000000000001E-3</v>
      </c>
      <c r="AU85">
        <v>2E-3</v>
      </c>
      <c r="AW85">
        <v>3.0000000000000001E-3</v>
      </c>
      <c r="AX85" t="s">
        <v>422</v>
      </c>
      <c r="BO85" t="s">
        <v>261</v>
      </c>
      <c r="BQ85">
        <v>3.0000000000000001E-3</v>
      </c>
      <c r="BS85">
        <v>2E-3</v>
      </c>
      <c r="BU85">
        <v>3.0000000000000001E-3</v>
      </c>
      <c r="BV85" t="s">
        <v>263</v>
      </c>
      <c r="CM85" t="s">
        <v>264</v>
      </c>
      <c r="CN85" t="s">
        <v>264</v>
      </c>
      <c r="CP85" t="s">
        <v>265</v>
      </c>
      <c r="CQ85" t="s">
        <v>266</v>
      </c>
      <c r="DB85">
        <v>4</v>
      </c>
      <c r="DG85" t="s">
        <v>267</v>
      </c>
      <c r="DI85">
        <v>96</v>
      </c>
      <c r="DN85" t="s">
        <v>268</v>
      </c>
      <c r="DR85">
        <v>85549</v>
      </c>
      <c r="DS85">
        <v>366</v>
      </c>
      <c r="DT85" t="s">
        <v>754</v>
      </c>
      <c r="DV85">
        <v>96</v>
      </c>
      <c r="EA85" t="s">
        <v>268</v>
      </c>
      <c r="EC85">
        <v>4</v>
      </c>
      <c r="EH85" t="s">
        <v>267</v>
      </c>
      <c r="EJ85">
        <v>96</v>
      </c>
      <c r="EO85" t="s">
        <v>268</v>
      </c>
      <c r="EQ85">
        <v>4</v>
      </c>
      <c r="EV85" t="s">
        <v>267</v>
      </c>
      <c r="EW85" t="s">
        <v>293</v>
      </c>
      <c r="EY85" t="s">
        <v>377</v>
      </c>
      <c r="FA85" t="s">
        <v>755</v>
      </c>
      <c r="FK85" t="s">
        <v>756</v>
      </c>
      <c r="FM85">
        <v>28</v>
      </c>
      <c r="FR85" t="s">
        <v>295</v>
      </c>
      <c r="GI85" t="s">
        <v>288</v>
      </c>
      <c r="GJ85">
        <v>0</v>
      </c>
      <c r="GK85" t="s">
        <v>289</v>
      </c>
      <c r="GL85">
        <v>10</v>
      </c>
      <c r="GM85" t="s">
        <v>356</v>
      </c>
      <c r="GO85">
        <v>7.5</v>
      </c>
      <c r="GU85">
        <v>40</v>
      </c>
      <c r="GZ85" t="s">
        <v>296</v>
      </c>
      <c r="HH85" t="s">
        <v>272</v>
      </c>
      <c r="ID85" t="s">
        <v>757</v>
      </c>
      <c r="IE85" t="s">
        <v>758</v>
      </c>
      <c r="IF85">
        <v>165375</v>
      </c>
      <c r="IG85" t="s">
        <v>759</v>
      </c>
      <c r="IH85" t="s">
        <v>760</v>
      </c>
      <c r="II85">
        <v>2012</v>
      </c>
      <c r="IJ85" t="s">
        <v>761</v>
      </c>
    </row>
    <row r="86" spans="1:244" x14ac:dyDescent="0.45">
      <c r="A86">
        <v>1210389</v>
      </c>
      <c r="B86">
        <v>195473</v>
      </c>
      <c r="C86">
        <v>7439976</v>
      </c>
      <c r="D86" t="s">
        <v>744</v>
      </c>
      <c r="F86" t="s">
        <v>272</v>
      </c>
      <c r="G86" t="s">
        <v>246</v>
      </c>
      <c r="N86" t="s">
        <v>345</v>
      </c>
      <c r="O86" t="s">
        <v>346</v>
      </c>
      <c r="P86" t="s">
        <v>249</v>
      </c>
      <c r="Q86" t="s">
        <v>250</v>
      </c>
      <c r="R86" t="s">
        <v>251</v>
      </c>
      <c r="T86" t="s">
        <v>347</v>
      </c>
      <c r="U86" t="s">
        <v>348</v>
      </c>
      <c r="V86" t="s">
        <v>349</v>
      </c>
      <c r="W86" t="s">
        <v>350</v>
      </c>
      <c r="X86" t="s">
        <v>351</v>
      </c>
      <c r="Z86" t="s">
        <v>284</v>
      </c>
      <c r="AM86" t="s">
        <v>287</v>
      </c>
      <c r="AN86" t="s">
        <v>259</v>
      </c>
      <c r="AO86" t="s">
        <v>260</v>
      </c>
      <c r="AQ86" t="s">
        <v>261</v>
      </c>
      <c r="AS86">
        <v>6.0000000000000001E-3</v>
      </c>
      <c r="AU86">
        <v>4.0000000000000001E-3</v>
      </c>
      <c r="AW86">
        <v>0.01</v>
      </c>
      <c r="AX86" t="s">
        <v>762</v>
      </c>
      <c r="BO86" t="s">
        <v>261</v>
      </c>
      <c r="BQ86">
        <v>6.0000000000000001E-3</v>
      </c>
      <c r="BS86">
        <v>4.0000000000000001E-3</v>
      </c>
      <c r="BU86">
        <v>0.01</v>
      </c>
      <c r="BV86" t="s">
        <v>263</v>
      </c>
      <c r="CM86" t="s">
        <v>264</v>
      </c>
      <c r="CN86" t="s">
        <v>264</v>
      </c>
      <c r="CP86" t="s">
        <v>265</v>
      </c>
      <c r="DB86">
        <v>4</v>
      </c>
      <c r="DG86" t="s">
        <v>267</v>
      </c>
      <c r="DI86">
        <v>96</v>
      </c>
      <c r="DN86" t="s">
        <v>268</v>
      </c>
      <c r="DR86">
        <v>6660</v>
      </c>
      <c r="DS86">
        <v>421</v>
      </c>
      <c r="EW86" t="s">
        <v>272</v>
      </c>
      <c r="FM86">
        <v>25</v>
      </c>
      <c r="FR86" t="s">
        <v>295</v>
      </c>
      <c r="GO86">
        <v>8.1</v>
      </c>
      <c r="HH86" t="s">
        <v>272</v>
      </c>
      <c r="IE86" t="s">
        <v>763</v>
      </c>
      <c r="IF86">
        <v>19318</v>
      </c>
      <c r="IG86" t="s">
        <v>764</v>
      </c>
      <c r="IH86" t="s">
        <v>765</v>
      </c>
      <c r="II86">
        <v>1994</v>
      </c>
      <c r="IJ86" t="s">
        <v>766</v>
      </c>
    </row>
    <row r="87" spans="1:244" x14ac:dyDescent="0.45">
      <c r="A87">
        <v>2140899</v>
      </c>
      <c r="B87">
        <v>2264330</v>
      </c>
      <c r="C87">
        <v>7439976</v>
      </c>
      <c r="D87" t="s">
        <v>744</v>
      </c>
      <c r="F87" t="s">
        <v>245</v>
      </c>
      <c r="G87" t="s">
        <v>272</v>
      </c>
      <c r="N87" t="s">
        <v>452</v>
      </c>
      <c r="O87" t="s">
        <v>346</v>
      </c>
      <c r="P87" t="s">
        <v>249</v>
      </c>
      <c r="Q87" t="s">
        <v>250</v>
      </c>
      <c r="R87" t="s">
        <v>251</v>
      </c>
      <c r="T87" t="s">
        <v>347</v>
      </c>
      <c r="U87" t="s">
        <v>348</v>
      </c>
      <c r="V87" t="s">
        <v>349</v>
      </c>
      <c r="W87" t="s">
        <v>350</v>
      </c>
      <c r="X87" t="s">
        <v>453</v>
      </c>
      <c r="Z87" t="s">
        <v>767</v>
      </c>
      <c r="AH87" t="s">
        <v>753</v>
      </c>
      <c r="AJ87" t="s">
        <v>354</v>
      </c>
      <c r="AL87" t="s">
        <v>753</v>
      </c>
      <c r="AM87" t="s">
        <v>287</v>
      </c>
      <c r="AN87" t="s">
        <v>259</v>
      </c>
      <c r="AO87" t="s">
        <v>260</v>
      </c>
      <c r="AP87">
        <v>11</v>
      </c>
      <c r="AQ87" t="s">
        <v>261</v>
      </c>
      <c r="AS87">
        <v>7.0000000000000001E-3</v>
      </c>
      <c r="AU87">
        <v>3.0000000000000001E-3</v>
      </c>
      <c r="AW87">
        <v>3.5000000000000003E-2</v>
      </c>
      <c r="AX87" t="s">
        <v>422</v>
      </c>
      <c r="BO87" t="s">
        <v>261</v>
      </c>
      <c r="BQ87">
        <v>7.0000000000000001E-3</v>
      </c>
      <c r="BS87">
        <v>3.0000000000000001E-3</v>
      </c>
      <c r="BU87">
        <v>3.5000000000000003E-2</v>
      </c>
      <c r="BV87" t="s">
        <v>263</v>
      </c>
      <c r="CM87" t="s">
        <v>264</v>
      </c>
      <c r="CN87" t="s">
        <v>264</v>
      </c>
      <c r="CP87" t="s">
        <v>265</v>
      </c>
      <c r="CQ87" t="s">
        <v>266</v>
      </c>
      <c r="DB87">
        <v>4</v>
      </c>
      <c r="DG87" t="s">
        <v>267</v>
      </c>
      <c r="DI87">
        <v>96</v>
      </c>
      <c r="DN87" t="s">
        <v>268</v>
      </c>
      <c r="DR87">
        <v>85549</v>
      </c>
      <c r="DS87">
        <v>366</v>
      </c>
      <c r="DT87" t="s">
        <v>754</v>
      </c>
      <c r="DV87">
        <v>96</v>
      </c>
      <c r="EA87" t="s">
        <v>268</v>
      </c>
      <c r="EC87">
        <v>4</v>
      </c>
      <c r="EH87" t="s">
        <v>267</v>
      </c>
      <c r="EJ87">
        <v>96</v>
      </c>
      <c r="EO87" t="s">
        <v>268</v>
      </c>
      <c r="EQ87">
        <v>4</v>
      </c>
      <c r="EV87" t="s">
        <v>267</v>
      </c>
      <c r="EW87" t="s">
        <v>293</v>
      </c>
      <c r="EY87" t="s">
        <v>377</v>
      </c>
      <c r="FA87" t="s">
        <v>755</v>
      </c>
      <c r="FK87" t="s">
        <v>756</v>
      </c>
      <c r="FM87">
        <v>28</v>
      </c>
      <c r="FR87" t="s">
        <v>295</v>
      </c>
      <c r="GI87" t="s">
        <v>288</v>
      </c>
      <c r="GJ87" t="s">
        <v>768</v>
      </c>
      <c r="GK87" t="s">
        <v>289</v>
      </c>
      <c r="GL87">
        <v>10</v>
      </c>
      <c r="GM87" t="s">
        <v>356</v>
      </c>
      <c r="GO87">
        <v>7.5</v>
      </c>
      <c r="GU87">
        <v>60</v>
      </c>
      <c r="GZ87" t="s">
        <v>296</v>
      </c>
      <c r="HH87" t="s">
        <v>272</v>
      </c>
      <c r="ID87" t="s">
        <v>757</v>
      </c>
      <c r="IE87" t="s">
        <v>758</v>
      </c>
      <c r="IF87">
        <v>165375</v>
      </c>
      <c r="IG87" t="s">
        <v>759</v>
      </c>
      <c r="IH87" t="s">
        <v>760</v>
      </c>
      <c r="II87">
        <v>2012</v>
      </c>
      <c r="IJ87" t="s">
        <v>761</v>
      </c>
    </row>
    <row r="88" spans="1:244" x14ac:dyDescent="0.45">
      <c r="A88">
        <v>1078775</v>
      </c>
      <c r="B88">
        <v>10208</v>
      </c>
      <c r="C88">
        <v>7439976</v>
      </c>
      <c r="D88" t="s">
        <v>744</v>
      </c>
      <c r="F88" t="s">
        <v>327</v>
      </c>
      <c r="G88" t="s">
        <v>246</v>
      </c>
      <c r="N88" t="s">
        <v>632</v>
      </c>
      <c r="O88" t="s">
        <v>745</v>
      </c>
      <c r="P88" t="s">
        <v>249</v>
      </c>
      <c r="Q88" t="s">
        <v>250</v>
      </c>
      <c r="R88" t="s">
        <v>251</v>
      </c>
      <c r="T88" t="s">
        <v>389</v>
      </c>
      <c r="U88" t="s">
        <v>632</v>
      </c>
      <c r="AL88" t="s">
        <v>746</v>
      </c>
      <c r="AM88" t="s">
        <v>317</v>
      </c>
      <c r="AN88" t="s">
        <v>259</v>
      </c>
      <c r="AO88" t="s">
        <v>260</v>
      </c>
      <c r="AQ88" t="s">
        <v>261</v>
      </c>
      <c r="AS88">
        <v>32</v>
      </c>
      <c r="AX88" t="s">
        <v>262</v>
      </c>
      <c r="BO88" t="s">
        <v>261</v>
      </c>
      <c r="BQ88">
        <v>3.2000000000000001E-2</v>
      </c>
      <c r="BV88" t="s">
        <v>263</v>
      </c>
      <c r="CM88" t="s">
        <v>264</v>
      </c>
      <c r="CN88" t="s">
        <v>264</v>
      </c>
      <c r="CP88" t="s">
        <v>265</v>
      </c>
      <c r="DB88">
        <v>2</v>
      </c>
      <c r="DG88" t="s">
        <v>267</v>
      </c>
      <c r="DI88">
        <v>48</v>
      </c>
      <c r="DN88" t="s">
        <v>268</v>
      </c>
      <c r="DR88">
        <v>6833</v>
      </c>
      <c r="DS88">
        <v>1138</v>
      </c>
      <c r="EW88" t="s">
        <v>333</v>
      </c>
      <c r="FK88" t="s">
        <v>769</v>
      </c>
      <c r="FM88">
        <v>9</v>
      </c>
      <c r="FR88" t="s">
        <v>295</v>
      </c>
      <c r="HH88" t="s">
        <v>272</v>
      </c>
      <c r="ID88" t="s">
        <v>770</v>
      </c>
      <c r="IE88" t="s">
        <v>749</v>
      </c>
      <c r="IF88">
        <v>6079</v>
      </c>
      <c r="IG88" t="s">
        <v>750</v>
      </c>
      <c r="IH88" t="s">
        <v>751</v>
      </c>
      <c r="II88">
        <v>1977</v>
      </c>
      <c r="IJ88" t="s">
        <v>752</v>
      </c>
    </row>
    <row r="89" spans="1:244" x14ac:dyDescent="0.45">
      <c r="A89">
        <v>2140904</v>
      </c>
      <c r="B89">
        <v>2264435</v>
      </c>
      <c r="C89">
        <v>7439976</v>
      </c>
      <c r="D89" t="s">
        <v>744</v>
      </c>
      <c r="F89" t="s">
        <v>245</v>
      </c>
      <c r="G89" t="s">
        <v>272</v>
      </c>
      <c r="N89" t="s">
        <v>452</v>
      </c>
      <c r="O89" t="s">
        <v>346</v>
      </c>
      <c r="P89" t="s">
        <v>249</v>
      </c>
      <c r="Q89" t="s">
        <v>250</v>
      </c>
      <c r="R89" t="s">
        <v>251</v>
      </c>
      <c r="T89" t="s">
        <v>347</v>
      </c>
      <c r="U89" t="s">
        <v>348</v>
      </c>
      <c r="V89" t="s">
        <v>349</v>
      </c>
      <c r="W89" t="s">
        <v>350</v>
      </c>
      <c r="X89" t="s">
        <v>453</v>
      </c>
      <c r="Z89" t="s">
        <v>315</v>
      </c>
      <c r="AH89" t="s">
        <v>753</v>
      </c>
      <c r="AJ89" t="s">
        <v>354</v>
      </c>
      <c r="AL89" t="s">
        <v>753</v>
      </c>
      <c r="AM89" t="s">
        <v>287</v>
      </c>
      <c r="AN89" t="s">
        <v>259</v>
      </c>
      <c r="AO89" t="s">
        <v>260</v>
      </c>
      <c r="AP89">
        <v>11</v>
      </c>
      <c r="AQ89" t="s">
        <v>261</v>
      </c>
      <c r="AS89">
        <v>8.0000000000000002E-3</v>
      </c>
      <c r="AU89">
        <v>6.0000000000000001E-3</v>
      </c>
      <c r="AW89">
        <v>0.01</v>
      </c>
      <c r="AX89" t="s">
        <v>422</v>
      </c>
      <c r="BO89" t="s">
        <v>261</v>
      </c>
      <c r="BQ89">
        <v>8.0000000000000002E-3</v>
      </c>
      <c r="BS89">
        <v>6.0000000000000001E-3</v>
      </c>
      <c r="BU89">
        <v>0.01</v>
      </c>
      <c r="BV89" t="s">
        <v>263</v>
      </c>
      <c r="CM89" t="s">
        <v>264</v>
      </c>
      <c r="CN89" t="s">
        <v>264</v>
      </c>
      <c r="CP89" t="s">
        <v>265</v>
      </c>
      <c r="CQ89" t="s">
        <v>266</v>
      </c>
      <c r="DB89">
        <v>4</v>
      </c>
      <c r="DG89" t="s">
        <v>267</v>
      </c>
      <c r="DI89">
        <v>96</v>
      </c>
      <c r="DN89" t="s">
        <v>268</v>
      </c>
      <c r="DR89">
        <v>85549</v>
      </c>
      <c r="DS89">
        <v>366</v>
      </c>
      <c r="DT89" t="s">
        <v>754</v>
      </c>
      <c r="DV89">
        <v>96</v>
      </c>
      <c r="EA89" t="s">
        <v>268</v>
      </c>
      <c r="EC89">
        <v>4</v>
      </c>
      <c r="EH89" t="s">
        <v>267</v>
      </c>
      <c r="EJ89">
        <v>96</v>
      </c>
      <c r="EO89" t="s">
        <v>268</v>
      </c>
      <c r="EQ89">
        <v>4</v>
      </c>
      <c r="EV89" t="s">
        <v>267</v>
      </c>
      <c r="EW89" t="s">
        <v>293</v>
      </c>
      <c r="EY89" t="s">
        <v>377</v>
      </c>
      <c r="FA89" t="s">
        <v>755</v>
      </c>
      <c r="FK89" t="s">
        <v>756</v>
      </c>
      <c r="FM89">
        <v>28</v>
      </c>
      <c r="FR89" t="s">
        <v>295</v>
      </c>
      <c r="GI89" t="s">
        <v>288</v>
      </c>
      <c r="GJ89">
        <v>0</v>
      </c>
      <c r="GK89" t="s">
        <v>289</v>
      </c>
      <c r="GL89">
        <v>10</v>
      </c>
      <c r="GM89" t="s">
        <v>356</v>
      </c>
      <c r="GO89">
        <v>7.5</v>
      </c>
      <c r="GU89">
        <v>60</v>
      </c>
      <c r="GZ89" t="s">
        <v>296</v>
      </c>
      <c r="HH89" t="s">
        <v>272</v>
      </c>
      <c r="ID89" t="s">
        <v>757</v>
      </c>
      <c r="IE89" t="s">
        <v>758</v>
      </c>
      <c r="IF89">
        <v>165375</v>
      </c>
      <c r="IG89" t="s">
        <v>759</v>
      </c>
      <c r="IH89" t="s">
        <v>760</v>
      </c>
      <c r="II89">
        <v>2012</v>
      </c>
      <c r="IJ89" t="s">
        <v>761</v>
      </c>
    </row>
    <row r="90" spans="1:244" x14ac:dyDescent="0.45">
      <c r="A90">
        <v>1168963</v>
      </c>
      <c r="B90">
        <v>36308</v>
      </c>
      <c r="C90">
        <v>7439976</v>
      </c>
      <c r="D90" t="s">
        <v>744</v>
      </c>
      <c r="F90" t="s">
        <v>245</v>
      </c>
      <c r="G90" t="s">
        <v>246</v>
      </c>
      <c r="N90" t="s">
        <v>546</v>
      </c>
      <c r="O90" t="s">
        <v>547</v>
      </c>
      <c r="P90" t="s">
        <v>249</v>
      </c>
      <c r="Q90" t="s">
        <v>250</v>
      </c>
      <c r="R90" t="s">
        <v>251</v>
      </c>
      <c r="T90" t="s">
        <v>252</v>
      </c>
      <c r="U90" t="s">
        <v>253</v>
      </c>
      <c r="V90" t="s">
        <v>548</v>
      </c>
      <c r="W90" t="s">
        <v>549</v>
      </c>
      <c r="X90" t="s">
        <v>550</v>
      </c>
      <c r="AM90" t="s">
        <v>317</v>
      </c>
      <c r="AN90" t="s">
        <v>259</v>
      </c>
      <c r="AO90" t="s">
        <v>260</v>
      </c>
      <c r="AQ90" t="s">
        <v>261</v>
      </c>
      <c r="AS90">
        <v>650</v>
      </c>
      <c r="AX90" t="s">
        <v>262</v>
      </c>
      <c r="BO90" t="s">
        <v>261</v>
      </c>
      <c r="BQ90">
        <v>0.65</v>
      </c>
      <c r="BV90" t="s">
        <v>263</v>
      </c>
      <c r="CM90" t="s">
        <v>264</v>
      </c>
      <c r="CN90" t="s">
        <v>264</v>
      </c>
      <c r="CP90" t="s">
        <v>265</v>
      </c>
      <c r="CQ90" t="s">
        <v>266</v>
      </c>
      <c r="DB90">
        <v>2</v>
      </c>
      <c r="DG90" t="s">
        <v>267</v>
      </c>
      <c r="DI90">
        <v>48</v>
      </c>
      <c r="DN90" t="s">
        <v>268</v>
      </c>
      <c r="DR90">
        <v>491138</v>
      </c>
      <c r="DS90">
        <v>11</v>
      </c>
      <c r="DT90" t="s">
        <v>771</v>
      </c>
      <c r="EW90" t="s">
        <v>271</v>
      </c>
      <c r="FK90" t="s">
        <v>772</v>
      </c>
      <c r="FM90">
        <v>15</v>
      </c>
      <c r="FR90" t="s">
        <v>295</v>
      </c>
      <c r="HH90" t="s">
        <v>272</v>
      </c>
      <c r="ID90" t="s">
        <v>773</v>
      </c>
      <c r="IE90" t="s">
        <v>774</v>
      </c>
      <c r="IF90">
        <v>15071</v>
      </c>
      <c r="IG90" t="s">
        <v>775</v>
      </c>
      <c r="IH90" t="s">
        <v>776</v>
      </c>
      <c r="II90">
        <v>1968</v>
      </c>
      <c r="IJ90" t="s">
        <v>777</v>
      </c>
    </row>
    <row r="91" spans="1:244" x14ac:dyDescent="0.45">
      <c r="A91">
        <v>2140905</v>
      </c>
      <c r="B91">
        <v>2264436</v>
      </c>
      <c r="C91">
        <v>7439976</v>
      </c>
      <c r="D91" t="s">
        <v>744</v>
      </c>
      <c r="F91" t="s">
        <v>245</v>
      </c>
      <c r="G91" t="s">
        <v>272</v>
      </c>
      <c r="N91" t="s">
        <v>452</v>
      </c>
      <c r="O91" t="s">
        <v>346</v>
      </c>
      <c r="P91" t="s">
        <v>249</v>
      </c>
      <c r="Q91" t="s">
        <v>250</v>
      </c>
      <c r="R91" t="s">
        <v>251</v>
      </c>
      <c r="T91" t="s">
        <v>347</v>
      </c>
      <c r="U91" t="s">
        <v>348</v>
      </c>
      <c r="V91" t="s">
        <v>349</v>
      </c>
      <c r="W91" t="s">
        <v>350</v>
      </c>
      <c r="X91" t="s">
        <v>453</v>
      </c>
      <c r="Z91" t="s">
        <v>315</v>
      </c>
      <c r="AH91" t="s">
        <v>753</v>
      </c>
      <c r="AJ91" t="s">
        <v>354</v>
      </c>
      <c r="AL91" t="s">
        <v>753</v>
      </c>
      <c r="AM91" t="s">
        <v>287</v>
      </c>
      <c r="AN91" t="s">
        <v>259</v>
      </c>
      <c r="AO91" t="s">
        <v>260</v>
      </c>
      <c r="AP91">
        <v>11</v>
      </c>
      <c r="AQ91" t="s">
        <v>261</v>
      </c>
      <c r="AS91">
        <v>2E-3</v>
      </c>
      <c r="AU91">
        <v>1E-3</v>
      </c>
      <c r="AW91">
        <v>2E-3</v>
      </c>
      <c r="AX91" t="s">
        <v>422</v>
      </c>
      <c r="BO91" t="s">
        <v>261</v>
      </c>
      <c r="BQ91">
        <v>2E-3</v>
      </c>
      <c r="BS91">
        <v>1E-3</v>
      </c>
      <c r="BU91">
        <v>2E-3</v>
      </c>
      <c r="BV91" t="s">
        <v>263</v>
      </c>
      <c r="CM91" t="s">
        <v>264</v>
      </c>
      <c r="CN91" t="s">
        <v>264</v>
      </c>
      <c r="CP91" t="s">
        <v>265</v>
      </c>
      <c r="CQ91" t="s">
        <v>266</v>
      </c>
      <c r="DB91">
        <v>4</v>
      </c>
      <c r="DG91" t="s">
        <v>267</v>
      </c>
      <c r="DI91">
        <v>96</v>
      </c>
      <c r="DN91" t="s">
        <v>268</v>
      </c>
      <c r="DR91">
        <v>85549</v>
      </c>
      <c r="DS91">
        <v>366</v>
      </c>
      <c r="DT91" t="s">
        <v>754</v>
      </c>
      <c r="DV91">
        <v>96</v>
      </c>
      <c r="EA91" t="s">
        <v>268</v>
      </c>
      <c r="EC91">
        <v>4</v>
      </c>
      <c r="EH91" t="s">
        <v>267</v>
      </c>
      <c r="EJ91">
        <v>96</v>
      </c>
      <c r="EO91" t="s">
        <v>268</v>
      </c>
      <c r="EQ91">
        <v>4</v>
      </c>
      <c r="EV91" t="s">
        <v>267</v>
      </c>
      <c r="EW91" t="s">
        <v>293</v>
      </c>
      <c r="EY91" t="s">
        <v>377</v>
      </c>
      <c r="FA91" t="s">
        <v>755</v>
      </c>
      <c r="FK91" t="s">
        <v>756</v>
      </c>
      <c r="FM91">
        <v>28</v>
      </c>
      <c r="FR91" t="s">
        <v>295</v>
      </c>
      <c r="GI91" t="s">
        <v>288</v>
      </c>
      <c r="GJ91">
        <v>0</v>
      </c>
      <c r="GK91" t="s">
        <v>289</v>
      </c>
      <c r="GL91">
        <v>10</v>
      </c>
      <c r="GM91" t="s">
        <v>356</v>
      </c>
      <c r="GO91">
        <v>7.5</v>
      </c>
      <c r="GU91">
        <v>80</v>
      </c>
      <c r="GZ91" t="s">
        <v>296</v>
      </c>
      <c r="HH91" t="s">
        <v>272</v>
      </c>
      <c r="ID91" t="s">
        <v>757</v>
      </c>
      <c r="IE91" t="s">
        <v>758</v>
      </c>
      <c r="IF91">
        <v>165375</v>
      </c>
      <c r="IG91" t="s">
        <v>759</v>
      </c>
      <c r="IH91" t="s">
        <v>760</v>
      </c>
      <c r="II91">
        <v>2012</v>
      </c>
      <c r="IJ91" t="s">
        <v>761</v>
      </c>
    </row>
    <row r="92" spans="1:244" x14ac:dyDescent="0.45">
      <c r="A92">
        <v>1168962</v>
      </c>
      <c r="B92">
        <v>36307</v>
      </c>
      <c r="C92">
        <v>7439976</v>
      </c>
      <c r="D92" t="s">
        <v>744</v>
      </c>
      <c r="F92" t="s">
        <v>245</v>
      </c>
      <c r="G92" t="s">
        <v>246</v>
      </c>
      <c r="N92" t="s">
        <v>546</v>
      </c>
      <c r="O92" t="s">
        <v>547</v>
      </c>
      <c r="P92" t="s">
        <v>249</v>
      </c>
      <c r="Q92" t="s">
        <v>250</v>
      </c>
      <c r="R92" t="s">
        <v>251</v>
      </c>
      <c r="T92" t="s">
        <v>252</v>
      </c>
      <c r="U92" t="s">
        <v>253</v>
      </c>
      <c r="V92" t="s">
        <v>548</v>
      </c>
      <c r="W92" t="s">
        <v>549</v>
      </c>
      <c r="X92" t="s">
        <v>550</v>
      </c>
      <c r="AM92" t="s">
        <v>317</v>
      </c>
      <c r="AN92" t="s">
        <v>259</v>
      </c>
      <c r="AO92" t="s">
        <v>260</v>
      </c>
      <c r="AQ92" t="s">
        <v>261</v>
      </c>
      <c r="AS92">
        <v>1300</v>
      </c>
      <c r="AX92" t="s">
        <v>262</v>
      </c>
      <c r="BO92" t="s">
        <v>261</v>
      </c>
      <c r="BQ92">
        <v>1.3</v>
      </c>
      <c r="BV92" t="s">
        <v>263</v>
      </c>
      <c r="CM92" t="s">
        <v>264</v>
      </c>
      <c r="CN92" t="s">
        <v>264</v>
      </c>
      <c r="CP92" t="s">
        <v>265</v>
      </c>
      <c r="CQ92" t="s">
        <v>266</v>
      </c>
      <c r="DB92">
        <v>2</v>
      </c>
      <c r="DG92" t="s">
        <v>267</v>
      </c>
      <c r="DI92">
        <v>48</v>
      </c>
      <c r="DN92" t="s">
        <v>268</v>
      </c>
      <c r="DR92">
        <v>491138</v>
      </c>
      <c r="DS92">
        <v>11</v>
      </c>
      <c r="DT92" t="s">
        <v>771</v>
      </c>
      <c r="EW92" t="s">
        <v>271</v>
      </c>
      <c r="FK92" t="s">
        <v>772</v>
      </c>
      <c r="FM92">
        <v>15</v>
      </c>
      <c r="FR92" t="s">
        <v>295</v>
      </c>
      <c r="HH92" t="s">
        <v>272</v>
      </c>
      <c r="ID92" t="s">
        <v>773</v>
      </c>
      <c r="IE92" t="s">
        <v>774</v>
      </c>
      <c r="IF92">
        <v>15071</v>
      </c>
      <c r="IG92" t="s">
        <v>775</v>
      </c>
      <c r="IH92" t="s">
        <v>776</v>
      </c>
      <c r="II92">
        <v>1968</v>
      </c>
      <c r="IJ92" t="s">
        <v>777</v>
      </c>
    </row>
    <row r="93" spans="1:244" x14ac:dyDescent="0.45">
      <c r="A93">
        <v>1165673</v>
      </c>
      <c r="B93">
        <v>71522</v>
      </c>
      <c r="C93">
        <v>7439976</v>
      </c>
      <c r="D93" t="s">
        <v>744</v>
      </c>
      <c r="F93" t="s">
        <v>245</v>
      </c>
      <c r="G93" t="s">
        <v>246</v>
      </c>
      <c r="N93" t="s">
        <v>452</v>
      </c>
      <c r="O93" t="s">
        <v>346</v>
      </c>
      <c r="P93" t="s">
        <v>249</v>
      </c>
      <c r="Q93" t="s">
        <v>250</v>
      </c>
      <c r="R93" t="s">
        <v>251</v>
      </c>
      <c r="T93" t="s">
        <v>347</v>
      </c>
      <c r="U93" t="s">
        <v>348</v>
      </c>
      <c r="V93" t="s">
        <v>349</v>
      </c>
      <c r="W93" t="s">
        <v>350</v>
      </c>
      <c r="X93" t="s">
        <v>453</v>
      </c>
      <c r="AM93" t="s">
        <v>287</v>
      </c>
      <c r="AN93" t="s">
        <v>259</v>
      </c>
      <c r="AO93" t="s">
        <v>260</v>
      </c>
      <c r="AQ93" t="s">
        <v>261</v>
      </c>
      <c r="AS93">
        <v>500</v>
      </c>
      <c r="AX93" t="s">
        <v>262</v>
      </c>
      <c r="BO93" t="s">
        <v>261</v>
      </c>
      <c r="BQ93">
        <v>0.5</v>
      </c>
      <c r="BV93" t="s">
        <v>263</v>
      </c>
      <c r="CM93" t="s">
        <v>264</v>
      </c>
      <c r="CN93" t="s">
        <v>264</v>
      </c>
      <c r="CP93" t="s">
        <v>265</v>
      </c>
      <c r="DB93">
        <v>1</v>
      </c>
      <c r="DG93" t="s">
        <v>267</v>
      </c>
      <c r="DI93">
        <v>24</v>
      </c>
      <c r="DN93" t="s">
        <v>268</v>
      </c>
      <c r="DR93">
        <v>85549</v>
      </c>
      <c r="DS93">
        <v>366</v>
      </c>
      <c r="EW93" t="s">
        <v>272</v>
      </c>
      <c r="HH93" t="s">
        <v>272</v>
      </c>
      <c r="IE93" t="s">
        <v>686</v>
      </c>
      <c r="IF93">
        <v>14577</v>
      </c>
      <c r="IG93" t="s">
        <v>687</v>
      </c>
      <c r="IH93" t="s">
        <v>688</v>
      </c>
      <c r="II93">
        <v>1993</v>
      </c>
      <c r="IJ93" t="s">
        <v>689</v>
      </c>
    </row>
    <row r="94" spans="1:244" x14ac:dyDescent="0.45">
      <c r="A94">
        <v>1165680</v>
      </c>
      <c r="B94">
        <v>95225</v>
      </c>
      <c r="C94">
        <v>7439976</v>
      </c>
      <c r="D94" t="s">
        <v>744</v>
      </c>
      <c r="F94" t="s">
        <v>245</v>
      </c>
      <c r="G94" t="s">
        <v>246</v>
      </c>
      <c r="N94" t="s">
        <v>416</v>
      </c>
      <c r="O94" t="s">
        <v>417</v>
      </c>
      <c r="P94" t="s">
        <v>249</v>
      </c>
      <c r="Q94" t="s">
        <v>250</v>
      </c>
      <c r="R94" t="s">
        <v>251</v>
      </c>
      <c r="T94" t="s">
        <v>252</v>
      </c>
      <c r="U94" t="s">
        <v>253</v>
      </c>
      <c r="V94" t="s">
        <v>418</v>
      </c>
      <c r="W94" t="s">
        <v>419</v>
      </c>
      <c r="X94" t="s">
        <v>420</v>
      </c>
      <c r="AL94" t="s">
        <v>697</v>
      </c>
      <c r="AM94" t="s">
        <v>287</v>
      </c>
      <c r="AN94" t="s">
        <v>259</v>
      </c>
      <c r="AO94" t="s">
        <v>260</v>
      </c>
      <c r="AQ94" t="s">
        <v>261</v>
      </c>
      <c r="AS94">
        <v>580</v>
      </c>
      <c r="AX94" t="s">
        <v>262</v>
      </c>
      <c r="BO94" t="s">
        <v>261</v>
      </c>
      <c r="BQ94">
        <v>0.57999999999999996</v>
      </c>
      <c r="BV94" t="s">
        <v>263</v>
      </c>
      <c r="CM94" t="s">
        <v>264</v>
      </c>
      <c r="CN94" t="s">
        <v>264</v>
      </c>
      <c r="CP94" t="s">
        <v>265</v>
      </c>
      <c r="DB94">
        <v>1</v>
      </c>
      <c r="DG94" t="s">
        <v>267</v>
      </c>
      <c r="DI94">
        <v>24</v>
      </c>
      <c r="DN94" t="s">
        <v>268</v>
      </c>
      <c r="DS94">
        <v>1009</v>
      </c>
      <c r="EW94" t="s">
        <v>272</v>
      </c>
      <c r="HH94" t="s">
        <v>272</v>
      </c>
      <c r="IE94" t="s">
        <v>686</v>
      </c>
      <c r="IF94">
        <v>14577</v>
      </c>
      <c r="IG94" t="s">
        <v>687</v>
      </c>
      <c r="IH94" t="s">
        <v>688</v>
      </c>
      <c r="II94">
        <v>1993</v>
      </c>
      <c r="IJ94" t="s">
        <v>689</v>
      </c>
    </row>
    <row r="95" spans="1:244" x14ac:dyDescent="0.45">
      <c r="A95">
        <v>1168966</v>
      </c>
      <c r="B95">
        <v>36311</v>
      </c>
      <c r="C95">
        <v>7439976</v>
      </c>
      <c r="D95" t="s">
        <v>744</v>
      </c>
      <c r="F95" t="s">
        <v>245</v>
      </c>
      <c r="G95" t="s">
        <v>246</v>
      </c>
      <c r="N95" t="s">
        <v>546</v>
      </c>
      <c r="O95" t="s">
        <v>547</v>
      </c>
      <c r="P95" t="s">
        <v>249</v>
      </c>
      <c r="Q95" t="s">
        <v>250</v>
      </c>
      <c r="R95" t="s">
        <v>251</v>
      </c>
      <c r="T95" t="s">
        <v>252</v>
      </c>
      <c r="U95" t="s">
        <v>253</v>
      </c>
      <c r="V95" t="s">
        <v>548</v>
      </c>
      <c r="W95" t="s">
        <v>549</v>
      </c>
      <c r="X95" t="s">
        <v>550</v>
      </c>
      <c r="AL95" t="s">
        <v>778</v>
      </c>
      <c r="AM95" t="s">
        <v>317</v>
      </c>
      <c r="AN95" t="s">
        <v>259</v>
      </c>
      <c r="AO95" t="s">
        <v>260</v>
      </c>
      <c r="AQ95" t="s">
        <v>261</v>
      </c>
      <c r="AS95">
        <v>1260</v>
      </c>
      <c r="AX95" t="s">
        <v>262</v>
      </c>
      <c r="BO95" t="s">
        <v>261</v>
      </c>
      <c r="BQ95">
        <v>1.26</v>
      </c>
      <c r="BV95" t="s">
        <v>263</v>
      </c>
      <c r="CM95" t="s">
        <v>264</v>
      </c>
      <c r="CN95" t="s">
        <v>264</v>
      </c>
      <c r="CP95" t="s">
        <v>265</v>
      </c>
      <c r="CQ95" t="s">
        <v>266</v>
      </c>
      <c r="DB95">
        <v>2</v>
      </c>
      <c r="DG95" t="s">
        <v>267</v>
      </c>
      <c r="DI95">
        <v>48</v>
      </c>
      <c r="DN95" t="s">
        <v>268</v>
      </c>
      <c r="DR95">
        <v>491138</v>
      </c>
      <c r="DS95">
        <v>11</v>
      </c>
      <c r="DT95" t="s">
        <v>771</v>
      </c>
      <c r="EW95" t="s">
        <v>271</v>
      </c>
      <c r="FM95">
        <v>15</v>
      </c>
      <c r="FR95" t="s">
        <v>295</v>
      </c>
      <c r="HH95" t="s">
        <v>272</v>
      </c>
      <c r="IE95" t="s">
        <v>774</v>
      </c>
      <c r="IF95">
        <v>15071</v>
      </c>
      <c r="IG95" t="s">
        <v>775</v>
      </c>
      <c r="IH95" t="s">
        <v>776</v>
      </c>
      <c r="II95">
        <v>1968</v>
      </c>
      <c r="IJ95" t="s">
        <v>777</v>
      </c>
    </row>
    <row r="96" spans="1:244" x14ac:dyDescent="0.45">
      <c r="A96">
        <v>1231614</v>
      </c>
      <c r="B96">
        <v>238050</v>
      </c>
      <c r="C96">
        <v>7439976</v>
      </c>
      <c r="D96" t="s">
        <v>744</v>
      </c>
      <c r="F96" t="s">
        <v>245</v>
      </c>
      <c r="G96" t="s">
        <v>246</v>
      </c>
      <c r="N96" t="s">
        <v>247</v>
      </c>
      <c r="O96" t="s">
        <v>248</v>
      </c>
      <c r="P96" t="s">
        <v>249</v>
      </c>
      <c r="Q96" t="s">
        <v>250</v>
      </c>
      <c r="R96" t="s">
        <v>251</v>
      </c>
      <c r="T96" t="s">
        <v>252</v>
      </c>
      <c r="U96" t="s">
        <v>253</v>
      </c>
      <c r="V96" t="s">
        <v>254</v>
      </c>
      <c r="W96" t="s">
        <v>255</v>
      </c>
      <c r="X96" t="s">
        <v>256</v>
      </c>
      <c r="AJ96" t="s">
        <v>285</v>
      </c>
      <c r="AL96" t="s">
        <v>779</v>
      </c>
      <c r="AM96" t="s">
        <v>287</v>
      </c>
      <c r="AN96" t="s">
        <v>259</v>
      </c>
      <c r="AO96" t="s">
        <v>260</v>
      </c>
      <c r="AQ96" t="s">
        <v>261</v>
      </c>
      <c r="AS96">
        <v>8</v>
      </c>
      <c r="AX96" t="s">
        <v>422</v>
      </c>
      <c r="BO96" t="s">
        <v>261</v>
      </c>
      <c r="BQ96">
        <v>8</v>
      </c>
      <c r="BV96" t="s">
        <v>263</v>
      </c>
      <c r="CM96" t="s">
        <v>264</v>
      </c>
      <c r="CN96" t="s">
        <v>264</v>
      </c>
      <c r="CP96" t="s">
        <v>265</v>
      </c>
      <c r="CQ96" t="s">
        <v>266</v>
      </c>
      <c r="DB96">
        <v>4</v>
      </c>
      <c r="DG96" t="s">
        <v>267</v>
      </c>
      <c r="DI96">
        <v>96</v>
      </c>
      <c r="DN96" t="s">
        <v>268</v>
      </c>
      <c r="DR96">
        <v>6761</v>
      </c>
      <c r="DS96">
        <v>2461</v>
      </c>
      <c r="EW96" t="s">
        <v>293</v>
      </c>
      <c r="FK96" t="s">
        <v>780</v>
      </c>
      <c r="GU96">
        <v>27</v>
      </c>
      <c r="GZ96" t="s">
        <v>296</v>
      </c>
      <c r="HH96" t="s">
        <v>272</v>
      </c>
      <c r="ID96" t="s">
        <v>781</v>
      </c>
      <c r="IE96" t="s">
        <v>782</v>
      </c>
      <c r="IF96">
        <v>60036</v>
      </c>
      <c r="IG96" t="s">
        <v>783</v>
      </c>
      <c r="IH96" t="s">
        <v>784</v>
      </c>
      <c r="II96">
        <v>1997</v>
      </c>
      <c r="IJ96" t="s">
        <v>785</v>
      </c>
    </row>
    <row r="97" spans="1:244" x14ac:dyDescent="0.45">
      <c r="A97">
        <v>2140898</v>
      </c>
      <c r="B97">
        <v>2264328</v>
      </c>
      <c r="C97">
        <v>7439976</v>
      </c>
      <c r="D97" t="s">
        <v>744</v>
      </c>
      <c r="F97" t="s">
        <v>245</v>
      </c>
      <c r="G97" t="s">
        <v>272</v>
      </c>
      <c r="N97" t="s">
        <v>452</v>
      </c>
      <c r="O97" t="s">
        <v>346</v>
      </c>
      <c r="P97" t="s">
        <v>249</v>
      </c>
      <c r="Q97" t="s">
        <v>250</v>
      </c>
      <c r="R97" t="s">
        <v>251</v>
      </c>
      <c r="T97" t="s">
        <v>347</v>
      </c>
      <c r="U97" t="s">
        <v>348</v>
      </c>
      <c r="V97" t="s">
        <v>349</v>
      </c>
      <c r="W97" t="s">
        <v>350</v>
      </c>
      <c r="X97" t="s">
        <v>453</v>
      </c>
      <c r="Z97" t="s">
        <v>767</v>
      </c>
      <c r="AH97" t="s">
        <v>753</v>
      </c>
      <c r="AJ97" t="s">
        <v>354</v>
      </c>
      <c r="AL97" t="s">
        <v>753</v>
      </c>
      <c r="AM97" t="s">
        <v>287</v>
      </c>
      <c r="AN97" t="s">
        <v>259</v>
      </c>
      <c r="AO97" t="s">
        <v>260</v>
      </c>
      <c r="AP97">
        <v>11</v>
      </c>
      <c r="AQ97" t="s">
        <v>261</v>
      </c>
      <c r="AS97">
        <v>1.2E-2</v>
      </c>
      <c r="AU97">
        <v>8.9999999999999993E-3</v>
      </c>
      <c r="AW97">
        <v>1.6E-2</v>
      </c>
      <c r="AX97" t="s">
        <v>422</v>
      </c>
      <c r="BO97" t="s">
        <v>261</v>
      </c>
      <c r="BQ97">
        <v>1.2E-2</v>
      </c>
      <c r="BS97">
        <v>8.9999999999999993E-3</v>
      </c>
      <c r="BU97">
        <v>1.6E-2</v>
      </c>
      <c r="BV97" t="s">
        <v>263</v>
      </c>
      <c r="CM97" t="s">
        <v>264</v>
      </c>
      <c r="CN97" t="s">
        <v>264</v>
      </c>
      <c r="CP97" t="s">
        <v>265</v>
      </c>
      <c r="CQ97" t="s">
        <v>266</v>
      </c>
      <c r="DB97">
        <v>4</v>
      </c>
      <c r="DG97" t="s">
        <v>267</v>
      </c>
      <c r="DI97">
        <v>96</v>
      </c>
      <c r="DN97" t="s">
        <v>268</v>
      </c>
      <c r="DR97">
        <v>85549</v>
      </c>
      <c r="DS97">
        <v>366</v>
      </c>
      <c r="DT97" t="s">
        <v>754</v>
      </c>
      <c r="DV97">
        <v>96</v>
      </c>
      <c r="EA97" t="s">
        <v>268</v>
      </c>
      <c r="EC97">
        <v>4</v>
      </c>
      <c r="EH97" t="s">
        <v>267</v>
      </c>
      <c r="EJ97">
        <v>96</v>
      </c>
      <c r="EO97" t="s">
        <v>268</v>
      </c>
      <c r="EQ97">
        <v>4</v>
      </c>
      <c r="EV97" t="s">
        <v>267</v>
      </c>
      <c r="EW97" t="s">
        <v>293</v>
      </c>
      <c r="EY97" t="s">
        <v>377</v>
      </c>
      <c r="FA97" t="s">
        <v>755</v>
      </c>
      <c r="FK97" t="s">
        <v>756</v>
      </c>
      <c r="FM97">
        <v>28</v>
      </c>
      <c r="FR97" t="s">
        <v>295</v>
      </c>
      <c r="GI97" t="s">
        <v>288</v>
      </c>
      <c r="GJ97">
        <v>0</v>
      </c>
      <c r="GK97" t="s">
        <v>289</v>
      </c>
      <c r="GL97">
        <v>10</v>
      </c>
      <c r="GM97" t="s">
        <v>356</v>
      </c>
      <c r="GO97">
        <v>7.5</v>
      </c>
      <c r="GU97">
        <v>40</v>
      </c>
      <c r="GZ97" t="s">
        <v>296</v>
      </c>
      <c r="HH97" t="s">
        <v>272</v>
      </c>
      <c r="ID97" t="s">
        <v>757</v>
      </c>
      <c r="IE97" t="s">
        <v>758</v>
      </c>
      <c r="IF97">
        <v>165375</v>
      </c>
      <c r="IG97" t="s">
        <v>759</v>
      </c>
      <c r="IH97" t="s">
        <v>760</v>
      </c>
      <c r="II97">
        <v>2012</v>
      </c>
      <c r="IJ97" t="s">
        <v>761</v>
      </c>
    </row>
    <row r="98" spans="1:244" x14ac:dyDescent="0.45">
      <c r="A98">
        <v>1119395</v>
      </c>
      <c r="B98">
        <v>70689</v>
      </c>
      <c r="C98">
        <v>7439976</v>
      </c>
      <c r="D98" t="s">
        <v>744</v>
      </c>
      <c r="F98" t="s">
        <v>245</v>
      </c>
      <c r="G98" t="s">
        <v>246</v>
      </c>
      <c r="N98" t="s">
        <v>546</v>
      </c>
      <c r="O98" t="s">
        <v>547</v>
      </c>
      <c r="P98" t="s">
        <v>249</v>
      </c>
      <c r="Q98" t="s">
        <v>250</v>
      </c>
      <c r="R98" t="s">
        <v>251</v>
      </c>
      <c r="T98" t="s">
        <v>252</v>
      </c>
      <c r="U98" t="s">
        <v>253</v>
      </c>
      <c r="V98" t="s">
        <v>548</v>
      </c>
      <c r="W98" t="s">
        <v>549</v>
      </c>
      <c r="X98" t="s">
        <v>550</v>
      </c>
      <c r="AM98" t="s">
        <v>317</v>
      </c>
      <c r="AN98" t="s">
        <v>259</v>
      </c>
      <c r="AO98" t="s">
        <v>260</v>
      </c>
      <c r="AQ98" t="s">
        <v>261</v>
      </c>
      <c r="AU98">
        <v>3300</v>
      </c>
      <c r="AW98">
        <v>10000</v>
      </c>
      <c r="AX98" t="s">
        <v>262</v>
      </c>
      <c r="BO98" t="s">
        <v>261</v>
      </c>
      <c r="BS98">
        <v>3.3</v>
      </c>
      <c r="BU98">
        <v>10</v>
      </c>
      <c r="BV98" t="s">
        <v>263</v>
      </c>
      <c r="CM98" t="s">
        <v>264</v>
      </c>
      <c r="CN98" t="s">
        <v>264</v>
      </c>
      <c r="CP98" t="s">
        <v>265</v>
      </c>
      <c r="CQ98" t="s">
        <v>266</v>
      </c>
      <c r="DB98">
        <v>2</v>
      </c>
      <c r="DG98" t="s">
        <v>267</v>
      </c>
      <c r="DI98">
        <v>48</v>
      </c>
      <c r="DN98" t="s">
        <v>268</v>
      </c>
      <c r="DR98">
        <v>491138</v>
      </c>
      <c r="DS98">
        <v>11</v>
      </c>
      <c r="EW98" t="s">
        <v>293</v>
      </c>
      <c r="FM98">
        <v>15</v>
      </c>
      <c r="FR98" t="s">
        <v>295</v>
      </c>
      <c r="HH98" t="s">
        <v>272</v>
      </c>
      <c r="IE98" t="s">
        <v>774</v>
      </c>
      <c r="IF98">
        <v>9258</v>
      </c>
      <c r="IG98" t="s">
        <v>786</v>
      </c>
      <c r="IH98" t="s">
        <v>787</v>
      </c>
      <c r="II98">
        <v>1972</v>
      </c>
      <c r="IJ98" t="s">
        <v>788</v>
      </c>
    </row>
    <row r="99" spans="1:244" x14ac:dyDescent="0.45">
      <c r="A99">
        <v>1165674</v>
      </c>
      <c r="B99">
        <v>71523</v>
      </c>
      <c r="C99">
        <v>7439976</v>
      </c>
      <c r="D99" t="s">
        <v>744</v>
      </c>
      <c r="F99" t="s">
        <v>245</v>
      </c>
      <c r="G99" t="s">
        <v>246</v>
      </c>
      <c r="N99" t="s">
        <v>452</v>
      </c>
      <c r="O99" t="s">
        <v>346</v>
      </c>
      <c r="P99" t="s">
        <v>249</v>
      </c>
      <c r="Q99" t="s">
        <v>250</v>
      </c>
      <c r="R99" t="s">
        <v>251</v>
      </c>
      <c r="T99" t="s">
        <v>347</v>
      </c>
      <c r="U99" t="s">
        <v>348</v>
      </c>
      <c r="V99" t="s">
        <v>349</v>
      </c>
      <c r="W99" t="s">
        <v>350</v>
      </c>
      <c r="X99" t="s">
        <v>453</v>
      </c>
      <c r="AM99" t="s">
        <v>287</v>
      </c>
      <c r="AN99" t="s">
        <v>259</v>
      </c>
      <c r="AO99" t="s">
        <v>260</v>
      </c>
      <c r="AQ99" t="s">
        <v>261</v>
      </c>
      <c r="AS99">
        <v>250</v>
      </c>
      <c r="AX99" t="s">
        <v>262</v>
      </c>
      <c r="BO99" t="s">
        <v>261</v>
      </c>
      <c r="BQ99">
        <v>0.25</v>
      </c>
      <c r="BV99" t="s">
        <v>263</v>
      </c>
      <c r="CM99" t="s">
        <v>264</v>
      </c>
      <c r="CN99" t="s">
        <v>264</v>
      </c>
      <c r="CP99" t="s">
        <v>265</v>
      </c>
      <c r="DB99">
        <v>2</v>
      </c>
      <c r="DG99" t="s">
        <v>267</v>
      </c>
      <c r="DI99">
        <v>48</v>
      </c>
      <c r="DN99" t="s">
        <v>268</v>
      </c>
      <c r="DR99">
        <v>85549</v>
      </c>
      <c r="DS99">
        <v>366</v>
      </c>
      <c r="EW99" t="s">
        <v>272</v>
      </c>
      <c r="HH99" t="s">
        <v>272</v>
      </c>
      <c r="IE99" t="s">
        <v>686</v>
      </c>
      <c r="IF99">
        <v>14577</v>
      </c>
      <c r="IG99" t="s">
        <v>687</v>
      </c>
      <c r="IH99" t="s">
        <v>688</v>
      </c>
      <c r="II99">
        <v>1993</v>
      </c>
      <c r="IJ99" t="s">
        <v>689</v>
      </c>
    </row>
    <row r="100" spans="1:244" x14ac:dyDescent="0.45">
      <c r="A100">
        <v>1210390</v>
      </c>
      <c r="B100">
        <v>195474</v>
      </c>
      <c r="C100">
        <v>7439976</v>
      </c>
      <c r="D100" t="s">
        <v>744</v>
      </c>
      <c r="F100" t="s">
        <v>272</v>
      </c>
      <c r="G100" t="s">
        <v>246</v>
      </c>
      <c r="N100" t="s">
        <v>789</v>
      </c>
      <c r="O100" t="s">
        <v>790</v>
      </c>
      <c r="P100" t="s">
        <v>249</v>
      </c>
      <c r="Q100" t="s">
        <v>250</v>
      </c>
      <c r="R100" t="s">
        <v>251</v>
      </c>
      <c r="T100" t="s">
        <v>252</v>
      </c>
      <c r="U100" t="s">
        <v>253</v>
      </c>
      <c r="V100" t="s">
        <v>418</v>
      </c>
      <c r="W100" t="s">
        <v>791</v>
      </c>
      <c r="X100" t="s">
        <v>792</v>
      </c>
      <c r="Z100" t="s">
        <v>284</v>
      </c>
      <c r="AM100" t="s">
        <v>287</v>
      </c>
      <c r="AN100" t="s">
        <v>259</v>
      </c>
      <c r="AO100" t="s">
        <v>260</v>
      </c>
      <c r="AQ100" t="s">
        <v>261</v>
      </c>
      <c r="AS100">
        <v>6.0000000000000001E-3</v>
      </c>
      <c r="AU100">
        <v>3.0000000000000001E-3</v>
      </c>
      <c r="AW100">
        <v>1.2999999999999999E-2</v>
      </c>
      <c r="AX100" t="s">
        <v>762</v>
      </c>
      <c r="BO100" t="s">
        <v>261</v>
      </c>
      <c r="BQ100">
        <v>6.0000000000000001E-3</v>
      </c>
      <c r="BS100">
        <v>3.0000000000000001E-3</v>
      </c>
      <c r="BU100">
        <v>1.2999999999999999E-2</v>
      </c>
      <c r="BV100" t="s">
        <v>263</v>
      </c>
      <c r="CM100" t="s">
        <v>264</v>
      </c>
      <c r="CN100" t="s">
        <v>264</v>
      </c>
      <c r="CP100" t="s">
        <v>265</v>
      </c>
      <c r="DB100">
        <v>1</v>
      </c>
      <c r="DG100" t="s">
        <v>267</v>
      </c>
      <c r="DI100">
        <v>24</v>
      </c>
      <c r="DN100" t="s">
        <v>268</v>
      </c>
      <c r="DR100">
        <v>161924</v>
      </c>
      <c r="DS100">
        <v>3045</v>
      </c>
      <c r="EW100" t="s">
        <v>272</v>
      </c>
      <c r="FM100">
        <v>24</v>
      </c>
      <c r="FR100" t="s">
        <v>295</v>
      </c>
      <c r="GO100">
        <v>8.1</v>
      </c>
      <c r="HH100" t="s">
        <v>272</v>
      </c>
      <c r="IE100" t="s">
        <v>763</v>
      </c>
      <c r="IF100">
        <v>19318</v>
      </c>
      <c r="IG100" t="s">
        <v>764</v>
      </c>
      <c r="IH100" t="s">
        <v>765</v>
      </c>
      <c r="II100">
        <v>1994</v>
      </c>
      <c r="IJ100" t="s">
        <v>766</v>
      </c>
    </row>
    <row r="101" spans="1:244" x14ac:dyDescent="0.45">
      <c r="A101">
        <v>1231612</v>
      </c>
      <c r="B101">
        <v>238048</v>
      </c>
      <c r="C101">
        <v>7439976</v>
      </c>
      <c r="D101" t="s">
        <v>744</v>
      </c>
      <c r="F101" t="s">
        <v>245</v>
      </c>
      <c r="G101" t="s">
        <v>246</v>
      </c>
      <c r="N101" t="s">
        <v>247</v>
      </c>
      <c r="O101" t="s">
        <v>248</v>
      </c>
      <c r="P101" t="s">
        <v>249</v>
      </c>
      <c r="Q101" t="s">
        <v>250</v>
      </c>
      <c r="R101" t="s">
        <v>251</v>
      </c>
      <c r="T101" t="s">
        <v>252</v>
      </c>
      <c r="U101" t="s">
        <v>253</v>
      </c>
      <c r="V101" t="s">
        <v>254</v>
      </c>
      <c r="W101" t="s">
        <v>255</v>
      </c>
      <c r="X101" t="s">
        <v>256</v>
      </c>
      <c r="AJ101" t="s">
        <v>285</v>
      </c>
      <c r="AL101" t="s">
        <v>779</v>
      </c>
      <c r="AM101" t="s">
        <v>287</v>
      </c>
      <c r="AN101" t="s">
        <v>259</v>
      </c>
      <c r="AO101" t="s">
        <v>260</v>
      </c>
      <c r="AQ101" t="s">
        <v>261</v>
      </c>
      <c r="AS101">
        <v>0.09</v>
      </c>
      <c r="AX101" t="s">
        <v>422</v>
      </c>
      <c r="BO101" t="s">
        <v>261</v>
      </c>
      <c r="BQ101">
        <v>0.09</v>
      </c>
      <c r="BV101" t="s">
        <v>263</v>
      </c>
      <c r="CM101" t="s">
        <v>264</v>
      </c>
      <c r="CN101" t="s">
        <v>264</v>
      </c>
      <c r="CP101" t="s">
        <v>265</v>
      </c>
      <c r="CQ101" t="s">
        <v>266</v>
      </c>
      <c r="DB101">
        <v>4</v>
      </c>
      <c r="DG101" t="s">
        <v>267</v>
      </c>
      <c r="DI101">
        <v>96</v>
      </c>
      <c r="DN101" t="s">
        <v>268</v>
      </c>
      <c r="DR101">
        <v>6761</v>
      </c>
      <c r="DS101">
        <v>2461</v>
      </c>
      <c r="EW101" t="s">
        <v>293</v>
      </c>
      <c r="FK101" t="s">
        <v>793</v>
      </c>
      <c r="GU101">
        <v>27</v>
      </c>
      <c r="GZ101" t="s">
        <v>296</v>
      </c>
      <c r="HH101" t="s">
        <v>272</v>
      </c>
      <c r="ID101" t="s">
        <v>794</v>
      </c>
      <c r="IE101" t="s">
        <v>782</v>
      </c>
      <c r="IF101">
        <v>60036</v>
      </c>
      <c r="IG101" t="s">
        <v>783</v>
      </c>
      <c r="IH101" t="s">
        <v>784</v>
      </c>
      <c r="II101">
        <v>1997</v>
      </c>
      <c r="IJ101" t="s">
        <v>785</v>
      </c>
    </row>
    <row r="102" spans="1:244" x14ac:dyDescent="0.45">
      <c r="A102">
        <v>1165681</v>
      </c>
      <c r="B102">
        <v>95226</v>
      </c>
      <c r="C102">
        <v>7439976</v>
      </c>
      <c r="D102" t="s">
        <v>744</v>
      </c>
      <c r="F102" t="s">
        <v>245</v>
      </c>
      <c r="G102" t="s">
        <v>246</v>
      </c>
      <c r="N102" t="s">
        <v>416</v>
      </c>
      <c r="O102" t="s">
        <v>417</v>
      </c>
      <c r="P102" t="s">
        <v>249</v>
      </c>
      <c r="Q102" t="s">
        <v>250</v>
      </c>
      <c r="R102" t="s">
        <v>251</v>
      </c>
      <c r="T102" t="s">
        <v>252</v>
      </c>
      <c r="U102" t="s">
        <v>253</v>
      </c>
      <c r="V102" t="s">
        <v>418</v>
      </c>
      <c r="W102" t="s">
        <v>419</v>
      </c>
      <c r="X102" t="s">
        <v>420</v>
      </c>
      <c r="AL102" t="s">
        <v>697</v>
      </c>
      <c r="AM102" t="s">
        <v>287</v>
      </c>
      <c r="AN102" t="s">
        <v>259</v>
      </c>
      <c r="AO102" t="s">
        <v>260</v>
      </c>
      <c r="AQ102" t="s">
        <v>261</v>
      </c>
      <c r="AS102">
        <v>270</v>
      </c>
      <c r="AX102" t="s">
        <v>262</v>
      </c>
      <c r="BO102" t="s">
        <v>261</v>
      </c>
      <c r="BQ102">
        <v>0.27</v>
      </c>
      <c r="BV102" t="s">
        <v>263</v>
      </c>
      <c r="CM102" t="s">
        <v>264</v>
      </c>
      <c r="CN102" t="s">
        <v>264</v>
      </c>
      <c r="CP102" t="s">
        <v>265</v>
      </c>
      <c r="DB102">
        <v>2</v>
      </c>
      <c r="DG102" t="s">
        <v>267</v>
      </c>
      <c r="DI102">
        <v>48</v>
      </c>
      <c r="DN102" t="s">
        <v>268</v>
      </c>
      <c r="DS102">
        <v>1009</v>
      </c>
      <c r="EW102" t="s">
        <v>272</v>
      </c>
      <c r="HH102" t="s">
        <v>272</v>
      </c>
      <c r="IE102" t="s">
        <v>686</v>
      </c>
      <c r="IF102">
        <v>14577</v>
      </c>
      <c r="IG102" t="s">
        <v>687</v>
      </c>
      <c r="IH102" t="s">
        <v>688</v>
      </c>
      <c r="II102">
        <v>1993</v>
      </c>
      <c r="IJ102" t="s">
        <v>689</v>
      </c>
    </row>
    <row r="103" spans="1:244" x14ac:dyDescent="0.45">
      <c r="A103">
        <v>1078774</v>
      </c>
      <c r="B103">
        <v>10207</v>
      </c>
      <c r="C103">
        <v>7439976</v>
      </c>
      <c r="D103" t="s">
        <v>744</v>
      </c>
      <c r="F103" t="s">
        <v>245</v>
      </c>
      <c r="G103" t="s">
        <v>246</v>
      </c>
      <c r="N103" t="s">
        <v>632</v>
      </c>
      <c r="O103" t="s">
        <v>745</v>
      </c>
      <c r="P103" t="s">
        <v>249</v>
      </c>
      <c r="Q103" t="s">
        <v>250</v>
      </c>
      <c r="R103" t="s">
        <v>251</v>
      </c>
      <c r="T103" t="s">
        <v>389</v>
      </c>
      <c r="U103" t="s">
        <v>632</v>
      </c>
      <c r="Z103" t="s">
        <v>315</v>
      </c>
      <c r="AL103" t="s">
        <v>795</v>
      </c>
      <c r="AM103" t="s">
        <v>317</v>
      </c>
      <c r="AN103" t="s">
        <v>259</v>
      </c>
      <c r="AO103" t="s">
        <v>260</v>
      </c>
      <c r="AQ103" t="s">
        <v>261</v>
      </c>
      <c r="AS103">
        <v>22</v>
      </c>
      <c r="AX103" t="s">
        <v>262</v>
      </c>
      <c r="BO103" t="s">
        <v>261</v>
      </c>
      <c r="BQ103">
        <v>2.1999999999999999E-2</v>
      </c>
      <c r="BV103" t="s">
        <v>263</v>
      </c>
      <c r="CM103" t="s">
        <v>264</v>
      </c>
      <c r="CN103" t="s">
        <v>264</v>
      </c>
      <c r="CP103" t="s">
        <v>265</v>
      </c>
      <c r="CQ103" t="s">
        <v>266</v>
      </c>
      <c r="DB103">
        <v>2</v>
      </c>
      <c r="DG103" t="s">
        <v>267</v>
      </c>
      <c r="DI103">
        <v>48</v>
      </c>
      <c r="DN103" t="s">
        <v>268</v>
      </c>
      <c r="DR103">
        <v>6833</v>
      </c>
      <c r="DS103">
        <v>1138</v>
      </c>
      <c r="EW103" t="s">
        <v>271</v>
      </c>
      <c r="FK103" t="s">
        <v>796</v>
      </c>
      <c r="FM103">
        <v>21</v>
      </c>
      <c r="FR103" t="s">
        <v>295</v>
      </c>
      <c r="HH103" t="s">
        <v>272</v>
      </c>
      <c r="ID103" t="s">
        <v>797</v>
      </c>
      <c r="IE103" t="s">
        <v>749</v>
      </c>
      <c r="IF103">
        <v>6079</v>
      </c>
      <c r="IG103" t="s">
        <v>750</v>
      </c>
      <c r="IH103" t="s">
        <v>751</v>
      </c>
      <c r="II103">
        <v>1977</v>
      </c>
      <c r="IJ103" t="s">
        <v>752</v>
      </c>
    </row>
    <row r="104" spans="1:244" x14ac:dyDescent="0.45">
      <c r="A104">
        <v>1210388</v>
      </c>
      <c r="B104">
        <v>195472</v>
      </c>
      <c r="C104">
        <v>7439976</v>
      </c>
      <c r="D104" t="s">
        <v>744</v>
      </c>
      <c r="F104" t="s">
        <v>272</v>
      </c>
      <c r="G104" t="s">
        <v>246</v>
      </c>
      <c r="N104" t="s">
        <v>345</v>
      </c>
      <c r="O104" t="s">
        <v>346</v>
      </c>
      <c r="P104" t="s">
        <v>249</v>
      </c>
      <c r="Q104" t="s">
        <v>250</v>
      </c>
      <c r="R104" t="s">
        <v>251</v>
      </c>
      <c r="T104" t="s">
        <v>347</v>
      </c>
      <c r="U104" t="s">
        <v>348</v>
      </c>
      <c r="V104" t="s">
        <v>349</v>
      </c>
      <c r="W104" t="s">
        <v>350</v>
      </c>
      <c r="X104" t="s">
        <v>351</v>
      </c>
      <c r="Z104" t="s">
        <v>284</v>
      </c>
      <c r="AM104" t="s">
        <v>287</v>
      </c>
      <c r="AN104" t="s">
        <v>259</v>
      </c>
      <c r="AO104" t="s">
        <v>260</v>
      </c>
      <c r="AQ104" t="s">
        <v>261</v>
      </c>
      <c r="AS104">
        <v>1.9E-2</v>
      </c>
      <c r="AU104">
        <v>1.4E-2</v>
      </c>
      <c r="AW104">
        <v>2.5000000000000001E-2</v>
      </c>
      <c r="AX104" t="s">
        <v>762</v>
      </c>
      <c r="BO104" t="s">
        <v>261</v>
      </c>
      <c r="BQ104">
        <v>1.9E-2</v>
      </c>
      <c r="BS104">
        <v>1.4E-2</v>
      </c>
      <c r="BU104">
        <v>2.5000000000000001E-2</v>
      </c>
      <c r="BV104" t="s">
        <v>263</v>
      </c>
      <c r="CM104" t="s">
        <v>264</v>
      </c>
      <c r="CN104" t="s">
        <v>264</v>
      </c>
      <c r="CP104" t="s">
        <v>265</v>
      </c>
      <c r="DB104">
        <v>2</v>
      </c>
      <c r="DG104" t="s">
        <v>267</v>
      </c>
      <c r="DI104">
        <v>48</v>
      </c>
      <c r="DN104" t="s">
        <v>268</v>
      </c>
      <c r="DR104">
        <v>6660</v>
      </c>
      <c r="DS104">
        <v>421</v>
      </c>
      <c r="EW104" t="s">
        <v>272</v>
      </c>
      <c r="FM104">
        <v>25</v>
      </c>
      <c r="FR104" t="s">
        <v>295</v>
      </c>
      <c r="GO104">
        <v>8.1</v>
      </c>
      <c r="HH104" t="s">
        <v>272</v>
      </c>
      <c r="IE104" t="s">
        <v>763</v>
      </c>
      <c r="IF104">
        <v>19318</v>
      </c>
      <c r="IG104" t="s">
        <v>764</v>
      </c>
      <c r="IH104" t="s">
        <v>765</v>
      </c>
      <c r="II104">
        <v>1994</v>
      </c>
      <c r="IJ104" t="s">
        <v>766</v>
      </c>
    </row>
    <row r="105" spans="1:244" x14ac:dyDescent="0.45">
      <c r="A105">
        <v>1053473</v>
      </c>
      <c r="B105">
        <v>129431</v>
      </c>
      <c r="C105">
        <v>7439976</v>
      </c>
      <c r="D105" t="s">
        <v>744</v>
      </c>
      <c r="F105" t="s">
        <v>245</v>
      </c>
      <c r="G105" t="s">
        <v>246</v>
      </c>
      <c r="N105" t="s">
        <v>798</v>
      </c>
      <c r="O105" t="s">
        <v>631</v>
      </c>
      <c r="P105" t="s">
        <v>249</v>
      </c>
      <c r="Q105" t="s">
        <v>250</v>
      </c>
      <c r="R105" t="s">
        <v>251</v>
      </c>
      <c r="T105" t="s">
        <v>389</v>
      </c>
      <c r="U105" t="s">
        <v>632</v>
      </c>
      <c r="V105" t="s">
        <v>799</v>
      </c>
      <c r="W105" t="s">
        <v>800</v>
      </c>
      <c r="X105" t="s">
        <v>801</v>
      </c>
      <c r="AM105" t="s">
        <v>317</v>
      </c>
      <c r="AN105" t="s">
        <v>259</v>
      </c>
      <c r="AO105" t="s">
        <v>260</v>
      </c>
      <c r="AQ105" t="s">
        <v>261</v>
      </c>
      <c r="AS105">
        <v>79</v>
      </c>
      <c r="AU105">
        <v>45</v>
      </c>
      <c r="AW105">
        <v>112</v>
      </c>
      <c r="AX105" t="s">
        <v>262</v>
      </c>
      <c r="BO105" t="s">
        <v>261</v>
      </c>
      <c r="BQ105">
        <v>7.9000000000000001E-2</v>
      </c>
      <c r="BS105">
        <v>4.4999999999999998E-2</v>
      </c>
      <c r="BU105">
        <v>0.112</v>
      </c>
      <c r="BV105" t="s">
        <v>263</v>
      </c>
      <c r="CM105" t="s">
        <v>264</v>
      </c>
      <c r="CN105" t="s">
        <v>264</v>
      </c>
      <c r="CO105" t="s">
        <v>802</v>
      </c>
      <c r="CP105" t="s">
        <v>265</v>
      </c>
      <c r="DB105">
        <v>4</v>
      </c>
      <c r="DG105" t="s">
        <v>267</v>
      </c>
      <c r="DI105">
        <v>96</v>
      </c>
      <c r="DN105" t="s">
        <v>268</v>
      </c>
      <c r="DR105">
        <v>163476</v>
      </c>
      <c r="DS105">
        <v>740</v>
      </c>
      <c r="EW105" t="s">
        <v>333</v>
      </c>
      <c r="FA105" t="s">
        <v>803</v>
      </c>
      <c r="FM105">
        <v>20</v>
      </c>
      <c r="FR105" t="s">
        <v>295</v>
      </c>
      <c r="GU105">
        <v>30</v>
      </c>
      <c r="GZ105" t="s">
        <v>296</v>
      </c>
      <c r="HH105" t="s">
        <v>272</v>
      </c>
      <c r="IE105" t="s">
        <v>804</v>
      </c>
      <c r="IF105">
        <v>3734</v>
      </c>
      <c r="IG105" t="s">
        <v>741</v>
      </c>
      <c r="IH105" t="s">
        <v>805</v>
      </c>
      <c r="II105">
        <v>1982</v>
      </c>
      <c r="IJ105" t="s">
        <v>806</v>
      </c>
    </row>
    <row r="106" spans="1:244" x14ac:dyDescent="0.45">
      <c r="A106">
        <v>1231616</v>
      </c>
      <c r="B106">
        <v>238052</v>
      </c>
      <c r="C106">
        <v>7439976</v>
      </c>
      <c r="D106" t="s">
        <v>744</v>
      </c>
      <c r="F106" t="s">
        <v>245</v>
      </c>
      <c r="G106" t="s">
        <v>246</v>
      </c>
      <c r="N106" t="s">
        <v>247</v>
      </c>
      <c r="O106" t="s">
        <v>248</v>
      </c>
      <c r="P106" t="s">
        <v>249</v>
      </c>
      <c r="Q106" t="s">
        <v>250</v>
      </c>
      <c r="R106" t="s">
        <v>251</v>
      </c>
      <c r="T106" t="s">
        <v>252</v>
      </c>
      <c r="U106" t="s">
        <v>253</v>
      </c>
      <c r="V106" t="s">
        <v>254</v>
      </c>
      <c r="W106" t="s">
        <v>255</v>
      </c>
      <c r="X106" t="s">
        <v>256</v>
      </c>
      <c r="AJ106" t="s">
        <v>285</v>
      </c>
      <c r="AL106" t="s">
        <v>779</v>
      </c>
      <c r="AM106" t="s">
        <v>287</v>
      </c>
      <c r="AN106" t="s">
        <v>259</v>
      </c>
      <c r="AO106" t="s">
        <v>260</v>
      </c>
      <c r="AQ106" t="s">
        <v>261</v>
      </c>
      <c r="AS106">
        <v>32</v>
      </c>
      <c r="AX106" t="s">
        <v>422</v>
      </c>
      <c r="BO106" t="s">
        <v>261</v>
      </c>
      <c r="BQ106">
        <v>32</v>
      </c>
      <c r="BV106" t="s">
        <v>263</v>
      </c>
      <c r="CM106" t="s">
        <v>264</v>
      </c>
      <c r="CN106" t="s">
        <v>264</v>
      </c>
      <c r="CP106" t="s">
        <v>265</v>
      </c>
      <c r="CQ106" t="s">
        <v>266</v>
      </c>
      <c r="DB106">
        <v>4</v>
      </c>
      <c r="DG106" t="s">
        <v>267</v>
      </c>
      <c r="DI106">
        <v>96</v>
      </c>
      <c r="DN106" t="s">
        <v>268</v>
      </c>
      <c r="DR106">
        <v>6761</v>
      </c>
      <c r="DS106">
        <v>2461</v>
      </c>
      <c r="EW106" t="s">
        <v>293</v>
      </c>
      <c r="FK106" t="s">
        <v>807</v>
      </c>
      <c r="GU106">
        <v>27</v>
      </c>
      <c r="GZ106" t="s">
        <v>296</v>
      </c>
      <c r="HH106" t="s">
        <v>272</v>
      </c>
      <c r="ID106" t="s">
        <v>808</v>
      </c>
      <c r="IE106" t="s">
        <v>782</v>
      </c>
      <c r="IF106">
        <v>60036</v>
      </c>
      <c r="IG106" t="s">
        <v>783</v>
      </c>
      <c r="IH106" t="s">
        <v>784</v>
      </c>
      <c r="II106">
        <v>1997</v>
      </c>
      <c r="IJ106" t="s">
        <v>785</v>
      </c>
    </row>
    <row r="107" spans="1:244" x14ac:dyDescent="0.45">
      <c r="A107">
        <v>1210391</v>
      </c>
      <c r="B107">
        <v>195475</v>
      </c>
      <c r="C107">
        <v>7439976</v>
      </c>
      <c r="D107" t="s">
        <v>744</v>
      </c>
      <c r="F107" t="s">
        <v>272</v>
      </c>
      <c r="G107" t="s">
        <v>246</v>
      </c>
      <c r="N107" t="s">
        <v>789</v>
      </c>
      <c r="O107" t="s">
        <v>790</v>
      </c>
      <c r="P107" t="s">
        <v>249</v>
      </c>
      <c r="Q107" t="s">
        <v>250</v>
      </c>
      <c r="R107" t="s">
        <v>251</v>
      </c>
      <c r="T107" t="s">
        <v>252</v>
      </c>
      <c r="U107" t="s">
        <v>253</v>
      </c>
      <c r="V107" t="s">
        <v>418</v>
      </c>
      <c r="W107" t="s">
        <v>791</v>
      </c>
      <c r="X107" t="s">
        <v>792</v>
      </c>
      <c r="Z107" t="s">
        <v>284</v>
      </c>
      <c r="AM107" t="s">
        <v>287</v>
      </c>
      <c r="AN107" t="s">
        <v>259</v>
      </c>
      <c r="AO107" t="s">
        <v>260</v>
      </c>
      <c r="AQ107" t="s">
        <v>261</v>
      </c>
      <c r="AS107">
        <v>2E-3</v>
      </c>
      <c r="AU107">
        <v>1E-3</v>
      </c>
      <c r="AW107">
        <v>4.0000000000000001E-3</v>
      </c>
      <c r="AX107" t="s">
        <v>762</v>
      </c>
      <c r="BO107" t="s">
        <v>261</v>
      </c>
      <c r="BQ107">
        <v>2E-3</v>
      </c>
      <c r="BS107">
        <v>1E-3</v>
      </c>
      <c r="BU107">
        <v>4.0000000000000001E-3</v>
      </c>
      <c r="BV107" t="s">
        <v>263</v>
      </c>
      <c r="CM107" t="s">
        <v>264</v>
      </c>
      <c r="CN107" t="s">
        <v>264</v>
      </c>
      <c r="CP107" t="s">
        <v>265</v>
      </c>
      <c r="DB107">
        <v>2</v>
      </c>
      <c r="DG107" t="s">
        <v>267</v>
      </c>
      <c r="DI107">
        <v>48</v>
      </c>
      <c r="DN107" t="s">
        <v>268</v>
      </c>
      <c r="DR107">
        <v>161924</v>
      </c>
      <c r="DS107">
        <v>3045</v>
      </c>
      <c r="EW107" t="s">
        <v>272</v>
      </c>
      <c r="FM107">
        <v>24</v>
      </c>
      <c r="FR107" t="s">
        <v>295</v>
      </c>
      <c r="GO107">
        <v>8.1</v>
      </c>
      <c r="HH107" t="s">
        <v>272</v>
      </c>
      <c r="IE107" t="s">
        <v>763</v>
      </c>
      <c r="IF107">
        <v>19318</v>
      </c>
      <c r="IG107" t="s">
        <v>764</v>
      </c>
      <c r="IH107" t="s">
        <v>765</v>
      </c>
      <c r="II107">
        <v>1994</v>
      </c>
      <c r="IJ107" t="s">
        <v>766</v>
      </c>
    </row>
    <row r="108" spans="1:244" x14ac:dyDescent="0.45">
      <c r="A108">
        <v>2140900</v>
      </c>
      <c r="B108">
        <v>2264331</v>
      </c>
      <c r="C108">
        <v>7439976</v>
      </c>
      <c r="D108" t="s">
        <v>744</v>
      </c>
      <c r="F108" t="s">
        <v>245</v>
      </c>
      <c r="G108" t="s">
        <v>272</v>
      </c>
      <c r="N108" t="s">
        <v>452</v>
      </c>
      <c r="O108" t="s">
        <v>346</v>
      </c>
      <c r="P108" t="s">
        <v>249</v>
      </c>
      <c r="Q108" t="s">
        <v>250</v>
      </c>
      <c r="R108" t="s">
        <v>251</v>
      </c>
      <c r="T108" t="s">
        <v>347</v>
      </c>
      <c r="U108" t="s">
        <v>348</v>
      </c>
      <c r="V108" t="s">
        <v>349</v>
      </c>
      <c r="W108" t="s">
        <v>350</v>
      </c>
      <c r="X108" t="s">
        <v>453</v>
      </c>
      <c r="Z108" t="s">
        <v>767</v>
      </c>
      <c r="AH108" t="s">
        <v>753</v>
      </c>
      <c r="AJ108" t="s">
        <v>354</v>
      </c>
      <c r="AL108" t="s">
        <v>753</v>
      </c>
      <c r="AM108" t="s">
        <v>287</v>
      </c>
      <c r="AN108" t="s">
        <v>259</v>
      </c>
      <c r="AO108" t="s">
        <v>260</v>
      </c>
      <c r="AP108">
        <v>11</v>
      </c>
      <c r="AQ108" t="s">
        <v>261</v>
      </c>
      <c r="AS108">
        <v>3.0000000000000001E-3</v>
      </c>
      <c r="AU108">
        <v>3.0000000000000001E-3</v>
      </c>
      <c r="AW108">
        <v>4.0000000000000001E-3</v>
      </c>
      <c r="AX108" t="s">
        <v>422</v>
      </c>
      <c r="BO108" t="s">
        <v>261</v>
      </c>
      <c r="BQ108">
        <v>3.0000000000000001E-3</v>
      </c>
      <c r="BS108">
        <v>3.0000000000000001E-3</v>
      </c>
      <c r="BU108">
        <v>4.0000000000000001E-3</v>
      </c>
      <c r="BV108" t="s">
        <v>263</v>
      </c>
      <c r="CM108" t="s">
        <v>264</v>
      </c>
      <c r="CN108" t="s">
        <v>264</v>
      </c>
      <c r="CP108" t="s">
        <v>265</v>
      </c>
      <c r="CQ108" t="s">
        <v>266</v>
      </c>
      <c r="DB108">
        <v>4</v>
      </c>
      <c r="DG108" t="s">
        <v>267</v>
      </c>
      <c r="DI108">
        <v>96</v>
      </c>
      <c r="DN108" t="s">
        <v>268</v>
      </c>
      <c r="DR108">
        <v>85549</v>
      </c>
      <c r="DS108">
        <v>366</v>
      </c>
      <c r="DT108" t="s">
        <v>754</v>
      </c>
      <c r="DV108">
        <v>96</v>
      </c>
      <c r="EA108" t="s">
        <v>268</v>
      </c>
      <c r="EC108">
        <v>4</v>
      </c>
      <c r="EH108" t="s">
        <v>267</v>
      </c>
      <c r="EJ108">
        <v>96</v>
      </c>
      <c r="EO108" t="s">
        <v>268</v>
      </c>
      <c r="EQ108">
        <v>4</v>
      </c>
      <c r="EV108" t="s">
        <v>267</v>
      </c>
      <c r="EW108" t="s">
        <v>293</v>
      </c>
      <c r="EY108" t="s">
        <v>377</v>
      </c>
      <c r="FA108" t="s">
        <v>755</v>
      </c>
      <c r="FK108" t="s">
        <v>756</v>
      </c>
      <c r="FM108">
        <v>28</v>
      </c>
      <c r="FR108" t="s">
        <v>295</v>
      </c>
      <c r="GI108" t="s">
        <v>288</v>
      </c>
      <c r="GJ108">
        <v>0</v>
      </c>
      <c r="GK108" t="s">
        <v>289</v>
      </c>
      <c r="GL108">
        <v>10</v>
      </c>
      <c r="GM108" t="s">
        <v>356</v>
      </c>
      <c r="GO108">
        <v>7.5</v>
      </c>
      <c r="GU108">
        <v>80</v>
      </c>
      <c r="GZ108" t="s">
        <v>296</v>
      </c>
      <c r="HH108" t="s">
        <v>272</v>
      </c>
      <c r="ID108" t="s">
        <v>757</v>
      </c>
      <c r="IE108" t="s">
        <v>758</v>
      </c>
      <c r="IF108">
        <v>165375</v>
      </c>
      <c r="IG108" t="s">
        <v>759</v>
      </c>
      <c r="IH108" t="s">
        <v>760</v>
      </c>
      <c r="II108">
        <v>2012</v>
      </c>
      <c r="IJ108" t="s">
        <v>761</v>
      </c>
    </row>
    <row r="109" spans="1:244" x14ac:dyDescent="0.45">
      <c r="A109">
        <v>1168968</v>
      </c>
      <c r="B109">
        <v>36313</v>
      </c>
      <c r="C109">
        <v>7439976</v>
      </c>
      <c r="D109" t="s">
        <v>744</v>
      </c>
      <c r="F109" t="s">
        <v>245</v>
      </c>
      <c r="G109" t="s">
        <v>246</v>
      </c>
      <c r="N109" t="s">
        <v>546</v>
      </c>
      <c r="O109" t="s">
        <v>547</v>
      </c>
      <c r="P109" t="s">
        <v>249</v>
      </c>
      <c r="Q109" t="s">
        <v>250</v>
      </c>
      <c r="R109" t="s">
        <v>251</v>
      </c>
      <c r="T109" t="s">
        <v>252</v>
      </c>
      <c r="U109" t="s">
        <v>253</v>
      </c>
      <c r="V109" t="s">
        <v>548</v>
      </c>
      <c r="W109" t="s">
        <v>549</v>
      </c>
      <c r="X109" t="s">
        <v>550</v>
      </c>
      <c r="AL109" t="s">
        <v>809</v>
      </c>
      <c r="AM109" t="s">
        <v>317</v>
      </c>
      <c r="AN109" t="s">
        <v>259</v>
      </c>
      <c r="AO109" t="s">
        <v>260</v>
      </c>
      <c r="AQ109" t="s">
        <v>261</v>
      </c>
      <c r="AS109">
        <v>480</v>
      </c>
      <c r="AX109" t="s">
        <v>262</v>
      </c>
      <c r="BO109" t="s">
        <v>261</v>
      </c>
      <c r="BQ109">
        <v>0.48</v>
      </c>
      <c r="BV109" t="s">
        <v>263</v>
      </c>
      <c r="CM109" t="s">
        <v>264</v>
      </c>
      <c r="CN109" t="s">
        <v>264</v>
      </c>
      <c r="CP109" t="s">
        <v>265</v>
      </c>
      <c r="CQ109" t="s">
        <v>266</v>
      </c>
      <c r="DB109">
        <v>2</v>
      </c>
      <c r="DG109" t="s">
        <v>267</v>
      </c>
      <c r="DI109">
        <v>48</v>
      </c>
      <c r="DN109" t="s">
        <v>268</v>
      </c>
      <c r="DR109">
        <v>491138</v>
      </c>
      <c r="DS109">
        <v>11</v>
      </c>
      <c r="DT109" t="s">
        <v>771</v>
      </c>
      <c r="EW109" t="s">
        <v>271</v>
      </c>
      <c r="FM109">
        <v>15</v>
      </c>
      <c r="FR109" t="s">
        <v>295</v>
      </c>
      <c r="HH109" t="s">
        <v>272</v>
      </c>
      <c r="IE109" t="s">
        <v>774</v>
      </c>
      <c r="IF109">
        <v>15071</v>
      </c>
      <c r="IG109" t="s">
        <v>775</v>
      </c>
      <c r="IH109" t="s">
        <v>776</v>
      </c>
      <c r="II109">
        <v>1968</v>
      </c>
      <c r="IJ109" t="s">
        <v>777</v>
      </c>
    </row>
    <row r="110" spans="1:244" x14ac:dyDescent="0.45">
      <c r="A110">
        <v>1168967</v>
      </c>
      <c r="B110">
        <v>36312</v>
      </c>
      <c r="C110">
        <v>7439976</v>
      </c>
      <c r="D110" t="s">
        <v>744</v>
      </c>
      <c r="F110" t="s">
        <v>245</v>
      </c>
      <c r="G110" t="s">
        <v>246</v>
      </c>
      <c r="N110" t="s">
        <v>546</v>
      </c>
      <c r="O110" t="s">
        <v>547</v>
      </c>
      <c r="P110" t="s">
        <v>249</v>
      </c>
      <c r="Q110" t="s">
        <v>250</v>
      </c>
      <c r="R110" t="s">
        <v>251</v>
      </c>
      <c r="T110" t="s">
        <v>252</v>
      </c>
      <c r="U110" t="s">
        <v>253</v>
      </c>
      <c r="V110" t="s">
        <v>548</v>
      </c>
      <c r="W110" t="s">
        <v>549</v>
      </c>
      <c r="X110" t="s">
        <v>550</v>
      </c>
      <c r="AL110" t="s">
        <v>810</v>
      </c>
      <c r="AM110" t="s">
        <v>317</v>
      </c>
      <c r="AN110" t="s">
        <v>259</v>
      </c>
      <c r="AO110" t="s">
        <v>260</v>
      </c>
      <c r="AQ110" t="s">
        <v>261</v>
      </c>
      <c r="AS110">
        <v>580</v>
      </c>
      <c r="AX110" t="s">
        <v>262</v>
      </c>
      <c r="BO110" t="s">
        <v>261</v>
      </c>
      <c r="BQ110">
        <v>0.57999999999999996</v>
      </c>
      <c r="BV110" t="s">
        <v>263</v>
      </c>
      <c r="CM110" t="s">
        <v>264</v>
      </c>
      <c r="CN110" t="s">
        <v>264</v>
      </c>
      <c r="CP110" t="s">
        <v>265</v>
      </c>
      <c r="CQ110" t="s">
        <v>266</v>
      </c>
      <c r="DB110">
        <v>2</v>
      </c>
      <c r="DG110" t="s">
        <v>267</v>
      </c>
      <c r="DI110">
        <v>48</v>
      </c>
      <c r="DN110" t="s">
        <v>268</v>
      </c>
      <c r="DR110">
        <v>491138</v>
      </c>
      <c r="DS110">
        <v>11</v>
      </c>
      <c r="DT110" t="s">
        <v>771</v>
      </c>
      <c r="EW110" t="s">
        <v>271</v>
      </c>
      <c r="FM110">
        <v>15</v>
      </c>
      <c r="FR110" t="s">
        <v>295</v>
      </c>
      <c r="HH110" t="s">
        <v>272</v>
      </c>
      <c r="IE110" t="s">
        <v>774</v>
      </c>
      <c r="IF110">
        <v>15071</v>
      </c>
      <c r="IG110" t="s">
        <v>775</v>
      </c>
      <c r="IH110" t="s">
        <v>776</v>
      </c>
      <c r="II110">
        <v>1968</v>
      </c>
      <c r="IJ110" t="s">
        <v>777</v>
      </c>
    </row>
    <row r="111" spans="1:244" x14ac:dyDescent="0.45">
      <c r="A111">
        <v>1111935</v>
      </c>
      <c r="B111">
        <v>21216</v>
      </c>
      <c r="C111">
        <v>7439976</v>
      </c>
      <c r="D111" t="s">
        <v>744</v>
      </c>
      <c r="E111" t="s">
        <v>811</v>
      </c>
      <c r="F111" t="s">
        <v>245</v>
      </c>
      <c r="G111" t="s">
        <v>246</v>
      </c>
      <c r="N111" t="s">
        <v>630</v>
      </c>
      <c r="O111" t="s">
        <v>631</v>
      </c>
      <c r="P111" t="s">
        <v>249</v>
      </c>
      <c r="Q111" t="s">
        <v>250</v>
      </c>
      <c r="R111" t="s">
        <v>251</v>
      </c>
      <c r="T111" t="s">
        <v>389</v>
      </c>
      <c r="U111" t="s">
        <v>632</v>
      </c>
      <c r="V111" t="s">
        <v>633</v>
      </c>
      <c r="W111" t="s">
        <v>634</v>
      </c>
      <c r="X111" t="s">
        <v>635</v>
      </c>
      <c r="AB111" t="s">
        <v>812</v>
      </c>
      <c r="AG111" t="s">
        <v>813</v>
      </c>
      <c r="AM111" t="s">
        <v>317</v>
      </c>
      <c r="AN111" t="s">
        <v>259</v>
      </c>
      <c r="AO111" t="s">
        <v>260</v>
      </c>
      <c r="AQ111" t="s">
        <v>261</v>
      </c>
      <c r="AS111">
        <v>17</v>
      </c>
      <c r="AX111" t="s">
        <v>262</v>
      </c>
      <c r="BO111" t="s">
        <v>261</v>
      </c>
      <c r="BQ111">
        <v>1.7000000000000001E-2</v>
      </c>
      <c r="BV111" t="s">
        <v>263</v>
      </c>
      <c r="CM111" t="s">
        <v>264</v>
      </c>
      <c r="CN111" t="s">
        <v>264</v>
      </c>
      <c r="CP111" t="s">
        <v>265</v>
      </c>
      <c r="CQ111" t="s">
        <v>266</v>
      </c>
      <c r="DB111">
        <v>2</v>
      </c>
      <c r="DG111" t="s">
        <v>267</v>
      </c>
      <c r="DI111">
        <v>48</v>
      </c>
      <c r="DN111" t="s">
        <v>268</v>
      </c>
      <c r="DR111">
        <v>136180</v>
      </c>
      <c r="DS111">
        <v>376</v>
      </c>
      <c r="DT111" t="s">
        <v>814</v>
      </c>
      <c r="EW111" t="s">
        <v>271</v>
      </c>
      <c r="FA111" t="s">
        <v>815</v>
      </c>
      <c r="FM111">
        <v>20</v>
      </c>
      <c r="FR111" t="s">
        <v>295</v>
      </c>
      <c r="GU111">
        <v>10</v>
      </c>
      <c r="GZ111" t="s">
        <v>296</v>
      </c>
      <c r="HH111" t="s">
        <v>272</v>
      </c>
      <c r="IE111" t="s">
        <v>816</v>
      </c>
      <c r="IF111">
        <v>8445</v>
      </c>
      <c r="IG111" t="s">
        <v>817</v>
      </c>
      <c r="IH111" t="s">
        <v>818</v>
      </c>
      <c r="II111">
        <v>1978</v>
      </c>
      <c r="IJ111" t="s">
        <v>819</v>
      </c>
    </row>
    <row r="112" spans="1:244" x14ac:dyDescent="0.45">
      <c r="A112">
        <v>1111929</v>
      </c>
      <c r="B112">
        <v>21210</v>
      </c>
      <c r="C112">
        <v>7439976</v>
      </c>
      <c r="D112" t="s">
        <v>744</v>
      </c>
      <c r="F112" t="s">
        <v>245</v>
      </c>
      <c r="G112" t="s">
        <v>246</v>
      </c>
      <c r="N112" t="s">
        <v>630</v>
      </c>
      <c r="O112" t="s">
        <v>631</v>
      </c>
      <c r="P112" t="s">
        <v>249</v>
      </c>
      <c r="Q112" t="s">
        <v>250</v>
      </c>
      <c r="R112" t="s">
        <v>251</v>
      </c>
      <c r="T112" t="s">
        <v>389</v>
      </c>
      <c r="U112" t="s">
        <v>632</v>
      </c>
      <c r="V112" t="s">
        <v>633</v>
      </c>
      <c r="W112" t="s">
        <v>634</v>
      </c>
      <c r="X112" t="s">
        <v>635</v>
      </c>
      <c r="Z112" t="s">
        <v>820</v>
      </c>
      <c r="AB112" t="s">
        <v>821</v>
      </c>
      <c r="AG112" t="s">
        <v>813</v>
      </c>
      <c r="AL112" t="s">
        <v>822</v>
      </c>
      <c r="AM112" t="s">
        <v>317</v>
      </c>
      <c r="AN112" t="s">
        <v>259</v>
      </c>
      <c r="AO112" t="s">
        <v>260</v>
      </c>
      <c r="AQ112" t="s">
        <v>261</v>
      </c>
      <c r="AS112">
        <v>15</v>
      </c>
      <c r="AX112" t="s">
        <v>262</v>
      </c>
      <c r="BO112" t="s">
        <v>261</v>
      </c>
      <c r="BQ112">
        <v>1.4999999999999999E-2</v>
      </c>
      <c r="BV112" t="s">
        <v>263</v>
      </c>
      <c r="CM112" t="s">
        <v>264</v>
      </c>
      <c r="CN112" t="s">
        <v>264</v>
      </c>
      <c r="CP112" t="s">
        <v>265</v>
      </c>
      <c r="CQ112" t="s">
        <v>266</v>
      </c>
      <c r="DB112">
        <v>4</v>
      </c>
      <c r="DG112" t="s">
        <v>267</v>
      </c>
      <c r="DI112">
        <v>96</v>
      </c>
      <c r="DN112" t="s">
        <v>268</v>
      </c>
      <c r="DP112" t="s">
        <v>823</v>
      </c>
      <c r="DR112">
        <v>136180</v>
      </c>
      <c r="DS112">
        <v>376</v>
      </c>
      <c r="DT112" t="s">
        <v>814</v>
      </c>
      <c r="EW112" t="s">
        <v>271</v>
      </c>
      <c r="FK112" t="s">
        <v>824</v>
      </c>
      <c r="FM112">
        <v>20</v>
      </c>
      <c r="FR112" t="s">
        <v>295</v>
      </c>
      <c r="GU112">
        <v>10</v>
      </c>
      <c r="GZ112" t="s">
        <v>296</v>
      </c>
      <c r="HH112" t="s">
        <v>272</v>
      </c>
      <c r="ID112" t="s">
        <v>825</v>
      </c>
      <c r="IE112" t="s">
        <v>816</v>
      </c>
      <c r="IF112">
        <v>8445</v>
      </c>
      <c r="IG112" t="s">
        <v>817</v>
      </c>
      <c r="IH112" t="s">
        <v>818</v>
      </c>
      <c r="II112">
        <v>1978</v>
      </c>
      <c r="IJ112" t="s">
        <v>819</v>
      </c>
    </row>
    <row r="113" spans="1:244" x14ac:dyDescent="0.45">
      <c r="A113">
        <v>1111930</v>
      </c>
      <c r="B113">
        <v>21211</v>
      </c>
      <c r="C113">
        <v>7439976</v>
      </c>
      <c r="D113" t="s">
        <v>744</v>
      </c>
      <c r="F113" t="s">
        <v>245</v>
      </c>
      <c r="G113" t="s">
        <v>246</v>
      </c>
      <c r="N113" t="s">
        <v>630</v>
      </c>
      <c r="O113" t="s">
        <v>631</v>
      </c>
      <c r="P113" t="s">
        <v>249</v>
      </c>
      <c r="Q113" t="s">
        <v>250</v>
      </c>
      <c r="R113" t="s">
        <v>251</v>
      </c>
      <c r="T113" t="s">
        <v>389</v>
      </c>
      <c r="U113" t="s">
        <v>632</v>
      </c>
      <c r="V113" t="s">
        <v>633</v>
      </c>
      <c r="W113" t="s">
        <v>634</v>
      </c>
      <c r="X113" t="s">
        <v>635</v>
      </c>
      <c r="Z113" t="s">
        <v>826</v>
      </c>
      <c r="AM113" t="s">
        <v>317</v>
      </c>
      <c r="AN113" t="s">
        <v>259</v>
      </c>
      <c r="AO113" t="s">
        <v>260</v>
      </c>
      <c r="AQ113" t="s">
        <v>261</v>
      </c>
      <c r="AS113">
        <v>20</v>
      </c>
      <c r="AX113" t="s">
        <v>262</v>
      </c>
      <c r="BO113" t="s">
        <v>261</v>
      </c>
      <c r="BQ113">
        <v>0.02</v>
      </c>
      <c r="BV113" t="s">
        <v>263</v>
      </c>
      <c r="CM113" t="s">
        <v>264</v>
      </c>
      <c r="CN113" t="s">
        <v>264</v>
      </c>
      <c r="CP113" t="s">
        <v>265</v>
      </c>
      <c r="CQ113" t="s">
        <v>266</v>
      </c>
      <c r="DB113">
        <v>1</v>
      </c>
      <c r="DG113" t="s">
        <v>267</v>
      </c>
      <c r="DI113">
        <v>24</v>
      </c>
      <c r="DN113" t="s">
        <v>268</v>
      </c>
      <c r="DP113" t="s">
        <v>823</v>
      </c>
      <c r="DR113">
        <v>136180</v>
      </c>
      <c r="DS113">
        <v>376</v>
      </c>
      <c r="DT113" t="s">
        <v>814</v>
      </c>
      <c r="EW113" t="s">
        <v>271</v>
      </c>
      <c r="FK113" t="s">
        <v>824</v>
      </c>
      <c r="FM113">
        <v>20</v>
      </c>
      <c r="FR113" t="s">
        <v>295</v>
      </c>
      <c r="GU113">
        <v>10</v>
      </c>
      <c r="GZ113" t="s">
        <v>296</v>
      </c>
      <c r="HH113" t="s">
        <v>272</v>
      </c>
      <c r="ID113" t="s">
        <v>825</v>
      </c>
      <c r="IE113" t="s">
        <v>816</v>
      </c>
      <c r="IF113">
        <v>8445</v>
      </c>
      <c r="IG113" t="s">
        <v>817</v>
      </c>
      <c r="IH113" t="s">
        <v>818</v>
      </c>
      <c r="II113">
        <v>1978</v>
      </c>
      <c r="IJ113" t="s">
        <v>819</v>
      </c>
    </row>
    <row r="114" spans="1:244" x14ac:dyDescent="0.45">
      <c r="A114">
        <v>1111932</v>
      </c>
      <c r="B114">
        <v>21213</v>
      </c>
      <c r="C114">
        <v>7439976</v>
      </c>
      <c r="D114" t="s">
        <v>744</v>
      </c>
      <c r="F114" t="s">
        <v>245</v>
      </c>
      <c r="G114" t="s">
        <v>246</v>
      </c>
      <c r="N114" t="s">
        <v>630</v>
      </c>
      <c r="O114" t="s">
        <v>631</v>
      </c>
      <c r="P114" t="s">
        <v>249</v>
      </c>
      <c r="Q114" t="s">
        <v>250</v>
      </c>
      <c r="R114" t="s">
        <v>251</v>
      </c>
      <c r="T114" t="s">
        <v>389</v>
      </c>
      <c r="U114" t="s">
        <v>632</v>
      </c>
      <c r="V114" t="s">
        <v>633</v>
      </c>
      <c r="W114" t="s">
        <v>634</v>
      </c>
      <c r="X114" t="s">
        <v>635</v>
      </c>
      <c r="Z114" t="s">
        <v>826</v>
      </c>
      <c r="AM114" t="s">
        <v>317</v>
      </c>
      <c r="AN114" t="s">
        <v>259</v>
      </c>
      <c r="AO114" t="s">
        <v>260</v>
      </c>
      <c r="AQ114" t="s">
        <v>261</v>
      </c>
      <c r="AS114">
        <v>17</v>
      </c>
      <c r="AX114" t="s">
        <v>262</v>
      </c>
      <c r="BO114" t="s">
        <v>261</v>
      </c>
      <c r="BQ114">
        <v>1.7000000000000001E-2</v>
      </c>
      <c r="BV114" t="s">
        <v>263</v>
      </c>
      <c r="CM114" t="s">
        <v>264</v>
      </c>
      <c r="CN114" t="s">
        <v>264</v>
      </c>
      <c r="CP114" t="s">
        <v>265</v>
      </c>
      <c r="CQ114" t="s">
        <v>266</v>
      </c>
      <c r="DB114">
        <v>3</v>
      </c>
      <c r="DG114" t="s">
        <v>267</v>
      </c>
      <c r="DI114">
        <v>72</v>
      </c>
      <c r="DN114" t="s">
        <v>268</v>
      </c>
      <c r="DP114" t="s">
        <v>823</v>
      </c>
      <c r="DR114">
        <v>136180</v>
      </c>
      <c r="DS114">
        <v>376</v>
      </c>
      <c r="DT114" t="s">
        <v>814</v>
      </c>
      <c r="EW114" t="s">
        <v>271</v>
      </c>
      <c r="FK114" t="s">
        <v>824</v>
      </c>
      <c r="FM114">
        <v>20</v>
      </c>
      <c r="FR114" t="s">
        <v>295</v>
      </c>
      <c r="GU114">
        <v>10</v>
      </c>
      <c r="GZ114" t="s">
        <v>296</v>
      </c>
      <c r="HH114" t="s">
        <v>272</v>
      </c>
      <c r="ID114" t="s">
        <v>825</v>
      </c>
      <c r="IE114" t="s">
        <v>816</v>
      </c>
      <c r="IF114">
        <v>8445</v>
      </c>
      <c r="IG114" t="s">
        <v>817</v>
      </c>
      <c r="IH114" t="s">
        <v>818</v>
      </c>
      <c r="II114">
        <v>1978</v>
      </c>
      <c r="IJ114" t="s">
        <v>819</v>
      </c>
    </row>
    <row r="115" spans="1:244" x14ac:dyDescent="0.45">
      <c r="A115">
        <v>1111926</v>
      </c>
      <c r="B115">
        <v>21207</v>
      </c>
      <c r="C115">
        <v>7439976</v>
      </c>
      <c r="D115" t="s">
        <v>744</v>
      </c>
      <c r="F115" t="s">
        <v>245</v>
      </c>
      <c r="G115" t="s">
        <v>246</v>
      </c>
      <c r="N115" t="s">
        <v>630</v>
      </c>
      <c r="O115" t="s">
        <v>631</v>
      </c>
      <c r="P115" t="s">
        <v>249</v>
      </c>
      <c r="Q115" t="s">
        <v>250</v>
      </c>
      <c r="R115" t="s">
        <v>251</v>
      </c>
      <c r="T115" t="s">
        <v>389</v>
      </c>
      <c r="U115" t="s">
        <v>632</v>
      </c>
      <c r="V115" t="s">
        <v>633</v>
      </c>
      <c r="W115" t="s">
        <v>634</v>
      </c>
      <c r="X115" t="s">
        <v>635</v>
      </c>
      <c r="Z115" t="s">
        <v>820</v>
      </c>
      <c r="AB115" t="s">
        <v>821</v>
      </c>
      <c r="AG115" t="s">
        <v>813</v>
      </c>
      <c r="AL115" t="s">
        <v>822</v>
      </c>
      <c r="AM115" t="s">
        <v>317</v>
      </c>
      <c r="AN115" t="s">
        <v>259</v>
      </c>
      <c r="AO115" t="s">
        <v>260</v>
      </c>
      <c r="AQ115" t="s">
        <v>261</v>
      </c>
      <c r="AS115">
        <v>22</v>
      </c>
      <c r="AX115" t="s">
        <v>262</v>
      </c>
      <c r="BO115" t="s">
        <v>261</v>
      </c>
      <c r="BQ115">
        <v>2.1999999999999999E-2</v>
      </c>
      <c r="BV115" t="s">
        <v>263</v>
      </c>
      <c r="CM115" t="s">
        <v>264</v>
      </c>
      <c r="CN115" t="s">
        <v>264</v>
      </c>
      <c r="CP115" t="s">
        <v>265</v>
      </c>
      <c r="CQ115" t="s">
        <v>266</v>
      </c>
      <c r="DB115">
        <v>1</v>
      </c>
      <c r="DG115" t="s">
        <v>267</v>
      </c>
      <c r="DI115">
        <v>24</v>
      </c>
      <c r="DN115" t="s">
        <v>268</v>
      </c>
      <c r="DP115" t="s">
        <v>636</v>
      </c>
      <c r="DR115">
        <v>136180</v>
      </c>
      <c r="DS115">
        <v>376</v>
      </c>
      <c r="DT115" t="s">
        <v>814</v>
      </c>
      <c r="EW115" t="s">
        <v>271</v>
      </c>
      <c r="FK115" t="s">
        <v>827</v>
      </c>
      <c r="FM115">
        <v>20</v>
      </c>
      <c r="FR115" t="s">
        <v>295</v>
      </c>
      <c r="GU115">
        <v>10</v>
      </c>
      <c r="GZ115" t="s">
        <v>296</v>
      </c>
      <c r="HH115" t="s">
        <v>272</v>
      </c>
      <c r="ID115" t="s">
        <v>828</v>
      </c>
      <c r="IE115" t="s">
        <v>816</v>
      </c>
      <c r="IF115">
        <v>8445</v>
      </c>
      <c r="IG115" t="s">
        <v>817</v>
      </c>
      <c r="IH115" t="s">
        <v>818</v>
      </c>
      <c r="II115">
        <v>1978</v>
      </c>
      <c r="IJ115" t="s">
        <v>819</v>
      </c>
    </row>
    <row r="116" spans="1:244" x14ac:dyDescent="0.45">
      <c r="A116">
        <v>1053474</v>
      </c>
      <c r="B116">
        <v>129432</v>
      </c>
      <c r="C116">
        <v>7439976</v>
      </c>
      <c r="D116" t="s">
        <v>744</v>
      </c>
      <c r="F116" t="s">
        <v>245</v>
      </c>
      <c r="G116" t="s">
        <v>246</v>
      </c>
      <c r="N116" t="s">
        <v>829</v>
      </c>
      <c r="O116" t="s">
        <v>631</v>
      </c>
      <c r="P116" t="s">
        <v>249</v>
      </c>
      <c r="Q116" t="s">
        <v>250</v>
      </c>
      <c r="R116" t="s">
        <v>251</v>
      </c>
      <c r="T116" t="s">
        <v>389</v>
      </c>
      <c r="U116" t="s">
        <v>632</v>
      </c>
      <c r="V116" t="s">
        <v>830</v>
      </c>
      <c r="W116" t="s">
        <v>831</v>
      </c>
      <c r="X116" t="s">
        <v>832</v>
      </c>
      <c r="AM116" t="s">
        <v>317</v>
      </c>
      <c r="AN116" t="s">
        <v>259</v>
      </c>
      <c r="AO116" t="s">
        <v>260</v>
      </c>
      <c r="AQ116" t="s">
        <v>261</v>
      </c>
      <c r="AS116">
        <v>158</v>
      </c>
      <c r="AU116">
        <v>102</v>
      </c>
      <c r="AW116">
        <v>216</v>
      </c>
      <c r="AX116" t="s">
        <v>262</v>
      </c>
      <c r="BO116" t="s">
        <v>261</v>
      </c>
      <c r="BQ116">
        <v>0.158</v>
      </c>
      <c r="BS116">
        <v>0.10199999999999999</v>
      </c>
      <c r="BU116">
        <v>0.216</v>
      </c>
      <c r="BV116" t="s">
        <v>263</v>
      </c>
      <c r="CM116" t="s">
        <v>264</v>
      </c>
      <c r="CN116" t="s">
        <v>264</v>
      </c>
      <c r="CO116" t="s">
        <v>802</v>
      </c>
      <c r="CP116" t="s">
        <v>265</v>
      </c>
      <c r="DB116">
        <v>4</v>
      </c>
      <c r="DG116" t="s">
        <v>267</v>
      </c>
      <c r="DI116">
        <v>96</v>
      </c>
      <c r="DN116" t="s">
        <v>268</v>
      </c>
      <c r="DR116">
        <v>88015</v>
      </c>
      <c r="DS116">
        <v>649</v>
      </c>
      <c r="EW116" t="s">
        <v>333</v>
      </c>
      <c r="FA116" t="s">
        <v>803</v>
      </c>
      <c r="FM116">
        <v>20</v>
      </c>
      <c r="FR116" t="s">
        <v>295</v>
      </c>
      <c r="GU116">
        <v>30</v>
      </c>
      <c r="GZ116" t="s">
        <v>296</v>
      </c>
      <c r="HH116" t="s">
        <v>272</v>
      </c>
      <c r="IE116" t="s">
        <v>804</v>
      </c>
      <c r="IF116">
        <v>3734</v>
      </c>
      <c r="IG116" t="s">
        <v>741</v>
      </c>
      <c r="IH116" t="s">
        <v>805</v>
      </c>
      <c r="II116">
        <v>1982</v>
      </c>
      <c r="IJ116" t="s">
        <v>806</v>
      </c>
    </row>
    <row r="117" spans="1:244" x14ac:dyDescent="0.45">
      <c r="A117">
        <v>1111934</v>
      </c>
      <c r="B117">
        <v>21215</v>
      </c>
      <c r="C117">
        <v>7439976</v>
      </c>
      <c r="D117" t="s">
        <v>744</v>
      </c>
      <c r="E117" t="s">
        <v>811</v>
      </c>
      <c r="F117" t="s">
        <v>245</v>
      </c>
      <c r="G117" t="s">
        <v>246</v>
      </c>
      <c r="N117" t="s">
        <v>630</v>
      </c>
      <c r="O117" t="s">
        <v>631</v>
      </c>
      <c r="P117" t="s">
        <v>249</v>
      </c>
      <c r="Q117" t="s">
        <v>250</v>
      </c>
      <c r="R117" t="s">
        <v>251</v>
      </c>
      <c r="T117" t="s">
        <v>389</v>
      </c>
      <c r="U117" t="s">
        <v>632</v>
      </c>
      <c r="V117" t="s">
        <v>633</v>
      </c>
      <c r="W117" t="s">
        <v>634</v>
      </c>
      <c r="X117" t="s">
        <v>635</v>
      </c>
      <c r="AB117" t="s">
        <v>812</v>
      </c>
      <c r="AG117" t="s">
        <v>813</v>
      </c>
      <c r="AM117" t="s">
        <v>317</v>
      </c>
      <c r="AN117" t="s">
        <v>259</v>
      </c>
      <c r="AO117" t="s">
        <v>260</v>
      </c>
      <c r="AQ117" t="s">
        <v>261</v>
      </c>
      <c r="AS117">
        <v>17.5</v>
      </c>
      <c r="AX117" t="s">
        <v>262</v>
      </c>
      <c r="BO117" t="s">
        <v>261</v>
      </c>
      <c r="BQ117">
        <v>1.7500000000000002E-2</v>
      </c>
      <c r="BV117" t="s">
        <v>263</v>
      </c>
      <c r="CM117" t="s">
        <v>264</v>
      </c>
      <c r="CN117" t="s">
        <v>264</v>
      </c>
      <c r="CP117" t="s">
        <v>265</v>
      </c>
      <c r="CQ117" t="s">
        <v>266</v>
      </c>
      <c r="DB117">
        <v>1</v>
      </c>
      <c r="DG117" t="s">
        <v>267</v>
      </c>
      <c r="DI117">
        <v>24</v>
      </c>
      <c r="DN117" t="s">
        <v>268</v>
      </c>
      <c r="DR117">
        <v>136180</v>
      </c>
      <c r="DS117">
        <v>376</v>
      </c>
      <c r="DT117" t="s">
        <v>814</v>
      </c>
      <c r="EW117" t="s">
        <v>271</v>
      </c>
      <c r="FA117" t="s">
        <v>833</v>
      </c>
      <c r="FM117">
        <v>20</v>
      </c>
      <c r="FR117" t="s">
        <v>295</v>
      </c>
      <c r="GU117">
        <v>10</v>
      </c>
      <c r="GZ117" t="s">
        <v>296</v>
      </c>
      <c r="HH117" t="s">
        <v>272</v>
      </c>
      <c r="IE117" t="s">
        <v>816</v>
      </c>
      <c r="IF117">
        <v>8445</v>
      </c>
      <c r="IG117" t="s">
        <v>817</v>
      </c>
      <c r="IH117" t="s">
        <v>818</v>
      </c>
      <c r="II117">
        <v>1978</v>
      </c>
      <c r="IJ117" t="s">
        <v>819</v>
      </c>
    </row>
    <row r="118" spans="1:244" x14ac:dyDescent="0.45">
      <c r="A118">
        <v>1111928</v>
      </c>
      <c r="B118">
        <v>21209</v>
      </c>
      <c r="C118">
        <v>7439976</v>
      </c>
      <c r="D118" t="s">
        <v>744</v>
      </c>
      <c r="F118" t="s">
        <v>245</v>
      </c>
      <c r="G118" t="s">
        <v>246</v>
      </c>
      <c r="N118" t="s">
        <v>630</v>
      </c>
      <c r="O118" t="s">
        <v>631</v>
      </c>
      <c r="P118" t="s">
        <v>249</v>
      </c>
      <c r="Q118" t="s">
        <v>250</v>
      </c>
      <c r="R118" t="s">
        <v>251</v>
      </c>
      <c r="T118" t="s">
        <v>389</v>
      </c>
      <c r="U118" t="s">
        <v>632</v>
      </c>
      <c r="V118" t="s">
        <v>633</v>
      </c>
      <c r="W118" t="s">
        <v>634</v>
      </c>
      <c r="X118" t="s">
        <v>635</v>
      </c>
      <c r="Z118" t="s">
        <v>820</v>
      </c>
      <c r="AB118" t="s">
        <v>821</v>
      </c>
      <c r="AG118" t="s">
        <v>813</v>
      </c>
      <c r="AL118" t="s">
        <v>822</v>
      </c>
      <c r="AM118" t="s">
        <v>317</v>
      </c>
      <c r="AN118" t="s">
        <v>259</v>
      </c>
      <c r="AO118" t="s">
        <v>260</v>
      </c>
      <c r="AQ118" t="s">
        <v>261</v>
      </c>
      <c r="AS118">
        <v>16</v>
      </c>
      <c r="AX118" t="s">
        <v>262</v>
      </c>
      <c r="BO118" t="s">
        <v>261</v>
      </c>
      <c r="BQ118">
        <v>1.6E-2</v>
      </c>
      <c r="BV118" t="s">
        <v>263</v>
      </c>
      <c r="CM118" t="s">
        <v>264</v>
      </c>
      <c r="CN118" t="s">
        <v>264</v>
      </c>
      <c r="CP118" t="s">
        <v>265</v>
      </c>
      <c r="CQ118" t="s">
        <v>266</v>
      </c>
      <c r="DB118">
        <v>3</v>
      </c>
      <c r="DG118" t="s">
        <v>267</v>
      </c>
      <c r="DI118">
        <v>72</v>
      </c>
      <c r="DN118" t="s">
        <v>268</v>
      </c>
      <c r="DP118" t="s">
        <v>823</v>
      </c>
      <c r="DR118">
        <v>136180</v>
      </c>
      <c r="DS118">
        <v>376</v>
      </c>
      <c r="DT118" t="s">
        <v>814</v>
      </c>
      <c r="EW118" t="s">
        <v>271</v>
      </c>
      <c r="FK118" t="s">
        <v>824</v>
      </c>
      <c r="FM118">
        <v>20</v>
      </c>
      <c r="FR118" t="s">
        <v>295</v>
      </c>
      <c r="GU118">
        <v>10</v>
      </c>
      <c r="GZ118" t="s">
        <v>296</v>
      </c>
      <c r="HH118" t="s">
        <v>272</v>
      </c>
      <c r="ID118" t="s">
        <v>825</v>
      </c>
      <c r="IE118" t="s">
        <v>816</v>
      </c>
      <c r="IF118">
        <v>8445</v>
      </c>
      <c r="IG118" t="s">
        <v>817</v>
      </c>
      <c r="IH118" t="s">
        <v>818</v>
      </c>
      <c r="II118">
        <v>1978</v>
      </c>
      <c r="IJ118" t="s">
        <v>819</v>
      </c>
    </row>
    <row r="119" spans="1:244" x14ac:dyDescent="0.45">
      <c r="A119">
        <v>1053471</v>
      </c>
      <c r="B119">
        <v>129429</v>
      </c>
      <c r="C119">
        <v>7439976</v>
      </c>
      <c r="D119" t="s">
        <v>744</v>
      </c>
      <c r="F119" t="s">
        <v>245</v>
      </c>
      <c r="G119" t="s">
        <v>246</v>
      </c>
      <c r="N119" t="s">
        <v>630</v>
      </c>
      <c r="O119" t="s">
        <v>631</v>
      </c>
      <c r="P119" t="s">
        <v>249</v>
      </c>
      <c r="Q119" t="s">
        <v>250</v>
      </c>
      <c r="R119" t="s">
        <v>251</v>
      </c>
      <c r="T119" t="s">
        <v>389</v>
      </c>
      <c r="U119" t="s">
        <v>632</v>
      </c>
      <c r="V119" t="s">
        <v>633</v>
      </c>
      <c r="W119" t="s">
        <v>634</v>
      </c>
      <c r="X119" t="s">
        <v>635</v>
      </c>
      <c r="AM119" t="s">
        <v>317</v>
      </c>
      <c r="AN119" t="s">
        <v>259</v>
      </c>
      <c r="AO119" t="s">
        <v>260</v>
      </c>
      <c r="AQ119" t="s">
        <v>261</v>
      </c>
      <c r="AS119">
        <v>20</v>
      </c>
      <c r="AU119">
        <v>7</v>
      </c>
      <c r="AW119">
        <v>38</v>
      </c>
      <c r="AX119" t="s">
        <v>262</v>
      </c>
      <c r="BO119" t="s">
        <v>261</v>
      </c>
      <c r="BQ119">
        <v>0.02</v>
      </c>
      <c r="BS119">
        <v>7.0000000000000001E-3</v>
      </c>
      <c r="BU119">
        <v>3.7999999999999999E-2</v>
      </c>
      <c r="BV119" t="s">
        <v>263</v>
      </c>
      <c r="CM119" t="s">
        <v>264</v>
      </c>
      <c r="CN119" t="s">
        <v>264</v>
      </c>
      <c r="CO119" t="s">
        <v>802</v>
      </c>
      <c r="CP119" t="s">
        <v>265</v>
      </c>
      <c r="DB119">
        <v>4</v>
      </c>
      <c r="DG119" t="s">
        <v>267</v>
      </c>
      <c r="DI119">
        <v>96</v>
      </c>
      <c r="DN119" t="s">
        <v>268</v>
      </c>
      <c r="DR119">
        <v>136180</v>
      </c>
      <c r="DS119">
        <v>376</v>
      </c>
      <c r="EW119" t="s">
        <v>333</v>
      </c>
      <c r="FA119" t="s">
        <v>803</v>
      </c>
      <c r="FM119">
        <v>20</v>
      </c>
      <c r="FR119" t="s">
        <v>295</v>
      </c>
      <c r="GU119">
        <v>30</v>
      </c>
      <c r="GZ119" t="s">
        <v>296</v>
      </c>
      <c r="HH119" t="s">
        <v>272</v>
      </c>
      <c r="IE119" t="s">
        <v>804</v>
      </c>
      <c r="IF119">
        <v>3734</v>
      </c>
      <c r="IG119" t="s">
        <v>741</v>
      </c>
      <c r="IH119" t="s">
        <v>805</v>
      </c>
      <c r="II119">
        <v>1982</v>
      </c>
      <c r="IJ119" t="s">
        <v>806</v>
      </c>
    </row>
    <row r="120" spans="1:244" x14ac:dyDescent="0.45">
      <c r="A120">
        <v>1053472</v>
      </c>
      <c r="B120">
        <v>129430</v>
      </c>
      <c r="C120">
        <v>7439976</v>
      </c>
      <c r="D120" t="s">
        <v>744</v>
      </c>
      <c r="F120" t="s">
        <v>245</v>
      </c>
      <c r="G120" t="s">
        <v>246</v>
      </c>
      <c r="N120" t="s">
        <v>723</v>
      </c>
      <c r="O120" t="s">
        <v>631</v>
      </c>
      <c r="P120" t="s">
        <v>249</v>
      </c>
      <c r="Q120" t="s">
        <v>250</v>
      </c>
      <c r="R120" t="s">
        <v>251</v>
      </c>
      <c r="T120" t="s">
        <v>389</v>
      </c>
      <c r="U120" t="s">
        <v>632</v>
      </c>
      <c r="V120" t="s">
        <v>633</v>
      </c>
      <c r="W120" t="s">
        <v>634</v>
      </c>
      <c r="X120" t="s">
        <v>724</v>
      </c>
      <c r="AM120" t="s">
        <v>317</v>
      </c>
      <c r="AN120" t="s">
        <v>259</v>
      </c>
      <c r="AO120" t="s">
        <v>260</v>
      </c>
      <c r="AQ120" t="s">
        <v>261</v>
      </c>
      <c r="AS120">
        <v>10</v>
      </c>
      <c r="AU120">
        <v>8</v>
      </c>
      <c r="AW120">
        <v>12</v>
      </c>
      <c r="AX120" t="s">
        <v>262</v>
      </c>
      <c r="BO120" t="s">
        <v>261</v>
      </c>
      <c r="BQ120">
        <v>0.01</v>
      </c>
      <c r="BS120">
        <v>8.0000000000000002E-3</v>
      </c>
      <c r="BU120">
        <v>1.2E-2</v>
      </c>
      <c r="BV120" t="s">
        <v>263</v>
      </c>
      <c r="CM120" t="s">
        <v>264</v>
      </c>
      <c r="CN120" t="s">
        <v>264</v>
      </c>
      <c r="CO120" t="s">
        <v>802</v>
      </c>
      <c r="CP120" t="s">
        <v>265</v>
      </c>
      <c r="DB120">
        <v>4</v>
      </c>
      <c r="DG120" t="s">
        <v>267</v>
      </c>
      <c r="DI120">
        <v>96</v>
      </c>
      <c r="DN120" t="s">
        <v>268</v>
      </c>
      <c r="DR120">
        <v>136140</v>
      </c>
      <c r="DS120">
        <v>1784</v>
      </c>
      <c r="EW120" t="s">
        <v>333</v>
      </c>
      <c r="FA120" t="s">
        <v>803</v>
      </c>
      <c r="FM120">
        <v>10</v>
      </c>
      <c r="FR120" t="s">
        <v>295</v>
      </c>
      <c r="GU120">
        <v>30</v>
      </c>
      <c r="GZ120" t="s">
        <v>296</v>
      </c>
      <c r="HH120" t="s">
        <v>272</v>
      </c>
      <c r="IE120" t="s">
        <v>804</v>
      </c>
      <c r="IF120">
        <v>3734</v>
      </c>
      <c r="IG120" t="s">
        <v>741</v>
      </c>
      <c r="IH120" t="s">
        <v>805</v>
      </c>
      <c r="II120">
        <v>1982</v>
      </c>
      <c r="IJ120" t="s">
        <v>806</v>
      </c>
    </row>
    <row r="121" spans="1:244" x14ac:dyDescent="0.45">
      <c r="A121">
        <v>1111937</v>
      </c>
      <c r="B121">
        <v>21218</v>
      </c>
      <c r="C121">
        <v>7439976</v>
      </c>
      <c r="D121" t="s">
        <v>744</v>
      </c>
      <c r="E121" t="s">
        <v>811</v>
      </c>
      <c r="F121" t="s">
        <v>245</v>
      </c>
      <c r="G121" t="s">
        <v>246</v>
      </c>
      <c r="N121" t="s">
        <v>630</v>
      </c>
      <c r="O121" t="s">
        <v>631</v>
      </c>
      <c r="P121" t="s">
        <v>249</v>
      </c>
      <c r="Q121" t="s">
        <v>250</v>
      </c>
      <c r="R121" t="s">
        <v>251</v>
      </c>
      <c r="T121" t="s">
        <v>389</v>
      </c>
      <c r="U121" t="s">
        <v>632</v>
      </c>
      <c r="V121" t="s">
        <v>633</v>
      </c>
      <c r="W121" t="s">
        <v>634</v>
      </c>
      <c r="X121" t="s">
        <v>635</v>
      </c>
      <c r="AB121" t="s">
        <v>812</v>
      </c>
      <c r="AG121" t="s">
        <v>813</v>
      </c>
      <c r="AM121" t="s">
        <v>317</v>
      </c>
      <c r="AN121" t="s">
        <v>259</v>
      </c>
      <c r="AO121" t="s">
        <v>260</v>
      </c>
      <c r="AQ121" t="s">
        <v>261</v>
      </c>
      <c r="AS121">
        <v>10</v>
      </c>
      <c r="AX121" t="s">
        <v>262</v>
      </c>
      <c r="BO121" t="s">
        <v>261</v>
      </c>
      <c r="BQ121">
        <v>0.01</v>
      </c>
      <c r="BV121" t="s">
        <v>263</v>
      </c>
      <c r="CM121" t="s">
        <v>264</v>
      </c>
      <c r="CN121" t="s">
        <v>264</v>
      </c>
      <c r="CP121" t="s">
        <v>265</v>
      </c>
      <c r="CQ121" t="s">
        <v>266</v>
      </c>
      <c r="DB121">
        <v>4</v>
      </c>
      <c r="DG121" t="s">
        <v>267</v>
      </c>
      <c r="DI121">
        <v>96</v>
      </c>
      <c r="DN121" t="s">
        <v>268</v>
      </c>
      <c r="DP121" t="s">
        <v>823</v>
      </c>
      <c r="DR121">
        <v>136180</v>
      </c>
      <c r="DS121">
        <v>376</v>
      </c>
      <c r="DT121" t="s">
        <v>814</v>
      </c>
      <c r="EW121" t="s">
        <v>271</v>
      </c>
      <c r="FA121" t="s">
        <v>834</v>
      </c>
      <c r="FM121">
        <v>20</v>
      </c>
      <c r="FR121" t="s">
        <v>295</v>
      </c>
      <c r="GU121">
        <v>10</v>
      </c>
      <c r="GZ121" t="s">
        <v>296</v>
      </c>
      <c r="HH121" t="s">
        <v>272</v>
      </c>
      <c r="IE121" t="s">
        <v>816</v>
      </c>
      <c r="IF121">
        <v>8445</v>
      </c>
      <c r="IG121" t="s">
        <v>817</v>
      </c>
      <c r="IH121" t="s">
        <v>818</v>
      </c>
      <c r="II121">
        <v>1978</v>
      </c>
      <c r="IJ121" t="s">
        <v>819</v>
      </c>
    </row>
    <row r="122" spans="1:244" x14ac:dyDescent="0.45">
      <c r="A122">
        <v>1111936</v>
      </c>
      <c r="B122">
        <v>21217</v>
      </c>
      <c r="C122">
        <v>7439976</v>
      </c>
      <c r="D122" t="s">
        <v>744</v>
      </c>
      <c r="E122" t="s">
        <v>811</v>
      </c>
      <c r="F122" t="s">
        <v>245</v>
      </c>
      <c r="G122" t="s">
        <v>246</v>
      </c>
      <c r="N122" t="s">
        <v>630</v>
      </c>
      <c r="O122" t="s">
        <v>631</v>
      </c>
      <c r="P122" t="s">
        <v>249</v>
      </c>
      <c r="Q122" t="s">
        <v>250</v>
      </c>
      <c r="R122" t="s">
        <v>251</v>
      </c>
      <c r="T122" t="s">
        <v>389</v>
      </c>
      <c r="U122" t="s">
        <v>632</v>
      </c>
      <c r="V122" t="s">
        <v>633</v>
      </c>
      <c r="W122" t="s">
        <v>634</v>
      </c>
      <c r="X122" t="s">
        <v>635</v>
      </c>
      <c r="AB122" t="s">
        <v>812</v>
      </c>
      <c r="AG122" t="s">
        <v>813</v>
      </c>
      <c r="AM122" t="s">
        <v>317</v>
      </c>
      <c r="AN122" t="s">
        <v>259</v>
      </c>
      <c r="AO122" t="s">
        <v>260</v>
      </c>
      <c r="AQ122" t="s">
        <v>261</v>
      </c>
      <c r="AS122">
        <v>13</v>
      </c>
      <c r="AX122" t="s">
        <v>262</v>
      </c>
      <c r="BO122" t="s">
        <v>261</v>
      </c>
      <c r="BQ122">
        <v>1.2999999999999999E-2</v>
      </c>
      <c r="BV122" t="s">
        <v>263</v>
      </c>
      <c r="CM122" t="s">
        <v>264</v>
      </c>
      <c r="CN122" t="s">
        <v>264</v>
      </c>
      <c r="CP122" t="s">
        <v>265</v>
      </c>
      <c r="CQ122" t="s">
        <v>266</v>
      </c>
      <c r="DB122">
        <v>3</v>
      </c>
      <c r="DG122" t="s">
        <v>267</v>
      </c>
      <c r="DI122">
        <v>72</v>
      </c>
      <c r="DN122" t="s">
        <v>268</v>
      </c>
      <c r="DR122">
        <v>136180</v>
      </c>
      <c r="DS122">
        <v>376</v>
      </c>
      <c r="DT122" t="s">
        <v>814</v>
      </c>
      <c r="EW122" t="s">
        <v>271</v>
      </c>
      <c r="FA122" t="s">
        <v>835</v>
      </c>
      <c r="FM122">
        <v>20</v>
      </c>
      <c r="FR122" t="s">
        <v>295</v>
      </c>
      <c r="GU122">
        <v>10</v>
      </c>
      <c r="GZ122" t="s">
        <v>296</v>
      </c>
      <c r="HH122" t="s">
        <v>272</v>
      </c>
      <c r="IE122" t="s">
        <v>816</v>
      </c>
      <c r="IF122">
        <v>8445</v>
      </c>
      <c r="IG122" t="s">
        <v>817</v>
      </c>
      <c r="IH122" t="s">
        <v>818</v>
      </c>
      <c r="II122">
        <v>1978</v>
      </c>
      <c r="IJ122" t="s">
        <v>819</v>
      </c>
    </row>
    <row r="123" spans="1:244" x14ac:dyDescent="0.45">
      <c r="A123">
        <v>1111931</v>
      </c>
      <c r="B123">
        <v>21212</v>
      </c>
      <c r="C123">
        <v>7439976</v>
      </c>
      <c r="D123" t="s">
        <v>744</v>
      </c>
      <c r="F123" t="s">
        <v>245</v>
      </c>
      <c r="G123" t="s">
        <v>246</v>
      </c>
      <c r="N123" t="s">
        <v>630</v>
      </c>
      <c r="O123" t="s">
        <v>631</v>
      </c>
      <c r="P123" t="s">
        <v>249</v>
      </c>
      <c r="Q123" t="s">
        <v>250</v>
      </c>
      <c r="R123" t="s">
        <v>251</v>
      </c>
      <c r="T123" t="s">
        <v>389</v>
      </c>
      <c r="U123" t="s">
        <v>632</v>
      </c>
      <c r="V123" t="s">
        <v>633</v>
      </c>
      <c r="W123" t="s">
        <v>634</v>
      </c>
      <c r="X123" t="s">
        <v>635</v>
      </c>
      <c r="Z123" t="s">
        <v>826</v>
      </c>
      <c r="AM123" t="s">
        <v>317</v>
      </c>
      <c r="AN123" t="s">
        <v>259</v>
      </c>
      <c r="AO123" t="s">
        <v>260</v>
      </c>
      <c r="AQ123" t="s">
        <v>261</v>
      </c>
      <c r="AS123">
        <v>19</v>
      </c>
      <c r="AX123" t="s">
        <v>262</v>
      </c>
      <c r="BO123" t="s">
        <v>261</v>
      </c>
      <c r="BQ123">
        <v>1.9E-2</v>
      </c>
      <c r="BV123" t="s">
        <v>263</v>
      </c>
      <c r="CM123" t="s">
        <v>264</v>
      </c>
      <c r="CN123" t="s">
        <v>264</v>
      </c>
      <c r="CP123" t="s">
        <v>265</v>
      </c>
      <c r="CQ123" t="s">
        <v>266</v>
      </c>
      <c r="DB123">
        <v>2</v>
      </c>
      <c r="DG123" t="s">
        <v>267</v>
      </c>
      <c r="DI123">
        <v>48</v>
      </c>
      <c r="DN123" t="s">
        <v>268</v>
      </c>
      <c r="DP123" t="s">
        <v>823</v>
      </c>
      <c r="DR123">
        <v>136180</v>
      </c>
      <c r="DS123">
        <v>376</v>
      </c>
      <c r="DT123" t="s">
        <v>814</v>
      </c>
      <c r="EW123" t="s">
        <v>271</v>
      </c>
      <c r="FK123" t="s">
        <v>824</v>
      </c>
      <c r="FM123">
        <v>20</v>
      </c>
      <c r="FR123" t="s">
        <v>295</v>
      </c>
      <c r="GU123">
        <v>10</v>
      </c>
      <c r="GZ123" t="s">
        <v>296</v>
      </c>
      <c r="HH123" t="s">
        <v>272</v>
      </c>
      <c r="ID123" t="s">
        <v>825</v>
      </c>
      <c r="IE123" t="s">
        <v>816</v>
      </c>
      <c r="IF123">
        <v>8445</v>
      </c>
      <c r="IG123" t="s">
        <v>817</v>
      </c>
      <c r="IH123" t="s">
        <v>818</v>
      </c>
      <c r="II123">
        <v>1978</v>
      </c>
      <c r="IJ123" t="s">
        <v>819</v>
      </c>
    </row>
    <row r="124" spans="1:244" x14ac:dyDescent="0.45">
      <c r="A124">
        <v>1111933</v>
      </c>
      <c r="B124">
        <v>21214</v>
      </c>
      <c r="C124">
        <v>7439976</v>
      </c>
      <c r="D124" t="s">
        <v>744</v>
      </c>
      <c r="F124" t="s">
        <v>245</v>
      </c>
      <c r="G124" t="s">
        <v>246</v>
      </c>
      <c r="N124" t="s">
        <v>630</v>
      </c>
      <c r="O124" t="s">
        <v>631</v>
      </c>
      <c r="P124" t="s">
        <v>249</v>
      </c>
      <c r="Q124" t="s">
        <v>250</v>
      </c>
      <c r="R124" t="s">
        <v>251</v>
      </c>
      <c r="T124" t="s">
        <v>389</v>
      </c>
      <c r="U124" t="s">
        <v>632</v>
      </c>
      <c r="V124" t="s">
        <v>633</v>
      </c>
      <c r="W124" t="s">
        <v>634</v>
      </c>
      <c r="X124" t="s">
        <v>635</v>
      </c>
      <c r="Z124" t="s">
        <v>826</v>
      </c>
      <c r="AM124" t="s">
        <v>317</v>
      </c>
      <c r="AN124" t="s">
        <v>259</v>
      </c>
      <c r="AO124" t="s">
        <v>260</v>
      </c>
      <c r="AQ124" t="s">
        <v>261</v>
      </c>
      <c r="AS124">
        <v>14</v>
      </c>
      <c r="AX124" t="s">
        <v>262</v>
      </c>
      <c r="BO124" t="s">
        <v>261</v>
      </c>
      <c r="BQ124">
        <v>1.4E-2</v>
      </c>
      <c r="BV124" t="s">
        <v>263</v>
      </c>
      <c r="CM124" t="s">
        <v>264</v>
      </c>
      <c r="CN124" t="s">
        <v>264</v>
      </c>
      <c r="CP124" t="s">
        <v>265</v>
      </c>
      <c r="CQ124" t="s">
        <v>266</v>
      </c>
      <c r="DB124">
        <v>4</v>
      </c>
      <c r="DG124" t="s">
        <v>267</v>
      </c>
      <c r="DI124">
        <v>96</v>
      </c>
      <c r="DN124" t="s">
        <v>268</v>
      </c>
      <c r="DP124" t="s">
        <v>823</v>
      </c>
      <c r="DR124">
        <v>136180</v>
      </c>
      <c r="DS124">
        <v>376</v>
      </c>
      <c r="DT124" t="s">
        <v>814</v>
      </c>
      <c r="EW124" t="s">
        <v>271</v>
      </c>
      <c r="FK124" t="s">
        <v>824</v>
      </c>
      <c r="FM124">
        <v>20</v>
      </c>
      <c r="FR124" t="s">
        <v>295</v>
      </c>
      <c r="GU124">
        <v>10</v>
      </c>
      <c r="GZ124" t="s">
        <v>296</v>
      </c>
      <c r="HH124" t="s">
        <v>272</v>
      </c>
      <c r="ID124" t="s">
        <v>825</v>
      </c>
      <c r="IE124" t="s">
        <v>816</v>
      </c>
      <c r="IF124">
        <v>8445</v>
      </c>
      <c r="IG124" t="s">
        <v>817</v>
      </c>
      <c r="IH124" t="s">
        <v>818</v>
      </c>
      <c r="II124">
        <v>1978</v>
      </c>
      <c r="IJ124" t="s">
        <v>819</v>
      </c>
    </row>
    <row r="125" spans="1:244" x14ac:dyDescent="0.45">
      <c r="A125">
        <v>1111927</v>
      </c>
      <c r="B125">
        <v>21208</v>
      </c>
      <c r="C125">
        <v>7439976</v>
      </c>
      <c r="D125" t="s">
        <v>744</v>
      </c>
      <c r="F125" t="s">
        <v>245</v>
      </c>
      <c r="G125" t="s">
        <v>246</v>
      </c>
      <c r="N125" t="s">
        <v>630</v>
      </c>
      <c r="O125" t="s">
        <v>631</v>
      </c>
      <c r="P125" t="s">
        <v>249</v>
      </c>
      <c r="Q125" t="s">
        <v>250</v>
      </c>
      <c r="R125" t="s">
        <v>251</v>
      </c>
      <c r="T125" t="s">
        <v>389</v>
      </c>
      <c r="U125" t="s">
        <v>632</v>
      </c>
      <c r="V125" t="s">
        <v>633</v>
      </c>
      <c r="W125" t="s">
        <v>634</v>
      </c>
      <c r="X125" t="s">
        <v>635</v>
      </c>
      <c r="Z125" t="s">
        <v>820</v>
      </c>
      <c r="AB125" t="s">
        <v>821</v>
      </c>
      <c r="AG125" t="s">
        <v>813</v>
      </c>
      <c r="AL125" t="s">
        <v>822</v>
      </c>
      <c r="AM125" t="s">
        <v>317</v>
      </c>
      <c r="AN125" t="s">
        <v>259</v>
      </c>
      <c r="AO125" t="s">
        <v>260</v>
      </c>
      <c r="AQ125" t="s">
        <v>261</v>
      </c>
      <c r="AS125">
        <v>19</v>
      </c>
      <c r="AX125" t="s">
        <v>262</v>
      </c>
      <c r="BO125" t="s">
        <v>261</v>
      </c>
      <c r="BQ125">
        <v>1.9E-2</v>
      </c>
      <c r="BV125" t="s">
        <v>263</v>
      </c>
      <c r="CM125" t="s">
        <v>264</v>
      </c>
      <c r="CN125" t="s">
        <v>264</v>
      </c>
      <c r="CP125" t="s">
        <v>265</v>
      </c>
      <c r="CQ125" t="s">
        <v>266</v>
      </c>
      <c r="DB125">
        <v>2</v>
      </c>
      <c r="DG125" t="s">
        <v>267</v>
      </c>
      <c r="DI125">
        <v>48</v>
      </c>
      <c r="DN125" t="s">
        <v>268</v>
      </c>
      <c r="DP125" t="s">
        <v>823</v>
      </c>
      <c r="DR125">
        <v>136180</v>
      </c>
      <c r="DS125">
        <v>376</v>
      </c>
      <c r="DT125" t="s">
        <v>814</v>
      </c>
      <c r="EW125" t="s">
        <v>271</v>
      </c>
      <c r="FK125" t="s">
        <v>824</v>
      </c>
      <c r="FM125">
        <v>20</v>
      </c>
      <c r="FR125" t="s">
        <v>295</v>
      </c>
      <c r="GU125">
        <v>10</v>
      </c>
      <c r="GZ125" t="s">
        <v>296</v>
      </c>
      <c r="HH125" t="s">
        <v>272</v>
      </c>
      <c r="ID125" t="s">
        <v>825</v>
      </c>
      <c r="IE125" t="s">
        <v>816</v>
      </c>
      <c r="IF125">
        <v>8445</v>
      </c>
      <c r="IG125" t="s">
        <v>817</v>
      </c>
      <c r="IH125" t="s">
        <v>818</v>
      </c>
      <c r="II125">
        <v>1978</v>
      </c>
      <c r="IJ125" t="s">
        <v>819</v>
      </c>
    </row>
    <row r="126" spans="1:244" x14ac:dyDescent="0.45">
      <c r="A126">
        <v>1119393</v>
      </c>
      <c r="B126">
        <v>70687</v>
      </c>
      <c r="C126">
        <v>7440020</v>
      </c>
      <c r="D126" t="s">
        <v>836</v>
      </c>
      <c r="F126" t="s">
        <v>245</v>
      </c>
      <c r="G126" t="s">
        <v>246</v>
      </c>
      <c r="N126" t="s">
        <v>546</v>
      </c>
      <c r="O126" t="s">
        <v>547</v>
      </c>
      <c r="P126" t="s">
        <v>249</v>
      </c>
      <c r="Q126" t="s">
        <v>250</v>
      </c>
      <c r="R126" t="s">
        <v>251</v>
      </c>
      <c r="T126" t="s">
        <v>252</v>
      </c>
      <c r="U126" t="s">
        <v>253</v>
      </c>
      <c r="V126" t="s">
        <v>548</v>
      </c>
      <c r="W126" t="s">
        <v>549</v>
      </c>
      <c r="X126" t="s">
        <v>550</v>
      </c>
      <c r="AM126" t="s">
        <v>317</v>
      </c>
      <c r="AN126" t="s">
        <v>259</v>
      </c>
      <c r="AO126" t="s">
        <v>260</v>
      </c>
      <c r="AQ126" t="s">
        <v>261</v>
      </c>
      <c r="AU126">
        <v>100000</v>
      </c>
      <c r="AW126">
        <v>330000</v>
      </c>
      <c r="AX126" t="s">
        <v>262</v>
      </c>
      <c r="BO126" t="s">
        <v>261</v>
      </c>
      <c r="BS126">
        <v>100</v>
      </c>
      <c r="BU126">
        <v>330</v>
      </c>
      <c r="BV126" t="s">
        <v>263</v>
      </c>
      <c r="CM126" t="s">
        <v>264</v>
      </c>
      <c r="CN126" t="s">
        <v>264</v>
      </c>
      <c r="CP126" t="s">
        <v>265</v>
      </c>
      <c r="CQ126" t="s">
        <v>837</v>
      </c>
      <c r="DB126">
        <v>2</v>
      </c>
      <c r="DG126" t="s">
        <v>267</v>
      </c>
      <c r="DI126">
        <v>48</v>
      </c>
      <c r="DN126" t="s">
        <v>268</v>
      </c>
      <c r="DR126">
        <v>491138</v>
      </c>
      <c r="DS126">
        <v>11</v>
      </c>
      <c r="EW126" t="s">
        <v>293</v>
      </c>
      <c r="FM126">
        <v>15</v>
      </c>
      <c r="FR126" t="s">
        <v>295</v>
      </c>
      <c r="HH126" t="s">
        <v>272</v>
      </c>
      <c r="IE126" t="s">
        <v>774</v>
      </c>
      <c r="IF126">
        <v>9258</v>
      </c>
      <c r="IG126" t="s">
        <v>786</v>
      </c>
      <c r="IH126" t="s">
        <v>787</v>
      </c>
      <c r="II126">
        <v>1972</v>
      </c>
      <c r="IJ126" t="s">
        <v>788</v>
      </c>
    </row>
    <row r="127" spans="1:244" x14ac:dyDescent="0.45">
      <c r="A127">
        <v>2094167</v>
      </c>
      <c r="B127">
        <v>2173035</v>
      </c>
      <c r="C127">
        <v>7440020</v>
      </c>
      <c r="D127" t="s">
        <v>836</v>
      </c>
      <c r="F127" t="s">
        <v>245</v>
      </c>
      <c r="G127" t="s">
        <v>272</v>
      </c>
      <c r="N127" t="s">
        <v>838</v>
      </c>
      <c r="O127" t="s">
        <v>839</v>
      </c>
      <c r="P127" t="s">
        <v>249</v>
      </c>
      <c r="Q127" t="s">
        <v>250</v>
      </c>
      <c r="R127" t="s">
        <v>251</v>
      </c>
      <c r="T127" t="s">
        <v>347</v>
      </c>
      <c r="U127" t="s">
        <v>348</v>
      </c>
      <c r="V127" t="s">
        <v>349</v>
      </c>
      <c r="W127" t="s">
        <v>350</v>
      </c>
      <c r="X127" t="s">
        <v>840</v>
      </c>
      <c r="Z127" t="s">
        <v>525</v>
      </c>
      <c r="AA127" t="s">
        <v>289</v>
      </c>
      <c r="AB127">
        <v>24</v>
      </c>
      <c r="AG127" t="s">
        <v>268</v>
      </c>
      <c r="AM127" t="s">
        <v>317</v>
      </c>
      <c r="AN127" t="s">
        <v>259</v>
      </c>
      <c r="AO127" t="s">
        <v>260</v>
      </c>
      <c r="AQ127" t="s">
        <v>261</v>
      </c>
      <c r="AS127">
        <v>1.0699999999999999E-2</v>
      </c>
      <c r="AX127" t="s">
        <v>356</v>
      </c>
      <c r="BO127" t="s">
        <v>261</v>
      </c>
      <c r="BQ127">
        <v>1.0699999999999999E-2</v>
      </c>
      <c r="BV127" t="s">
        <v>263</v>
      </c>
      <c r="CM127" t="s">
        <v>264</v>
      </c>
      <c r="CN127" t="s">
        <v>264</v>
      </c>
      <c r="CP127" t="s">
        <v>265</v>
      </c>
      <c r="CQ127" t="s">
        <v>837</v>
      </c>
      <c r="DB127">
        <v>1</v>
      </c>
      <c r="DG127" t="s">
        <v>267</v>
      </c>
      <c r="DI127">
        <v>24</v>
      </c>
      <c r="DN127" t="s">
        <v>268</v>
      </c>
      <c r="DR127">
        <v>6661</v>
      </c>
      <c r="DS127">
        <v>3004</v>
      </c>
      <c r="DV127">
        <v>24</v>
      </c>
      <c r="EA127" t="s">
        <v>268</v>
      </c>
      <c r="EC127">
        <v>1</v>
      </c>
      <c r="EH127" t="s">
        <v>267</v>
      </c>
      <c r="EJ127">
        <v>24</v>
      </c>
      <c r="EO127" t="s">
        <v>268</v>
      </c>
      <c r="EQ127">
        <v>1</v>
      </c>
      <c r="EV127" t="s">
        <v>267</v>
      </c>
      <c r="EW127" t="s">
        <v>293</v>
      </c>
      <c r="FM127">
        <v>27</v>
      </c>
      <c r="FR127" t="s">
        <v>295</v>
      </c>
      <c r="GU127">
        <v>35</v>
      </c>
      <c r="GZ127" t="s">
        <v>296</v>
      </c>
      <c r="HH127" t="s">
        <v>272</v>
      </c>
      <c r="IE127" t="s">
        <v>841</v>
      </c>
      <c r="IF127">
        <v>164155</v>
      </c>
      <c r="IG127" t="s">
        <v>842</v>
      </c>
      <c r="IH127" t="s">
        <v>843</v>
      </c>
      <c r="II127">
        <v>2013</v>
      </c>
      <c r="IJ127" t="s">
        <v>844</v>
      </c>
    </row>
    <row r="128" spans="1:244" x14ac:dyDescent="0.45">
      <c r="A128">
        <v>1057444</v>
      </c>
      <c r="B128">
        <v>131430</v>
      </c>
      <c r="C128">
        <v>7440020</v>
      </c>
      <c r="D128" t="s">
        <v>836</v>
      </c>
      <c r="E128" t="s">
        <v>386</v>
      </c>
      <c r="F128" t="s">
        <v>245</v>
      </c>
      <c r="G128" t="s">
        <v>246</v>
      </c>
      <c r="N128" t="s">
        <v>845</v>
      </c>
      <c r="O128" t="s">
        <v>846</v>
      </c>
      <c r="P128" t="s">
        <v>249</v>
      </c>
      <c r="Q128" t="s">
        <v>250</v>
      </c>
      <c r="R128" t="s">
        <v>251</v>
      </c>
      <c r="T128" t="s">
        <v>252</v>
      </c>
      <c r="U128" t="s">
        <v>253</v>
      </c>
      <c r="V128" t="s">
        <v>418</v>
      </c>
      <c r="W128" t="s">
        <v>847</v>
      </c>
      <c r="X128" t="s">
        <v>848</v>
      </c>
      <c r="Z128" t="s">
        <v>421</v>
      </c>
      <c r="AB128">
        <v>3</v>
      </c>
      <c r="AG128" t="s">
        <v>598</v>
      </c>
      <c r="AM128" t="s">
        <v>258</v>
      </c>
      <c r="AN128" t="s">
        <v>259</v>
      </c>
      <c r="AO128" t="s">
        <v>260</v>
      </c>
      <c r="AQ128" t="s">
        <v>261</v>
      </c>
      <c r="AS128">
        <v>8850</v>
      </c>
      <c r="AX128" t="s">
        <v>262</v>
      </c>
      <c r="BO128" t="s">
        <v>261</v>
      </c>
      <c r="BQ128">
        <v>8.85</v>
      </c>
      <c r="BV128" t="s">
        <v>263</v>
      </c>
      <c r="CM128" t="s">
        <v>264</v>
      </c>
      <c r="CN128" t="s">
        <v>264</v>
      </c>
      <c r="CP128" t="s">
        <v>265</v>
      </c>
      <c r="DB128">
        <v>2</v>
      </c>
      <c r="DG128" t="s">
        <v>267</v>
      </c>
      <c r="DI128">
        <v>48</v>
      </c>
      <c r="DN128" t="s">
        <v>268</v>
      </c>
      <c r="DP128" t="s">
        <v>849</v>
      </c>
      <c r="DR128">
        <v>32278</v>
      </c>
      <c r="DS128">
        <v>4580</v>
      </c>
      <c r="DT128" t="s">
        <v>850</v>
      </c>
      <c r="EW128" t="s">
        <v>271</v>
      </c>
      <c r="FK128" t="s">
        <v>851</v>
      </c>
      <c r="FM128">
        <v>28</v>
      </c>
      <c r="FR128" t="s">
        <v>295</v>
      </c>
      <c r="GO128">
        <v>8.6999999999999993</v>
      </c>
      <c r="GW128">
        <v>30</v>
      </c>
      <c r="GY128">
        <v>34</v>
      </c>
      <c r="GZ128" t="s">
        <v>296</v>
      </c>
      <c r="HH128" t="s">
        <v>272</v>
      </c>
      <c r="ID128" t="s">
        <v>852</v>
      </c>
      <c r="IE128" t="s">
        <v>853</v>
      </c>
      <c r="IF128">
        <v>4127</v>
      </c>
      <c r="IG128" t="s">
        <v>854</v>
      </c>
      <c r="IH128" t="s">
        <v>855</v>
      </c>
      <c r="II128">
        <v>1993</v>
      </c>
      <c r="IJ128" t="s">
        <v>856</v>
      </c>
    </row>
    <row r="129" spans="1:244" x14ac:dyDescent="0.45">
      <c r="A129">
        <v>1053477</v>
      </c>
      <c r="B129">
        <v>129435</v>
      </c>
      <c r="C129">
        <v>7440020</v>
      </c>
      <c r="D129" t="s">
        <v>836</v>
      </c>
      <c r="F129" t="s">
        <v>245</v>
      </c>
      <c r="G129" t="s">
        <v>246</v>
      </c>
      <c r="N129" t="s">
        <v>798</v>
      </c>
      <c r="O129" t="s">
        <v>631</v>
      </c>
      <c r="P129" t="s">
        <v>249</v>
      </c>
      <c r="Q129" t="s">
        <v>250</v>
      </c>
      <c r="R129" t="s">
        <v>251</v>
      </c>
      <c r="T129" t="s">
        <v>389</v>
      </c>
      <c r="U129" t="s">
        <v>632</v>
      </c>
      <c r="V129" t="s">
        <v>799</v>
      </c>
      <c r="W129" t="s">
        <v>800</v>
      </c>
      <c r="X129" t="s">
        <v>801</v>
      </c>
      <c r="AM129" t="s">
        <v>317</v>
      </c>
      <c r="AN129" t="s">
        <v>259</v>
      </c>
      <c r="AO129" t="s">
        <v>260</v>
      </c>
      <c r="AQ129" t="s">
        <v>261</v>
      </c>
      <c r="AS129">
        <v>9100</v>
      </c>
      <c r="AU129">
        <v>6170</v>
      </c>
      <c r="AW129">
        <v>12400</v>
      </c>
      <c r="AX129" t="s">
        <v>262</v>
      </c>
      <c r="BO129" t="s">
        <v>261</v>
      </c>
      <c r="BQ129">
        <v>9.1</v>
      </c>
      <c r="BS129">
        <v>6.17</v>
      </c>
      <c r="BU129">
        <v>12.4</v>
      </c>
      <c r="BV129" t="s">
        <v>263</v>
      </c>
      <c r="CM129" t="s">
        <v>264</v>
      </c>
      <c r="CN129" t="s">
        <v>264</v>
      </c>
      <c r="CP129" t="s">
        <v>265</v>
      </c>
      <c r="DB129">
        <v>3</v>
      </c>
      <c r="DG129" t="s">
        <v>267</v>
      </c>
      <c r="DI129">
        <v>72</v>
      </c>
      <c r="DN129" t="s">
        <v>268</v>
      </c>
      <c r="DR129">
        <v>163476</v>
      </c>
      <c r="DS129">
        <v>740</v>
      </c>
      <c r="EW129" t="s">
        <v>333</v>
      </c>
      <c r="FA129" t="s">
        <v>803</v>
      </c>
      <c r="FM129">
        <v>20</v>
      </c>
      <c r="FR129" t="s">
        <v>295</v>
      </c>
      <c r="GU129">
        <v>30</v>
      </c>
      <c r="GZ129" t="s">
        <v>296</v>
      </c>
      <c r="HH129" t="s">
        <v>272</v>
      </c>
      <c r="IE129" t="s">
        <v>804</v>
      </c>
      <c r="IF129">
        <v>3734</v>
      </c>
      <c r="IG129" t="s">
        <v>741</v>
      </c>
      <c r="IH129" t="s">
        <v>805</v>
      </c>
      <c r="II129">
        <v>1982</v>
      </c>
      <c r="IJ129" t="s">
        <v>806</v>
      </c>
    </row>
    <row r="130" spans="1:244" x14ac:dyDescent="0.45">
      <c r="A130">
        <v>1057442</v>
      </c>
      <c r="B130">
        <v>131428</v>
      </c>
      <c r="C130">
        <v>7440020</v>
      </c>
      <c r="D130" t="s">
        <v>836</v>
      </c>
      <c r="E130" t="s">
        <v>386</v>
      </c>
      <c r="F130" t="s">
        <v>245</v>
      </c>
      <c r="G130" t="s">
        <v>246</v>
      </c>
      <c r="N130" t="s">
        <v>845</v>
      </c>
      <c r="O130" t="s">
        <v>846</v>
      </c>
      <c r="P130" t="s">
        <v>249</v>
      </c>
      <c r="Q130" t="s">
        <v>250</v>
      </c>
      <c r="R130" t="s">
        <v>251</v>
      </c>
      <c r="T130" t="s">
        <v>252</v>
      </c>
      <c r="U130" t="s">
        <v>253</v>
      </c>
      <c r="V130" t="s">
        <v>418</v>
      </c>
      <c r="W130" t="s">
        <v>847</v>
      </c>
      <c r="X130" t="s">
        <v>848</v>
      </c>
      <c r="Z130" t="s">
        <v>857</v>
      </c>
      <c r="AB130">
        <v>3</v>
      </c>
      <c r="AG130" t="s">
        <v>598</v>
      </c>
      <c r="AM130" t="s">
        <v>258</v>
      </c>
      <c r="AN130" t="s">
        <v>259</v>
      </c>
      <c r="AO130" t="s">
        <v>260</v>
      </c>
      <c r="AQ130" t="s">
        <v>261</v>
      </c>
      <c r="AS130">
        <v>1280</v>
      </c>
      <c r="AX130" t="s">
        <v>262</v>
      </c>
      <c r="BO130" t="s">
        <v>261</v>
      </c>
      <c r="BQ130">
        <v>1.28</v>
      </c>
      <c r="BV130" t="s">
        <v>263</v>
      </c>
      <c r="CM130" t="s">
        <v>264</v>
      </c>
      <c r="CN130" t="s">
        <v>264</v>
      </c>
      <c r="CP130" t="s">
        <v>265</v>
      </c>
      <c r="DB130">
        <v>2</v>
      </c>
      <c r="DG130" t="s">
        <v>267</v>
      </c>
      <c r="DI130">
        <v>48</v>
      </c>
      <c r="DN130" t="s">
        <v>268</v>
      </c>
      <c r="DP130" t="s">
        <v>849</v>
      </c>
      <c r="DR130">
        <v>32278</v>
      </c>
      <c r="DS130">
        <v>4580</v>
      </c>
      <c r="DT130" t="s">
        <v>850</v>
      </c>
      <c r="EW130" t="s">
        <v>271</v>
      </c>
      <c r="FK130" t="s">
        <v>851</v>
      </c>
      <c r="FM130">
        <v>28</v>
      </c>
      <c r="FR130" t="s">
        <v>295</v>
      </c>
      <c r="GO130">
        <v>8.6999999999999993</v>
      </c>
      <c r="GW130">
        <v>30</v>
      </c>
      <c r="GY130">
        <v>34</v>
      </c>
      <c r="GZ130" t="s">
        <v>296</v>
      </c>
      <c r="HH130" t="s">
        <v>272</v>
      </c>
      <c r="ID130" t="s">
        <v>852</v>
      </c>
      <c r="IE130" t="s">
        <v>853</v>
      </c>
      <c r="IF130">
        <v>4127</v>
      </c>
      <c r="IG130" t="s">
        <v>854</v>
      </c>
      <c r="IH130" t="s">
        <v>855</v>
      </c>
      <c r="II130">
        <v>1993</v>
      </c>
      <c r="IJ130" t="s">
        <v>856</v>
      </c>
    </row>
    <row r="131" spans="1:244" x14ac:dyDescent="0.45">
      <c r="A131">
        <v>1057443</v>
      </c>
      <c r="B131">
        <v>131429</v>
      </c>
      <c r="C131">
        <v>7440020</v>
      </c>
      <c r="D131" t="s">
        <v>836</v>
      </c>
      <c r="E131" t="s">
        <v>386</v>
      </c>
      <c r="F131" t="s">
        <v>245</v>
      </c>
      <c r="G131" t="s">
        <v>246</v>
      </c>
      <c r="N131" t="s">
        <v>845</v>
      </c>
      <c r="O131" t="s">
        <v>846</v>
      </c>
      <c r="P131" t="s">
        <v>249</v>
      </c>
      <c r="Q131" t="s">
        <v>250</v>
      </c>
      <c r="R131" t="s">
        <v>251</v>
      </c>
      <c r="T131" t="s">
        <v>252</v>
      </c>
      <c r="U131" t="s">
        <v>253</v>
      </c>
      <c r="V131" t="s">
        <v>418</v>
      </c>
      <c r="W131" t="s">
        <v>847</v>
      </c>
      <c r="X131" t="s">
        <v>848</v>
      </c>
      <c r="AB131">
        <v>3</v>
      </c>
      <c r="AG131" t="s">
        <v>598</v>
      </c>
      <c r="AL131" t="s">
        <v>858</v>
      </c>
      <c r="AM131" t="s">
        <v>258</v>
      </c>
      <c r="AN131" t="s">
        <v>259</v>
      </c>
      <c r="AO131" t="s">
        <v>260</v>
      </c>
      <c r="AQ131" t="s">
        <v>261</v>
      </c>
      <c r="AS131">
        <v>9280</v>
      </c>
      <c r="AX131" t="s">
        <v>262</v>
      </c>
      <c r="BO131" t="s">
        <v>261</v>
      </c>
      <c r="BQ131">
        <v>9.2799999999999994</v>
      </c>
      <c r="BV131" t="s">
        <v>263</v>
      </c>
      <c r="CM131" t="s">
        <v>264</v>
      </c>
      <c r="CN131" t="s">
        <v>264</v>
      </c>
      <c r="CP131" t="s">
        <v>265</v>
      </c>
      <c r="DB131">
        <v>2</v>
      </c>
      <c r="DG131" t="s">
        <v>267</v>
      </c>
      <c r="DI131">
        <v>48</v>
      </c>
      <c r="DN131" t="s">
        <v>268</v>
      </c>
      <c r="DP131" t="s">
        <v>849</v>
      </c>
      <c r="DR131">
        <v>32278</v>
      </c>
      <c r="DS131">
        <v>4580</v>
      </c>
      <c r="DT131" t="s">
        <v>850</v>
      </c>
      <c r="EW131" t="s">
        <v>271</v>
      </c>
      <c r="FK131" t="s">
        <v>851</v>
      </c>
      <c r="FM131">
        <v>28</v>
      </c>
      <c r="FR131" t="s">
        <v>295</v>
      </c>
      <c r="GO131">
        <v>8.6999999999999993</v>
      </c>
      <c r="GW131">
        <v>30</v>
      </c>
      <c r="GY131">
        <v>34</v>
      </c>
      <c r="GZ131" t="s">
        <v>296</v>
      </c>
      <c r="HH131" t="s">
        <v>272</v>
      </c>
      <c r="ID131" t="s">
        <v>852</v>
      </c>
      <c r="IE131" t="s">
        <v>853</v>
      </c>
      <c r="IF131">
        <v>4127</v>
      </c>
      <c r="IG131" t="s">
        <v>854</v>
      </c>
      <c r="IH131" t="s">
        <v>855</v>
      </c>
      <c r="II131">
        <v>1993</v>
      </c>
      <c r="IJ131" t="s">
        <v>856</v>
      </c>
    </row>
    <row r="132" spans="1:244" x14ac:dyDescent="0.45">
      <c r="A132">
        <v>2094165</v>
      </c>
      <c r="B132">
        <v>2173033</v>
      </c>
      <c r="C132">
        <v>7440020</v>
      </c>
      <c r="D132" t="s">
        <v>836</v>
      </c>
      <c r="F132" t="s">
        <v>245</v>
      </c>
      <c r="G132" t="s">
        <v>272</v>
      </c>
      <c r="N132" t="s">
        <v>859</v>
      </c>
      <c r="O132" t="s">
        <v>346</v>
      </c>
      <c r="P132" t="s">
        <v>249</v>
      </c>
      <c r="Q132" t="s">
        <v>250</v>
      </c>
      <c r="R132" t="s">
        <v>251</v>
      </c>
      <c r="T132" t="s">
        <v>347</v>
      </c>
      <c r="U132" t="s">
        <v>348</v>
      </c>
      <c r="V132" t="s">
        <v>349</v>
      </c>
      <c r="W132" t="s">
        <v>350</v>
      </c>
      <c r="X132" t="s">
        <v>860</v>
      </c>
      <c r="Z132" t="s">
        <v>525</v>
      </c>
      <c r="AA132" t="s">
        <v>289</v>
      </c>
      <c r="AB132">
        <v>24</v>
      </c>
      <c r="AG132" t="s">
        <v>268</v>
      </c>
      <c r="AM132" t="s">
        <v>317</v>
      </c>
      <c r="AN132" t="s">
        <v>259</v>
      </c>
      <c r="AO132" t="s">
        <v>260</v>
      </c>
      <c r="AQ132" t="s">
        <v>261</v>
      </c>
      <c r="AS132">
        <v>7.1999999999999998E-3</v>
      </c>
      <c r="AX132" t="s">
        <v>356</v>
      </c>
      <c r="BO132" t="s">
        <v>261</v>
      </c>
      <c r="BQ132">
        <v>7.1999999999999998E-3</v>
      </c>
      <c r="BV132" t="s">
        <v>263</v>
      </c>
      <c r="CM132" t="s">
        <v>264</v>
      </c>
      <c r="CN132" t="s">
        <v>264</v>
      </c>
      <c r="CP132" t="s">
        <v>265</v>
      </c>
      <c r="CQ132" t="s">
        <v>837</v>
      </c>
      <c r="DB132">
        <v>1</v>
      </c>
      <c r="DG132" t="s">
        <v>267</v>
      </c>
      <c r="DI132">
        <v>24</v>
      </c>
      <c r="DN132" t="s">
        <v>268</v>
      </c>
      <c r="DR132">
        <v>112782</v>
      </c>
      <c r="DS132">
        <v>33567</v>
      </c>
      <c r="DV132">
        <v>24</v>
      </c>
      <c r="EA132" t="s">
        <v>268</v>
      </c>
      <c r="EC132">
        <v>1</v>
      </c>
      <c r="EH132" t="s">
        <v>267</v>
      </c>
      <c r="EJ132">
        <v>24</v>
      </c>
      <c r="EO132" t="s">
        <v>268</v>
      </c>
      <c r="EQ132">
        <v>1</v>
      </c>
      <c r="EV132" t="s">
        <v>267</v>
      </c>
      <c r="EW132" t="s">
        <v>293</v>
      </c>
      <c r="FM132">
        <v>27</v>
      </c>
      <c r="FR132" t="s">
        <v>295</v>
      </c>
      <c r="GU132">
        <v>75</v>
      </c>
      <c r="GZ132" t="s">
        <v>296</v>
      </c>
      <c r="HH132" t="s">
        <v>272</v>
      </c>
      <c r="IE132" t="s">
        <v>841</v>
      </c>
      <c r="IF132">
        <v>164155</v>
      </c>
      <c r="IG132" t="s">
        <v>842</v>
      </c>
      <c r="IH132" t="s">
        <v>843</v>
      </c>
      <c r="II132">
        <v>2013</v>
      </c>
      <c r="IJ132" t="s">
        <v>844</v>
      </c>
    </row>
    <row r="133" spans="1:244" x14ac:dyDescent="0.45">
      <c r="A133">
        <v>1242037</v>
      </c>
      <c r="B133">
        <v>239938</v>
      </c>
      <c r="C133">
        <v>7440020</v>
      </c>
      <c r="D133" t="s">
        <v>836</v>
      </c>
      <c r="F133" t="s">
        <v>861</v>
      </c>
      <c r="G133" t="s">
        <v>246</v>
      </c>
      <c r="N133" t="s">
        <v>369</v>
      </c>
      <c r="O133" t="s">
        <v>370</v>
      </c>
      <c r="P133" t="s">
        <v>249</v>
      </c>
      <c r="Q133" t="s">
        <v>250</v>
      </c>
      <c r="R133" t="s">
        <v>251</v>
      </c>
      <c r="T133" t="s">
        <v>252</v>
      </c>
      <c r="U133" t="s">
        <v>371</v>
      </c>
      <c r="V133" t="s">
        <v>372</v>
      </c>
      <c r="W133" t="s">
        <v>373</v>
      </c>
      <c r="X133" t="s">
        <v>374</v>
      </c>
      <c r="AM133" t="s">
        <v>258</v>
      </c>
      <c r="AN133" t="s">
        <v>259</v>
      </c>
      <c r="AO133" t="s">
        <v>260</v>
      </c>
      <c r="AP133">
        <v>6</v>
      </c>
      <c r="AQ133" t="s">
        <v>261</v>
      </c>
      <c r="AS133">
        <v>615.1</v>
      </c>
      <c r="AU133">
        <v>476.3</v>
      </c>
      <c r="AW133">
        <v>735.9</v>
      </c>
      <c r="AX133" t="s">
        <v>290</v>
      </c>
      <c r="BO133" t="s">
        <v>261</v>
      </c>
      <c r="BQ133">
        <v>0.61509999999999998</v>
      </c>
      <c r="BS133">
        <v>0.4763</v>
      </c>
      <c r="BU133">
        <v>0.7359</v>
      </c>
      <c r="BV133" t="s">
        <v>263</v>
      </c>
      <c r="CM133" t="s">
        <v>264</v>
      </c>
      <c r="CN133" t="s">
        <v>264</v>
      </c>
      <c r="CP133" t="s">
        <v>265</v>
      </c>
      <c r="CQ133" t="s">
        <v>837</v>
      </c>
      <c r="DB133">
        <v>4</v>
      </c>
      <c r="DG133" t="s">
        <v>267</v>
      </c>
      <c r="DI133">
        <v>96</v>
      </c>
      <c r="DN133" t="s">
        <v>268</v>
      </c>
      <c r="DR133">
        <v>110441</v>
      </c>
      <c r="DS133">
        <v>142</v>
      </c>
      <c r="EW133" t="s">
        <v>293</v>
      </c>
      <c r="FA133" t="s">
        <v>862</v>
      </c>
      <c r="FK133" t="s">
        <v>863</v>
      </c>
      <c r="FO133">
        <v>24.3</v>
      </c>
      <c r="FQ133">
        <v>24.8</v>
      </c>
      <c r="FR133" t="s">
        <v>295</v>
      </c>
      <c r="GJ133">
        <v>6.4</v>
      </c>
      <c r="GL133">
        <v>7</v>
      </c>
      <c r="GM133" t="s">
        <v>356</v>
      </c>
      <c r="GQ133">
        <v>7.9</v>
      </c>
      <c r="GS133">
        <v>8.1999999999999993</v>
      </c>
      <c r="HH133" t="s">
        <v>272</v>
      </c>
      <c r="ID133" t="s">
        <v>864</v>
      </c>
      <c r="IE133" t="s">
        <v>865</v>
      </c>
      <c r="IF133">
        <v>76025</v>
      </c>
      <c r="IG133" t="s">
        <v>866</v>
      </c>
      <c r="IH133" t="s">
        <v>867</v>
      </c>
      <c r="II133">
        <v>1991</v>
      </c>
      <c r="IJ133" t="s">
        <v>868</v>
      </c>
    </row>
    <row r="134" spans="1:244" x14ac:dyDescent="0.45">
      <c r="A134">
        <v>1053476</v>
      </c>
      <c r="B134">
        <v>129434</v>
      </c>
      <c r="C134">
        <v>7440020</v>
      </c>
      <c r="D134" t="s">
        <v>836</v>
      </c>
      <c r="F134" t="s">
        <v>245</v>
      </c>
      <c r="G134" t="s">
        <v>246</v>
      </c>
      <c r="N134" t="s">
        <v>723</v>
      </c>
      <c r="O134" t="s">
        <v>631</v>
      </c>
      <c r="P134" t="s">
        <v>249</v>
      </c>
      <c r="Q134" t="s">
        <v>250</v>
      </c>
      <c r="R134" t="s">
        <v>251</v>
      </c>
      <c r="T134" t="s">
        <v>389</v>
      </c>
      <c r="U134" t="s">
        <v>632</v>
      </c>
      <c r="V134" t="s">
        <v>633</v>
      </c>
      <c r="W134" t="s">
        <v>634</v>
      </c>
      <c r="X134" t="s">
        <v>724</v>
      </c>
      <c r="AM134" t="s">
        <v>317</v>
      </c>
      <c r="AN134" t="s">
        <v>259</v>
      </c>
      <c r="AO134" t="s">
        <v>260</v>
      </c>
      <c r="AQ134" t="s">
        <v>261</v>
      </c>
      <c r="AS134">
        <v>2076</v>
      </c>
      <c r="AU134">
        <v>1525</v>
      </c>
      <c r="AW134">
        <v>2900</v>
      </c>
      <c r="AX134" t="s">
        <v>262</v>
      </c>
      <c r="BO134" t="s">
        <v>261</v>
      </c>
      <c r="BQ134">
        <v>2.0760000000000001</v>
      </c>
      <c r="BS134">
        <v>1.5249999999999999</v>
      </c>
      <c r="BU134">
        <v>2.9</v>
      </c>
      <c r="BV134" t="s">
        <v>263</v>
      </c>
      <c r="CM134" t="s">
        <v>264</v>
      </c>
      <c r="CN134" t="s">
        <v>264</v>
      </c>
      <c r="CO134" t="s">
        <v>869</v>
      </c>
      <c r="CP134" t="s">
        <v>265</v>
      </c>
      <c r="DB134">
        <v>4</v>
      </c>
      <c r="DG134" t="s">
        <v>267</v>
      </c>
      <c r="DI134">
        <v>96</v>
      </c>
      <c r="DN134" t="s">
        <v>268</v>
      </c>
      <c r="DR134">
        <v>136140</v>
      </c>
      <c r="DS134">
        <v>1784</v>
      </c>
      <c r="EW134" t="s">
        <v>333</v>
      </c>
      <c r="FA134" t="s">
        <v>803</v>
      </c>
      <c r="FM134">
        <v>10</v>
      </c>
      <c r="FR134" t="s">
        <v>295</v>
      </c>
      <c r="GU134">
        <v>30</v>
      </c>
      <c r="GZ134" t="s">
        <v>296</v>
      </c>
      <c r="HH134" t="s">
        <v>272</v>
      </c>
      <c r="IE134" t="s">
        <v>804</v>
      </c>
      <c r="IF134">
        <v>3734</v>
      </c>
      <c r="IG134" t="s">
        <v>741</v>
      </c>
      <c r="IH134" t="s">
        <v>805</v>
      </c>
      <c r="II134">
        <v>1982</v>
      </c>
      <c r="IJ134" t="s">
        <v>806</v>
      </c>
    </row>
    <row r="135" spans="1:244" x14ac:dyDescent="0.45">
      <c r="A135">
        <v>1053478</v>
      </c>
      <c r="B135">
        <v>129436</v>
      </c>
      <c r="C135">
        <v>7440020</v>
      </c>
      <c r="D135" t="s">
        <v>836</v>
      </c>
      <c r="F135" t="s">
        <v>245</v>
      </c>
      <c r="G135" t="s">
        <v>246</v>
      </c>
      <c r="N135" t="s">
        <v>829</v>
      </c>
      <c r="O135" t="s">
        <v>631</v>
      </c>
      <c r="P135" t="s">
        <v>249</v>
      </c>
      <c r="Q135" t="s">
        <v>250</v>
      </c>
      <c r="R135" t="s">
        <v>251</v>
      </c>
      <c r="T135" t="s">
        <v>389</v>
      </c>
      <c r="U135" t="s">
        <v>632</v>
      </c>
      <c r="V135" t="s">
        <v>830</v>
      </c>
      <c r="W135" t="s">
        <v>831</v>
      </c>
      <c r="X135" t="s">
        <v>832</v>
      </c>
      <c r="AM135" t="s">
        <v>317</v>
      </c>
      <c r="AN135" t="s">
        <v>259</v>
      </c>
      <c r="AO135" t="s">
        <v>260</v>
      </c>
      <c r="AQ135" t="s">
        <v>261</v>
      </c>
      <c r="AS135">
        <v>9670</v>
      </c>
      <c r="AU135">
        <v>7350</v>
      </c>
      <c r="AW135">
        <v>12120</v>
      </c>
      <c r="AX135" t="s">
        <v>262</v>
      </c>
      <c r="BO135" t="s">
        <v>261</v>
      </c>
      <c r="BQ135">
        <v>9.67</v>
      </c>
      <c r="BS135">
        <v>7.35</v>
      </c>
      <c r="BU135">
        <v>12.12</v>
      </c>
      <c r="BV135" t="s">
        <v>263</v>
      </c>
      <c r="CM135" t="s">
        <v>264</v>
      </c>
      <c r="CN135" t="s">
        <v>264</v>
      </c>
      <c r="CO135" t="s">
        <v>802</v>
      </c>
      <c r="CP135" t="s">
        <v>265</v>
      </c>
      <c r="DB135">
        <v>4</v>
      </c>
      <c r="DG135" t="s">
        <v>267</v>
      </c>
      <c r="DI135">
        <v>96</v>
      </c>
      <c r="DN135" t="s">
        <v>268</v>
      </c>
      <c r="DR135">
        <v>88015</v>
      </c>
      <c r="DS135">
        <v>649</v>
      </c>
      <c r="EW135" t="s">
        <v>333</v>
      </c>
      <c r="FA135" t="s">
        <v>803</v>
      </c>
      <c r="FM135">
        <v>20</v>
      </c>
      <c r="FR135" t="s">
        <v>295</v>
      </c>
      <c r="GU135">
        <v>30</v>
      </c>
      <c r="GZ135" t="s">
        <v>296</v>
      </c>
      <c r="HH135" t="s">
        <v>272</v>
      </c>
      <c r="IE135" t="s">
        <v>804</v>
      </c>
      <c r="IF135">
        <v>3734</v>
      </c>
      <c r="IG135" t="s">
        <v>741</v>
      </c>
      <c r="IH135" t="s">
        <v>805</v>
      </c>
      <c r="II135">
        <v>1982</v>
      </c>
      <c r="IJ135" t="s">
        <v>806</v>
      </c>
    </row>
    <row r="136" spans="1:244" x14ac:dyDescent="0.45">
      <c r="A136">
        <v>1053475</v>
      </c>
      <c r="B136">
        <v>129433</v>
      </c>
      <c r="C136">
        <v>7440020</v>
      </c>
      <c r="D136" t="s">
        <v>836</v>
      </c>
      <c r="F136" t="s">
        <v>245</v>
      </c>
      <c r="G136" t="s">
        <v>246</v>
      </c>
      <c r="N136" t="s">
        <v>630</v>
      </c>
      <c r="O136" t="s">
        <v>631</v>
      </c>
      <c r="P136" t="s">
        <v>249</v>
      </c>
      <c r="Q136" t="s">
        <v>250</v>
      </c>
      <c r="R136" t="s">
        <v>251</v>
      </c>
      <c r="T136" t="s">
        <v>389</v>
      </c>
      <c r="U136" t="s">
        <v>632</v>
      </c>
      <c r="V136" t="s">
        <v>633</v>
      </c>
      <c r="W136" t="s">
        <v>634</v>
      </c>
      <c r="X136" t="s">
        <v>635</v>
      </c>
      <c r="AM136" t="s">
        <v>317</v>
      </c>
      <c r="AN136" t="s">
        <v>259</v>
      </c>
      <c r="AO136" t="s">
        <v>260</v>
      </c>
      <c r="AQ136" t="s">
        <v>261</v>
      </c>
      <c r="AS136">
        <v>460</v>
      </c>
      <c r="AU136">
        <v>260</v>
      </c>
      <c r="AW136">
        <v>710</v>
      </c>
      <c r="AX136" t="s">
        <v>262</v>
      </c>
      <c r="BO136" t="s">
        <v>261</v>
      </c>
      <c r="BQ136">
        <v>0.46</v>
      </c>
      <c r="BS136">
        <v>0.26</v>
      </c>
      <c r="BU136">
        <v>0.71</v>
      </c>
      <c r="BV136" t="s">
        <v>263</v>
      </c>
      <c r="CM136" t="s">
        <v>264</v>
      </c>
      <c r="CN136" t="s">
        <v>264</v>
      </c>
      <c r="CP136" t="s">
        <v>265</v>
      </c>
      <c r="DB136">
        <v>3</v>
      </c>
      <c r="DG136" t="s">
        <v>267</v>
      </c>
      <c r="DI136">
        <v>72</v>
      </c>
      <c r="DN136" t="s">
        <v>268</v>
      </c>
      <c r="DR136">
        <v>136180</v>
      </c>
      <c r="DS136">
        <v>376</v>
      </c>
      <c r="EW136" t="s">
        <v>333</v>
      </c>
      <c r="FA136" t="s">
        <v>803</v>
      </c>
      <c r="FM136">
        <v>20</v>
      </c>
      <c r="FR136" t="s">
        <v>295</v>
      </c>
      <c r="GU136">
        <v>30</v>
      </c>
      <c r="GZ136" t="s">
        <v>296</v>
      </c>
      <c r="HH136" t="s">
        <v>272</v>
      </c>
      <c r="IE136" t="s">
        <v>804</v>
      </c>
      <c r="IF136">
        <v>3734</v>
      </c>
      <c r="IG136" t="s">
        <v>741</v>
      </c>
      <c r="IH136" t="s">
        <v>805</v>
      </c>
      <c r="II136">
        <v>1982</v>
      </c>
      <c r="IJ136" t="s">
        <v>806</v>
      </c>
    </row>
    <row r="137" spans="1:244" x14ac:dyDescent="0.45">
      <c r="A137">
        <v>1242035</v>
      </c>
      <c r="B137">
        <v>239936</v>
      </c>
      <c r="C137">
        <v>7440020</v>
      </c>
      <c r="D137" t="s">
        <v>836</v>
      </c>
      <c r="F137" t="s">
        <v>861</v>
      </c>
      <c r="G137" t="s">
        <v>246</v>
      </c>
      <c r="N137" t="s">
        <v>369</v>
      </c>
      <c r="O137" t="s">
        <v>370</v>
      </c>
      <c r="P137" t="s">
        <v>249</v>
      </c>
      <c r="Q137" t="s">
        <v>250</v>
      </c>
      <c r="R137" t="s">
        <v>251</v>
      </c>
      <c r="T137" t="s">
        <v>252</v>
      </c>
      <c r="U137" t="s">
        <v>371</v>
      </c>
      <c r="V137" t="s">
        <v>372</v>
      </c>
      <c r="W137" t="s">
        <v>373</v>
      </c>
      <c r="X137" t="s">
        <v>374</v>
      </c>
      <c r="AM137" t="s">
        <v>258</v>
      </c>
      <c r="AN137" t="s">
        <v>259</v>
      </c>
      <c r="AO137" t="s">
        <v>260</v>
      </c>
      <c r="AP137">
        <v>6</v>
      </c>
      <c r="AQ137" t="s">
        <v>261</v>
      </c>
      <c r="AS137">
        <v>783.6</v>
      </c>
      <c r="AU137">
        <v>693.9</v>
      </c>
      <c r="AW137">
        <v>870.93</v>
      </c>
      <c r="AX137" t="s">
        <v>290</v>
      </c>
      <c r="BO137" t="s">
        <v>261</v>
      </c>
      <c r="BQ137">
        <v>0.78359999999999996</v>
      </c>
      <c r="BS137">
        <v>0.69389999999999996</v>
      </c>
      <c r="BU137">
        <v>0.87092999999999998</v>
      </c>
      <c r="BV137" t="s">
        <v>263</v>
      </c>
      <c r="CM137" t="s">
        <v>264</v>
      </c>
      <c r="CN137" t="s">
        <v>264</v>
      </c>
      <c r="CP137" t="s">
        <v>265</v>
      </c>
      <c r="CQ137" t="s">
        <v>837</v>
      </c>
      <c r="DB137">
        <v>4</v>
      </c>
      <c r="DG137" t="s">
        <v>267</v>
      </c>
      <c r="DI137">
        <v>96</v>
      </c>
      <c r="DN137" t="s">
        <v>268</v>
      </c>
      <c r="DR137">
        <v>110441</v>
      </c>
      <c r="DS137">
        <v>142</v>
      </c>
      <c r="EW137" t="s">
        <v>293</v>
      </c>
      <c r="FA137" t="s">
        <v>870</v>
      </c>
      <c r="FK137" t="s">
        <v>871</v>
      </c>
      <c r="FO137">
        <v>24.1</v>
      </c>
      <c r="FQ137">
        <v>25</v>
      </c>
      <c r="FR137" t="s">
        <v>295</v>
      </c>
      <c r="GJ137">
        <v>6.4</v>
      </c>
      <c r="GL137">
        <v>6.9</v>
      </c>
      <c r="GM137" t="s">
        <v>356</v>
      </c>
      <c r="GQ137">
        <v>7.8</v>
      </c>
      <c r="GS137">
        <v>8.3000000000000007</v>
      </c>
      <c r="GV137" t="s">
        <v>515</v>
      </c>
      <c r="GW137">
        <v>25</v>
      </c>
      <c r="GY137">
        <v>26</v>
      </c>
      <c r="GZ137" t="s">
        <v>296</v>
      </c>
      <c r="HH137" t="s">
        <v>872</v>
      </c>
      <c r="HL137">
        <v>1.4</v>
      </c>
      <c r="HN137">
        <v>1.8</v>
      </c>
      <c r="HO137" t="s">
        <v>356</v>
      </c>
      <c r="ID137" t="s">
        <v>873</v>
      </c>
      <c r="IE137" t="s">
        <v>865</v>
      </c>
      <c r="IF137">
        <v>76025</v>
      </c>
      <c r="IG137" t="s">
        <v>866</v>
      </c>
      <c r="IH137" t="s">
        <v>867</v>
      </c>
      <c r="II137">
        <v>1991</v>
      </c>
      <c r="IJ137" t="s">
        <v>868</v>
      </c>
    </row>
    <row r="138" spans="1:244" x14ac:dyDescent="0.45">
      <c r="A138">
        <v>1284914</v>
      </c>
      <c r="B138">
        <v>738947</v>
      </c>
      <c r="C138">
        <v>7440224</v>
      </c>
      <c r="D138" t="s">
        <v>874</v>
      </c>
      <c r="F138" t="s">
        <v>245</v>
      </c>
      <c r="G138" t="s">
        <v>246</v>
      </c>
      <c r="N138" t="s">
        <v>875</v>
      </c>
      <c r="O138" t="s">
        <v>631</v>
      </c>
      <c r="P138" t="s">
        <v>249</v>
      </c>
      <c r="Q138" t="s">
        <v>250</v>
      </c>
      <c r="R138" t="s">
        <v>251</v>
      </c>
      <c r="T138" t="s">
        <v>389</v>
      </c>
      <c r="U138" t="s">
        <v>632</v>
      </c>
      <c r="V138" t="s">
        <v>633</v>
      </c>
      <c r="W138" t="s">
        <v>634</v>
      </c>
      <c r="X138" t="s">
        <v>351</v>
      </c>
      <c r="AL138" t="s">
        <v>876</v>
      </c>
      <c r="AM138" t="s">
        <v>317</v>
      </c>
      <c r="AN138" t="s">
        <v>259</v>
      </c>
      <c r="AO138" t="s">
        <v>260</v>
      </c>
      <c r="AQ138" t="s">
        <v>261</v>
      </c>
      <c r="AS138">
        <v>400</v>
      </c>
      <c r="AX138" t="s">
        <v>877</v>
      </c>
      <c r="BO138" t="s">
        <v>261</v>
      </c>
      <c r="BQ138">
        <v>4.3147280000000003E-2</v>
      </c>
      <c r="BV138" t="s">
        <v>263</v>
      </c>
      <c r="CM138" t="s">
        <v>264</v>
      </c>
      <c r="CN138" t="s">
        <v>264</v>
      </c>
      <c r="CP138" t="s">
        <v>265</v>
      </c>
      <c r="CQ138" t="s">
        <v>878</v>
      </c>
      <c r="DB138">
        <v>2</v>
      </c>
      <c r="DG138" t="s">
        <v>267</v>
      </c>
      <c r="DI138">
        <v>48</v>
      </c>
      <c r="DN138" t="s">
        <v>268</v>
      </c>
      <c r="DP138" t="s">
        <v>879</v>
      </c>
      <c r="DR138">
        <v>121148</v>
      </c>
      <c r="DS138">
        <v>2890</v>
      </c>
      <c r="DT138" t="s">
        <v>880</v>
      </c>
      <c r="EW138" t="s">
        <v>293</v>
      </c>
      <c r="FA138" t="s">
        <v>881</v>
      </c>
      <c r="FK138" t="s">
        <v>882</v>
      </c>
      <c r="FM138">
        <v>15</v>
      </c>
      <c r="FR138" t="s">
        <v>295</v>
      </c>
      <c r="FT138">
        <v>16</v>
      </c>
      <c r="FY138" t="s">
        <v>572</v>
      </c>
      <c r="GO138">
        <v>8</v>
      </c>
      <c r="HH138" t="s">
        <v>883</v>
      </c>
      <c r="HI138" t="s">
        <v>515</v>
      </c>
      <c r="HJ138">
        <v>1</v>
      </c>
      <c r="HO138" t="s">
        <v>356</v>
      </c>
      <c r="ID138" t="s">
        <v>884</v>
      </c>
      <c r="IE138" t="s">
        <v>885</v>
      </c>
      <c r="IF138">
        <v>59900</v>
      </c>
      <c r="IG138" t="s">
        <v>886</v>
      </c>
      <c r="IH138" t="s">
        <v>887</v>
      </c>
      <c r="II138">
        <v>2001</v>
      </c>
      <c r="IJ138" t="s">
        <v>888</v>
      </c>
    </row>
    <row r="139" spans="1:244" x14ac:dyDescent="0.45">
      <c r="A139">
        <v>1053694</v>
      </c>
      <c r="B139">
        <v>194885</v>
      </c>
      <c r="C139">
        <v>7440224</v>
      </c>
      <c r="D139" t="s">
        <v>874</v>
      </c>
      <c r="F139" t="s">
        <v>245</v>
      </c>
      <c r="G139" t="s">
        <v>246</v>
      </c>
      <c r="N139" t="s">
        <v>630</v>
      </c>
      <c r="O139" t="s">
        <v>631</v>
      </c>
      <c r="P139" t="s">
        <v>249</v>
      </c>
      <c r="Q139" t="s">
        <v>250</v>
      </c>
      <c r="R139" t="s">
        <v>251</v>
      </c>
      <c r="T139" t="s">
        <v>389</v>
      </c>
      <c r="U139" t="s">
        <v>632</v>
      </c>
      <c r="V139" t="s">
        <v>633</v>
      </c>
      <c r="W139" t="s">
        <v>634</v>
      </c>
      <c r="X139" t="s">
        <v>635</v>
      </c>
      <c r="Z139" t="s">
        <v>315</v>
      </c>
      <c r="AM139" t="s">
        <v>287</v>
      </c>
      <c r="AN139" t="s">
        <v>259</v>
      </c>
      <c r="AO139" t="s">
        <v>260</v>
      </c>
      <c r="AQ139" t="s">
        <v>261</v>
      </c>
      <c r="AS139">
        <v>43</v>
      </c>
      <c r="AU139">
        <v>30</v>
      </c>
      <c r="AW139">
        <v>60</v>
      </c>
      <c r="AX139" t="s">
        <v>262</v>
      </c>
      <c r="BO139" t="s">
        <v>261</v>
      </c>
      <c r="BQ139">
        <v>4.2999999999999997E-2</v>
      </c>
      <c r="BS139">
        <v>0.03</v>
      </c>
      <c r="BU139">
        <v>0.06</v>
      </c>
      <c r="BV139" t="s">
        <v>263</v>
      </c>
      <c r="CM139" t="s">
        <v>264</v>
      </c>
      <c r="CN139" t="s">
        <v>264</v>
      </c>
      <c r="CP139" t="s">
        <v>265</v>
      </c>
      <c r="CQ139" t="s">
        <v>878</v>
      </c>
      <c r="DB139">
        <v>4</v>
      </c>
      <c r="DG139" t="s">
        <v>267</v>
      </c>
      <c r="DI139">
        <v>96</v>
      </c>
      <c r="DN139" t="s">
        <v>268</v>
      </c>
      <c r="DP139" t="s">
        <v>739</v>
      </c>
      <c r="DR139">
        <v>136180</v>
      </c>
      <c r="DS139">
        <v>376</v>
      </c>
      <c r="EW139" t="s">
        <v>272</v>
      </c>
      <c r="FM139">
        <v>20</v>
      </c>
      <c r="FR139" t="s">
        <v>295</v>
      </c>
      <c r="GU139">
        <v>30</v>
      </c>
      <c r="GZ139" t="s">
        <v>296</v>
      </c>
      <c r="HH139" t="s">
        <v>272</v>
      </c>
      <c r="IE139" t="s">
        <v>740</v>
      </c>
      <c r="IF139">
        <v>3751</v>
      </c>
      <c r="IG139" t="s">
        <v>741</v>
      </c>
      <c r="IH139" t="s">
        <v>742</v>
      </c>
      <c r="II139">
        <v>1980</v>
      </c>
      <c r="IJ139" t="s">
        <v>743</v>
      </c>
    </row>
    <row r="140" spans="1:244" x14ac:dyDescent="0.45">
      <c r="A140">
        <v>1053693</v>
      </c>
      <c r="B140">
        <v>194884</v>
      </c>
      <c r="C140">
        <v>7440224</v>
      </c>
      <c r="D140" t="s">
        <v>874</v>
      </c>
      <c r="F140" t="s">
        <v>245</v>
      </c>
      <c r="G140" t="s">
        <v>246</v>
      </c>
      <c r="N140" t="s">
        <v>723</v>
      </c>
      <c r="O140" t="s">
        <v>631</v>
      </c>
      <c r="P140" t="s">
        <v>249</v>
      </c>
      <c r="Q140" t="s">
        <v>250</v>
      </c>
      <c r="R140" t="s">
        <v>251</v>
      </c>
      <c r="T140" t="s">
        <v>389</v>
      </c>
      <c r="U140" t="s">
        <v>632</v>
      </c>
      <c r="V140" t="s">
        <v>633</v>
      </c>
      <c r="W140" t="s">
        <v>634</v>
      </c>
      <c r="X140" t="s">
        <v>724</v>
      </c>
      <c r="Z140" t="s">
        <v>315</v>
      </c>
      <c r="AM140" t="s">
        <v>287</v>
      </c>
      <c r="AN140" t="s">
        <v>259</v>
      </c>
      <c r="AO140" t="s">
        <v>260</v>
      </c>
      <c r="AQ140" t="s">
        <v>261</v>
      </c>
      <c r="AS140">
        <v>15</v>
      </c>
      <c r="AU140">
        <v>10</v>
      </c>
      <c r="AW140">
        <v>19</v>
      </c>
      <c r="AX140" t="s">
        <v>262</v>
      </c>
      <c r="BO140" t="s">
        <v>261</v>
      </c>
      <c r="BQ140">
        <v>1.4999999999999999E-2</v>
      </c>
      <c r="BS140">
        <v>0.01</v>
      </c>
      <c r="BU140">
        <v>1.9E-2</v>
      </c>
      <c r="BV140" t="s">
        <v>263</v>
      </c>
      <c r="CM140" t="s">
        <v>264</v>
      </c>
      <c r="CN140" t="s">
        <v>264</v>
      </c>
      <c r="CP140" t="s">
        <v>265</v>
      </c>
      <c r="CQ140" t="s">
        <v>878</v>
      </c>
      <c r="DB140">
        <v>4</v>
      </c>
      <c r="DG140" t="s">
        <v>267</v>
      </c>
      <c r="DI140">
        <v>96</v>
      </c>
      <c r="DN140" t="s">
        <v>268</v>
      </c>
      <c r="DP140" t="s">
        <v>739</v>
      </c>
      <c r="DR140">
        <v>136140</v>
      </c>
      <c r="DS140">
        <v>1784</v>
      </c>
      <c r="EW140" t="s">
        <v>272</v>
      </c>
      <c r="FM140">
        <v>10</v>
      </c>
      <c r="FR140" t="s">
        <v>295</v>
      </c>
      <c r="GU140">
        <v>30</v>
      </c>
      <c r="GZ140" t="s">
        <v>296</v>
      </c>
      <c r="HH140" t="s">
        <v>272</v>
      </c>
      <c r="IE140" t="s">
        <v>740</v>
      </c>
      <c r="IF140">
        <v>3751</v>
      </c>
      <c r="IG140" t="s">
        <v>741</v>
      </c>
      <c r="IH140" t="s">
        <v>742</v>
      </c>
      <c r="II140">
        <v>1980</v>
      </c>
      <c r="IJ140" t="s">
        <v>743</v>
      </c>
    </row>
    <row r="141" spans="1:244" x14ac:dyDescent="0.45">
      <c r="A141">
        <v>1205319</v>
      </c>
      <c r="B141">
        <v>203506</v>
      </c>
      <c r="C141">
        <v>7440439</v>
      </c>
      <c r="D141" t="s">
        <v>889</v>
      </c>
      <c r="F141" t="s">
        <v>245</v>
      </c>
      <c r="G141" t="s">
        <v>246</v>
      </c>
      <c r="N141" t="s">
        <v>690</v>
      </c>
      <c r="O141" t="s">
        <v>691</v>
      </c>
      <c r="P141" t="s">
        <v>249</v>
      </c>
      <c r="Q141" t="s">
        <v>250</v>
      </c>
      <c r="R141" t="s">
        <v>251</v>
      </c>
      <c r="T141" t="s">
        <v>252</v>
      </c>
      <c r="U141" t="s">
        <v>253</v>
      </c>
      <c r="V141" t="s">
        <v>418</v>
      </c>
      <c r="W141" t="s">
        <v>419</v>
      </c>
      <c r="X141" t="s">
        <v>692</v>
      </c>
      <c r="AM141" t="s">
        <v>287</v>
      </c>
      <c r="AN141" t="s">
        <v>259</v>
      </c>
      <c r="AO141" t="s">
        <v>260</v>
      </c>
      <c r="AQ141" t="s">
        <v>261</v>
      </c>
      <c r="AS141">
        <v>282</v>
      </c>
      <c r="AU141">
        <v>192</v>
      </c>
      <c r="AW141">
        <v>412</v>
      </c>
      <c r="AX141" t="s">
        <v>262</v>
      </c>
      <c r="BO141" t="s">
        <v>261</v>
      </c>
      <c r="BQ141">
        <v>0.28199999999999997</v>
      </c>
      <c r="BS141">
        <v>0.192</v>
      </c>
      <c r="BU141">
        <v>0.41199999999999998</v>
      </c>
      <c r="BV141" t="s">
        <v>263</v>
      </c>
      <c r="CM141" t="s">
        <v>264</v>
      </c>
      <c r="CN141" t="s">
        <v>264</v>
      </c>
      <c r="CP141" t="s">
        <v>265</v>
      </c>
      <c r="CQ141" t="s">
        <v>890</v>
      </c>
      <c r="DB141">
        <v>1</v>
      </c>
      <c r="DG141" t="s">
        <v>267</v>
      </c>
      <c r="DI141">
        <v>24</v>
      </c>
      <c r="DN141" t="s">
        <v>268</v>
      </c>
      <c r="DR141">
        <v>139456</v>
      </c>
      <c r="DS141">
        <v>3044</v>
      </c>
      <c r="EW141" t="s">
        <v>272</v>
      </c>
      <c r="HH141" t="s">
        <v>272</v>
      </c>
      <c r="IE141" t="s">
        <v>693</v>
      </c>
      <c r="IF141">
        <v>18730</v>
      </c>
      <c r="IG141" t="s">
        <v>694</v>
      </c>
      <c r="IH141" t="s">
        <v>695</v>
      </c>
      <c r="II141">
        <v>1995</v>
      </c>
      <c r="IJ141" t="s">
        <v>696</v>
      </c>
    </row>
    <row r="142" spans="1:244" x14ac:dyDescent="0.45">
      <c r="A142">
        <v>2018933</v>
      </c>
      <c r="B142">
        <v>2031514</v>
      </c>
      <c r="C142">
        <v>7440439</v>
      </c>
      <c r="D142" t="s">
        <v>889</v>
      </c>
      <c r="F142" t="s">
        <v>327</v>
      </c>
      <c r="G142" t="s">
        <v>891</v>
      </c>
      <c r="N142" t="s">
        <v>892</v>
      </c>
      <c r="O142" t="s">
        <v>498</v>
      </c>
      <c r="P142" t="s">
        <v>249</v>
      </c>
      <c r="Q142" t="s">
        <v>250</v>
      </c>
      <c r="R142" t="s">
        <v>251</v>
      </c>
      <c r="T142" t="s">
        <v>252</v>
      </c>
      <c r="U142" t="s">
        <v>499</v>
      </c>
      <c r="V142" t="s">
        <v>500</v>
      </c>
      <c r="W142" t="s">
        <v>893</v>
      </c>
      <c r="X142" t="s">
        <v>894</v>
      </c>
      <c r="AI142">
        <v>5</v>
      </c>
      <c r="AJ142" t="s">
        <v>285</v>
      </c>
      <c r="AK142" t="s">
        <v>709</v>
      </c>
      <c r="AL142" t="s">
        <v>895</v>
      </c>
      <c r="AM142" t="s">
        <v>287</v>
      </c>
      <c r="AN142" t="s">
        <v>259</v>
      </c>
      <c r="AO142" t="s">
        <v>260</v>
      </c>
      <c r="AP142">
        <v>6</v>
      </c>
      <c r="AQ142" t="s">
        <v>261</v>
      </c>
      <c r="AT142" t="s">
        <v>288</v>
      </c>
      <c r="AU142">
        <v>0.4</v>
      </c>
      <c r="AV142" t="s">
        <v>289</v>
      </c>
      <c r="AW142">
        <v>0.6</v>
      </c>
      <c r="AX142" t="s">
        <v>356</v>
      </c>
      <c r="BO142" t="s">
        <v>261</v>
      </c>
      <c r="BR142" t="s">
        <v>288</v>
      </c>
      <c r="BS142">
        <v>0.4</v>
      </c>
      <c r="BT142" t="s">
        <v>289</v>
      </c>
      <c r="BU142">
        <v>0.6</v>
      </c>
      <c r="BV142" t="s">
        <v>263</v>
      </c>
      <c r="CM142" t="s">
        <v>264</v>
      </c>
      <c r="CN142" t="s">
        <v>264</v>
      </c>
      <c r="CP142" t="s">
        <v>265</v>
      </c>
      <c r="CQ142" t="s">
        <v>890</v>
      </c>
      <c r="DB142">
        <v>4</v>
      </c>
      <c r="DG142" t="s">
        <v>267</v>
      </c>
      <c r="DI142">
        <v>96</v>
      </c>
      <c r="DN142" t="s">
        <v>268</v>
      </c>
      <c r="DP142" t="s">
        <v>896</v>
      </c>
      <c r="DR142">
        <v>732107</v>
      </c>
      <c r="DS142">
        <v>427</v>
      </c>
      <c r="DT142" t="s">
        <v>897</v>
      </c>
      <c r="DV142">
        <v>96</v>
      </c>
      <c r="EA142" t="s">
        <v>268</v>
      </c>
      <c r="EC142">
        <v>4</v>
      </c>
      <c r="EH142" t="s">
        <v>267</v>
      </c>
      <c r="EJ142">
        <v>96</v>
      </c>
      <c r="EO142" t="s">
        <v>268</v>
      </c>
      <c r="EQ142">
        <v>4</v>
      </c>
      <c r="EV142" t="s">
        <v>267</v>
      </c>
      <c r="EW142" t="s">
        <v>293</v>
      </c>
      <c r="EY142" t="s">
        <v>377</v>
      </c>
      <c r="EZ142">
        <v>20</v>
      </c>
      <c r="FA142" t="s">
        <v>898</v>
      </c>
      <c r="FK142" t="s">
        <v>899</v>
      </c>
      <c r="FM142">
        <v>15</v>
      </c>
      <c r="FR142" t="s">
        <v>295</v>
      </c>
      <c r="GH142">
        <v>80</v>
      </c>
      <c r="GM142" t="s">
        <v>900</v>
      </c>
      <c r="GO142">
        <v>7.8</v>
      </c>
      <c r="GU142">
        <v>35.9</v>
      </c>
      <c r="GZ142" t="s">
        <v>296</v>
      </c>
      <c r="HH142" t="s">
        <v>272</v>
      </c>
      <c r="ID142" t="s">
        <v>901</v>
      </c>
      <c r="IE142" t="s">
        <v>902</v>
      </c>
      <c r="IF142">
        <v>118441</v>
      </c>
      <c r="IG142" t="s">
        <v>903</v>
      </c>
      <c r="IH142" t="s">
        <v>904</v>
      </c>
      <c r="II142">
        <v>2009</v>
      </c>
      <c r="IJ142" t="s">
        <v>905</v>
      </c>
    </row>
    <row r="143" spans="1:244" x14ac:dyDescent="0.45">
      <c r="A143">
        <v>2018931</v>
      </c>
      <c r="B143">
        <v>2031512</v>
      </c>
      <c r="C143">
        <v>7440439</v>
      </c>
      <c r="D143" t="s">
        <v>889</v>
      </c>
      <c r="F143" t="s">
        <v>327</v>
      </c>
      <c r="G143" t="s">
        <v>891</v>
      </c>
      <c r="N143" t="s">
        <v>892</v>
      </c>
      <c r="O143" t="s">
        <v>498</v>
      </c>
      <c r="P143" t="s">
        <v>249</v>
      </c>
      <c r="Q143" t="s">
        <v>250</v>
      </c>
      <c r="R143" t="s">
        <v>251</v>
      </c>
      <c r="T143" t="s">
        <v>252</v>
      </c>
      <c r="U143" t="s">
        <v>499</v>
      </c>
      <c r="V143" t="s">
        <v>500</v>
      </c>
      <c r="W143" t="s">
        <v>893</v>
      </c>
      <c r="X143" t="s">
        <v>894</v>
      </c>
      <c r="AI143">
        <v>5</v>
      </c>
      <c r="AJ143" t="s">
        <v>285</v>
      </c>
      <c r="AK143" t="s">
        <v>709</v>
      </c>
      <c r="AL143" t="s">
        <v>895</v>
      </c>
      <c r="AM143" t="s">
        <v>287</v>
      </c>
      <c r="AN143" t="s">
        <v>259</v>
      </c>
      <c r="AO143" t="s">
        <v>260</v>
      </c>
      <c r="AP143">
        <v>6</v>
      </c>
      <c r="AQ143" t="s">
        <v>261</v>
      </c>
      <c r="AR143" t="s">
        <v>515</v>
      </c>
      <c r="AS143">
        <v>0.2</v>
      </c>
      <c r="AX143" t="s">
        <v>356</v>
      </c>
      <c r="BO143" t="s">
        <v>261</v>
      </c>
      <c r="BP143" t="s">
        <v>515</v>
      </c>
      <c r="BQ143">
        <v>0.2</v>
      </c>
      <c r="BV143" t="s">
        <v>263</v>
      </c>
      <c r="CM143" t="s">
        <v>264</v>
      </c>
      <c r="CN143" t="s">
        <v>264</v>
      </c>
      <c r="CP143" t="s">
        <v>265</v>
      </c>
      <c r="CQ143" t="s">
        <v>890</v>
      </c>
      <c r="DB143">
        <v>4</v>
      </c>
      <c r="DG143" t="s">
        <v>267</v>
      </c>
      <c r="DI143">
        <v>96</v>
      </c>
      <c r="DN143" t="s">
        <v>268</v>
      </c>
      <c r="DP143" t="s">
        <v>896</v>
      </c>
      <c r="DR143">
        <v>732107</v>
      </c>
      <c r="DS143">
        <v>427</v>
      </c>
      <c r="DT143" t="s">
        <v>897</v>
      </c>
      <c r="DV143">
        <v>96</v>
      </c>
      <c r="EA143" t="s">
        <v>268</v>
      </c>
      <c r="EC143">
        <v>4</v>
      </c>
      <c r="EH143" t="s">
        <v>267</v>
      </c>
      <c r="EJ143">
        <v>96</v>
      </c>
      <c r="EO143" t="s">
        <v>268</v>
      </c>
      <c r="EQ143">
        <v>4</v>
      </c>
      <c r="EV143" t="s">
        <v>267</v>
      </c>
      <c r="EW143" t="s">
        <v>293</v>
      </c>
      <c r="EY143" t="s">
        <v>377</v>
      </c>
      <c r="EZ143">
        <v>20</v>
      </c>
      <c r="FA143" t="s">
        <v>906</v>
      </c>
      <c r="FK143" t="s">
        <v>899</v>
      </c>
      <c r="FM143">
        <v>10</v>
      </c>
      <c r="FR143" t="s">
        <v>295</v>
      </c>
      <c r="GH143">
        <v>80</v>
      </c>
      <c r="GM143" t="s">
        <v>900</v>
      </c>
      <c r="GO143">
        <v>7.8</v>
      </c>
      <c r="GU143">
        <v>35.9</v>
      </c>
      <c r="GZ143" t="s">
        <v>296</v>
      </c>
      <c r="HH143" t="s">
        <v>272</v>
      </c>
      <c r="ID143" t="s">
        <v>901</v>
      </c>
      <c r="IE143" t="s">
        <v>902</v>
      </c>
      <c r="IF143">
        <v>118441</v>
      </c>
      <c r="IG143" t="s">
        <v>903</v>
      </c>
      <c r="IH143" t="s">
        <v>904</v>
      </c>
      <c r="II143">
        <v>2009</v>
      </c>
      <c r="IJ143" t="s">
        <v>905</v>
      </c>
    </row>
    <row r="144" spans="1:244" x14ac:dyDescent="0.45">
      <c r="A144">
        <v>1306534</v>
      </c>
      <c r="B144">
        <v>763429</v>
      </c>
      <c r="C144">
        <v>7440439</v>
      </c>
      <c r="D144" t="s">
        <v>889</v>
      </c>
      <c r="F144" t="s">
        <v>245</v>
      </c>
      <c r="G144" t="s">
        <v>246</v>
      </c>
      <c r="N144" t="s">
        <v>606</v>
      </c>
      <c r="O144" t="s">
        <v>607</v>
      </c>
      <c r="P144" t="s">
        <v>249</v>
      </c>
      <c r="Q144" t="s">
        <v>250</v>
      </c>
      <c r="R144" t="s">
        <v>251</v>
      </c>
      <c r="T144" t="s">
        <v>252</v>
      </c>
      <c r="U144" t="s">
        <v>253</v>
      </c>
      <c r="V144" t="s">
        <v>608</v>
      </c>
      <c r="W144" t="s">
        <v>609</v>
      </c>
      <c r="X144" t="s">
        <v>610</v>
      </c>
      <c r="Z144" t="s">
        <v>315</v>
      </c>
      <c r="AL144" t="s">
        <v>907</v>
      </c>
      <c r="AM144" t="s">
        <v>307</v>
      </c>
      <c r="AN144" t="s">
        <v>259</v>
      </c>
      <c r="AO144" t="s">
        <v>260</v>
      </c>
      <c r="AP144">
        <v>8</v>
      </c>
      <c r="AQ144" t="s">
        <v>261</v>
      </c>
      <c r="AS144">
        <v>14</v>
      </c>
      <c r="AX144" t="s">
        <v>356</v>
      </c>
      <c r="BO144" t="s">
        <v>261</v>
      </c>
      <c r="BQ144">
        <v>14</v>
      </c>
      <c r="BV144" t="s">
        <v>263</v>
      </c>
      <c r="CM144" t="s">
        <v>264</v>
      </c>
      <c r="CN144" t="s">
        <v>264</v>
      </c>
      <c r="CP144" t="s">
        <v>265</v>
      </c>
      <c r="CQ144" t="s">
        <v>890</v>
      </c>
      <c r="DB144">
        <v>4</v>
      </c>
      <c r="DG144" t="s">
        <v>267</v>
      </c>
      <c r="DI144">
        <v>96</v>
      </c>
      <c r="DN144" t="s">
        <v>268</v>
      </c>
      <c r="DP144" t="s">
        <v>908</v>
      </c>
      <c r="DR144">
        <v>6706</v>
      </c>
      <c r="DS144">
        <v>346</v>
      </c>
      <c r="EW144" t="s">
        <v>293</v>
      </c>
      <c r="FK144" t="s">
        <v>909</v>
      </c>
      <c r="FM144">
        <v>15</v>
      </c>
      <c r="FR144" t="s">
        <v>295</v>
      </c>
      <c r="HH144" t="s">
        <v>272</v>
      </c>
      <c r="ID144" t="s">
        <v>910</v>
      </c>
      <c r="IE144" t="s">
        <v>911</v>
      </c>
      <c r="IF144">
        <v>82412</v>
      </c>
      <c r="IG144" t="s">
        <v>912</v>
      </c>
      <c r="IH144" t="s">
        <v>913</v>
      </c>
      <c r="II144">
        <v>1976</v>
      </c>
      <c r="IJ144" t="s">
        <v>914</v>
      </c>
    </row>
    <row r="145" spans="1:244" x14ac:dyDescent="0.45">
      <c r="A145">
        <v>2018930</v>
      </c>
      <c r="B145">
        <v>2031511</v>
      </c>
      <c r="C145">
        <v>7440439</v>
      </c>
      <c r="D145" t="s">
        <v>889</v>
      </c>
      <c r="F145" t="s">
        <v>327</v>
      </c>
      <c r="G145" t="s">
        <v>891</v>
      </c>
      <c r="N145" t="s">
        <v>892</v>
      </c>
      <c r="O145" t="s">
        <v>498</v>
      </c>
      <c r="P145" t="s">
        <v>249</v>
      </c>
      <c r="Q145" t="s">
        <v>250</v>
      </c>
      <c r="R145" t="s">
        <v>251</v>
      </c>
      <c r="T145" t="s">
        <v>252</v>
      </c>
      <c r="U145" t="s">
        <v>499</v>
      </c>
      <c r="V145" t="s">
        <v>500</v>
      </c>
      <c r="W145" t="s">
        <v>893</v>
      </c>
      <c r="X145" t="s">
        <v>894</v>
      </c>
      <c r="AI145">
        <v>5</v>
      </c>
      <c r="AJ145" t="s">
        <v>285</v>
      </c>
      <c r="AK145" t="s">
        <v>709</v>
      </c>
      <c r="AL145" t="s">
        <v>895</v>
      </c>
      <c r="AM145" t="s">
        <v>287</v>
      </c>
      <c r="AN145" t="s">
        <v>259</v>
      </c>
      <c r="AO145" t="s">
        <v>260</v>
      </c>
      <c r="AP145">
        <v>6</v>
      </c>
      <c r="AQ145" t="s">
        <v>261</v>
      </c>
      <c r="AS145">
        <v>0.1</v>
      </c>
      <c r="AU145">
        <v>0.06</v>
      </c>
      <c r="AW145">
        <v>0.17</v>
      </c>
      <c r="AX145" t="s">
        <v>356</v>
      </c>
      <c r="BO145" t="s">
        <v>261</v>
      </c>
      <c r="BQ145">
        <v>0.1</v>
      </c>
      <c r="BS145">
        <v>0.06</v>
      </c>
      <c r="BU145">
        <v>0.17</v>
      </c>
      <c r="BV145" t="s">
        <v>263</v>
      </c>
      <c r="CM145" t="s">
        <v>264</v>
      </c>
      <c r="CN145" t="s">
        <v>264</v>
      </c>
      <c r="CP145" t="s">
        <v>265</v>
      </c>
      <c r="CQ145" t="s">
        <v>890</v>
      </c>
      <c r="DB145">
        <v>4</v>
      </c>
      <c r="DG145" t="s">
        <v>267</v>
      </c>
      <c r="DI145">
        <v>96</v>
      </c>
      <c r="DN145" t="s">
        <v>268</v>
      </c>
      <c r="DP145" t="s">
        <v>896</v>
      </c>
      <c r="DR145">
        <v>732107</v>
      </c>
      <c r="DS145">
        <v>427</v>
      </c>
      <c r="DT145" t="s">
        <v>897</v>
      </c>
      <c r="DV145">
        <v>96</v>
      </c>
      <c r="EA145" t="s">
        <v>268</v>
      </c>
      <c r="EC145">
        <v>4</v>
      </c>
      <c r="EH145" t="s">
        <v>267</v>
      </c>
      <c r="EJ145">
        <v>96</v>
      </c>
      <c r="EO145" t="s">
        <v>268</v>
      </c>
      <c r="EQ145">
        <v>4</v>
      </c>
      <c r="EV145" t="s">
        <v>267</v>
      </c>
      <c r="EW145" t="s">
        <v>293</v>
      </c>
      <c r="EY145" t="s">
        <v>377</v>
      </c>
      <c r="EZ145">
        <v>20</v>
      </c>
      <c r="FA145" t="s">
        <v>915</v>
      </c>
      <c r="FM145">
        <v>25</v>
      </c>
      <c r="FR145" t="s">
        <v>295</v>
      </c>
      <c r="GH145">
        <v>80</v>
      </c>
      <c r="GM145" t="s">
        <v>900</v>
      </c>
      <c r="GO145">
        <v>7.8</v>
      </c>
      <c r="GU145">
        <v>35.9</v>
      </c>
      <c r="GZ145" t="s">
        <v>296</v>
      </c>
      <c r="HH145" t="s">
        <v>272</v>
      </c>
      <c r="IE145" t="s">
        <v>902</v>
      </c>
      <c r="IF145">
        <v>118441</v>
      </c>
      <c r="IG145" t="s">
        <v>903</v>
      </c>
      <c r="IH145" t="s">
        <v>904</v>
      </c>
      <c r="II145">
        <v>2009</v>
      </c>
      <c r="IJ145" t="s">
        <v>905</v>
      </c>
    </row>
    <row r="146" spans="1:244" x14ac:dyDescent="0.45">
      <c r="A146">
        <v>1188453</v>
      </c>
      <c r="B146">
        <v>162716</v>
      </c>
      <c r="C146">
        <v>7440439</v>
      </c>
      <c r="D146" t="s">
        <v>889</v>
      </c>
      <c r="E146" t="s">
        <v>415</v>
      </c>
      <c r="F146" t="s">
        <v>245</v>
      </c>
      <c r="G146" t="s">
        <v>246</v>
      </c>
      <c r="N146" t="s">
        <v>916</v>
      </c>
      <c r="O146" t="s">
        <v>917</v>
      </c>
      <c r="P146" t="s">
        <v>249</v>
      </c>
      <c r="Q146" t="s">
        <v>250</v>
      </c>
      <c r="R146" t="s">
        <v>251</v>
      </c>
      <c r="T146" t="s">
        <v>252</v>
      </c>
      <c r="U146" t="s">
        <v>253</v>
      </c>
      <c r="V146" t="s">
        <v>304</v>
      </c>
      <c r="W146" t="s">
        <v>305</v>
      </c>
      <c r="X146" t="s">
        <v>918</v>
      </c>
      <c r="Z146" t="s">
        <v>919</v>
      </c>
      <c r="AL146" t="s">
        <v>920</v>
      </c>
      <c r="AM146" t="s">
        <v>258</v>
      </c>
      <c r="AN146" t="s">
        <v>259</v>
      </c>
      <c r="AO146" t="s">
        <v>260</v>
      </c>
      <c r="AQ146" t="s">
        <v>261</v>
      </c>
      <c r="AR146" t="s">
        <v>515</v>
      </c>
      <c r="AS146">
        <v>4000</v>
      </c>
      <c r="AX146" t="s">
        <v>262</v>
      </c>
      <c r="BO146" t="s">
        <v>261</v>
      </c>
      <c r="BP146" t="s">
        <v>515</v>
      </c>
      <c r="BQ146">
        <v>4</v>
      </c>
      <c r="BV146" t="s">
        <v>263</v>
      </c>
      <c r="CM146" t="s">
        <v>264</v>
      </c>
      <c r="CN146" t="s">
        <v>264</v>
      </c>
      <c r="CP146" t="s">
        <v>265</v>
      </c>
      <c r="DB146">
        <v>4</v>
      </c>
      <c r="DG146" t="s">
        <v>267</v>
      </c>
      <c r="DI146">
        <v>96</v>
      </c>
      <c r="DN146" t="s">
        <v>268</v>
      </c>
      <c r="DR146">
        <v>645159</v>
      </c>
      <c r="DS146">
        <v>730</v>
      </c>
      <c r="EW146" t="s">
        <v>293</v>
      </c>
      <c r="FM146">
        <v>18</v>
      </c>
      <c r="FR146" t="s">
        <v>295</v>
      </c>
      <c r="HH146" t="s">
        <v>272</v>
      </c>
      <c r="IE146" t="s">
        <v>921</v>
      </c>
      <c r="IF146">
        <v>16857</v>
      </c>
      <c r="IG146" t="s">
        <v>922</v>
      </c>
      <c r="IH146" t="s">
        <v>923</v>
      </c>
      <c r="II146">
        <v>1996</v>
      </c>
      <c r="IJ146" t="s">
        <v>924</v>
      </c>
    </row>
    <row r="147" spans="1:244" x14ac:dyDescent="0.45">
      <c r="A147">
        <v>2018929</v>
      </c>
      <c r="B147">
        <v>2031510</v>
      </c>
      <c r="C147">
        <v>7440439</v>
      </c>
      <c r="D147" t="s">
        <v>889</v>
      </c>
      <c r="F147" t="s">
        <v>327</v>
      </c>
      <c r="G147" t="s">
        <v>891</v>
      </c>
      <c r="N147" t="s">
        <v>892</v>
      </c>
      <c r="O147" t="s">
        <v>498</v>
      </c>
      <c r="P147" t="s">
        <v>249</v>
      </c>
      <c r="Q147" t="s">
        <v>250</v>
      </c>
      <c r="R147" t="s">
        <v>251</v>
      </c>
      <c r="T147" t="s">
        <v>252</v>
      </c>
      <c r="U147" t="s">
        <v>499</v>
      </c>
      <c r="V147" t="s">
        <v>500</v>
      </c>
      <c r="W147" t="s">
        <v>893</v>
      </c>
      <c r="X147" t="s">
        <v>894</v>
      </c>
      <c r="AI147">
        <v>5</v>
      </c>
      <c r="AJ147" t="s">
        <v>285</v>
      </c>
      <c r="AK147" t="s">
        <v>709</v>
      </c>
      <c r="AL147" t="s">
        <v>895</v>
      </c>
      <c r="AM147" t="s">
        <v>287</v>
      </c>
      <c r="AN147" t="s">
        <v>259</v>
      </c>
      <c r="AO147" t="s">
        <v>260</v>
      </c>
      <c r="AP147">
        <v>6</v>
      </c>
      <c r="AQ147" t="s">
        <v>261</v>
      </c>
      <c r="AS147">
        <v>0.1</v>
      </c>
      <c r="AU147">
        <v>0.05</v>
      </c>
      <c r="AW147">
        <v>0.19</v>
      </c>
      <c r="AX147" t="s">
        <v>356</v>
      </c>
      <c r="BO147" t="s">
        <v>261</v>
      </c>
      <c r="BQ147">
        <v>0.1</v>
      </c>
      <c r="BS147">
        <v>0.05</v>
      </c>
      <c r="BU147">
        <v>0.19</v>
      </c>
      <c r="BV147" t="s">
        <v>263</v>
      </c>
      <c r="CM147" t="s">
        <v>264</v>
      </c>
      <c r="CN147" t="s">
        <v>264</v>
      </c>
      <c r="CP147" t="s">
        <v>265</v>
      </c>
      <c r="CQ147" t="s">
        <v>890</v>
      </c>
      <c r="DB147">
        <v>4</v>
      </c>
      <c r="DG147" t="s">
        <v>267</v>
      </c>
      <c r="DI147">
        <v>96</v>
      </c>
      <c r="DN147" t="s">
        <v>268</v>
      </c>
      <c r="DP147" t="s">
        <v>896</v>
      </c>
      <c r="DR147">
        <v>732107</v>
      </c>
      <c r="DS147">
        <v>427</v>
      </c>
      <c r="DT147" t="s">
        <v>897</v>
      </c>
      <c r="DV147">
        <v>96</v>
      </c>
      <c r="EA147" t="s">
        <v>268</v>
      </c>
      <c r="EC147">
        <v>4</v>
      </c>
      <c r="EH147" t="s">
        <v>267</v>
      </c>
      <c r="EJ147">
        <v>96</v>
      </c>
      <c r="EO147" t="s">
        <v>268</v>
      </c>
      <c r="EQ147">
        <v>4</v>
      </c>
      <c r="EV147" t="s">
        <v>267</v>
      </c>
      <c r="EW147" t="s">
        <v>293</v>
      </c>
      <c r="EY147" t="s">
        <v>377</v>
      </c>
      <c r="EZ147">
        <v>20</v>
      </c>
      <c r="FA147" t="s">
        <v>906</v>
      </c>
      <c r="FM147">
        <v>25</v>
      </c>
      <c r="FR147" t="s">
        <v>295</v>
      </c>
      <c r="GH147">
        <v>80</v>
      </c>
      <c r="GM147" t="s">
        <v>900</v>
      </c>
      <c r="GO147">
        <v>7.8</v>
      </c>
      <c r="GU147">
        <v>35.9</v>
      </c>
      <c r="GZ147" t="s">
        <v>296</v>
      </c>
      <c r="HH147" t="s">
        <v>272</v>
      </c>
      <c r="IE147" t="s">
        <v>902</v>
      </c>
      <c r="IF147">
        <v>118441</v>
      </c>
      <c r="IG147" t="s">
        <v>903</v>
      </c>
      <c r="IH147" t="s">
        <v>904</v>
      </c>
      <c r="II147">
        <v>2009</v>
      </c>
      <c r="IJ147" t="s">
        <v>905</v>
      </c>
    </row>
    <row r="148" spans="1:244" x14ac:dyDescent="0.45">
      <c r="A148">
        <v>1205321</v>
      </c>
      <c r="B148">
        <v>203508</v>
      </c>
      <c r="C148">
        <v>7440439</v>
      </c>
      <c r="D148" t="s">
        <v>889</v>
      </c>
      <c r="F148" t="s">
        <v>245</v>
      </c>
      <c r="G148" t="s">
        <v>246</v>
      </c>
      <c r="N148" t="s">
        <v>690</v>
      </c>
      <c r="O148" t="s">
        <v>691</v>
      </c>
      <c r="P148" t="s">
        <v>249</v>
      </c>
      <c r="Q148" t="s">
        <v>250</v>
      </c>
      <c r="R148" t="s">
        <v>251</v>
      </c>
      <c r="T148" t="s">
        <v>252</v>
      </c>
      <c r="U148" t="s">
        <v>253</v>
      </c>
      <c r="V148" t="s">
        <v>418</v>
      </c>
      <c r="W148" t="s">
        <v>419</v>
      </c>
      <c r="X148" t="s">
        <v>692</v>
      </c>
      <c r="AM148" t="s">
        <v>287</v>
      </c>
      <c r="AN148" t="s">
        <v>259</v>
      </c>
      <c r="AO148" t="s">
        <v>260</v>
      </c>
      <c r="AQ148" t="s">
        <v>261</v>
      </c>
      <c r="AS148">
        <v>79</v>
      </c>
      <c r="AU148">
        <v>55</v>
      </c>
      <c r="AW148">
        <v>138</v>
      </c>
      <c r="AX148" t="s">
        <v>262</v>
      </c>
      <c r="BO148" t="s">
        <v>261</v>
      </c>
      <c r="BQ148">
        <v>7.9000000000000001E-2</v>
      </c>
      <c r="BS148">
        <v>5.5E-2</v>
      </c>
      <c r="BU148">
        <v>0.13800000000000001</v>
      </c>
      <c r="BV148" t="s">
        <v>263</v>
      </c>
      <c r="CM148" t="s">
        <v>264</v>
      </c>
      <c r="CN148" t="s">
        <v>264</v>
      </c>
      <c r="CP148" t="s">
        <v>265</v>
      </c>
      <c r="CQ148" t="s">
        <v>890</v>
      </c>
      <c r="DB148">
        <v>3</v>
      </c>
      <c r="DG148" t="s">
        <v>267</v>
      </c>
      <c r="DI148">
        <v>72</v>
      </c>
      <c r="DN148" t="s">
        <v>268</v>
      </c>
      <c r="DR148">
        <v>139456</v>
      </c>
      <c r="DS148">
        <v>3044</v>
      </c>
      <c r="EW148" t="s">
        <v>272</v>
      </c>
      <c r="HH148" t="s">
        <v>272</v>
      </c>
      <c r="IE148" t="s">
        <v>693</v>
      </c>
      <c r="IF148">
        <v>18730</v>
      </c>
      <c r="IG148" t="s">
        <v>694</v>
      </c>
      <c r="IH148" t="s">
        <v>695</v>
      </c>
      <c r="II148">
        <v>1995</v>
      </c>
      <c r="IJ148" t="s">
        <v>696</v>
      </c>
    </row>
    <row r="149" spans="1:244" x14ac:dyDescent="0.45">
      <c r="A149">
        <v>1058801</v>
      </c>
      <c r="B149">
        <v>232590</v>
      </c>
      <c r="C149">
        <v>7440439</v>
      </c>
      <c r="D149" t="s">
        <v>889</v>
      </c>
      <c r="E149" t="s">
        <v>439</v>
      </c>
      <c r="F149" t="s">
        <v>245</v>
      </c>
      <c r="G149" t="s">
        <v>246</v>
      </c>
      <c r="N149" t="s">
        <v>499</v>
      </c>
      <c r="O149" t="s">
        <v>925</v>
      </c>
      <c r="P149" t="s">
        <v>249</v>
      </c>
      <c r="Q149" t="s">
        <v>250</v>
      </c>
      <c r="R149" t="s">
        <v>251</v>
      </c>
      <c r="T149" t="s">
        <v>252</v>
      </c>
      <c r="U149" t="s">
        <v>499</v>
      </c>
      <c r="Z149" t="s">
        <v>315</v>
      </c>
      <c r="AJ149" t="s">
        <v>285</v>
      </c>
      <c r="AL149" t="s">
        <v>926</v>
      </c>
      <c r="AM149" t="s">
        <v>317</v>
      </c>
      <c r="AN149" t="s">
        <v>259</v>
      </c>
      <c r="AO149" t="s">
        <v>260</v>
      </c>
      <c r="AP149">
        <v>5</v>
      </c>
      <c r="AQ149" t="s">
        <v>261</v>
      </c>
      <c r="AS149">
        <v>0.09</v>
      </c>
      <c r="AU149">
        <v>3.1E-2</v>
      </c>
      <c r="AW149">
        <v>0.26500000000000001</v>
      </c>
      <c r="AX149" t="s">
        <v>262</v>
      </c>
      <c r="BO149" t="s">
        <v>261</v>
      </c>
      <c r="BQ149">
        <v>9.0000000000000006E-5</v>
      </c>
      <c r="BS149">
        <v>3.1000000000000001E-5</v>
      </c>
      <c r="BU149">
        <v>2.6499999999999999E-4</v>
      </c>
      <c r="BV149" t="s">
        <v>263</v>
      </c>
      <c r="CM149" t="s">
        <v>264</v>
      </c>
      <c r="CN149" t="s">
        <v>264</v>
      </c>
      <c r="CP149" t="s">
        <v>265</v>
      </c>
      <c r="CQ149" t="s">
        <v>890</v>
      </c>
      <c r="DB149">
        <v>1.75</v>
      </c>
      <c r="DG149" t="s">
        <v>267</v>
      </c>
      <c r="DI149">
        <v>42</v>
      </c>
      <c r="DN149" t="s">
        <v>268</v>
      </c>
      <c r="DR149">
        <v>6821</v>
      </c>
      <c r="DS149">
        <v>1044</v>
      </c>
      <c r="DT149" t="s">
        <v>927</v>
      </c>
      <c r="EW149" t="s">
        <v>272</v>
      </c>
      <c r="FK149" t="s">
        <v>928</v>
      </c>
      <c r="FO149">
        <v>29.5</v>
      </c>
      <c r="FQ149">
        <v>30.5</v>
      </c>
      <c r="FR149" t="s">
        <v>295</v>
      </c>
      <c r="GJ149">
        <v>4.2</v>
      </c>
      <c r="GL149">
        <v>5.2</v>
      </c>
      <c r="GM149" t="s">
        <v>356</v>
      </c>
      <c r="GQ149">
        <v>7.1</v>
      </c>
      <c r="GS149">
        <v>7.8</v>
      </c>
      <c r="GW149">
        <v>29.5</v>
      </c>
      <c r="GY149">
        <v>30.5</v>
      </c>
      <c r="GZ149" t="s">
        <v>296</v>
      </c>
      <c r="HH149" t="s">
        <v>272</v>
      </c>
      <c r="ID149" t="s">
        <v>929</v>
      </c>
      <c r="IE149" t="s">
        <v>930</v>
      </c>
      <c r="IF149">
        <v>4336</v>
      </c>
      <c r="IG149" t="s">
        <v>931</v>
      </c>
      <c r="IH149" t="s">
        <v>932</v>
      </c>
      <c r="II149">
        <v>1993</v>
      </c>
      <c r="IJ149" t="s">
        <v>933</v>
      </c>
    </row>
    <row r="150" spans="1:244" x14ac:dyDescent="0.45">
      <c r="A150">
        <v>1165685</v>
      </c>
      <c r="B150">
        <v>95230</v>
      </c>
      <c r="C150">
        <v>7440439</v>
      </c>
      <c r="D150" t="s">
        <v>889</v>
      </c>
      <c r="F150" t="s">
        <v>245</v>
      </c>
      <c r="G150" t="s">
        <v>246</v>
      </c>
      <c r="N150" t="s">
        <v>452</v>
      </c>
      <c r="O150" t="s">
        <v>346</v>
      </c>
      <c r="P150" t="s">
        <v>249</v>
      </c>
      <c r="Q150" t="s">
        <v>250</v>
      </c>
      <c r="R150" t="s">
        <v>251</v>
      </c>
      <c r="T150" t="s">
        <v>347</v>
      </c>
      <c r="U150" t="s">
        <v>348</v>
      </c>
      <c r="V150" t="s">
        <v>349</v>
      </c>
      <c r="W150" t="s">
        <v>350</v>
      </c>
      <c r="X150" t="s">
        <v>453</v>
      </c>
      <c r="AM150" t="s">
        <v>287</v>
      </c>
      <c r="AN150" t="s">
        <v>259</v>
      </c>
      <c r="AO150" t="s">
        <v>260</v>
      </c>
      <c r="AQ150" t="s">
        <v>261</v>
      </c>
      <c r="AS150">
        <v>1540</v>
      </c>
      <c r="AX150" t="s">
        <v>262</v>
      </c>
      <c r="BO150" t="s">
        <v>261</v>
      </c>
      <c r="BQ150">
        <v>1.54</v>
      </c>
      <c r="BV150" t="s">
        <v>263</v>
      </c>
      <c r="CM150" t="s">
        <v>264</v>
      </c>
      <c r="CN150" t="s">
        <v>264</v>
      </c>
      <c r="CP150" t="s">
        <v>265</v>
      </c>
      <c r="DB150">
        <v>2</v>
      </c>
      <c r="DG150" t="s">
        <v>267</v>
      </c>
      <c r="DI150">
        <v>48</v>
      </c>
      <c r="DN150" t="s">
        <v>268</v>
      </c>
      <c r="DR150">
        <v>85549</v>
      </c>
      <c r="DS150">
        <v>366</v>
      </c>
      <c r="EW150" t="s">
        <v>272</v>
      </c>
      <c r="HH150" t="s">
        <v>272</v>
      </c>
      <c r="IE150" t="s">
        <v>686</v>
      </c>
      <c r="IF150">
        <v>14577</v>
      </c>
      <c r="IG150" t="s">
        <v>687</v>
      </c>
      <c r="IH150" t="s">
        <v>688</v>
      </c>
      <c r="II150">
        <v>1993</v>
      </c>
      <c r="IJ150" t="s">
        <v>689</v>
      </c>
    </row>
    <row r="151" spans="1:244" x14ac:dyDescent="0.45">
      <c r="A151">
        <v>1306535</v>
      </c>
      <c r="B151">
        <v>763430</v>
      </c>
      <c r="C151">
        <v>7440439</v>
      </c>
      <c r="D151" t="s">
        <v>889</v>
      </c>
      <c r="F151" t="s">
        <v>245</v>
      </c>
      <c r="G151" t="s">
        <v>246</v>
      </c>
      <c r="N151" t="s">
        <v>606</v>
      </c>
      <c r="O151" t="s">
        <v>607</v>
      </c>
      <c r="P151" t="s">
        <v>249</v>
      </c>
      <c r="Q151" t="s">
        <v>250</v>
      </c>
      <c r="R151" t="s">
        <v>251</v>
      </c>
      <c r="T151" t="s">
        <v>252</v>
      </c>
      <c r="U151" t="s">
        <v>253</v>
      </c>
      <c r="V151" t="s">
        <v>608</v>
      </c>
      <c r="W151" t="s">
        <v>609</v>
      </c>
      <c r="X151" t="s">
        <v>610</v>
      </c>
      <c r="Z151" t="s">
        <v>315</v>
      </c>
      <c r="AL151" t="s">
        <v>907</v>
      </c>
      <c r="AM151" t="s">
        <v>307</v>
      </c>
      <c r="AN151" t="s">
        <v>259</v>
      </c>
      <c r="AO151" t="s">
        <v>260</v>
      </c>
      <c r="AP151">
        <v>8</v>
      </c>
      <c r="AQ151" t="s">
        <v>261</v>
      </c>
      <c r="AS151">
        <v>56</v>
      </c>
      <c r="AX151" t="s">
        <v>356</v>
      </c>
      <c r="BO151" t="s">
        <v>261</v>
      </c>
      <c r="BQ151">
        <v>56</v>
      </c>
      <c r="BV151" t="s">
        <v>263</v>
      </c>
      <c r="CM151" t="s">
        <v>264</v>
      </c>
      <c r="CN151" t="s">
        <v>264</v>
      </c>
      <c r="CP151" t="s">
        <v>265</v>
      </c>
      <c r="CQ151" t="s">
        <v>890</v>
      </c>
      <c r="DB151">
        <v>2</v>
      </c>
      <c r="DG151" t="s">
        <v>267</v>
      </c>
      <c r="DI151">
        <v>48</v>
      </c>
      <c r="DN151" t="s">
        <v>268</v>
      </c>
      <c r="DP151" t="s">
        <v>908</v>
      </c>
      <c r="DR151">
        <v>6706</v>
      </c>
      <c r="DS151">
        <v>346</v>
      </c>
      <c r="EW151" t="s">
        <v>293</v>
      </c>
      <c r="FK151" t="s">
        <v>909</v>
      </c>
      <c r="FM151">
        <v>15</v>
      </c>
      <c r="FR151" t="s">
        <v>295</v>
      </c>
      <c r="HH151" t="s">
        <v>272</v>
      </c>
      <c r="ID151" t="s">
        <v>910</v>
      </c>
      <c r="IE151" t="s">
        <v>911</v>
      </c>
      <c r="IF151">
        <v>82412</v>
      </c>
      <c r="IG151" t="s">
        <v>912</v>
      </c>
      <c r="IH151" t="s">
        <v>913</v>
      </c>
      <c r="II151">
        <v>1976</v>
      </c>
      <c r="IJ151" t="s">
        <v>914</v>
      </c>
    </row>
    <row r="152" spans="1:244" x14ac:dyDescent="0.45">
      <c r="A152">
        <v>2018932</v>
      </c>
      <c r="B152">
        <v>2031513</v>
      </c>
      <c r="C152">
        <v>7440439</v>
      </c>
      <c r="D152" t="s">
        <v>889</v>
      </c>
      <c r="F152" t="s">
        <v>327</v>
      </c>
      <c r="G152" t="s">
        <v>891</v>
      </c>
      <c r="N152" t="s">
        <v>892</v>
      </c>
      <c r="O152" t="s">
        <v>498</v>
      </c>
      <c r="P152" t="s">
        <v>249</v>
      </c>
      <c r="Q152" t="s">
        <v>250</v>
      </c>
      <c r="R152" t="s">
        <v>251</v>
      </c>
      <c r="T152" t="s">
        <v>252</v>
      </c>
      <c r="U152" t="s">
        <v>499</v>
      </c>
      <c r="V152" t="s">
        <v>500</v>
      </c>
      <c r="W152" t="s">
        <v>893</v>
      </c>
      <c r="X152" t="s">
        <v>894</v>
      </c>
      <c r="AI152">
        <v>5</v>
      </c>
      <c r="AJ152" t="s">
        <v>285</v>
      </c>
      <c r="AK152" t="s">
        <v>709</v>
      </c>
      <c r="AL152" t="s">
        <v>895</v>
      </c>
      <c r="AM152" t="s">
        <v>287</v>
      </c>
      <c r="AN152" t="s">
        <v>259</v>
      </c>
      <c r="AO152" t="s">
        <v>260</v>
      </c>
      <c r="AP152">
        <v>6</v>
      </c>
      <c r="AQ152" t="s">
        <v>261</v>
      </c>
      <c r="AT152" t="s">
        <v>288</v>
      </c>
      <c r="AU152">
        <v>0.2</v>
      </c>
      <c r="AV152" t="s">
        <v>289</v>
      </c>
      <c r="AW152">
        <v>0.4</v>
      </c>
      <c r="AX152" t="s">
        <v>356</v>
      </c>
      <c r="BO152" t="s">
        <v>261</v>
      </c>
      <c r="BR152" t="s">
        <v>288</v>
      </c>
      <c r="BS152">
        <v>0.2</v>
      </c>
      <c r="BT152" t="s">
        <v>289</v>
      </c>
      <c r="BU152">
        <v>0.4</v>
      </c>
      <c r="BV152" t="s">
        <v>263</v>
      </c>
      <c r="CM152" t="s">
        <v>264</v>
      </c>
      <c r="CN152" t="s">
        <v>264</v>
      </c>
      <c r="CP152" t="s">
        <v>265</v>
      </c>
      <c r="CQ152" t="s">
        <v>890</v>
      </c>
      <c r="DB152">
        <v>4</v>
      </c>
      <c r="DG152" t="s">
        <v>267</v>
      </c>
      <c r="DI152">
        <v>96</v>
      </c>
      <c r="DN152" t="s">
        <v>268</v>
      </c>
      <c r="DP152" t="s">
        <v>896</v>
      </c>
      <c r="DR152">
        <v>732107</v>
      </c>
      <c r="DS152">
        <v>427</v>
      </c>
      <c r="DT152" t="s">
        <v>897</v>
      </c>
      <c r="DV152">
        <v>96</v>
      </c>
      <c r="EA152" t="s">
        <v>268</v>
      </c>
      <c r="EC152">
        <v>4</v>
      </c>
      <c r="EH152" t="s">
        <v>267</v>
      </c>
      <c r="EJ152">
        <v>96</v>
      </c>
      <c r="EO152" t="s">
        <v>268</v>
      </c>
      <c r="EQ152">
        <v>4</v>
      </c>
      <c r="EV152" t="s">
        <v>267</v>
      </c>
      <c r="EW152" t="s">
        <v>293</v>
      </c>
      <c r="EY152" t="s">
        <v>377</v>
      </c>
      <c r="EZ152">
        <v>20</v>
      </c>
      <c r="FA152" t="s">
        <v>915</v>
      </c>
      <c r="FK152" t="s">
        <v>899</v>
      </c>
      <c r="FM152">
        <v>10</v>
      </c>
      <c r="FR152" t="s">
        <v>295</v>
      </c>
      <c r="GH152">
        <v>80</v>
      </c>
      <c r="GM152" t="s">
        <v>900</v>
      </c>
      <c r="GO152">
        <v>7.8</v>
      </c>
      <c r="GU152">
        <v>35.9</v>
      </c>
      <c r="GZ152" t="s">
        <v>296</v>
      </c>
      <c r="HH152" t="s">
        <v>272</v>
      </c>
      <c r="ID152" t="s">
        <v>901</v>
      </c>
      <c r="IE152" t="s">
        <v>902</v>
      </c>
      <c r="IF152">
        <v>118441</v>
      </c>
      <c r="IG152" t="s">
        <v>903</v>
      </c>
      <c r="IH152" t="s">
        <v>904</v>
      </c>
      <c r="II152">
        <v>2009</v>
      </c>
      <c r="IJ152" t="s">
        <v>905</v>
      </c>
    </row>
    <row r="153" spans="1:244" x14ac:dyDescent="0.45">
      <c r="A153">
        <v>2018942</v>
      </c>
      <c r="B153">
        <v>2031539</v>
      </c>
      <c r="C153">
        <v>7440439</v>
      </c>
      <c r="D153" t="s">
        <v>889</v>
      </c>
      <c r="F153" t="s">
        <v>327</v>
      </c>
      <c r="G153" t="s">
        <v>891</v>
      </c>
      <c r="N153" t="s">
        <v>892</v>
      </c>
      <c r="O153" t="s">
        <v>498</v>
      </c>
      <c r="P153" t="s">
        <v>249</v>
      </c>
      <c r="Q153" t="s">
        <v>250</v>
      </c>
      <c r="R153" t="s">
        <v>251</v>
      </c>
      <c r="T153" t="s">
        <v>252</v>
      </c>
      <c r="U153" t="s">
        <v>499</v>
      </c>
      <c r="V153" t="s">
        <v>500</v>
      </c>
      <c r="W153" t="s">
        <v>893</v>
      </c>
      <c r="X153" t="s">
        <v>894</v>
      </c>
      <c r="AI153">
        <v>5</v>
      </c>
      <c r="AJ153" t="s">
        <v>285</v>
      </c>
      <c r="AK153" t="s">
        <v>709</v>
      </c>
      <c r="AL153" t="s">
        <v>895</v>
      </c>
      <c r="AM153" t="s">
        <v>287</v>
      </c>
      <c r="AN153" t="s">
        <v>259</v>
      </c>
      <c r="AO153" t="s">
        <v>260</v>
      </c>
      <c r="AP153">
        <v>6</v>
      </c>
      <c r="AQ153" t="s">
        <v>261</v>
      </c>
      <c r="AT153" t="s">
        <v>288</v>
      </c>
      <c r="AU153">
        <v>0.2</v>
      </c>
      <c r="AV153" t="s">
        <v>289</v>
      </c>
      <c r="AW153">
        <v>0.4</v>
      </c>
      <c r="AX153" t="s">
        <v>356</v>
      </c>
      <c r="BO153" t="s">
        <v>261</v>
      </c>
      <c r="BR153" t="s">
        <v>288</v>
      </c>
      <c r="BS153">
        <v>0.2</v>
      </c>
      <c r="BT153" t="s">
        <v>289</v>
      </c>
      <c r="BU153">
        <v>0.4</v>
      </c>
      <c r="BV153" t="s">
        <v>263</v>
      </c>
      <c r="CM153" t="s">
        <v>264</v>
      </c>
      <c r="CN153" t="s">
        <v>264</v>
      </c>
      <c r="CP153" t="s">
        <v>265</v>
      </c>
      <c r="CQ153" t="s">
        <v>890</v>
      </c>
      <c r="DB153">
        <v>4</v>
      </c>
      <c r="DG153" t="s">
        <v>267</v>
      </c>
      <c r="DI153">
        <v>96</v>
      </c>
      <c r="DN153" t="s">
        <v>268</v>
      </c>
      <c r="DP153" t="s">
        <v>896</v>
      </c>
      <c r="DR153">
        <v>732107</v>
      </c>
      <c r="DS153">
        <v>427</v>
      </c>
      <c r="DT153" t="s">
        <v>897</v>
      </c>
      <c r="DV153">
        <v>96</v>
      </c>
      <c r="EA153" t="s">
        <v>268</v>
      </c>
      <c r="EC153">
        <v>4</v>
      </c>
      <c r="EH153" t="s">
        <v>267</v>
      </c>
      <c r="EJ153">
        <v>96</v>
      </c>
      <c r="EO153" t="s">
        <v>268</v>
      </c>
      <c r="EQ153">
        <v>4</v>
      </c>
      <c r="EV153" t="s">
        <v>267</v>
      </c>
      <c r="EW153" t="s">
        <v>293</v>
      </c>
      <c r="EY153" t="s">
        <v>377</v>
      </c>
      <c r="EZ153">
        <v>20</v>
      </c>
      <c r="FA153" t="s">
        <v>898</v>
      </c>
      <c r="FK153" t="s">
        <v>899</v>
      </c>
      <c r="FM153">
        <v>25</v>
      </c>
      <c r="FR153" t="s">
        <v>295</v>
      </c>
      <c r="GH153">
        <v>80</v>
      </c>
      <c r="GM153" t="s">
        <v>900</v>
      </c>
      <c r="GO153">
        <v>7.8</v>
      </c>
      <c r="GU153">
        <v>35.9</v>
      </c>
      <c r="GZ153" t="s">
        <v>296</v>
      </c>
      <c r="HH153" t="s">
        <v>272</v>
      </c>
      <c r="ID153" t="s">
        <v>901</v>
      </c>
      <c r="IE153" t="s">
        <v>902</v>
      </c>
      <c r="IF153">
        <v>118441</v>
      </c>
      <c r="IG153" t="s">
        <v>903</v>
      </c>
      <c r="IH153" t="s">
        <v>904</v>
      </c>
      <c r="II153">
        <v>2009</v>
      </c>
      <c r="IJ153" t="s">
        <v>905</v>
      </c>
    </row>
    <row r="154" spans="1:244" x14ac:dyDescent="0.45">
      <c r="A154">
        <v>2018938</v>
      </c>
      <c r="B154">
        <v>2031534</v>
      </c>
      <c r="C154">
        <v>7440439</v>
      </c>
      <c r="D154" t="s">
        <v>889</v>
      </c>
      <c r="F154" t="s">
        <v>327</v>
      </c>
      <c r="G154" t="s">
        <v>891</v>
      </c>
      <c r="N154" t="s">
        <v>892</v>
      </c>
      <c r="O154" t="s">
        <v>498</v>
      </c>
      <c r="P154" t="s">
        <v>249</v>
      </c>
      <c r="Q154" t="s">
        <v>250</v>
      </c>
      <c r="R154" t="s">
        <v>251</v>
      </c>
      <c r="T154" t="s">
        <v>252</v>
      </c>
      <c r="U154" t="s">
        <v>499</v>
      </c>
      <c r="V154" t="s">
        <v>500</v>
      </c>
      <c r="W154" t="s">
        <v>893</v>
      </c>
      <c r="X154" t="s">
        <v>894</v>
      </c>
      <c r="AI154">
        <v>5</v>
      </c>
      <c r="AJ154" t="s">
        <v>285</v>
      </c>
      <c r="AK154" t="s">
        <v>709</v>
      </c>
      <c r="AL154" t="s">
        <v>895</v>
      </c>
      <c r="AM154" t="s">
        <v>287</v>
      </c>
      <c r="AN154" t="s">
        <v>259</v>
      </c>
      <c r="AO154" t="s">
        <v>260</v>
      </c>
      <c r="AP154">
        <v>6</v>
      </c>
      <c r="AQ154" t="s">
        <v>261</v>
      </c>
      <c r="AT154" t="s">
        <v>288</v>
      </c>
      <c r="AU154">
        <v>0.4</v>
      </c>
      <c r="AV154" t="s">
        <v>289</v>
      </c>
      <c r="AW154">
        <v>0.6</v>
      </c>
      <c r="AX154" t="s">
        <v>356</v>
      </c>
      <c r="BO154" t="s">
        <v>261</v>
      </c>
      <c r="BR154" t="s">
        <v>288</v>
      </c>
      <c r="BS154">
        <v>0.4</v>
      </c>
      <c r="BT154" t="s">
        <v>289</v>
      </c>
      <c r="BU154">
        <v>0.6</v>
      </c>
      <c r="BV154" t="s">
        <v>263</v>
      </c>
      <c r="CM154" t="s">
        <v>264</v>
      </c>
      <c r="CN154" t="s">
        <v>264</v>
      </c>
      <c r="CP154" t="s">
        <v>265</v>
      </c>
      <c r="CQ154" t="s">
        <v>890</v>
      </c>
      <c r="DB154">
        <v>4</v>
      </c>
      <c r="DG154" t="s">
        <v>267</v>
      </c>
      <c r="DI154">
        <v>96</v>
      </c>
      <c r="DN154" t="s">
        <v>268</v>
      </c>
      <c r="DP154" t="s">
        <v>896</v>
      </c>
      <c r="DR154">
        <v>732107</v>
      </c>
      <c r="DS154">
        <v>427</v>
      </c>
      <c r="DT154" t="s">
        <v>897</v>
      </c>
      <c r="DV154">
        <v>96</v>
      </c>
      <c r="EA154" t="s">
        <v>268</v>
      </c>
      <c r="EC154">
        <v>4</v>
      </c>
      <c r="EH154" t="s">
        <v>267</v>
      </c>
      <c r="EJ154">
        <v>96</v>
      </c>
      <c r="EO154" t="s">
        <v>268</v>
      </c>
      <c r="EQ154">
        <v>4</v>
      </c>
      <c r="EV154" t="s">
        <v>267</v>
      </c>
      <c r="EW154" t="s">
        <v>293</v>
      </c>
      <c r="EY154" t="s">
        <v>377</v>
      </c>
      <c r="EZ154">
        <v>20</v>
      </c>
      <c r="FA154" t="s">
        <v>898</v>
      </c>
      <c r="FK154" t="s">
        <v>899</v>
      </c>
      <c r="FM154">
        <v>20</v>
      </c>
      <c r="FR154" t="s">
        <v>295</v>
      </c>
      <c r="GH154">
        <v>80</v>
      </c>
      <c r="GM154" t="s">
        <v>900</v>
      </c>
      <c r="GO154">
        <v>7.8</v>
      </c>
      <c r="GU154">
        <v>35.9</v>
      </c>
      <c r="GZ154" t="s">
        <v>296</v>
      </c>
      <c r="HH154" t="s">
        <v>272</v>
      </c>
      <c r="ID154" t="s">
        <v>901</v>
      </c>
      <c r="IE154" t="s">
        <v>902</v>
      </c>
      <c r="IF154">
        <v>118441</v>
      </c>
      <c r="IG154" t="s">
        <v>903</v>
      </c>
      <c r="IH154" t="s">
        <v>904</v>
      </c>
      <c r="II154">
        <v>2009</v>
      </c>
      <c r="IJ154" t="s">
        <v>905</v>
      </c>
    </row>
    <row r="155" spans="1:244" x14ac:dyDescent="0.45">
      <c r="A155">
        <v>1047621</v>
      </c>
      <c r="B155">
        <v>129347</v>
      </c>
      <c r="C155">
        <v>7440439</v>
      </c>
      <c r="D155" t="s">
        <v>889</v>
      </c>
      <c r="F155" t="s">
        <v>245</v>
      </c>
      <c r="G155" t="s">
        <v>246</v>
      </c>
      <c r="N155" t="s">
        <v>934</v>
      </c>
      <c r="O155" t="s">
        <v>935</v>
      </c>
      <c r="P155" t="s">
        <v>249</v>
      </c>
      <c r="Q155" t="s">
        <v>250</v>
      </c>
      <c r="R155" t="s">
        <v>251</v>
      </c>
      <c r="T155" t="s">
        <v>252</v>
      </c>
      <c r="U155" t="s">
        <v>253</v>
      </c>
      <c r="V155" t="s">
        <v>936</v>
      </c>
      <c r="W155" t="s">
        <v>937</v>
      </c>
      <c r="X155" t="s">
        <v>938</v>
      </c>
      <c r="Z155" t="s">
        <v>284</v>
      </c>
      <c r="AB155">
        <v>12</v>
      </c>
      <c r="AG155" t="s">
        <v>268</v>
      </c>
      <c r="AM155" t="s">
        <v>258</v>
      </c>
      <c r="AN155" t="s">
        <v>259</v>
      </c>
      <c r="AO155" t="s">
        <v>260</v>
      </c>
      <c r="AQ155" t="s">
        <v>504</v>
      </c>
      <c r="AS155">
        <v>0.2</v>
      </c>
      <c r="AX155" t="s">
        <v>262</v>
      </c>
      <c r="BO155" t="s">
        <v>504</v>
      </c>
      <c r="BQ155">
        <v>2.0000000000000001E-4</v>
      </c>
      <c r="BV155" t="s">
        <v>263</v>
      </c>
      <c r="CM155" t="s">
        <v>264</v>
      </c>
      <c r="CN155" t="s">
        <v>264</v>
      </c>
      <c r="CO155" t="s">
        <v>939</v>
      </c>
      <c r="CP155" t="s">
        <v>265</v>
      </c>
      <c r="DB155">
        <v>4</v>
      </c>
      <c r="DG155" t="s">
        <v>267</v>
      </c>
      <c r="DI155">
        <v>96</v>
      </c>
      <c r="DN155" t="s">
        <v>268</v>
      </c>
      <c r="DR155">
        <v>108123</v>
      </c>
      <c r="DS155">
        <v>103</v>
      </c>
      <c r="EW155" t="s">
        <v>333</v>
      </c>
      <c r="FM155">
        <v>30</v>
      </c>
      <c r="FR155" t="s">
        <v>295</v>
      </c>
      <c r="GO155">
        <v>7.6</v>
      </c>
      <c r="GU155">
        <v>20</v>
      </c>
      <c r="GZ155" t="s">
        <v>296</v>
      </c>
      <c r="HH155" t="s">
        <v>272</v>
      </c>
      <c r="IE155" t="s">
        <v>940</v>
      </c>
      <c r="IF155">
        <v>3035</v>
      </c>
      <c r="IG155" t="s">
        <v>941</v>
      </c>
      <c r="IH155" t="s">
        <v>942</v>
      </c>
      <c r="II155">
        <v>1988</v>
      </c>
      <c r="IJ155" t="s">
        <v>943</v>
      </c>
    </row>
    <row r="156" spans="1:244" x14ac:dyDescent="0.45">
      <c r="A156">
        <v>1274186</v>
      </c>
      <c r="B156">
        <v>725509</v>
      </c>
      <c r="C156">
        <v>7440439</v>
      </c>
      <c r="D156" t="s">
        <v>889</v>
      </c>
      <c r="F156" t="s">
        <v>245</v>
      </c>
      <c r="G156" t="s">
        <v>246</v>
      </c>
      <c r="N156" t="s">
        <v>944</v>
      </c>
      <c r="O156" t="s">
        <v>945</v>
      </c>
      <c r="P156" t="s">
        <v>249</v>
      </c>
      <c r="Q156" t="s">
        <v>250</v>
      </c>
      <c r="R156" t="s">
        <v>251</v>
      </c>
      <c r="T156" t="s">
        <v>252</v>
      </c>
      <c r="U156" t="s">
        <v>253</v>
      </c>
      <c r="V156" t="s">
        <v>418</v>
      </c>
      <c r="W156" t="s">
        <v>946</v>
      </c>
      <c r="X156" t="s">
        <v>947</v>
      </c>
      <c r="Z156" t="s">
        <v>421</v>
      </c>
      <c r="AL156" t="s">
        <v>948</v>
      </c>
      <c r="AM156" t="s">
        <v>258</v>
      </c>
      <c r="AN156" t="s">
        <v>259</v>
      </c>
      <c r="AO156" t="s">
        <v>260</v>
      </c>
      <c r="AP156">
        <v>8</v>
      </c>
      <c r="AQ156" t="s">
        <v>261</v>
      </c>
      <c r="AS156">
        <v>1.1399999999999999</v>
      </c>
      <c r="AU156">
        <v>1.07</v>
      </c>
      <c r="AW156">
        <v>1.21</v>
      </c>
      <c r="AX156" t="s">
        <v>356</v>
      </c>
      <c r="BO156" t="s">
        <v>261</v>
      </c>
      <c r="BQ156">
        <v>1.1399999999999999</v>
      </c>
      <c r="BS156">
        <v>1.07</v>
      </c>
      <c r="BU156">
        <v>1.21</v>
      </c>
      <c r="BV156" t="s">
        <v>263</v>
      </c>
      <c r="CM156" t="s">
        <v>264</v>
      </c>
      <c r="CN156" t="s">
        <v>264</v>
      </c>
      <c r="CP156" t="s">
        <v>265</v>
      </c>
      <c r="CQ156" t="s">
        <v>890</v>
      </c>
      <c r="DB156">
        <v>3</v>
      </c>
      <c r="DG156" t="s">
        <v>267</v>
      </c>
      <c r="DI156">
        <v>72</v>
      </c>
      <c r="DN156" t="s">
        <v>268</v>
      </c>
      <c r="DP156" t="s">
        <v>908</v>
      </c>
      <c r="DR156">
        <v>6689</v>
      </c>
      <c r="DS156">
        <v>11779</v>
      </c>
      <c r="DT156" t="s">
        <v>949</v>
      </c>
      <c r="EW156" t="s">
        <v>293</v>
      </c>
      <c r="FA156" t="s">
        <v>950</v>
      </c>
      <c r="FK156" t="s">
        <v>951</v>
      </c>
      <c r="FM156">
        <v>25</v>
      </c>
      <c r="FR156" t="s">
        <v>295</v>
      </c>
      <c r="GJ156">
        <v>5.8</v>
      </c>
      <c r="GL156">
        <v>6.5</v>
      </c>
      <c r="GM156" t="s">
        <v>356</v>
      </c>
      <c r="GQ156">
        <v>7.15</v>
      </c>
      <c r="GS156">
        <v>7.87</v>
      </c>
      <c r="GU156">
        <v>15</v>
      </c>
      <c r="GZ156" t="s">
        <v>362</v>
      </c>
      <c r="HD156">
        <v>32</v>
      </c>
      <c r="HF156">
        <v>152</v>
      </c>
      <c r="HG156" t="s">
        <v>952</v>
      </c>
      <c r="HH156" t="s">
        <v>272</v>
      </c>
      <c r="ID156" t="s">
        <v>953</v>
      </c>
      <c r="IE156" t="s">
        <v>954</v>
      </c>
      <c r="IF156">
        <v>76280</v>
      </c>
      <c r="IG156" t="s">
        <v>955</v>
      </c>
      <c r="IH156" t="s">
        <v>956</v>
      </c>
      <c r="II156">
        <v>2004</v>
      </c>
      <c r="IJ156" t="s">
        <v>957</v>
      </c>
    </row>
    <row r="157" spans="1:244" x14ac:dyDescent="0.45">
      <c r="A157">
        <v>2148502</v>
      </c>
      <c r="B157">
        <v>2283442</v>
      </c>
      <c r="C157">
        <v>7440439</v>
      </c>
      <c r="D157" t="s">
        <v>889</v>
      </c>
      <c r="F157" t="s">
        <v>245</v>
      </c>
      <c r="G157" t="s">
        <v>272</v>
      </c>
      <c r="N157" t="s">
        <v>704</v>
      </c>
      <c r="O157" t="s">
        <v>705</v>
      </c>
      <c r="P157" t="s">
        <v>249</v>
      </c>
      <c r="Q157" t="s">
        <v>250</v>
      </c>
      <c r="R157" t="s">
        <v>251</v>
      </c>
      <c r="T157" t="s">
        <v>252</v>
      </c>
      <c r="U157" t="s">
        <v>499</v>
      </c>
      <c r="V157" t="s">
        <v>706</v>
      </c>
      <c r="W157" t="s">
        <v>707</v>
      </c>
      <c r="X157" t="s">
        <v>708</v>
      </c>
      <c r="Z157" t="s">
        <v>315</v>
      </c>
      <c r="AI157">
        <v>3</v>
      </c>
      <c r="AJ157" t="s">
        <v>285</v>
      </c>
      <c r="AK157" t="s">
        <v>709</v>
      </c>
      <c r="AM157" t="s">
        <v>258</v>
      </c>
      <c r="AN157" t="s">
        <v>259</v>
      </c>
      <c r="AO157" t="s">
        <v>260</v>
      </c>
      <c r="AP157">
        <v>13</v>
      </c>
      <c r="AQ157" t="s">
        <v>261</v>
      </c>
      <c r="AS157">
        <v>5.35</v>
      </c>
      <c r="AU157">
        <v>5.0199999999999996</v>
      </c>
      <c r="AW157">
        <v>5.71</v>
      </c>
      <c r="AX157" t="s">
        <v>710</v>
      </c>
      <c r="BO157" t="s">
        <v>261</v>
      </c>
      <c r="BQ157">
        <v>0.60139350000000003</v>
      </c>
      <c r="BS157">
        <v>0.56429819999999997</v>
      </c>
      <c r="BU157">
        <v>0.64186109999999996</v>
      </c>
      <c r="BV157" t="s">
        <v>263</v>
      </c>
      <c r="CM157" t="s">
        <v>264</v>
      </c>
      <c r="CN157" t="s">
        <v>264</v>
      </c>
      <c r="CP157" t="s">
        <v>265</v>
      </c>
      <c r="CQ157" t="s">
        <v>890</v>
      </c>
      <c r="DB157">
        <v>4</v>
      </c>
      <c r="DG157" t="s">
        <v>267</v>
      </c>
      <c r="DI157">
        <v>96</v>
      </c>
      <c r="DN157" t="s">
        <v>268</v>
      </c>
      <c r="DR157">
        <v>587174</v>
      </c>
      <c r="DS157">
        <v>40921</v>
      </c>
      <c r="DV157">
        <v>96</v>
      </c>
      <c r="EA157" t="s">
        <v>268</v>
      </c>
      <c r="EC157">
        <v>4</v>
      </c>
      <c r="EH157" t="s">
        <v>267</v>
      </c>
      <c r="EJ157">
        <v>96</v>
      </c>
      <c r="EO157" t="s">
        <v>268</v>
      </c>
      <c r="EQ157">
        <v>4</v>
      </c>
      <c r="EV157" t="s">
        <v>267</v>
      </c>
      <c r="EW157" t="s">
        <v>293</v>
      </c>
      <c r="EZ157">
        <v>30</v>
      </c>
      <c r="FA157" t="s">
        <v>711</v>
      </c>
      <c r="FM157">
        <v>10</v>
      </c>
      <c r="FR157" t="s">
        <v>295</v>
      </c>
      <c r="GU157">
        <v>33</v>
      </c>
      <c r="GZ157" t="s">
        <v>296</v>
      </c>
      <c r="HH157" t="s">
        <v>272</v>
      </c>
      <c r="ID157" t="s">
        <v>712</v>
      </c>
      <c r="IE157" t="s">
        <v>713</v>
      </c>
      <c r="IF157">
        <v>169928</v>
      </c>
      <c r="IG157" t="s">
        <v>714</v>
      </c>
      <c r="IH157" t="s">
        <v>715</v>
      </c>
      <c r="II157">
        <v>2014</v>
      </c>
      <c r="IJ157" t="s">
        <v>716</v>
      </c>
    </row>
    <row r="158" spans="1:244" x14ac:dyDescent="0.45">
      <c r="A158">
        <v>1274187</v>
      </c>
      <c r="B158">
        <v>725510</v>
      </c>
      <c r="C158">
        <v>7440439</v>
      </c>
      <c r="D158" t="s">
        <v>889</v>
      </c>
      <c r="F158" t="s">
        <v>245</v>
      </c>
      <c r="G158" t="s">
        <v>246</v>
      </c>
      <c r="N158" t="s">
        <v>944</v>
      </c>
      <c r="O158" t="s">
        <v>945</v>
      </c>
      <c r="P158" t="s">
        <v>249</v>
      </c>
      <c r="Q158" t="s">
        <v>250</v>
      </c>
      <c r="R158" t="s">
        <v>251</v>
      </c>
      <c r="T158" t="s">
        <v>252</v>
      </c>
      <c r="U158" t="s">
        <v>253</v>
      </c>
      <c r="V158" t="s">
        <v>418</v>
      </c>
      <c r="W158" t="s">
        <v>946</v>
      </c>
      <c r="X158" t="s">
        <v>947</v>
      </c>
      <c r="Z158" t="s">
        <v>421</v>
      </c>
      <c r="AL158" t="s">
        <v>948</v>
      </c>
      <c r="AM158" t="s">
        <v>258</v>
      </c>
      <c r="AN158" t="s">
        <v>259</v>
      </c>
      <c r="AO158" t="s">
        <v>260</v>
      </c>
      <c r="AP158">
        <v>8</v>
      </c>
      <c r="AQ158" t="s">
        <v>261</v>
      </c>
      <c r="AS158">
        <v>1.07</v>
      </c>
      <c r="AU158">
        <v>1</v>
      </c>
      <c r="AW158">
        <v>1.1399999999999999</v>
      </c>
      <c r="AX158" t="s">
        <v>356</v>
      </c>
      <c r="BO158" t="s">
        <v>261</v>
      </c>
      <c r="BQ158">
        <v>1.07</v>
      </c>
      <c r="BS158">
        <v>1</v>
      </c>
      <c r="BU158">
        <v>1.1399999999999999</v>
      </c>
      <c r="BV158" t="s">
        <v>263</v>
      </c>
      <c r="CM158" t="s">
        <v>264</v>
      </c>
      <c r="CN158" t="s">
        <v>264</v>
      </c>
      <c r="CP158" t="s">
        <v>265</v>
      </c>
      <c r="CQ158" t="s">
        <v>890</v>
      </c>
      <c r="DB158">
        <v>4</v>
      </c>
      <c r="DG158" t="s">
        <v>267</v>
      </c>
      <c r="DI158">
        <v>96</v>
      </c>
      <c r="DN158" t="s">
        <v>268</v>
      </c>
      <c r="DP158" t="s">
        <v>908</v>
      </c>
      <c r="DR158">
        <v>6689</v>
      </c>
      <c r="DS158">
        <v>11779</v>
      </c>
      <c r="DT158" t="s">
        <v>949</v>
      </c>
      <c r="EW158" t="s">
        <v>293</v>
      </c>
      <c r="FA158" t="s">
        <v>950</v>
      </c>
      <c r="FK158" t="s">
        <v>951</v>
      </c>
      <c r="FM158">
        <v>25</v>
      </c>
      <c r="FR158" t="s">
        <v>295</v>
      </c>
      <c r="GJ158">
        <v>5.8</v>
      </c>
      <c r="GL158">
        <v>6.5</v>
      </c>
      <c r="GM158" t="s">
        <v>356</v>
      </c>
      <c r="GQ158">
        <v>7.15</v>
      </c>
      <c r="GS158">
        <v>7.87</v>
      </c>
      <c r="GU158">
        <v>15</v>
      </c>
      <c r="GZ158" t="s">
        <v>362</v>
      </c>
      <c r="HD158">
        <v>32</v>
      </c>
      <c r="HF158">
        <v>152</v>
      </c>
      <c r="HG158" t="s">
        <v>952</v>
      </c>
      <c r="HH158" t="s">
        <v>272</v>
      </c>
      <c r="ID158" t="s">
        <v>953</v>
      </c>
      <c r="IE158" t="s">
        <v>954</v>
      </c>
      <c r="IF158">
        <v>76280</v>
      </c>
      <c r="IG158" t="s">
        <v>955</v>
      </c>
      <c r="IH158" t="s">
        <v>956</v>
      </c>
      <c r="II158">
        <v>2004</v>
      </c>
      <c r="IJ158" t="s">
        <v>957</v>
      </c>
    </row>
    <row r="159" spans="1:244" x14ac:dyDescent="0.45">
      <c r="A159">
        <v>1296827</v>
      </c>
      <c r="B159">
        <v>752141</v>
      </c>
      <c r="C159">
        <v>7440439</v>
      </c>
      <c r="D159" t="s">
        <v>889</v>
      </c>
      <c r="F159" t="s">
        <v>245</v>
      </c>
      <c r="G159" t="s">
        <v>246</v>
      </c>
      <c r="N159" t="s">
        <v>958</v>
      </c>
      <c r="O159" t="s">
        <v>959</v>
      </c>
      <c r="P159" t="s">
        <v>249</v>
      </c>
      <c r="Q159" t="s">
        <v>250</v>
      </c>
      <c r="R159" t="s">
        <v>251</v>
      </c>
      <c r="T159" t="s">
        <v>252</v>
      </c>
      <c r="U159" t="s">
        <v>253</v>
      </c>
      <c r="V159" t="s">
        <v>418</v>
      </c>
      <c r="W159" t="s">
        <v>419</v>
      </c>
      <c r="X159" t="s">
        <v>960</v>
      </c>
      <c r="Z159" t="s">
        <v>421</v>
      </c>
      <c r="AL159" t="s">
        <v>961</v>
      </c>
      <c r="AM159" t="s">
        <v>317</v>
      </c>
      <c r="AN159" t="s">
        <v>259</v>
      </c>
      <c r="AO159" t="s">
        <v>260</v>
      </c>
      <c r="AQ159" t="s">
        <v>261</v>
      </c>
      <c r="AS159">
        <v>1.7</v>
      </c>
      <c r="AX159" t="s">
        <v>356</v>
      </c>
      <c r="BO159" t="s">
        <v>261</v>
      </c>
      <c r="BQ159">
        <v>1.7</v>
      </c>
      <c r="BV159" t="s">
        <v>263</v>
      </c>
      <c r="CM159" t="s">
        <v>264</v>
      </c>
      <c r="CN159" t="s">
        <v>264</v>
      </c>
      <c r="CP159" t="s">
        <v>265</v>
      </c>
      <c r="CQ159" t="s">
        <v>890</v>
      </c>
      <c r="DB159">
        <v>4</v>
      </c>
      <c r="DG159" t="s">
        <v>267</v>
      </c>
      <c r="DI159">
        <v>96</v>
      </c>
      <c r="DN159" t="s">
        <v>268</v>
      </c>
      <c r="DP159" t="s">
        <v>908</v>
      </c>
      <c r="DR159">
        <v>6687</v>
      </c>
      <c r="DS159">
        <v>252</v>
      </c>
      <c r="EW159" t="s">
        <v>293</v>
      </c>
      <c r="FK159" t="s">
        <v>962</v>
      </c>
      <c r="FO159">
        <v>27</v>
      </c>
      <c r="FQ159">
        <v>28.6</v>
      </c>
      <c r="FR159" t="s">
        <v>295</v>
      </c>
      <c r="GJ159">
        <v>6</v>
      </c>
      <c r="GL159">
        <v>7.4</v>
      </c>
      <c r="GM159" t="s">
        <v>356</v>
      </c>
      <c r="GQ159">
        <v>8.4</v>
      </c>
      <c r="GS159">
        <v>10</v>
      </c>
      <c r="GW159">
        <v>30</v>
      </c>
      <c r="GY159">
        <v>31</v>
      </c>
      <c r="GZ159" t="s">
        <v>296</v>
      </c>
      <c r="HH159" t="s">
        <v>272</v>
      </c>
      <c r="ID159" t="s">
        <v>963</v>
      </c>
      <c r="IE159" t="s">
        <v>964</v>
      </c>
      <c r="IF159">
        <v>115825</v>
      </c>
      <c r="IG159" t="s">
        <v>965</v>
      </c>
      <c r="IH159" t="s">
        <v>966</v>
      </c>
      <c r="II159">
        <v>1996</v>
      </c>
      <c r="IJ159" t="s">
        <v>967</v>
      </c>
    </row>
    <row r="160" spans="1:244" x14ac:dyDescent="0.45">
      <c r="A160">
        <v>1058802</v>
      </c>
      <c r="B160">
        <v>232591</v>
      </c>
      <c r="C160">
        <v>7440439</v>
      </c>
      <c r="D160" t="s">
        <v>889</v>
      </c>
      <c r="E160" t="s">
        <v>439</v>
      </c>
      <c r="F160" t="s">
        <v>245</v>
      </c>
      <c r="G160" t="s">
        <v>246</v>
      </c>
      <c r="N160" t="s">
        <v>499</v>
      </c>
      <c r="O160" t="s">
        <v>925</v>
      </c>
      <c r="P160" t="s">
        <v>249</v>
      </c>
      <c r="Q160" t="s">
        <v>250</v>
      </c>
      <c r="R160" t="s">
        <v>251</v>
      </c>
      <c r="T160" t="s">
        <v>252</v>
      </c>
      <c r="U160" t="s">
        <v>499</v>
      </c>
      <c r="Z160" t="s">
        <v>315</v>
      </c>
      <c r="AJ160" t="s">
        <v>285</v>
      </c>
      <c r="AL160" t="s">
        <v>926</v>
      </c>
      <c r="AM160" t="s">
        <v>317</v>
      </c>
      <c r="AN160" t="s">
        <v>259</v>
      </c>
      <c r="AO160" t="s">
        <v>260</v>
      </c>
      <c r="AP160">
        <v>5</v>
      </c>
      <c r="AQ160" t="s">
        <v>261</v>
      </c>
      <c r="AS160">
        <v>7.1999999999999995E-2</v>
      </c>
      <c r="AU160">
        <v>3.7999999999999999E-2</v>
      </c>
      <c r="AW160">
        <v>0.13500000000000001</v>
      </c>
      <c r="AX160" t="s">
        <v>262</v>
      </c>
      <c r="BO160" t="s">
        <v>261</v>
      </c>
      <c r="BQ160">
        <v>7.2000000000000002E-5</v>
      </c>
      <c r="BS160">
        <v>3.8000000000000002E-5</v>
      </c>
      <c r="BU160">
        <v>1.35E-4</v>
      </c>
      <c r="BV160" t="s">
        <v>263</v>
      </c>
      <c r="CM160" t="s">
        <v>264</v>
      </c>
      <c r="CN160" t="s">
        <v>264</v>
      </c>
      <c r="CP160" t="s">
        <v>265</v>
      </c>
      <c r="CQ160" t="s">
        <v>890</v>
      </c>
      <c r="DB160">
        <v>2</v>
      </c>
      <c r="DG160" t="s">
        <v>267</v>
      </c>
      <c r="DI160">
        <v>48</v>
      </c>
      <c r="DN160" t="s">
        <v>268</v>
      </c>
      <c r="DR160">
        <v>6821</v>
      </c>
      <c r="DS160">
        <v>1044</v>
      </c>
      <c r="DT160" t="s">
        <v>927</v>
      </c>
      <c r="EW160" t="s">
        <v>272</v>
      </c>
      <c r="FK160" t="s">
        <v>928</v>
      </c>
      <c r="FO160">
        <v>29.5</v>
      </c>
      <c r="FQ160">
        <v>30.5</v>
      </c>
      <c r="FR160" t="s">
        <v>295</v>
      </c>
      <c r="GJ160">
        <v>4.2</v>
      </c>
      <c r="GL160">
        <v>5.2</v>
      </c>
      <c r="GM160" t="s">
        <v>356</v>
      </c>
      <c r="GQ160">
        <v>7.1</v>
      </c>
      <c r="GS160">
        <v>7.8</v>
      </c>
      <c r="GW160">
        <v>29.5</v>
      </c>
      <c r="GY160">
        <v>30.5</v>
      </c>
      <c r="GZ160" t="s">
        <v>296</v>
      </c>
      <c r="HH160" t="s">
        <v>272</v>
      </c>
      <c r="ID160" t="s">
        <v>929</v>
      </c>
      <c r="IE160" t="s">
        <v>930</v>
      </c>
      <c r="IF160">
        <v>4336</v>
      </c>
      <c r="IG160" t="s">
        <v>931</v>
      </c>
      <c r="IH160" t="s">
        <v>932</v>
      </c>
      <c r="II160">
        <v>1993</v>
      </c>
      <c r="IJ160" t="s">
        <v>933</v>
      </c>
    </row>
    <row r="161" spans="1:244" x14ac:dyDescent="0.45">
      <c r="A161">
        <v>1297586</v>
      </c>
      <c r="B161">
        <v>752994</v>
      </c>
      <c r="C161">
        <v>7440439</v>
      </c>
      <c r="D161" t="s">
        <v>889</v>
      </c>
      <c r="F161" t="s">
        <v>245</v>
      </c>
      <c r="G161" t="s">
        <v>246</v>
      </c>
      <c r="N161" t="s">
        <v>968</v>
      </c>
      <c r="O161" t="s">
        <v>969</v>
      </c>
      <c r="P161" t="s">
        <v>249</v>
      </c>
      <c r="Q161" t="s">
        <v>250</v>
      </c>
      <c r="R161" t="s">
        <v>251</v>
      </c>
      <c r="T161" t="s">
        <v>252</v>
      </c>
      <c r="U161" t="s">
        <v>253</v>
      </c>
      <c r="V161" t="s">
        <v>418</v>
      </c>
      <c r="W161" t="s">
        <v>419</v>
      </c>
      <c r="X161" t="s">
        <v>970</v>
      </c>
      <c r="Z161" t="s">
        <v>421</v>
      </c>
      <c r="AL161" t="s">
        <v>971</v>
      </c>
      <c r="AM161" t="s">
        <v>317</v>
      </c>
      <c r="AN161" t="s">
        <v>259</v>
      </c>
      <c r="AO161" t="s">
        <v>260</v>
      </c>
      <c r="AQ161" t="s">
        <v>261</v>
      </c>
      <c r="AS161">
        <v>0.8</v>
      </c>
      <c r="AU161">
        <v>0.6</v>
      </c>
      <c r="AW161">
        <v>1.1000000000000001</v>
      </c>
      <c r="AX161" t="s">
        <v>356</v>
      </c>
      <c r="BO161" t="s">
        <v>261</v>
      </c>
      <c r="BQ161">
        <v>0.8</v>
      </c>
      <c r="BS161">
        <v>0.6</v>
      </c>
      <c r="BU161">
        <v>1.1000000000000001</v>
      </c>
      <c r="BV161" t="s">
        <v>263</v>
      </c>
      <c r="CM161" t="s">
        <v>264</v>
      </c>
      <c r="CN161" t="s">
        <v>264</v>
      </c>
      <c r="CP161" t="s">
        <v>265</v>
      </c>
      <c r="CQ161" t="s">
        <v>890</v>
      </c>
      <c r="DB161">
        <v>2</v>
      </c>
      <c r="DG161" t="s">
        <v>267</v>
      </c>
      <c r="DI161">
        <v>48</v>
      </c>
      <c r="DN161" t="s">
        <v>268</v>
      </c>
      <c r="DP161" t="s">
        <v>908</v>
      </c>
      <c r="DS161">
        <v>1010</v>
      </c>
      <c r="EW161" t="s">
        <v>293</v>
      </c>
      <c r="FK161" t="s">
        <v>972</v>
      </c>
      <c r="FO161">
        <v>21</v>
      </c>
      <c r="FQ161">
        <v>23.9</v>
      </c>
      <c r="FR161" t="s">
        <v>295</v>
      </c>
      <c r="GJ161">
        <v>6.2</v>
      </c>
      <c r="GL161">
        <v>7.9</v>
      </c>
      <c r="GM161" t="s">
        <v>356</v>
      </c>
      <c r="GQ161">
        <v>6.7</v>
      </c>
      <c r="GS161">
        <v>7.6</v>
      </c>
      <c r="GW161">
        <v>31</v>
      </c>
      <c r="GY161">
        <v>32</v>
      </c>
      <c r="GZ161" t="s">
        <v>296</v>
      </c>
      <c r="HH161" t="s">
        <v>272</v>
      </c>
      <c r="ID161" t="s">
        <v>973</v>
      </c>
      <c r="IE161" t="s">
        <v>964</v>
      </c>
      <c r="IF161">
        <v>115825</v>
      </c>
      <c r="IG161" t="s">
        <v>965</v>
      </c>
      <c r="IH161" t="s">
        <v>966</v>
      </c>
      <c r="II161">
        <v>1996</v>
      </c>
      <c r="IJ161" t="s">
        <v>967</v>
      </c>
    </row>
    <row r="162" spans="1:244" x14ac:dyDescent="0.45">
      <c r="A162">
        <v>1306529</v>
      </c>
      <c r="B162">
        <v>763424</v>
      </c>
      <c r="C162">
        <v>7440439</v>
      </c>
      <c r="D162" t="s">
        <v>889</v>
      </c>
      <c r="F162" t="s">
        <v>861</v>
      </c>
      <c r="G162" t="s">
        <v>246</v>
      </c>
      <c r="N162" t="s">
        <v>606</v>
      </c>
      <c r="O162" t="s">
        <v>607</v>
      </c>
      <c r="P162" t="s">
        <v>249</v>
      </c>
      <c r="Q162" t="s">
        <v>250</v>
      </c>
      <c r="R162" t="s">
        <v>251</v>
      </c>
      <c r="T162" t="s">
        <v>252</v>
      </c>
      <c r="U162" t="s">
        <v>253</v>
      </c>
      <c r="V162" t="s">
        <v>608</v>
      </c>
      <c r="W162" t="s">
        <v>609</v>
      </c>
      <c r="X162" t="s">
        <v>610</v>
      </c>
      <c r="Z162" t="s">
        <v>284</v>
      </c>
      <c r="AM162" t="s">
        <v>258</v>
      </c>
      <c r="AN162" t="s">
        <v>259</v>
      </c>
      <c r="AO162" t="s">
        <v>260</v>
      </c>
      <c r="AP162">
        <v>10</v>
      </c>
      <c r="AQ162" t="s">
        <v>261</v>
      </c>
      <c r="AS162">
        <v>0.23</v>
      </c>
      <c r="AX162" t="s">
        <v>356</v>
      </c>
      <c r="BO162" t="s">
        <v>261</v>
      </c>
      <c r="BQ162">
        <v>0.23</v>
      </c>
      <c r="BV162" t="s">
        <v>263</v>
      </c>
      <c r="CM162" t="s">
        <v>264</v>
      </c>
      <c r="CN162" t="s">
        <v>264</v>
      </c>
      <c r="CP162" t="s">
        <v>265</v>
      </c>
      <c r="CQ162" t="s">
        <v>890</v>
      </c>
      <c r="DB162">
        <v>2</v>
      </c>
      <c r="DG162" t="s">
        <v>267</v>
      </c>
      <c r="DI162">
        <v>48</v>
      </c>
      <c r="DN162" t="s">
        <v>268</v>
      </c>
      <c r="DP162" t="s">
        <v>908</v>
      </c>
      <c r="DR162">
        <v>6706</v>
      </c>
      <c r="DS162">
        <v>346</v>
      </c>
      <c r="EW162" t="s">
        <v>293</v>
      </c>
      <c r="FA162" t="s">
        <v>974</v>
      </c>
      <c r="FK162" t="s">
        <v>975</v>
      </c>
      <c r="FM162">
        <v>20</v>
      </c>
      <c r="FR162" t="s">
        <v>295</v>
      </c>
      <c r="HH162" t="s">
        <v>272</v>
      </c>
      <c r="ID162" t="s">
        <v>976</v>
      </c>
      <c r="IE162" t="s">
        <v>911</v>
      </c>
      <c r="IF162">
        <v>82412</v>
      </c>
      <c r="IG162" t="s">
        <v>912</v>
      </c>
      <c r="IH162" t="s">
        <v>913</v>
      </c>
      <c r="II162">
        <v>1976</v>
      </c>
      <c r="IJ162" t="s">
        <v>914</v>
      </c>
    </row>
    <row r="163" spans="1:244" x14ac:dyDescent="0.45">
      <c r="A163">
        <v>1205322</v>
      </c>
      <c r="B163">
        <v>203509</v>
      </c>
      <c r="C163">
        <v>7440439</v>
      </c>
      <c r="D163" t="s">
        <v>889</v>
      </c>
      <c r="F163" t="s">
        <v>245</v>
      </c>
      <c r="G163" t="s">
        <v>246</v>
      </c>
      <c r="N163" t="s">
        <v>690</v>
      </c>
      <c r="O163" t="s">
        <v>691</v>
      </c>
      <c r="P163" t="s">
        <v>249</v>
      </c>
      <c r="Q163" t="s">
        <v>250</v>
      </c>
      <c r="R163" t="s">
        <v>251</v>
      </c>
      <c r="T163" t="s">
        <v>252</v>
      </c>
      <c r="U163" t="s">
        <v>253</v>
      </c>
      <c r="V163" t="s">
        <v>418</v>
      </c>
      <c r="W163" t="s">
        <v>419</v>
      </c>
      <c r="X163" t="s">
        <v>692</v>
      </c>
      <c r="AM163" t="s">
        <v>287</v>
      </c>
      <c r="AN163" t="s">
        <v>259</v>
      </c>
      <c r="AO163" t="s">
        <v>260</v>
      </c>
      <c r="AQ163" t="s">
        <v>261</v>
      </c>
      <c r="AS163">
        <v>33</v>
      </c>
      <c r="AU163">
        <v>20</v>
      </c>
      <c r="AW163">
        <v>54</v>
      </c>
      <c r="AX163" t="s">
        <v>262</v>
      </c>
      <c r="BO163" t="s">
        <v>261</v>
      </c>
      <c r="BQ163">
        <v>3.3000000000000002E-2</v>
      </c>
      <c r="BS163">
        <v>0.02</v>
      </c>
      <c r="BU163">
        <v>5.3999999999999999E-2</v>
      </c>
      <c r="BV163" t="s">
        <v>263</v>
      </c>
      <c r="CM163" t="s">
        <v>264</v>
      </c>
      <c r="CN163" t="s">
        <v>264</v>
      </c>
      <c r="CP163" t="s">
        <v>265</v>
      </c>
      <c r="CQ163" t="s">
        <v>890</v>
      </c>
      <c r="DB163">
        <v>4</v>
      </c>
      <c r="DG163" t="s">
        <v>267</v>
      </c>
      <c r="DI163">
        <v>96</v>
      </c>
      <c r="DN163" t="s">
        <v>268</v>
      </c>
      <c r="DR163">
        <v>139456</v>
      </c>
      <c r="DS163">
        <v>3044</v>
      </c>
      <c r="EW163" t="s">
        <v>272</v>
      </c>
      <c r="HH163" t="s">
        <v>272</v>
      </c>
      <c r="IE163" t="s">
        <v>693</v>
      </c>
      <c r="IF163">
        <v>18730</v>
      </c>
      <c r="IG163" t="s">
        <v>694</v>
      </c>
      <c r="IH163" t="s">
        <v>695</v>
      </c>
      <c r="II163">
        <v>1995</v>
      </c>
      <c r="IJ163" t="s">
        <v>696</v>
      </c>
    </row>
    <row r="164" spans="1:244" x14ac:dyDescent="0.45">
      <c r="A164">
        <v>1058800</v>
      </c>
      <c r="B164">
        <v>232589</v>
      </c>
      <c r="C164">
        <v>7440439</v>
      </c>
      <c r="D164" t="s">
        <v>889</v>
      </c>
      <c r="E164" t="s">
        <v>439</v>
      </c>
      <c r="F164" t="s">
        <v>245</v>
      </c>
      <c r="G164" t="s">
        <v>246</v>
      </c>
      <c r="N164" t="s">
        <v>499</v>
      </c>
      <c r="O164" t="s">
        <v>925</v>
      </c>
      <c r="P164" t="s">
        <v>249</v>
      </c>
      <c r="Q164" t="s">
        <v>250</v>
      </c>
      <c r="R164" t="s">
        <v>251</v>
      </c>
      <c r="T164" t="s">
        <v>252</v>
      </c>
      <c r="U164" t="s">
        <v>499</v>
      </c>
      <c r="Z164" t="s">
        <v>315</v>
      </c>
      <c r="AJ164" t="s">
        <v>285</v>
      </c>
      <c r="AL164" t="s">
        <v>926</v>
      </c>
      <c r="AM164" t="s">
        <v>317</v>
      </c>
      <c r="AN164" t="s">
        <v>259</v>
      </c>
      <c r="AO164" t="s">
        <v>260</v>
      </c>
      <c r="AP164">
        <v>5</v>
      </c>
      <c r="AQ164" t="s">
        <v>261</v>
      </c>
      <c r="AS164">
        <v>8.4000000000000005E-2</v>
      </c>
      <c r="AU164">
        <v>3.2000000000000001E-2</v>
      </c>
      <c r="AW164">
        <v>0.27900000000000003</v>
      </c>
      <c r="AX164" t="s">
        <v>262</v>
      </c>
      <c r="BO164" t="s">
        <v>261</v>
      </c>
      <c r="BQ164">
        <v>8.3999999999999995E-5</v>
      </c>
      <c r="BS164">
        <v>3.1999999999999999E-5</v>
      </c>
      <c r="BU164">
        <v>2.7900000000000001E-4</v>
      </c>
      <c r="BV164" t="s">
        <v>263</v>
      </c>
      <c r="CM164" t="s">
        <v>264</v>
      </c>
      <c r="CN164" t="s">
        <v>264</v>
      </c>
      <c r="CP164" t="s">
        <v>265</v>
      </c>
      <c r="CQ164" t="s">
        <v>890</v>
      </c>
      <c r="DB164">
        <v>1.5</v>
      </c>
      <c r="DG164" t="s">
        <v>267</v>
      </c>
      <c r="DI164">
        <v>36</v>
      </c>
      <c r="DN164" t="s">
        <v>268</v>
      </c>
      <c r="DR164">
        <v>6821</v>
      </c>
      <c r="DS164">
        <v>1044</v>
      </c>
      <c r="DT164" t="s">
        <v>927</v>
      </c>
      <c r="EW164" t="s">
        <v>272</v>
      </c>
      <c r="FK164" t="s">
        <v>928</v>
      </c>
      <c r="FO164">
        <v>29.5</v>
      </c>
      <c r="FQ164">
        <v>30.5</v>
      </c>
      <c r="FR164" t="s">
        <v>295</v>
      </c>
      <c r="GJ164">
        <v>4.2</v>
      </c>
      <c r="GL164">
        <v>5.2</v>
      </c>
      <c r="GM164" t="s">
        <v>356</v>
      </c>
      <c r="GQ164">
        <v>7.1</v>
      </c>
      <c r="GS164">
        <v>7.8</v>
      </c>
      <c r="GW164">
        <v>29.5</v>
      </c>
      <c r="GY164">
        <v>30.5</v>
      </c>
      <c r="GZ164" t="s">
        <v>296</v>
      </c>
      <c r="HH164" t="s">
        <v>272</v>
      </c>
      <c r="ID164" t="s">
        <v>929</v>
      </c>
      <c r="IE164" t="s">
        <v>930</v>
      </c>
      <c r="IF164">
        <v>4336</v>
      </c>
      <c r="IG164" t="s">
        <v>931</v>
      </c>
      <c r="IH164" t="s">
        <v>932</v>
      </c>
      <c r="II164">
        <v>1993</v>
      </c>
      <c r="IJ164" t="s">
        <v>933</v>
      </c>
    </row>
    <row r="165" spans="1:244" x14ac:dyDescent="0.45">
      <c r="A165">
        <v>2018939</v>
      </c>
      <c r="B165">
        <v>2031536</v>
      </c>
      <c r="C165">
        <v>7440439</v>
      </c>
      <c r="D165" t="s">
        <v>889</v>
      </c>
      <c r="F165" t="s">
        <v>327</v>
      </c>
      <c r="G165" t="s">
        <v>891</v>
      </c>
      <c r="N165" t="s">
        <v>892</v>
      </c>
      <c r="O165" t="s">
        <v>498</v>
      </c>
      <c r="P165" t="s">
        <v>249</v>
      </c>
      <c r="Q165" t="s">
        <v>250</v>
      </c>
      <c r="R165" t="s">
        <v>251</v>
      </c>
      <c r="T165" t="s">
        <v>252</v>
      </c>
      <c r="U165" t="s">
        <v>499</v>
      </c>
      <c r="V165" t="s">
        <v>500</v>
      </c>
      <c r="W165" t="s">
        <v>893</v>
      </c>
      <c r="X165" t="s">
        <v>894</v>
      </c>
      <c r="AI165">
        <v>5</v>
      </c>
      <c r="AJ165" t="s">
        <v>285</v>
      </c>
      <c r="AK165" t="s">
        <v>709</v>
      </c>
      <c r="AL165" t="s">
        <v>895</v>
      </c>
      <c r="AM165" t="s">
        <v>287</v>
      </c>
      <c r="AN165" t="s">
        <v>259</v>
      </c>
      <c r="AO165" t="s">
        <v>260</v>
      </c>
      <c r="AP165">
        <v>6</v>
      </c>
      <c r="AQ165" t="s">
        <v>261</v>
      </c>
      <c r="AR165" t="s">
        <v>515</v>
      </c>
      <c r="AS165">
        <v>4</v>
      </c>
      <c r="AX165" t="s">
        <v>356</v>
      </c>
      <c r="BO165" t="s">
        <v>261</v>
      </c>
      <c r="BP165" t="s">
        <v>515</v>
      </c>
      <c r="BQ165">
        <v>4</v>
      </c>
      <c r="BV165" t="s">
        <v>263</v>
      </c>
      <c r="CM165" t="s">
        <v>264</v>
      </c>
      <c r="CN165" t="s">
        <v>264</v>
      </c>
      <c r="CP165" t="s">
        <v>265</v>
      </c>
      <c r="CQ165" t="s">
        <v>890</v>
      </c>
      <c r="DB165">
        <v>4</v>
      </c>
      <c r="DG165" t="s">
        <v>267</v>
      </c>
      <c r="DI165">
        <v>96</v>
      </c>
      <c r="DN165" t="s">
        <v>268</v>
      </c>
      <c r="DP165" t="s">
        <v>896</v>
      </c>
      <c r="DR165">
        <v>732107</v>
      </c>
      <c r="DS165">
        <v>427</v>
      </c>
      <c r="DT165" t="s">
        <v>897</v>
      </c>
      <c r="DV165">
        <v>96</v>
      </c>
      <c r="EA165" t="s">
        <v>268</v>
      </c>
      <c r="EC165">
        <v>4</v>
      </c>
      <c r="EH165" t="s">
        <v>267</v>
      </c>
      <c r="EJ165">
        <v>96</v>
      </c>
      <c r="EO165" t="s">
        <v>268</v>
      </c>
      <c r="EQ165">
        <v>4</v>
      </c>
      <c r="EV165" t="s">
        <v>267</v>
      </c>
      <c r="EW165" t="s">
        <v>293</v>
      </c>
      <c r="EY165" t="s">
        <v>377</v>
      </c>
      <c r="EZ165">
        <v>20</v>
      </c>
      <c r="FA165" t="s">
        <v>906</v>
      </c>
      <c r="FK165" t="s">
        <v>899</v>
      </c>
      <c r="FM165">
        <v>20</v>
      </c>
      <c r="FR165" t="s">
        <v>295</v>
      </c>
      <c r="GH165">
        <v>80</v>
      </c>
      <c r="GM165" t="s">
        <v>900</v>
      </c>
      <c r="GO165">
        <v>7.8</v>
      </c>
      <c r="GU165">
        <v>35.9</v>
      </c>
      <c r="GZ165" t="s">
        <v>296</v>
      </c>
      <c r="HH165" t="s">
        <v>272</v>
      </c>
      <c r="ID165" t="s">
        <v>901</v>
      </c>
      <c r="IE165" t="s">
        <v>902</v>
      </c>
      <c r="IF165">
        <v>118441</v>
      </c>
      <c r="IG165" t="s">
        <v>903</v>
      </c>
      <c r="IH165" t="s">
        <v>904</v>
      </c>
      <c r="II165">
        <v>2009</v>
      </c>
      <c r="IJ165" t="s">
        <v>905</v>
      </c>
    </row>
    <row r="166" spans="1:244" x14ac:dyDescent="0.45">
      <c r="A166">
        <v>1058835</v>
      </c>
      <c r="B166">
        <v>232691</v>
      </c>
      <c r="C166">
        <v>7440439</v>
      </c>
      <c r="D166" t="s">
        <v>889</v>
      </c>
      <c r="E166" t="s">
        <v>439</v>
      </c>
      <c r="F166" t="s">
        <v>245</v>
      </c>
      <c r="G166" t="s">
        <v>246</v>
      </c>
      <c r="N166" t="s">
        <v>499</v>
      </c>
      <c r="O166" t="s">
        <v>925</v>
      </c>
      <c r="P166" t="s">
        <v>249</v>
      </c>
      <c r="Q166" t="s">
        <v>250</v>
      </c>
      <c r="R166" t="s">
        <v>251</v>
      </c>
      <c r="T166" t="s">
        <v>252</v>
      </c>
      <c r="U166" t="s">
        <v>499</v>
      </c>
      <c r="Z166" t="s">
        <v>315</v>
      </c>
      <c r="AJ166" t="s">
        <v>285</v>
      </c>
      <c r="AL166" t="s">
        <v>926</v>
      </c>
      <c r="AM166" t="s">
        <v>317</v>
      </c>
      <c r="AN166" t="s">
        <v>259</v>
      </c>
      <c r="AO166" t="s">
        <v>260</v>
      </c>
      <c r="AP166">
        <v>5</v>
      </c>
      <c r="AQ166" t="s">
        <v>261</v>
      </c>
      <c r="AS166">
        <v>0.125</v>
      </c>
      <c r="AU166">
        <v>4.5999999999999999E-2</v>
      </c>
      <c r="AW166">
        <v>0.34300000000000003</v>
      </c>
      <c r="AX166" t="s">
        <v>262</v>
      </c>
      <c r="BO166" t="s">
        <v>261</v>
      </c>
      <c r="BQ166">
        <v>1.25E-4</v>
      </c>
      <c r="BS166">
        <v>4.6E-5</v>
      </c>
      <c r="BU166">
        <v>3.4299999999999999E-4</v>
      </c>
      <c r="BV166" t="s">
        <v>263</v>
      </c>
      <c r="CM166" t="s">
        <v>264</v>
      </c>
      <c r="CN166" t="s">
        <v>264</v>
      </c>
      <c r="CP166" t="s">
        <v>265</v>
      </c>
      <c r="CQ166" t="s">
        <v>890</v>
      </c>
      <c r="DB166">
        <v>1.25</v>
      </c>
      <c r="DG166" t="s">
        <v>267</v>
      </c>
      <c r="DI166">
        <v>30</v>
      </c>
      <c r="DN166" t="s">
        <v>268</v>
      </c>
      <c r="DR166">
        <v>6821</v>
      </c>
      <c r="DS166">
        <v>1044</v>
      </c>
      <c r="DT166" t="s">
        <v>927</v>
      </c>
      <c r="EW166" t="s">
        <v>272</v>
      </c>
      <c r="FK166" t="s">
        <v>928</v>
      </c>
      <c r="FO166">
        <v>29.5</v>
      </c>
      <c r="FQ166">
        <v>30.5</v>
      </c>
      <c r="FR166" t="s">
        <v>295</v>
      </c>
      <c r="GJ166">
        <v>4.2</v>
      </c>
      <c r="GL166">
        <v>5.2</v>
      </c>
      <c r="GM166" t="s">
        <v>356</v>
      </c>
      <c r="GQ166">
        <v>7.1</v>
      </c>
      <c r="GS166">
        <v>7.8</v>
      </c>
      <c r="GW166">
        <v>29.5</v>
      </c>
      <c r="GY166">
        <v>30.5</v>
      </c>
      <c r="GZ166" t="s">
        <v>296</v>
      </c>
      <c r="HH166" t="s">
        <v>272</v>
      </c>
      <c r="ID166" t="s">
        <v>929</v>
      </c>
      <c r="IE166" t="s">
        <v>930</v>
      </c>
      <c r="IF166">
        <v>4336</v>
      </c>
      <c r="IG166" t="s">
        <v>931</v>
      </c>
      <c r="IH166" t="s">
        <v>932</v>
      </c>
      <c r="II166">
        <v>1993</v>
      </c>
      <c r="IJ166" t="s">
        <v>933</v>
      </c>
    </row>
    <row r="167" spans="1:244" x14ac:dyDescent="0.45">
      <c r="A167">
        <v>1274184</v>
      </c>
      <c r="B167">
        <v>725507</v>
      </c>
      <c r="C167">
        <v>7440439</v>
      </c>
      <c r="D167" t="s">
        <v>889</v>
      </c>
      <c r="F167" t="s">
        <v>245</v>
      </c>
      <c r="G167" t="s">
        <v>246</v>
      </c>
      <c r="N167" t="s">
        <v>944</v>
      </c>
      <c r="O167" t="s">
        <v>945</v>
      </c>
      <c r="P167" t="s">
        <v>249</v>
      </c>
      <c r="Q167" t="s">
        <v>250</v>
      </c>
      <c r="R167" t="s">
        <v>251</v>
      </c>
      <c r="T167" t="s">
        <v>252</v>
      </c>
      <c r="U167" t="s">
        <v>253</v>
      </c>
      <c r="V167" t="s">
        <v>418</v>
      </c>
      <c r="W167" t="s">
        <v>946</v>
      </c>
      <c r="X167" t="s">
        <v>947</v>
      </c>
      <c r="Z167" t="s">
        <v>421</v>
      </c>
      <c r="AL167" t="s">
        <v>948</v>
      </c>
      <c r="AM167" t="s">
        <v>258</v>
      </c>
      <c r="AN167" t="s">
        <v>259</v>
      </c>
      <c r="AO167" t="s">
        <v>260</v>
      </c>
      <c r="AP167">
        <v>8</v>
      </c>
      <c r="AQ167" t="s">
        <v>261</v>
      </c>
      <c r="AS167">
        <v>2.58</v>
      </c>
      <c r="AU167">
        <v>2.2799999999999998</v>
      </c>
      <c r="AW167">
        <v>2.93</v>
      </c>
      <c r="AX167" t="s">
        <v>356</v>
      </c>
      <c r="BO167" t="s">
        <v>261</v>
      </c>
      <c r="BQ167">
        <v>2.58</v>
      </c>
      <c r="BS167">
        <v>2.2799999999999998</v>
      </c>
      <c r="BU167">
        <v>2.93</v>
      </c>
      <c r="BV167" t="s">
        <v>263</v>
      </c>
      <c r="CM167" t="s">
        <v>264</v>
      </c>
      <c r="CN167" t="s">
        <v>264</v>
      </c>
      <c r="CP167" t="s">
        <v>265</v>
      </c>
      <c r="CQ167" t="s">
        <v>890</v>
      </c>
      <c r="DB167">
        <v>1</v>
      </c>
      <c r="DG167" t="s">
        <v>267</v>
      </c>
      <c r="DI167">
        <v>24</v>
      </c>
      <c r="DN167" t="s">
        <v>268</v>
      </c>
      <c r="DP167" t="s">
        <v>908</v>
      </c>
      <c r="DR167">
        <v>6689</v>
      </c>
      <c r="DS167">
        <v>11779</v>
      </c>
      <c r="DT167" t="s">
        <v>949</v>
      </c>
      <c r="EW167" t="s">
        <v>293</v>
      </c>
      <c r="FA167" t="s">
        <v>950</v>
      </c>
      <c r="FK167" t="s">
        <v>951</v>
      </c>
      <c r="FM167">
        <v>25</v>
      </c>
      <c r="FR167" t="s">
        <v>295</v>
      </c>
      <c r="GJ167">
        <v>5.8</v>
      </c>
      <c r="GL167">
        <v>6.5</v>
      </c>
      <c r="GM167" t="s">
        <v>356</v>
      </c>
      <c r="GQ167">
        <v>7.15</v>
      </c>
      <c r="GS167">
        <v>7.87</v>
      </c>
      <c r="GU167">
        <v>15</v>
      </c>
      <c r="GZ167" t="s">
        <v>362</v>
      </c>
      <c r="HD167">
        <v>32</v>
      </c>
      <c r="HF167">
        <v>152</v>
      </c>
      <c r="HG167" t="s">
        <v>952</v>
      </c>
      <c r="HH167" t="s">
        <v>272</v>
      </c>
      <c r="ID167" t="s">
        <v>953</v>
      </c>
      <c r="IE167" t="s">
        <v>954</v>
      </c>
      <c r="IF167">
        <v>76280</v>
      </c>
      <c r="IG167" t="s">
        <v>955</v>
      </c>
      <c r="IH167" t="s">
        <v>956</v>
      </c>
      <c r="II167">
        <v>2004</v>
      </c>
      <c r="IJ167" t="s">
        <v>957</v>
      </c>
    </row>
    <row r="168" spans="1:244" x14ac:dyDescent="0.45">
      <c r="A168">
        <v>1205320</v>
      </c>
      <c r="B168">
        <v>203507</v>
      </c>
      <c r="C168">
        <v>7440439</v>
      </c>
      <c r="D168" t="s">
        <v>889</v>
      </c>
      <c r="F168" t="s">
        <v>245</v>
      </c>
      <c r="G168" t="s">
        <v>246</v>
      </c>
      <c r="N168" t="s">
        <v>690</v>
      </c>
      <c r="O168" t="s">
        <v>691</v>
      </c>
      <c r="P168" t="s">
        <v>249</v>
      </c>
      <c r="Q168" t="s">
        <v>250</v>
      </c>
      <c r="R168" t="s">
        <v>251</v>
      </c>
      <c r="T168" t="s">
        <v>252</v>
      </c>
      <c r="U168" t="s">
        <v>253</v>
      </c>
      <c r="V168" t="s">
        <v>418</v>
      </c>
      <c r="W168" t="s">
        <v>419</v>
      </c>
      <c r="X168" t="s">
        <v>692</v>
      </c>
      <c r="AM168" t="s">
        <v>287</v>
      </c>
      <c r="AN168" t="s">
        <v>259</v>
      </c>
      <c r="AO168" t="s">
        <v>260</v>
      </c>
      <c r="AQ168" t="s">
        <v>261</v>
      </c>
      <c r="AS168">
        <v>141</v>
      </c>
      <c r="AU168">
        <v>89</v>
      </c>
      <c r="AW168">
        <v>224</v>
      </c>
      <c r="AX168" t="s">
        <v>262</v>
      </c>
      <c r="BO168" t="s">
        <v>261</v>
      </c>
      <c r="BQ168">
        <v>0.14099999999999999</v>
      </c>
      <c r="BS168">
        <v>8.8999999999999996E-2</v>
      </c>
      <c r="BU168">
        <v>0.224</v>
      </c>
      <c r="BV168" t="s">
        <v>263</v>
      </c>
      <c r="CM168" t="s">
        <v>264</v>
      </c>
      <c r="CN168" t="s">
        <v>264</v>
      </c>
      <c r="CP168" t="s">
        <v>265</v>
      </c>
      <c r="CQ168" t="s">
        <v>890</v>
      </c>
      <c r="DB168">
        <v>2</v>
      </c>
      <c r="DG168" t="s">
        <v>267</v>
      </c>
      <c r="DI168">
        <v>48</v>
      </c>
      <c r="DN168" t="s">
        <v>268</v>
      </c>
      <c r="DR168">
        <v>139456</v>
      </c>
      <c r="DS168">
        <v>3044</v>
      </c>
      <c r="EW168" t="s">
        <v>272</v>
      </c>
      <c r="HH168" t="s">
        <v>272</v>
      </c>
      <c r="IE168" t="s">
        <v>693</v>
      </c>
      <c r="IF168">
        <v>18730</v>
      </c>
      <c r="IG168" t="s">
        <v>694</v>
      </c>
      <c r="IH168" t="s">
        <v>695</v>
      </c>
      <c r="II168">
        <v>1995</v>
      </c>
      <c r="IJ168" t="s">
        <v>696</v>
      </c>
    </row>
    <row r="169" spans="1:244" x14ac:dyDescent="0.45">
      <c r="A169">
        <v>1306528</v>
      </c>
      <c r="B169">
        <v>763423</v>
      </c>
      <c r="C169">
        <v>7440439</v>
      </c>
      <c r="D169" t="s">
        <v>889</v>
      </c>
      <c r="F169" t="s">
        <v>861</v>
      </c>
      <c r="G169" t="s">
        <v>246</v>
      </c>
      <c r="N169" t="s">
        <v>606</v>
      </c>
      <c r="O169" t="s">
        <v>607</v>
      </c>
      <c r="P169" t="s">
        <v>249</v>
      </c>
      <c r="Q169" t="s">
        <v>250</v>
      </c>
      <c r="R169" t="s">
        <v>251</v>
      </c>
      <c r="T169" t="s">
        <v>252</v>
      </c>
      <c r="U169" t="s">
        <v>253</v>
      </c>
      <c r="V169" t="s">
        <v>608</v>
      </c>
      <c r="W169" t="s">
        <v>609</v>
      </c>
      <c r="X169" t="s">
        <v>610</v>
      </c>
      <c r="Z169" t="s">
        <v>284</v>
      </c>
      <c r="AM169" t="s">
        <v>258</v>
      </c>
      <c r="AN169" t="s">
        <v>259</v>
      </c>
      <c r="AO169" t="s">
        <v>260</v>
      </c>
      <c r="AP169">
        <v>10</v>
      </c>
      <c r="AQ169" t="s">
        <v>261</v>
      </c>
      <c r="AS169">
        <v>0.11</v>
      </c>
      <c r="AX169" t="s">
        <v>356</v>
      </c>
      <c r="BO169" t="s">
        <v>261</v>
      </c>
      <c r="BQ169">
        <v>0.11</v>
      </c>
      <c r="BV169" t="s">
        <v>263</v>
      </c>
      <c r="CM169" t="s">
        <v>264</v>
      </c>
      <c r="CN169" t="s">
        <v>264</v>
      </c>
      <c r="CP169" t="s">
        <v>265</v>
      </c>
      <c r="CQ169" t="s">
        <v>890</v>
      </c>
      <c r="DB169">
        <v>4</v>
      </c>
      <c r="DG169" t="s">
        <v>267</v>
      </c>
      <c r="DI169">
        <v>96</v>
      </c>
      <c r="DN169" t="s">
        <v>268</v>
      </c>
      <c r="DP169" t="s">
        <v>908</v>
      </c>
      <c r="DR169">
        <v>6706</v>
      </c>
      <c r="DS169">
        <v>346</v>
      </c>
      <c r="EW169" t="s">
        <v>293</v>
      </c>
      <c r="FA169" t="s">
        <v>974</v>
      </c>
      <c r="FK169" t="s">
        <v>975</v>
      </c>
      <c r="FM169">
        <v>20</v>
      </c>
      <c r="FR169" t="s">
        <v>295</v>
      </c>
      <c r="HH169" t="s">
        <v>272</v>
      </c>
      <c r="ID169" t="s">
        <v>976</v>
      </c>
      <c r="IE169" t="s">
        <v>911</v>
      </c>
      <c r="IF169">
        <v>82412</v>
      </c>
      <c r="IG169" t="s">
        <v>912</v>
      </c>
      <c r="IH169" t="s">
        <v>913</v>
      </c>
      <c r="II169">
        <v>1976</v>
      </c>
      <c r="IJ169" t="s">
        <v>914</v>
      </c>
    </row>
    <row r="170" spans="1:244" x14ac:dyDescent="0.45">
      <c r="A170">
        <v>1165686</v>
      </c>
      <c r="B170">
        <v>95315</v>
      </c>
      <c r="C170">
        <v>7440439</v>
      </c>
      <c r="D170" t="s">
        <v>889</v>
      </c>
      <c r="F170" t="s">
        <v>245</v>
      </c>
      <c r="G170" t="s">
        <v>246</v>
      </c>
      <c r="N170" t="s">
        <v>416</v>
      </c>
      <c r="O170" t="s">
        <v>417</v>
      </c>
      <c r="P170" t="s">
        <v>249</v>
      </c>
      <c r="Q170" t="s">
        <v>250</v>
      </c>
      <c r="R170" t="s">
        <v>251</v>
      </c>
      <c r="T170" t="s">
        <v>252</v>
      </c>
      <c r="U170" t="s">
        <v>253</v>
      </c>
      <c r="V170" t="s">
        <v>418</v>
      </c>
      <c r="W170" t="s">
        <v>419</v>
      </c>
      <c r="X170" t="s">
        <v>420</v>
      </c>
      <c r="AL170" t="s">
        <v>697</v>
      </c>
      <c r="AM170" t="s">
        <v>287</v>
      </c>
      <c r="AN170" t="s">
        <v>259</v>
      </c>
      <c r="AO170" t="s">
        <v>260</v>
      </c>
      <c r="AQ170" t="s">
        <v>261</v>
      </c>
      <c r="AS170">
        <v>1000</v>
      </c>
      <c r="AX170" t="s">
        <v>262</v>
      </c>
      <c r="BO170" t="s">
        <v>261</v>
      </c>
      <c r="BQ170">
        <v>1</v>
      </c>
      <c r="BV170" t="s">
        <v>263</v>
      </c>
      <c r="CM170" t="s">
        <v>264</v>
      </c>
      <c r="CN170" t="s">
        <v>264</v>
      </c>
      <c r="CP170" t="s">
        <v>265</v>
      </c>
      <c r="DB170">
        <v>1</v>
      </c>
      <c r="DG170" t="s">
        <v>267</v>
      </c>
      <c r="DI170">
        <v>24</v>
      </c>
      <c r="DN170" t="s">
        <v>268</v>
      </c>
      <c r="DS170">
        <v>1009</v>
      </c>
      <c r="EW170" t="s">
        <v>272</v>
      </c>
      <c r="HH170" t="s">
        <v>272</v>
      </c>
      <c r="IE170" t="s">
        <v>686</v>
      </c>
      <c r="IF170">
        <v>14577</v>
      </c>
      <c r="IG170" t="s">
        <v>687</v>
      </c>
      <c r="IH170" t="s">
        <v>688</v>
      </c>
      <c r="II170">
        <v>1993</v>
      </c>
      <c r="IJ170" t="s">
        <v>689</v>
      </c>
    </row>
    <row r="171" spans="1:244" x14ac:dyDescent="0.45">
      <c r="A171">
        <v>2018941</v>
      </c>
      <c r="B171">
        <v>2031538</v>
      </c>
      <c r="C171">
        <v>7440439</v>
      </c>
      <c r="D171" t="s">
        <v>889</v>
      </c>
      <c r="F171" t="s">
        <v>327</v>
      </c>
      <c r="G171" t="s">
        <v>891</v>
      </c>
      <c r="N171" t="s">
        <v>892</v>
      </c>
      <c r="O171" t="s">
        <v>498</v>
      </c>
      <c r="P171" t="s">
        <v>249</v>
      </c>
      <c r="Q171" t="s">
        <v>250</v>
      </c>
      <c r="R171" t="s">
        <v>251</v>
      </c>
      <c r="T171" t="s">
        <v>252</v>
      </c>
      <c r="U171" t="s">
        <v>499</v>
      </c>
      <c r="V171" t="s">
        <v>500</v>
      </c>
      <c r="W171" t="s">
        <v>893</v>
      </c>
      <c r="X171" t="s">
        <v>894</v>
      </c>
      <c r="AI171">
        <v>5</v>
      </c>
      <c r="AJ171" t="s">
        <v>285</v>
      </c>
      <c r="AK171" t="s">
        <v>709</v>
      </c>
      <c r="AL171" t="s">
        <v>895</v>
      </c>
      <c r="AM171" t="s">
        <v>287</v>
      </c>
      <c r="AN171" t="s">
        <v>259</v>
      </c>
      <c r="AO171" t="s">
        <v>260</v>
      </c>
      <c r="AP171">
        <v>6</v>
      </c>
      <c r="AQ171" t="s">
        <v>261</v>
      </c>
      <c r="AT171" t="s">
        <v>288</v>
      </c>
      <c r="AU171">
        <v>0</v>
      </c>
      <c r="AV171" t="s">
        <v>289</v>
      </c>
      <c r="AW171">
        <v>0.2</v>
      </c>
      <c r="AX171" t="s">
        <v>356</v>
      </c>
      <c r="BO171" t="s">
        <v>261</v>
      </c>
      <c r="BR171" t="s">
        <v>288</v>
      </c>
      <c r="BS171">
        <v>0</v>
      </c>
      <c r="BT171" t="s">
        <v>289</v>
      </c>
      <c r="BU171">
        <v>0.2</v>
      </c>
      <c r="BV171" t="s">
        <v>263</v>
      </c>
      <c r="CM171" t="s">
        <v>264</v>
      </c>
      <c r="CN171" t="s">
        <v>264</v>
      </c>
      <c r="CP171" t="s">
        <v>265</v>
      </c>
      <c r="CQ171" t="s">
        <v>890</v>
      </c>
      <c r="DB171">
        <v>4</v>
      </c>
      <c r="DG171" t="s">
        <v>267</v>
      </c>
      <c r="DI171">
        <v>96</v>
      </c>
      <c r="DN171" t="s">
        <v>268</v>
      </c>
      <c r="DP171" t="s">
        <v>896</v>
      </c>
      <c r="DR171">
        <v>732107</v>
      </c>
      <c r="DS171">
        <v>427</v>
      </c>
      <c r="DT171" t="s">
        <v>897</v>
      </c>
      <c r="DV171">
        <v>96</v>
      </c>
      <c r="EA171" t="s">
        <v>268</v>
      </c>
      <c r="EC171">
        <v>4</v>
      </c>
      <c r="EH171" t="s">
        <v>267</v>
      </c>
      <c r="EJ171">
        <v>96</v>
      </c>
      <c r="EO171" t="s">
        <v>268</v>
      </c>
      <c r="EQ171">
        <v>4</v>
      </c>
      <c r="EV171" t="s">
        <v>267</v>
      </c>
      <c r="EW171" t="s">
        <v>293</v>
      </c>
      <c r="EY171" t="s">
        <v>377</v>
      </c>
      <c r="EZ171">
        <v>20</v>
      </c>
      <c r="FA171" t="s">
        <v>915</v>
      </c>
      <c r="FK171" t="s">
        <v>899</v>
      </c>
      <c r="FM171">
        <v>20</v>
      </c>
      <c r="FR171" t="s">
        <v>295</v>
      </c>
      <c r="GH171">
        <v>80</v>
      </c>
      <c r="GM171" t="s">
        <v>900</v>
      </c>
      <c r="GO171">
        <v>7.8</v>
      </c>
      <c r="GU171">
        <v>35.9</v>
      </c>
      <c r="GZ171" t="s">
        <v>296</v>
      </c>
      <c r="HH171" t="s">
        <v>272</v>
      </c>
      <c r="ID171" t="s">
        <v>901</v>
      </c>
      <c r="IE171" t="s">
        <v>902</v>
      </c>
      <c r="IF171">
        <v>118441</v>
      </c>
      <c r="IG171" t="s">
        <v>903</v>
      </c>
      <c r="IH171" t="s">
        <v>904</v>
      </c>
      <c r="II171">
        <v>2009</v>
      </c>
      <c r="IJ171" t="s">
        <v>905</v>
      </c>
    </row>
    <row r="172" spans="1:244" x14ac:dyDescent="0.45">
      <c r="A172">
        <v>2018936</v>
      </c>
      <c r="B172">
        <v>2031530</v>
      </c>
      <c r="C172">
        <v>7440439</v>
      </c>
      <c r="D172" t="s">
        <v>889</v>
      </c>
      <c r="F172" t="s">
        <v>327</v>
      </c>
      <c r="G172" t="s">
        <v>891</v>
      </c>
      <c r="N172" t="s">
        <v>892</v>
      </c>
      <c r="O172" t="s">
        <v>498</v>
      </c>
      <c r="P172" t="s">
        <v>249</v>
      </c>
      <c r="Q172" t="s">
        <v>250</v>
      </c>
      <c r="R172" t="s">
        <v>251</v>
      </c>
      <c r="T172" t="s">
        <v>252</v>
      </c>
      <c r="U172" t="s">
        <v>499</v>
      </c>
      <c r="V172" t="s">
        <v>500</v>
      </c>
      <c r="W172" t="s">
        <v>893</v>
      </c>
      <c r="X172" t="s">
        <v>894</v>
      </c>
      <c r="AI172">
        <v>5</v>
      </c>
      <c r="AJ172" t="s">
        <v>285</v>
      </c>
      <c r="AK172" t="s">
        <v>709</v>
      </c>
      <c r="AL172" t="s">
        <v>895</v>
      </c>
      <c r="AM172" t="s">
        <v>287</v>
      </c>
      <c r="AN172" t="s">
        <v>259</v>
      </c>
      <c r="AO172" t="s">
        <v>260</v>
      </c>
      <c r="AP172">
        <v>6</v>
      </c>
      <c r="AQ172" t="s">
        <v>261</v>
      </c>
      <c r="AT172" t="s">
        <v>288</v>
      </c>
      <c r="AU172">
        <v>0</v>
      </c>
      <c r="AV172" t="s">
        <v>289</v>
      </c>
      <c r="AW172">
        <v>0.2</v>
      </c>
      <c r="AX172" t="s">
        <v>356</v>
      </c>
      <c r="BO172" t="s">
        <v>261</v>
      </c>
      <c r="BR172" t="s">
        <v>288</v>
      </c>
      <c r="BS172">
        <v>0</v>
      </c>
      <c r="BT172" t="s">
        <v>289</v>
      </c>
      <c r="BU172">
        <v>0.2</v>
      </c>
      <c r="BV172" t="s">
        <v>263</v>
      </c>
      <c r="CM172" t="s">
        <v>264</v>
      </c>
      <c r="CN172" t="s">
        <v>264</v>
      </c>
      <c r="CP172" t="s">
        <v>265</v>
      </c>
      <c r="CQ172" t="s">
        <v>890</v>
      </c>
      <c r="DB172">
        <v>4</v>
      </c>
      <c r="DG172" t="s">
        <v>267</v>
      </c>
      <c r="DI172">
        <v>96</v>
      </c>
      <c r="DN172" t="s">
        <v>268</v>
      </c>
      <c r="DP172" t="s">
        <v>896</v>
      </c>
      <c r="DR172">
        <v>732107</v>
      </c>
      <c r="DS172">
        <v>427</v>
      </c>
      <c r="DT172" t="s">
        <v>897</v>
      </c>
      <c r="DV172">
        <v>96</v>
      </c>
      <c r="EA172" t="s">
        <v>268</v>
      </c>
      <c r="EC172">
        <v>4</v>
      </c>
      <c r="EH172" t="s">
        <v>267</v>
      </c>
      <c r="EJ172">
        <v>96</v>
      </c>
      <c r="EO172" t="s">
        <v>268</v>
      </c>
      <c r="EQ172">
        <v>4</v>
      </c>
      <c r="EV172" t="s">
        <v>267</v>
      </c>
      <c r="EW172" t="s">
        <v>293</v>
      </c>
      <c r="EY172" t="s">
        <v>377</v>
      </c>
      <c r="EZ172">
        <v>20</v>
      </c>
      <c r="FA172" t="s">
        <v>915</v>
      </c>
      <c r="FK172" t="s">
        <v>899</v>
      </c>
      <c r="FM172">
        <v>15</v>
      </c>
      <c r="FR172" t="s">
        <v>295</v>
      </c>
      <c r="GH172">
        <v>80</v>
      </c>
      <c r="GM172" t="s">
        <v>900</v>
      </c>
      <c r="GO172">
        <v>7.8</v>
      </c>
      <c r="GU172">
        <v>35.9</v>
      </c>
      <c r="GZ172" t="s">
        <v>296</v>
      </c>
      <c r="HH172" t="s">
        <v>272</v>
      </c>
      <c r="ID172" t="s">
        <v>901</v>
      </c>
      <c r="IE172" t="s">
        <v>902</v>
      </c>
      <c r="IF172">
        <v>118441</v>
      </c>
      <c r="IG172" t="s">
        <v>903</v>
      </c>
      <c r="IH172" t="s">
        <v>904</v>
      </c>
      <c r="II172">
        <v>2009</v>
      </c>
      <c r="IJ172" t="s">
        <v>905</v>
      </c>
    </row>
    <row r="173" spans="1:244" x14ac:dyDescent="0.45">
      <c r="A173">
        <v>2018928</v>
      </c>
      <c r="B173">
        <v>2031509</v>
      </c>
      <c r="C173">
        <v>7440439</v>
      </c>
      <c r="D173" t="s">
        <v>889</v>
      </c>
      <c r="F173" t="s">
        <v>327</v>
      </c>
      <c r="G173" t="s">
        <v>891</v>
      </c>
      <c r="N173" t="s">
        <v>892</v>
      </c>
      <c r="O173" t="s">
        <v>498</v>
      </c>
      <c r="P173" t="s">
        <v>249</v>
      </c>
      <c r="Q173" t="s">
        <v>250</v>
      </c>
      <c r="R173" t="s">
        <v>251</v>
      </c>
      <c r="T173" t="s">
        <v>252</v>
      </c>
      <c r="U173" t="s">
        <v>499</v>
      </c>
      <c r="V173" t="s">
        <v>500</v>
      </c>
      <c r="W173" t="s">
        <v>893</v>
      </c>
      <c r="X173" t="s">
        <v>894</v>
      </c>
      <c r="AI173">
        <v>5</v>
      </c>
      <c r="AJ173" t="s">
        <v>285</v>
      </c>
      <c r="AK173" t="s">
        <v>709</v>
      </c>
      <c r="AL173" t="s">
        <v>895</v>
      </c>
      <c r="AM173" t="s">
        <v>287</v>
      </c>
      <c r="AN173" t="s">
        <v>259</v>
      </c>
      <c r="AO173" t="s">
        <v>260</v>
      </c>
      <c r="AP173">
        <v>6</v>
      </c>
      <c r="AQ173" t="s">
        <v>261</v>
      </c>
      <c r="AS173">
        <v>1.5</v>
      </c>
      <c r="AU173">
        <v>0.81</v>
      </c>
      <c r="AW173">
        <v>2.77</v>
      </c>
      <c r="AX173" t="s">
        <v>356</v>
      </c>
      <c r="BO173" t="s">
        <v>261</v>
      </c>
      <c r="BQ173">
        <v>1.5</v>
      </c>
      <c r="BS173">
        <v>0.81</v>
      </c>
      <c r="BU173">
        <v>2.77</v>
      </c>
      <c r="BV173" t="s">
        <v>263</v>
      </c>
      <c r="CM173" t="s">
        <v>264</v>
      </c>
      <c r="CN173" t="s">
        <v>264</v>
      </c>
      <c r="CP173" t="s">
        <v>265</v>
      </c>
      <c r="CQ173" t="s">
        <v>890</v>
      </c>
      <c r="DB173">
        <v>4</v>
      </c>
      <c r="DG173" t="s">
        <v>267</v>
      </c>
      <c r="DI173">
        <v>96</v>
      </c>
      <c r="DN173" t="s">
        <v>268</v>
      </c>
      <c r="DP173" t="s">
        <v>896</v>
      </c>
      <c r="DR173">
        <v>732107</v>
      </c>
      <c r="DS173">
        <v>427</v>
      </c>
      <c r="DT173" t="s">
        <v>897</v>
      </c>
      <c r="DV173">
        <v>96</v>
      </c>
      <c r="EA173" t="s">
        <v>268</v>
      </c>
      <c r="EC173">
        <v>4</v>
      </c>
      <c r="EH173" t="s">
        <v>267</v>
      </c>
      <c r="EJ173">
        <v>96</v>
      </c>
      <c r="EO173" t="s">
        <v>268</v>
      </c>
      <c r="EQ173">
        <v>4</v>
      </c>
      <c r="EV173" t="s">
        <v>267</v>
      </c>
      <c r="EW173" t="s">
        <v>293</v>
      </c>
      <c r="EY173" t="s">
        <v>377</v>
      </c>
      <c r="EZ173">
        <v>20</v>
      </c>
      <c r="FA173" t="s">
        <v>898</v>
      </c>
      <c r="FM173">
        <v>10</v>
      </c>
      <c r="FR173" t="s">
        <v>295</v>
      </c>
      <c r="GH173">
        <v>80</v>
      </c>
      <c r="GM173" t="s">
        <v>900</v>
      </c>
      <c r="GO173">
        <v>7.8</v>
      </c>
      <c r="GU173">
        <v>35.9</v>
      </c>
      <c r="GZ173" t="s">
        <v>296</v>
      </c>
      <c r="HH173" t="s">
        <v>272</v>
      </c>
      <c r="IE173" t="s">
        <v>902</v>
      </c>
      <c r="IF173">
        <v>118441</v>
      </c>
      <c r="IG173" t="s">
        <v>903</v>
      </c>
      <c r="IH173" t="s">
        <v>904</v>
      </c>
      <c r="II173">
        <v>2009</v>
      </c>
      <c r="IJ173" t="s">
        <v>905</v>
      </c>
    </row>
    <row r="174" spans="1:244" x14ac:dyDescent="0.45">
      <c r="A174">
        <v>2018935</v>
      </c>
      <c r="B174">
        <v>2031529</v>
      </c>
      <c r="C174">
        <v>7440439</v>
      </c>
      <c r="D174" t="s">
        <v>889</v>
      </c>
      <c r="F174" t="s">
        <v>327</v>
      </c>
      <c r="G174" t="s">
        <v>891</v>
      </c>
      <c r="N174" t="s">
        <v>892</v>
      </c>
      <c r="O174" t="s">
        <v>498</v>
      </c>
      <c r="P174" t="s">
        <v>249</v>
      </c>
      <c r="Q174" t="s">
        <v>250</v>
      </c>
      <c r="R174" t="s">
        <v>251</v>
      </c>
      <c r="T174" t="s">
        <v>252</v>
      </c>
      <c r="U174" t="s">
        <v>499</v>
      </c>
      <c r="V174" t="s">
        <v>500</v>
      </c>
      <c r="W174" t="s">
        <v>893</v>
      </c>
      <c r="X174" t="s">
        <v>894</v>
      </c>
      <c r="AI174">
        <v>5</v>
      </c>
      <c r="AJ174" t="s">
        <v>285</v>
      </c>
      <c r="AK174" t="s">
        <v>709</v>
      </c>
      <c r="AL174" t="s">
        <v>895</v>
      </c>
      <c r="AM174" t="s">
        <v>287</v>
      </c>
      <c r="AN174" t="s">
        <v>259</v>
      </c>
      <c r="AO174" t="s">
        <v>260</v>
      </c>
      <c r="AP174">
        <v>6</v>
      </c>
      <c r="AQ174" t="s">
        <v>261</v>
      </c>
      <c r="AT174" t="s">
        <v>288</v>
      </c>
      <c r="AU174">
        <v>0.8</v>
      </c>
      <c r="AV174" t="s">
        <v>289</v>
      </c>
      <c r="AW174">
        <v>1</v>
      </c>
      <c r="AX174" t="s">
        <v>356</v>
      </c>
      <c r="BO174" t="s">
        <v>261</v>
      </c>
      <c r="BR174" t="s">
        <v>288</v>
      </c>
      <c r="BS174">
        <v>0.8</v>
      </c>
      <c r="BT174" t="s">
        <v>289</v>
      </c>
      <c r="BU174">
        <v>1</v>
      </c>
      <c r="BV174" t="s">
        <v>263</v>
      </c>
      <c r="CM174" t="s">
        <v>264</v>
      </c>
      <c r="CN174" t="s">
        <v>264</v>
      </c>
      <c r="CP174" t="s">
        <v>265</v>
      </c>
      <c r="CQ174" t="s">
        <v>890</v>
      </c>
      <c r="DB174">
        <v>4</v>
      </c>
      <c r="DG174" t="s">
        <v>267</v>
      </c>
      <c r="DI174">
        <v>96</v>
      </c>
      <c r="DN174" t="s">
        <v>268</v>
      </c>
      <c r="DP174" t="s">
        <v>896</v>
      </c>
      <c r="DR174">
        <v>732107</v>
      </c>
      <c r="DS174">
        <v>427</v>
      </c>
      <c r="DT174" t="s">
        <v>897</v>
      </c>
      <c r="DV174">
        <v>96</v>
      </c>
      <c r="EA174" t="s">
        <v>268</v>
      </c>
      <c r="EC174">
        <v>4</v>
      </c>
      <c r="EH174" t="s">
        <v>267</v>
      </c>
      <c r="EJ174">
        <v>96</v>
      </c>
      <c r="EO174" t="s">
        <v>268</v>
      </c>
      <c r="EQ174">
        <v>4</v>
      </c>
      <c r="EV174" t="s">
        <v>267</v>
      </c>
      <c r="EW174" t="s">
        <v>293</v>
      </c>
      <c r="EY174" t="s">
        <v>377</v>
      </c>
      <c r="EZ174">
        <v>20</v>
      </c>
      <c r="FA174" t="s">
        <v>906</v>
      </c>
      <c r="FK174" t="s">
        <v>899</v>
      </c>
      <c r="FM174">
        <v>15</v>
      </c>
      <c r="FR174" t="s">
        <v>295</v>
      </c>
      <c r="GH174">
        <v>80</v>
      </c>
      <c r="GM174" t="s">
        <v>900</v>
      </c>
      <c r="GO174">
        <v>7.8</v>
      </c>
      <c r="GU174">
        <v>35.9</v>
      </c>
      <c r="GZ174" t="s">
        <v>296</v>
      </c>
      <c r="HH174" t="s">
        <v>272</v>
      </c>
      <c r="ID174" t="s">
        <v>901</v>
      </c>
      <c r="IE174" t="s">
        <v>902</v>
      </c>
      <c r="IF174">
        <v>118441</v>
      </c>
      <c r="IG174" t="s">
        <v>903</v>
      </c>
      <c r="IH174" t="s">
        <v>904</v>
      </c>
      <c r="II174">
        <v>2009</v>
      </c>
      <c r="IJ174" t="s">
        <v>905</v>
      </c>
    </row>
    <row r="175" spans="1:244" x14ac:dyDescent="0.45">
      <c r="A175">
        <v>1037310</v>
      </c>
      <c r="B175">
        <v>107136</v>
      </c>
      <c r="C175">
        <v>7440439</v>
      </c>
      <c r="D175" t="s">
        <v>889</v>
      </c>
      <c r="F175" t="s">
        <v>245</v>
      </c>
      <c r="G175" t="s">
        <v>246</v>
      </c>
      <c r="N175" t="s">
        <v>546</v>
      </c>
      <c r="O175" t="s">
        <v>547</v>
      </c>
      <c r="P175" t="s">
        <v>249</v>
      </c>
      <c r="Q175" t="s">
        <v>250</v>
      </c>
      <c r="R175" t="s">
        <v>251</v>
      </c>
      <c r="T175" t="s">
        <v>252</v>
      </c>
      <c r="U175" t="s">
        <v>253</v>
      </c>
      <c r="V175" t="s">
        <v>548</v>
      </c>
      <c r="W175" t="s">
        <v>549</v>
      </c>
      <c r="X175" t="s">
        <v>550</v>
      </c>
      <c r="AM175" t="s">
        <v>317</v>
      </c>
      <c r="AN175" t="s">
        <v>259</v>
      </c>
      <c r="AO175" t="s">
        <v>260</v>
      </c>
      <c r="AQ175" t="s">
        <v>261</v>
      </c>
      <c r="AS175">
        <v>460</v>
      </c>
      <c r="AX175" t="s">
        <v>262</v>
      </c>
      <c r="BO175" t="s">
        <v>261</v>
      </c>
      <c r="BQ175">
        <v>0.46</v>
      </c>
      <c r="BV175" t="s">
        <v>263</v>
      </c>
      <c r="CM175" t="s">
        <v>264</v>
      </c>
      <c r="CN175" t="s">
        <v>264</v>
      </c>
      <c r="CP175" t="s">
        <v>265</v>
      </c>
      <c r="DB175">
        <v>4</v>
      </c>
      <c r="DG175" t="s">
        <v>267</v>
      </c>
      <c r="DI175">
        <v>96</v>
      </c>
      <c r="DN175" t="s">
        <v>268</v>
      </c>
      <c r="DP175" t="s">
        <v>977</v>
      </c>
      <c r="DR175">
        <v>491138</v>
      </c>
      <c r="DS175">
        <v>11</v>
      </c>
      <c r="DT175" t="s">
        <v>978</v>
      </c>
      <c r="EW175" t="s">
        <v>271</v>
      </c>
      <c r="HH175" t="s">
        <v>272</v>
      </c>
      <c r="IE175" t="s">
        <v>979</v>
      </c>
      <c r="IF175">
        <v>2275</v>
      </c>
      <c r="IG175" t="s">
        <v>980</v>
      </c>
      <c r="IH175" t="s">
        <v>981</v>
      </c>
      <c r="II175">
        <v>1989</v>
      </c>
      <c r="IJ175" t="s">
        <v>982</v>
      </c>
    </row>
    <row r="176" spans="1:244" x14ac:dyDescent="0.45">
      <c r="A176">
        <v>1296824</v>
      </c>
      <c r="B176">
        <v>752138</v>
      </c>
      <c r="C176">
        <v>7440439</v>
      </c>
      <c r="D176" t="s">
        <v>889</v>
      </c>
      <c r="F176" t="s">
        <v>245</v>
      </c>
      <c r="G176" t="s">
        <v>246</v>
      </c>
      <c r="N176" t="s">
        <v>958</v>
      </c>
      <c r="O176" t="s">
        <v>959</v>
      </c>
      <c r="P176" t="s">
        <v>249</v>
      </c>
      <c r="Q176" t="s">
        <v>250</v>
      </c>
      <c r="R176" t="s">
        <v>251</v>
      </c>
      <c r="T176" t="s">
        <v>252</v>
      </c>
      <c r="U176" t="s">
        <v>253</v>
      </c>
      <c r="V176" t="s">
        <v>418</v>
      </c>
      <c r="W176" t="s">
        <v>419</v>
      </c>
      <c r="X176" t="s">
        <v>960</v>
      </c>
      <c r="Z176" t="s">
        <v>983</v>
      </c>
      <c r="AL176" t="s">
        <v>984</v>
      </c>
      <c r="AM176" t="s">
        <v>317</v>
      </c>
      <c r="AN176" t="s">
        <v>259</v>
      </c>
      <c r="AO176" t="s">
        <v>260</v>
      </c>
      <c r="AQ176" t="s">
        <v>261</v>
      </c>
      <c r="AS176">
        <v>4.8000000000000001E-2</v>
      </c>
      <c r="AU176">
        <v>2.7E-2</v>
      </c>
      <c r="AW176">
        <v>8.5999999999999993E-2</v>
      </c>
      <c r="AX176" t="s">
        <v>356</v>
      </c>
      <c r="BO176" t="s">
        <v>261</v>
      </c>
      <c r="BQ176">
        <v>4.8000000000000001E-2</v>
      </c>
      <c r="BS176">
        <v>2.7E-2</v>
      </c>
      <c r="BU176">
        <v>8.5999999999999993E-2</v>
      </c>
      <c r="BV176" t="s">
        <v>263</v>
      </c>
      <c r="CM176" t="s">
        <v>264</v>
      </c>
      <c r="CN176" t="s">
        <v>264</v>
      </c>
      <c r="CP176" t="s">
        <v>265</v>
      </c>
      <c r="CQ176" t="s">
        <v>890</v>
      </c>
      <c r="DB176">
        <v>4</v>
      </c>
      <c r="DG176" t="s">
        <v>267</v>
      </c>
      <c r="DI176">
        <v>96</v>
      </c>
      <c r="DN176" t="s">
        <v>268</v>
      </c>
      <c r="DP176" t="s">
        <v>908</v>
      </c>
      <c r="DR176">
        <v>6687</v>
      </c>
      <c r="DS176">
        <v>252</v>
      </c>
      <c r="EW176" t="s">
        <v>293</v>
      </c>
      <c r="FK176" t="s">
        <v>985</v>
      </c>
      <c r="FO176">
        <v>23</v>
      </c>
      <c r="FQ176">
        <v>25</v>
      </c>
      <c r="FR176" t="s">
        <v>295</v>
      </c>
      <c r="GJ176">
        <v>7.4</v>
      </c>
      <c r="GL176">
        <v>7.8</v>
      </c>
      <c r="GM176" t="s">
        <v>356</v>
      </c>
      <c r="GQ176">
        <v>6.9</v>
      </c>
      <c r="GS176">
        <v>7.7</v>
      </c>
      <c r="GU176">
        <v>30</v>
      </c>
      <c r="GZ176" t="s">
        <v>296</v>
      </c>
      <c r="HH176" t="s">
        <v>272</v>
      </c>
      <c r="ID176" t="s">
        <v>986</v>
      </c>
      <c r="IE176" t="s">
        <v>964</v>
      </c>
      <c r="IF176">
        <v>115825</v>
      </c>
      <c r="IG176" t="s">
        <v>965</v>
      </c>
      <c r="IH176" t="s">
        <v>966</v>
      </c>
      <c r="II176">
        <v>1996</v>
      </c>
      <c r="IJ176" t="s">
        <v>967</v>
      </c>
    </row>
    <row r="177" spans="1:244" x14ac:dyDescent="0.45">
      <c r="A177">
        <v>1165687</v>
      </c>
      <c r="B177">
        <v>95316</v>
      </c>
      <c r="C177">
        <v>7440439</v>
      </c>
      <c r="D177" t="s">
        <v>889</v>
      </c>
      <c r="F177" t="s">
        <v>245</v>
      </c>
      <c r="G177" t="s">
        <v>246</v>
      </c>
      <c r="N177" t="s">
        <v>416</v>
      </c>
      <c r="O177" t="s">
        <v>417</v>
      </c>
      <c r="P177" t="s">
        <v>249</v>
      </c>
      <c r="Q177" t="s">
        <v>250</v>
      </c>
      <c r="R177" t="s">
        <v>251</v>
      </c>
      <c r="T177" t="s">
        <v>252</v>
      </c>
      <c r="U177" t="s">
        <v>253</v>
      </c>
      <c r="V177" t="s">
        <v>418</v>
      </c>
      <c r="W177" t="s">
        <v>419</v>
      </c>
      <c r="X177" t="s">
        <v>420</v>
      </c>
      <c r="AL177" t="s">
        <v>697</v>
      </c>
      <c r="AM177" t="s">
        <v>287</v>
      </c>
      <c r="AN177" t="s">
        <v>259</v>
      </c>
      <c r="AO177" t="s">
        <v>260</v>
      </c>
      <c r="AQ177" t="s">
        <v>261</v>
      </c>
      <c r="AS177">
        <v>420</v>
      </c>
      <c r="AX177" t="s">
        <v>262</v>
      </c>
      <c r="BO177" t="s">
        <v>261</v>
      </c>
      <c r="BQ177">
        <v>0.42</v>
      </c>
      <c r="BV177" t="s">
        <v>263</v>
      </c>
      <c r="CM177" t="s">
        <v>264</v>
      </c>
      <c r="CN177" t="s">
        <v>264</v>
      </c>
      <c r="CP177" t="s">
        <v>265</v>
      </c>
      <c r="DB177">
        <v>2</v>
      </c>
      <c r="DG177" t="s">
        <v>267</v>
      </c>
      <c r="DI177">
        <v>48</v>
      </c>
      <c r="DN177" t="s">
        <v>268</v>
      </c>
      <c r="DS177">
        <v>1009</v>
      </c>
      <c r="EW177" t="s">
        <v>272</v>
      </c>
      <c r="HH177" t="s">
        <v>272</v>
      </c>
      <c r="IE177" t="s">
        <v>686</v>
      </c>
      <c r="IF177">
        <v>14577</v>
      </c>
      <c r="IG177" t="s">
        <v>687</v>
      </c>
      <c r="IH177" t="s">
        <v>688</v>
      </c>
      <c r="II177">
        <v>1993</v>
      </c>
      <c r="IJ177" t="s">
        <v>689</v>
      </c>
    </row>
    <row r="178" spans="1:244" x14ac:dyDescent="0.45">
      <c r="A178">
        <v>1274185</v>
      </c>
      <c r="B178">
        <v>725508</v>
      </c>
      <c r="C178">
        <v>7440439</v>
      </c>
      <c r="D178" t="s">
        <v>889</v>
      </c>
      <c r="F178" t="s">
        <v>245</v>
      </c>
      <c r="G178" t="s">
        <v>246</v>
      </c>
      <c r="N178" t="s">
        <v>944</v>
      </c>
      <c r="O178" t="s">
        <v>945</v>
      </c>
      <c r="P178" t="s">
        <v>249</v>
      </c>
      <c r="Q178" t="s">
        <v>250</v>
      </c>
      <c r="R178" t="s">
        <v>251</v>
      </c>
      <c r="T178" t="s">
        <v>252</v>
      </c>
      <c r="U178" t="s">
        <v>253</v>
      </c>
      <c r="V178" t="s">
        <v>418</v>
      </c>
      <c r="W178" t="s">
        <v>946</v>
      </c>
      <c r="X178" t="s">
        <v>947</v>
      </c>
      <c r="Z178" t="s">
        <v>421</v>
      </c>
      <c r="AL178" t="s">
        <v>948</v>
      </c>
      <c r="AM178" t="s">
        <v>258</v>
      </c>
      <c r="AN178" t="s">
        <v>259</v>
      </c>
      <c r="AO178" t="s">
        <v>260</v>
      </c>
      <c r="AP178">
        <v>8</v>
      </c>
      <c r="AQ178" t="s">
        <v>261</v>
      </c>
      <c r="AS178">
        <v>1.3</v>
      </c>
      <c r="AU178">
        <v>1.18</v>
      </c>
      <c r="AW178">
        <v>1.42</v>
      </c>
      <c r="AX178" t="s">
        <v>356</v>
      </c>
      <c r="BO178" t="s">
        <v>261</v>
      </c>
      <c r="BQ178">
        <v>1.3</v>
      </c>
      <c r="BS178">
        <v>1.18</v>
      </c>
      <c r="BU178">
        <v>1.42</v>
      </c>
      <c r="BV178" t="s">
        <v>263</v>
      </c>
      <c r="CM178" t="s">
        <v>264</v>
      </c>
      <c r="CN178" t="s">
        <v>264</v>
      </c>
      <c r="CP178" t="s">
        <v>265</v>
      </c>
      <c r="CQ178" t="s">
        <v>890</v>
      </c>
      <c r="DB178">
        <v>2</v>
      </c>
      <c r="DG178" t="s">
        <v>267</v>
      </c>
      <c r="DI178">
        <v>48</v>
      </c>
      <c r="DN178" t="s">
        <v>268</v>
      </c>
      <c r="DP178" t="s">
        <v>908</v>
      </c>
      <c r="DR178">
        <v>6689</v>
      </c>
      <c r="DS178">
        <v>11779</v>
      </c>
      <c r="DT178" t="s">
        <v>949</v>
      </c>
      <c r="EW178" t="s">
        <v>293</v>
      </c>
      <c r="FA178" t="s">
        <v>950</v>
      </c>
      <c r="FK178" t="s">
        <v>951</v>
      </c>
      <c r="FM178">
        <v>25</v>
      </c>
      <c r="FR178" t="s">
        <v>295</v>
      </c>
      <c r="GJ178">
        <v>5.8</v>
      </c>
      <c r="GL178">
        <v>6.5</v>
      </c>
      <c r="GM178" t="s">
        <v>356</v>
      </c>
      <c r="GQ178">
        <v>7.15</v>
      </c>
      <c r="GS178">
        <v>7.87</v>
      </c>
      <c r="GU178">
        <v>15</v>
      </c>
      <c r="GZ178" t="s">
        <v>362</v>
      </c>
      <c r="HD178">
        <v>32</v>
      </c>
      <c r="HF178">
        <v>152</v>
      </c>
      <c r="HG178" t="s">
        <v>952</v>
      </c>
      <c r="HH178" t="s">
        <v>272</v>
      </c>
      <c r="ID178" t="s">
        <v>953</v>
      </c>
      <c r="IE178" t="s">
        <v>954</v>
      </c>
      <c r="IF178">
        <v>76280</v>
      </c>
      <c r="IG178" t="s">
        <v>955</v>
      </c>
      <c r="IH178" t="s">
        <v>956</v>
      </c>
      <c r="II178">
        <v>2004</v>
      </c>
      <c r="IJ178" t="s">
        <v>957</v>
      </c>
    </row>
    <row r="179" spans="1:244" x14ac:dyDescent="0.45">
      <c r="A179">
        <v>1165684</v>
      </c>
      <c r="B179">
        <v>95229</v>
      </c>
      <c r="C179">
        <v>7440439</v>
      </c>
      <c r="D179" t="s">
        <v>889</v>
      </c>
      <c r="F179" t="s">
        <v>245</v>
      </c>
      <c r="G179" t="s">
        <v>246</v>
      </c>
      <c r="N179" t="s">
        <v>452</v>
      </c>
      <c r="O179" t="s">
        <v>346</v>
      </c>
      <c r="P179" t="s">
        <v>249</v>
      </c>
      <c r="Q179" t="s">
        <v>250</v>
      </c>
      <c r="R179" t="s">
        <v>251</v>
      </c>
      <c r="T179" t="s">
        <v>347</v>
      </c>
      <c r="U179" t="s">
        <v>348</v>
      </c>
      <c r="V179" t="s">
        <v>349</v>
      </c>
      <c r="W179" t="s">
        <v>350</v>
      </c>
      <c r="X179" t="s">
        <v>453</v>
      </c>
      <c r="AM179" t="s">
        <v>287</v>
      </c>
      <c r="AN179" t="s">
        <v>259</v>
      </c>
      <c r="AO179" t="s">
        <v>260</v>
      </c>
      <c r="AQ179" t="s">
        <v>261</v>
      </c>
      <c r="AS179">
        <v>3100</v>
      </c>
      <c r="AX179" t="s">
        <v>262</v>
      </c>
      <c r="BO179" t="s">
        <v>261</v>
      </c>
      <c r="BQ179">
        <v>3.1</v>
      </c>
      <c r="BV179" t="s">
        <v>263</v>
      </c>
      <c r="CM179" t="s">
        <v>264</v>
      </c>
      <c r="CN179" t="s">
        <v>264</v>
      </c>
      <c r="CP179" t="s">
        <v>265</v>
      </c>
      <c r="DB179">
        <v>1</v>
      </c>
      <c r="DG179" t="s">
        <v>267</v>
      </c>
      <c r="DI179">
        <v>24</v>
      </c>
      <c r="DN179" t="s">
        <v>268</v>
      </c>
      <c r="DR179">
        <v>85549</v>
      </c>
      <c r="DS179">
        <v>366</v>
      </c>
      <c r="EW179" t="s">
        <v>272</v>
      </c>
      <c r="HH179" t="s">
        <v>272</v>
      </c>
      <c r="IE179" t="s">
        <v>686</v>
      </c>
      <c r="IF179">
        <v>14577</v>
      </c>
      <c r="IG179" t="s">
        <v>687</v>
      </c>
      <c r="IH179" t="s">
        <v>688</v>
      </c>
      <c r="II179">
        <v>1993</v>
      </c>
      <c r="IJ179" t="s">
        <v>689</v>
      </c>
    </row>
    <row r="180" spans="1:244" x14ac:dyDescent="0.45">
      <c r="A180">
        <v>1158547</v>
      </c>
      <c r="B180">
        <v>54437</v>
      </c>
      <c r="C180">
        <v>7440439</v>
      </c>
      <c r="D180" t="s">
        <v>889</v>
      </c>
      <c r="F180" t="s">
        <v>245</v>
      </c>
      <c r="G180" t="s">
        <v>246</v>
      </c>
      <c r="N180" t="s">
        <v>369</v>
      </c>
      <c r="O180" t="s">
        <v>370</v>
      </c>
      <c r="P180" t="s">
        <v>249</v>
      </c>
      <c r="Q180" t="s">
        <v>250</v>
      </c>
      <c r="R180" t="s">
        <v>251</v>
      </c>
      <c r="T180" t="s">
        <v>252</v>
      </c>
      <c r="U180" t="s">
        <v>371</v>
      </c>
      <c r="V180" t="s">
        <v>372</v>
      </c>
      <c r="W180" t="s">
        <v>373</v>
      </c>
      <c r="X180" t="s">
        <v>374</v>
      </c>
      <c r="Z180" t="s">
        <v>649</v>
      </c>
      <c r="AB180">
        <v>24</v>
      </c>
      <c r="AG180" t="s">
        <v>267</v>
      </c>
      <c r="AM180" t="s">
        <v>258</v>
      </c>
      <c r="AN180" t="s">
        <v>259</v>
      </c>
      <c r="AO180" t="s">
        <v>260</v>
      </c>
      <c r="AQ180" t="s">
        <v>261</v>
      </c>
      <c r="AS180">
        <v>19.32</v>
      </c>
      <c r="AU180">
        <v>15.25</v>
      </c>
      <c r="AW180">
        <v>23.76</v>
      </c>
      <c r="AX180" t="s">
        <v>262</v>
      </c>
      <c r="BO180" t="s">
        <v>261</v>
      </c>
      <c r="BQ180">
        <v>1.932E-2</v>
      </c>
      <c r="BS180">
        <v>1.525E-2</v>
      </c>
      <c r="BU180">
        <v>2.376E-2</v>
      </c>
      <c r="BV180" t="s">
        <v>263</v>
      </c>
      <c r="CM180" t="s">
        <v>264</v>
      </c>
      <c r="CN180" t="s">
        <v>264</v>
      </c>
      <c r="CP180" t="s">
        <v>265</v>
      </c>
      <c r="DB180">
        <v>4</v>
      </c>
      <c r="DG180" t="s">
        <v>267</v>
      </c>
      <c r="DI180">
        <v>96</v>
      </c>
      <c r="DN180" t="s">
        <v>268</v>
      </c>
      <c r="DR180">
        <v>110441</v>
      </c>
      <c r="DS180">
        <v>142</v>
      </c>
      <c r="EW180" t="s">
        <v>293</v>
      </c>
      <c r="GA180">
        <v>200</v>
      </c>
      <c r="GF180" t="s">
        <v>572</v>
      </c>
      <c r="GG180" t="s">
        <v>278</v>
      </c>
      <c r="GH180">
        <v>60</v>
      </c>
      <c r="GM180" t="s">
        <v>900</v>
      </c>
      <c r="GW180">
        <v>25</v>
      </c>
      <c r="GY180">
        <v>26</v>
      </c>
      <c r="GZ180" t="s">
        <v>296</v>
      </c>
      <c r="HH180" t="s">
        <v>272</v>
      </c>
      <c r="IE180" t="s">
        <v>987</v>
      </c>
      <c r="IF180">
        <v>13866</v>
      </c>
      <c r="IG180" t="s">
        <v>988</v>
      </c>
      <c r="IH180" t="s">
        <v>989</v>
      </c>
      <c r="II180">
        <v>1989</v>
      </c>
      <c r="IJ180" t="s">
        <v>990</v>
      </c>
    </row>
    <row r="181" spans="1:244" x14ac:dyDescent="0.45">
      <c r="A181">
        <v>1158551</v>
      </c>
      <c r="B181">
        <v>151714</v>
      </c>
      <c r="C181">
        <v>7440439</v>
      </c>
      <c r="D181" t="s">
        <v>889</v>
      </c>
      <c r="F181" t="s">
        <v>245</v>
      </c>
      <c r="G181" t="s">
        <v>246</v>
      </c>
      <c r="N181" t="s">
        <v>369</v>
      </c>
      <c r="O181" t="s">
        <v>370</v>
      </c>
      <c r="P181" t="s">
        <v>249</v>
      </c>
      <c r="Q181" t="s">
        <v>250</v>
      </c>
      <c r="R181" t="s">
        <v>251</v>
      </c>
      <c r="T181" t="s">
        <v>252</v>
      </c>
      <c r="U181" t="s">
        <v>371</v>
      </c>
      <c r="V181" t="s">
        <v>372</v>
      </c>
      <c r="W181" t="s">
        <v>373</v>
      </c>
      <c r="X181" t="s">
        <v>374</v>
      </c>
      <c r="Z181" t="s">
        <v>649</v>
      </c>
      <c r="AB181">
        <v>24</v>
      </c>
      <c r="AG181" t="s">
        <v>268</v>
      </c>
      <c r="AM181" t="s">
        <v>258</v>
      </c>
      <c r="AN181" t="s">
        <v>259</v>
      </c>
      <c r="AO181" t="s">
        <v>260</v>
      </c>
      <c r="AQ181" t="s">
        <v>261</v>
      </c>
      <c r="AS181">
        <v>33.799999999999997</v>
      </c>
      <c r="AU181">
        <v>27.06</v>
      </c>
      <c r="AW181">
        <v>40.409999999999997</v>
      </c>
      <c r="AX181" t="s">
        <v>262</v>
      </c>
      <c r="BO181" t="s">
        <v>261</v>
      </c>
      <c r="BQ181">
        <v>3.3799999999999997E-2</v>
      </c>
      <c r="BS181">
        <v>2.7060000000000001E-2</v>
      </c>
      <c r="BU181">
        <v>4.0410000000000001E-2</v>
      </c>
      <c r="BV181" t="s">
        <v>263</v>
      </c>
      <c r="CM181" t="s">
        <v>264</v>
      </c>
      <c r="CN181" t="s">
        <v>264</v>
      </c>
      <c r="CP181" t="s">
        <v>265</v>
      </c>
      <c r="DB181">
        <v>4</v>
      </c>
      <c r="DG181" t="s">
        <v>267</v>
      </c>
      <c r="DI181">
        <v>96</v>
      </c>
      <c r="DN181" t="s">
        <v>268</v>
      </c>
      <c r="DR181">
        <v>110441</v>
      </c>
      <c r="DS181">
        <v>142</v>
      </c>
      <c r="EW181" t="s">
        <v>293</v>
      </c>
      <c r="GA181">
        <v>50</v>
      </c>
      <c r="GF181" t="s">
        <v>572</v>
      </c>
      <c r="GG181" t="s">
        <v>278</v>
      </c>
      <c r="GH181">
        <v>60</v>
      </c>
      <c r="GM181" t="s">
        <v>900</v>
      </c>
      <c r="GW181">
        <v>25</v>
      </c>
      <c r="GY181">
        <v>26</v>
      </c>
      <c r="GZ181" t="s">
        <v>296</v>
      </c>
      <c r="HH181" t="s">
        <v>272</v>
      </c>
      <c r="IE181" t="s">
        <v>987</v>
      </c>
      <c r="IF181">
        <v>13866</v>
      </c>
      <c r="IG181" t="s">
        <v>988</v>
      </c>
      <c r="IH181" t="s">
        <v>989</v>
      </c>
      <c r="II181">
        <v>1989</v>
      </c>
      <c r="IJ181" t="s">
        <v>990</v>
      </c>
    </row>
    <row r="182" spans="1:244" x14ac:dyDescent="0.45">
      <c r="A182">
        <v>1158542</v>
      </c>
      <c r="B182">
        <v>40876</v>
      </c>
      <c r="C182">
        <v>7440439</v>
      </c>
      <c r="D182" t="s">
        <v>889</v>
      </c>
      <c r="F182" t="s">
        <v>245</v>
      </c>
      <c r="G182" t="s">
        <v>246</v>
      </c>
      <c r="N182" t="s">
        <v>369</v>
      </c>
      <c r="O182" t="s">
        <v>370</v>
      </c>
      <c r="P182" t="s">
        <v>249</v>
      </c>
      <c r="Q182" t="s">
        <v>250</v>
      </c>
      <c r="R182" t="s">
        <v>251</v>
      </c>
      <c r="T182" t="s">
        <v>252</v>
      </c>
      <c r="U182" t="s">
        <v>371</v>
      </c>
      <c r="V182" t="s">
        <v>372</v>
      </c>
      <c r="W182" t="s">
        <v>373</v>
      </c>
      <c r="X182" t="s">
        <v>374</v>
      </c>
      <c r="Z182" t="s">
        <v>649</v>
      </c>
      <c r="AB182">
        <v>24</v>
      </c>
      <c r="AG182" t="s">
        <v>267</v>
      </c>
      <c r="AM182" t="s">
        <v>258</v>
      </c>
      <c r="AN182" t="s">
        <v>259</v>
      </c>
      <c r="AO182" t="s">
        <v>260</v>
      </c>
      <c r="AQ182" t="s">
        <v>261</v>
      </c>
      <c r="AS182">
        <v>21.53</v>
      </c>
      <c r="AU182">
        <v>16.760000000000002</v>
      </c>
      <c r="AW182">
        <v>26.57</v>
      </c>
      <c r="AX182" t="s">
        <v>262</v>
      </c>
      <c r="BO182" t="s">
        <v>261</v>
      </c>
      <c r="BQ182">
        <v>2.1530000000000001E-2</v>
      </c>
      <c r="BS182">
        <v>1.6760000000000001E-2</v>
      </c>
      <c r="BU182">
        <v>2.657E-2</v>
      </c>
      <c r="BV182" t="s">
        <v>263</v>
      </c>
      <c r="CM182" t="s">
        <v>264</v>
      </c>
      <c r="CN182" t="s">
        <v>264</v>
      </c>
      <c r="CP182" t="s">
        <v>265</v>
      </c>
      <c r="DB182">
        <v>3</v>
      </c>
      <c r="DG182" t="s">
        <v>267</v>
      </c>
      <c r="DI182">
        <v>72</v>
      </c>
      <c r="DN182" t="s">
        <v>268</v>
      </c>
      <c r="DR182">
        <v>110441</v>
      </c>
      <c r="DS182">
        <v>142</v>
      </c>
      <c r="EW182" t="s">
        <v>293</v>
      </c>
      <c r="GA182">
        <v>200</v>
      </c>
      <c r="GF182" t="s">
        <v>572</v>
      </c>
      <c r="GG182" t="s">
        <v>278</v>
      </c>
      <c r="GH182">
        <v>60</v>
      </c>
      <c r="GM182" t="s">
        <v>900</v>
      </c>
      <c r="GW182">
        <v>25</v>
      </c>
      <c r="GY182">
        <v>26</v>
      </c>
      <c r="GZ182" t="s">
        <v>296</v>
      </c>
      <c r="HH182" t="s">
        <v>272</v>
      </c>
      <c r="IE182" t="s">
        <v>987</v>
      </c>
      <c r="IF182">
        <v>13866</v>
      </c>
      <c r="IG182" t="s">
        <v>988</v>
      </c>
      <c r="IH182" t="s">
        <v>989</v>
      </c>
      <c r="II182">
        <v>1989</v>
      </c>
      <c r="IJ182" t="s">
        <v>990</v>
      </c>
    </row>
    <row r="183" spans="1:244" x14ac:dyDescent="0.45">
      <c r="A183">
        <v>1192633</v>
      </c>
      <c r="B183">
        <v>146365</v>
      </c>
      <c r="C183">
        <v>7440439</v>
      </c>
      <c r="D183" t="s">
        <v>889</v>
      </c>
      <c r="F183" t="s">
        <v>245</v>
      </c>
      <c r="G183" t="s">
        <v>246</v>
      </c>
      <c r="N183" t="s">
        <v>991</v>
      </c>
      <c r="O183" t="s">
        <v>498</v>
      </c>
      <c r="P183" t="s">
        <v>249</v>
      </c>
      <c r="Q183" t="s">
        <v>250</v>
      </c>
      <c r="R183" t="s">
        <v>251</v>
      </c>
      <c r="T183" t="s">
        <v>252</v>
      </c>
      <c r="U183" t="s">
        <v>499</v>
      </c>
      <c r="V183" t="s">
        <v>992</v>
      </c>
      <c r="W183" t="s">
        <v>993</v>
      </c>
      <c r="X183" t="s">
        <v>994</v>
      </c>
      <c r="AM183" t="s">
        <v>317</v>
      </c>
      <c r="AN183" t="s">
        <v>259</v>
      </c>
      <c r="AO183" t="s">
        <v>260</v>
      </c>
      <c r="AQ183" t="s">
        <v>261</v>
      </c>
      <c r="AS183">
        <v>3140</v>
      </c>
      <c r="AU183">
        <v>2360</v>
      </c>
      <c r="AW183">
        <v>4170</v>
      </c>
      <c r="AX183" t="s">
        <v>262</v>
      </c>
      <c r="BO183" t="s">
        <v>261</v>
      </c>
      <c r="BQ183">
        <v>3.14</v>
      </c>
      <c r="BS183">
        <v>2.36</v>
      </c>
      <c r="BU183">
        <v>4.17</v>
      </c>
      <c r="BV183" t="s">
        <v>263</v>
      </c>
      <c r="CM183" t="s">
        <v>264</v>
      </c>
      <c r="CN183" t="s">
        <v>264</v>
      </c>
      <c r="CP183" t="s">
        <v>265</v>
      </c>
      <c r="DB183">
        <v>4</v>
      </c>
      <c r="DG183" t="s">
        <v>267</v>
      </c>
      <c r="DI183">
        <v>96</v>
      </c>
      <c r="DN183" t="s">
        <v>268</v>
      </c>
      <c r="DR183">
        <v>429032</v>
      </c>
      <c r="DS183">
        <v>3026</v>
      </c>
      <c r="DT183" t="s">
        <v>995</v>
      </c>
      <c r="EW183" t="s">
        <v>293</v>
      </c>
      <c r="FM183">
        <v>15</v>
      </c>
      <c r="FR183" t="s">
        <v>295</v>
      </c>
      <c r="GG183" t="s">
        <v>288</v>
      </c>
      <c r="GH183">
        <v>6</v>
      </c>
      <c r="GM183" t="s">
        <v>356</v>
      </c>
      <c r="GO183">
        <v>8</v>
      </c>
      <c r="GU183">
        <v>30</v>
      </c>
      <c r="GZ183" t="s">
        <v>296</v>
      </c>
      <c r="HH183" t="s">
        <v>272</v>
      </c>
      <c r="IE183" t="s">
        <v>996</v>
      </c>
      <c r="IF183">
        <v>17293</v>
      </c>
      <c r="IG183" t="s">
        <v>997</v>
      </c>
      <c r="IH183" t="s">
        <v>998</v>
      </c>
      <c r="II183">
        <v>1994</v>
      </c>
      <c r="IJ183" t="s">
        <v>999</v>
      </c>
    </row>
    <row r="184" spans="1:244" x14ac:dyDescent="0.45">
      <c r="A184">
        <v>1111942</v>
      </c>
      <c r="B184">
        <v>23768</v>
      </c>
      <c r="C184">
        <v>7440439</v>
      </c>
      <c r="D184" t="s">
        <v>889</v>
      </c>
      <c r="F184" t="s">
        <v>245</v>
      </c>
      <c r="G184" t="s">
        <v>246</v>
      </c>
      <c r="N184" t="s">
        <v>630</v>
      </c>
      <c r="O184" t="s">
        <v>631</v>
      </c>
      <c r="P184" t="s">
        <v>249</v>
      </c>
      <c r="Q184" t="s">
        <v>250</v>
      </c>
      <c r="R184" t="s">
        <v>251</v>
      </c>
      <c r="T184" t="s">
        <v>389</v>
      </c>
      <c r="U184" t="s">
        <v>632</v>
      </c>
      <c r="V184" t="s">
        <v>633</v>
      </c>
      <c r="W184" t="s">
        <v>634</v>
      </c>
      <c r="X184" t="s">
        <v>635</v>
      </c>
      <c r="Z184" t="s">
        <v>826</v>
      </c>
      <c r="AM184" t="s">
        <v>317</v>
      </c>
      <c r="AN184" t="s">
        <v>259</v>
      </c>
      <c r="AO184" t="s">
        <v>260</v>
      </c>
      <c r="AQ184" t="s">
        <v>261</v>
      </c>
      <c r="AS184">
        <v>190</v>
      </c>
      <c r="AX184" t="s">
        <v>262</v>
      </c>
      <c r="BO184" t="s">
        <v>261</v>
      </c>
      <c r="BQ184">
        <v>0.19</v>
      </c>
      <c r="BV184" t="s">
        <v>263</v>
      </c>
      <c r="CM184" t="s">
        <v>264</v>
      </c>
      <c r="CN184" t="s">
        <v>264</v>
      </c>
      <c r="CP184" t="s">
        <v>265</v>
      </c>
      <c r="CQ184" t="s">
        <v>890</v>
      </c>
      <c r="DB184">
        <v>4</v>
      </c>
      <c r="DG184" t="s">
        <v>267</v>
      </c>
      <c r="DI184">
        <v>96</v>
      </c>
      <c r="DN184" t="s">
        <v>268</v>
      </c>
      <c r="DP184" t="s">
        <v>823</v>
      </c>
      <c r="DR184">
        <v>136180</v>
      </c>
      <c r="DS184">
        <v>376</v>
      </c>
      <c r="DT184" t="s">
        <v>814</v>
      </c>
      <c r="EW184" t="s">
        <v>271</v>
      </c>
      <c r="FK184" t="s">
        <v>1000</v>
      </c>
      <c r="FM184">
        <v>20</v>
      </c>
      <c r="FR184" t="s">
        <v>295</v>
      </c>
      <c r="GU184">
        <v>10</v>
      </c>
      <c r="GZ184" t="s">
        <v>296</v>
      </c>
      <c r="HH184" t="s">
        <v>272</v>
      </c>
      <c r="ID184" t="s">
        <v>1001</v>
      </c>
      <c r="IE184" t="s">
        <v>816</v>
      </c>
      <c r="IF184">
        <v>8445</v>
      </c>
      <c r="IG184" t="s">
        <v>817</v>
      </c>
      <c r="IH184" t="s">
        <v>818</v>
      </c>
      <c r="II184">
        <v>1978</v>
      </c>
      <c r="IJ184" t="s">
        <v>819</v>
      </c>
    </row>
    <row r="185" spans="1:244" x14ac:dyDescent="0.45">
      <c r="A185">
        <v>1158519</v>
      </c>
      <c r="B185">
        <v>20771</v>
      </c>
      <c r="C185">
        <v>7440439</v>
      </c>
      <c r="D185" t="s">
        <v>889</v>
      </c>
      <c r="F185" t="s">
        <v>245</v>
      </c>
      <c r="G185" t="s">
        <v>246</v>
      </c>
      <c r="N185" t="s">
        <v>369</v>
      </c>
      <c r="O185" t="s">
        <v>370</v>
      </c>
      <c r="P185" t="s">
        <v>249</v>
      </c>
      <c r="Q185" t="s">
        <v>250</v>
      </c>
      <c r="R185" t="s">
        <v>251</v>
      </c>
      <c r="T185" t="s">
        <v>252</v>
      </c>
      <c r="U185" t="s">
        <v>371</v>
      </c>
      <c r="V185" t="s">
        <v>372</v>
      </c>
      <c r="W185" t="s">
        <v>373</v>
      </c>
      <c r="X185" t="s">
        <v>374</v>
      </c>
      <c r="Z185" t="s">
        <v>649</v>
      </c>
      <c r="AB185">
        <v>24</v>
      </c>
      <c r="AG185" t="s">
        <v>267</v>
      </c>
      <c r="AM185" t="s">
        <v>258</v>
      </c>
      <c r="AN185" t="s">
        <v>259</v>
      </c>
      <c r="AO185" t="s">
        <v>260</v>
      </c>
      <c r="AQ185" t="s">
        <v>261</v>
      </c>
      <c r="AS185">
        <v>123.74</v>
      </c>
      <c r="AU185">
        <v>76.63</v>
      </c>
      <c r="AW185">
        <v>552.75</v>
      </c>
      <c r="AX185" t="s">
        <v>262</v>
      </c>
      <c r="BO185" t="s">
        <v>261</v>
      </c>
      <c r="BQ185">
        <v>0.12374</v>
      </c>
      <c r="BS185">
        <v>7.6630000000000004E-2</v>
      </c>
      <c r="BU185">
        <v>0.55274999999999996</v>
      </c>
      <c r="BV185" t="s">
        <v>263</v>
      </c>
      <c r="CM185" t="s">
        <v>264</v>
      </c>
      <c r="CN185" t="s">
        <v>264</v>
      </c>
      <c r="CP185" t="s">
        <v>265</v>
      </c>
      <c r="DB185">
        <v>2</v>
      </c>
      <c r="DG185" t="s">
        <v>267</v>
      </c>
      <c r="DI185">
        <v>48</v>
      </c>
      <c r="DN185" t="s">
        <v>268</v>
      </c>
      <c r="DR185">
        <v>110441</v>
      </c>
      <c r="DS185">
        <v>142</v>
      </c>
      <c r="EW185" t="s">
        <v>293</v>
      </c>
      <c r="GA185">
        <v>100</v>
      </c>
      <c r="GF185" t="s">
        <v>572</v>
      </c>
      <c r="GG185" t="s">
        <v>278</v>
      </c>
      <c r="GH185">
        <v>60</v>
      </c>
      <c r="GM185" t="s">
        <v>900</v>
      </c>
      <c r="GW185">
        <v>25</v>
      </c>
      <c r="GY185">
        <v>26</v>
      </c>
      <c r="GZ185" t="s">
        <v>296</v>
      </c>
      <c r="HH185" t="s">
        <v>272</v>
      </c>
      <c r="IE185" t="s">
        <v>987</v>
      </c>
      <c r="IF185">
        <v>13866</v>
      </c>
      <c r="IG185" t="s">
        <v>988</v>
      </c>
      <c r="IH185" t="s">
        <v>989</v>
      </c>
      <c r="II185">
        <v>1989</v>
      </c>
      <c r="IJ185" t="s">
        <v>990</v>
      </c>
    </row>
    <row r="186" spans="1:244" x14ac:dyDescent="0.45">
      <c r="A186">
        <v>1158525</v>
      </c>
      <c r="B186">
        <v>39176</v>
      </c>
      <c r="C186">
        <v>7440439</v>
      </c>
      <c r="D186" t="s">
        <v>889</v>
      </c>
      <c r="F186" t="s">
        <v>245</v>
      </c>
      <c r="G186" t="s">
        <v>246</v>
      </c>
      <c r="N186" t="s">
        <v>369</v>
      </c>
      <c r="O186" t="s">
        <v>370</v>
      </c>
      <c r="P186" t="s">
        <v>249</v>
      </c>
      <c r="Q186" t="s">
        <v>250</v>
      </c>
      <c r="R186" t="s">
        <v>251</v>
      </c>
      <c r="T186" t="s">
        <v>252</v>
      </c>
      <c r="U186" t="s">
        <v>371</v>
      </c>
      <c r="V186" t="s">
        <v>372</v>
      </c>
      <c r="W186" t="s">
        <v>373</v>
      </c>
      <c r="X186" t="s">
        <v>374</v>
      </c>
      <c r="Z186" t="s">
        <v>649</v>
      </c>
      <c r="AB186">
        <v>24</v>
      </c>
      <c r="AG186" t="s">
        <v>268</v>
      </c>
      <c r="AM186" t="s">
        <v>258</v>
      </c>
      <c r="AN186" t="s">
        <v>259</v>
      </c>
      <c r="AO186" t="s">
        <v>260</v>
      </c>
      <c r="AQ186" t="s">
        <v>261</v>
      </c>
      <c r="AS186">
        <v>35.770000000000003</v>
      </c>
      <c r="AU186">
        <v>28.11</v>
      </c>
      <c r="AW186">
        <v>43.59</v>
      </c>
      <c r="AX186" t="s">
        <v>262</v>
      </c>
      <c r="BO186" t="s">
        <v>261</v>
      </c>
      <c r="BQ186">
        <v>3.5770000000000003E-2</v>
      </c>
      <c r="BS186">
        <v>2.811E-2</v>
      </c>
      <c r="BU186">
        <v>4.3589999999999997E-2</v>
      </c>
      <c r="BV186" t="s">
        <v>263</v>
      </c>
      <c r="CM186" t="s">
        <v>264</v>
      </c>
      <c r="CN186" t="s">
        <v>264</v>
      </c>
      <c r="CP186" t="s">
        <v>265</v>
      </c>
      <c r="DB186">
        <v>2</v>
      </c>
      <c r="DG186" t="s">
        <v>267</v>
      </c>
      <c r="DI186">
        <v>48</v>
      </c>
      <c r="DN186" t="s">
        <v>268</v>
      </c>
      <c r="DR186">
        <v>110441</v>
      </c>
      <c r="DS186">
        <v>142</v>
      </c>
      <c r="EW186" t="s">
        <v>293</v>
      </c>
      <c r="GA186">
        <v>200</v>
      </c>
      <c r="GF186" t="s">
        <v>572</v>
      </c>
      <c r="GG186" t="s">
        <v>278</v>
      </c>
      <c r="GH186">
        <v>60</v>
      </c>
      <c r="GM186" t="s">
        <v>900</v>
      </c>
      <c r="GW186">
        <v>25</v>
      </c>
      <c r="GY186">
        <v>26</v>
      </c>
      <c r="GZ186" t="s">
        <v>296</v>
      </c>
      <c r="HH186" t="s">
        <v>272</v>
      </c>
      <c r="IE186" t="s">
        <v>987</v>
      </c>
      <c r="IF186">
        <v>13866</v>
      </c>
      <c r="IG186" t="s">
        <v>988</v>
      </c>
      <c r="IH186" t="s">
        <v>989</v>
      </c>
      <c r="II186">
        <v>1989</v>
      </c>
      <c r="IJ186" t="s">
        <v>990</v>
      </c>
    </row>
    <row r="187" spans="1:244" x14ac:dyDescent="0.45">
      <c r="A187">
        <v>1158553</v>
      </c>
      <c r="B187">
        <v>151720</v>
      </c>
      <c r="C187">
        <v>7440439</v>
      </c>
      <c r="D187" t="s">
        <v>889</v>
      </c>
      <c r="F187" t="s">
        <v>245</v>
      </c>
      <c r="G187" t="s">
        <v>246</v>
      </c>
      <c r="N187" t="s">
        <v>369</v>
      </c>
      <c r="O187" t="s">
        <v>370</v>
      </c>
      <c r="P187" t="s">
        <v>249</v>
      </c>
      <c r="Q187" t="s">
        <v>250</v>
      </c>
      <c r="R187" t="s">
        <v>251</v>
      </c>
      <c r="T187" t="s">
        <v>252</v>
      </c>
      <c r="U187" t="s">
        <v>371</v>
      </c>
      <c r="V187" t="s">
        <v>372</v>
      </c>
      <c r="W187" t="s">
        <v>373</v>
      </c>
      <c r="X187" t="s">
        <v>374</v>
      </c>
      <c r="Z187" t="s">
        <v>649</v>
      </c>
      <c r="AB187">
        <v>24</v>
      </c>
      <c r="AG187" t="s">
        <v>267</v>
      </c>
      <c r="AM187" t="s">
        <v>258</v>
      </c>
      <c r="AN187" t="s">
        <v>259</v>
      </c>
      <c r="AO187" t="s">
        <v>260</v>
      </c>
      <c r="AQ187" t="s">
        <v>261</v>
      </c>
      <c r="AS187">
        <v>31.96</v>
      </c>
      <c r="AU187">
        <v>25.65</v>
      </c>
      <c r="AW187">
        <v>38.15</v>
      </c>
      <c r="AX187" t="s">
        <v>262</v>
      </c>
      <c r="BO187" t="s">
        <v>261</v>
      </c>
      <c r="BQ187">
        <v>3.1960000000000002E-2</v>
      </c>
      <c r="BS187">
        <v>2.5649999999999999E-2</v>
      </c>
      <c r="BU187">
        <v>3.8150000000000003E-2</v>
      </c>
      <c r="BV187" t="s">
        <v>263</v>
      </c>
      <c r="CM187" t="s">
        <v>264</v>
      </c>
      <c r="CN187" t="s">
        <v>264</v>
      </c>
      <c r="CP187" t="s">
        <v>265</v>
      </c>
      <c r="DB187">
        <v>4</v>
      </c>
      <c r="DG187" t="s">
        <v>267</v>
      </c>
      <c r="DI187">
        <v>96</v>
      </c>
      <c r="DN187" t="s">
        <v>268</v>
      </c>
      <c r="DR187">
        <v>110441</v>
      </c>
      <c r="DS187">
        <v>142</v>
      </c>
      <c r="EW187" t="s">
        <v>293</v>
      </c>
      <c r="GA187">
        <v>100</v>
      </c>
      <c r="GF187" t="s">
        <v>572</v>
      </c>
      <c r="GG187" t="s">
        <v>278</v>
      </c>
      <c r="GH187">
        <v>60</v>
      </c>
      <c r="GM187" t="s">
        <v>900</v>
      </c>
      <c r="GW187">
        <v>25</v>
      </c>
      <c r="GY187">
        <v>26</v>
      </c>
      <c r="GZ187" t="s">
        <v>296</v>
      </c>
      <c r="HH187" t="s">
        <v>272</v>
      </c>
      <c r="IE187" t="s">
        <v>987</v>
      </c>
      <c r="IF187">
        <v>13866</v>
      </c>
      <c r="IG187" t="s">
        <v>988</v>
      </c>
      <c r="IH187" t="s">
        <v>989</v>
      </c>
      <c r="II187">
        <v>1989</v>
      </c>
      <c r="IJ187" t="s">
        <v>990</v>
      </c>
    </row>
    <row r="188" spans="1:244" x14ac:dyDescent="0.45">
      <c r="A188">
        <v>1158521</v>
      </c>
      <c r="B188">
        <v>28697</v>
      </c>
      <c r="C188">
        <v>7440439</v>
      </c>
      <c r="D188" t="s">
        <v>889</v>
      </c>
      <c r="F188" t="s">
        <v>245</v>
      </c>
      <c r="G188" t="s">
        <v>246</v>
      </c>
      <c r="N188" t="s">
        <v>369</v>
      </c>
      <c r="O188" t="s">
        <v>370</v>
      </c>
      <c r="P188" t="s">
        <v>249</v>
      </c>
      <c r="Q188" t="s">
        <v>250</v>
      </c>
      <c r="R188" t="s">
        <v>251</v>
      </c>
      <c r="T188" t="s">
        <v>252</v>
      </c>
      <c r="U188" t="s">
        <v>371</v>
      </c>
      <c r="V188" t="s">
        <v>372</v>
      </c>
      <c r="W188" t="s">
        <v>373</v>
      </c>
      <c r="X188" t="s">
        <v>374</v>
      </c>
      <c r="Z188" t="s">
        <v>649</v>
      </c>
      <c r="AB188">
        <v>24</v>
      </c>
      <c r="AG188" t="s">
        <v>268</v>
      </c>
      <c r="AM188" t="s">
        <v>258</v>
      </c>
      <c r="AN188" t="s">
        <v>259</v>
      </c>
      <c r="AO188" t="s">
        <v>260</v>
      </c>
      <c r="AQ188" t="s">
        <v>261</v>
      </c>
      <c r="AS188">
        <v>52.75</v>
      </c>
      <c r="AU188">
        <v>41.37</v>
      </c>
      <c r="AW188">
        <v>67.47</v>
      </c>
      <c r="AX188" t="s">
        <v>262</v>
      </c>
      <c r="BO188" t="s">
        <v>261</v>
      </c>
      <c r="BQ188">
        <v>5.2749999999999998E-2</v>
      </c>
      <c r="BS188">
        <v>4.1369999999999997E-2</v>
      </c>
      <c r="BU188">
        <v>6.7470000000000002E-2</v>
      </c>
      <c r="BV188" t="s">
        <v>263</v>
      </c>
      <c r="CM188" t="s">
        <v>264</v>
      </c>
      <c r="CN188" t="s">
        <v>264</v>
      </c>
      <c r="CP188" t="s">
        <v>265</v>
      </c>
      <c r="DB188">
        <v>2</v>
      </c>
      <c r="DG188" t="s">
        <v>267</v>
      </c>
      <c r="DI188">
        <v>48</v>
      </c>
      <c r="DN188" t="s">
        <v>268</v>
      </c>
      <c r="DR188">
        <v>110441</v>
      </c>
      <c r="DS188">
        <v>142</v>
      </c>
      <c r="EW188" t="s">
        <v>293</v>
      </c>
      <c r="GA188">
        <v>25</v>
      </c>
      <c r="GF188" t="s">
        <v>572</v>
      </c>
      <c r="GG188" t="s">
        <v>278</v>
      </c>
      <c r="GH188">
        <v>60</v>
      </c>
      <c r="GM188" t="s">
        <v>900</v>
      </c>
      <c r="GW188">
        <v>25</v>
      </c>
      <c r="GY188">
        <v>26</v>
      </c>
      <c r="GZ188" t="s">
        <v>296</v>
      </c>
      <c r="HH188" t="s">
        <v>272</v>
      </c>
      <c r="IE188" t="s">
        <v>987</v>
      </c>
      <c r="IF188">
        <v>13866</v>
      </c>
      <c r="IG188" t="s">
        <v>988</v>
      </c>
      <c r="IH188" t="s">
        <v>989</v>
      </c>
      <c r="II188">
        <v>1989</v>
      </c>
      <c r="IJ188" t="s">
        <v>990</v>
      </c>
    </row>
    <row r="189" spans="1:244" x14ac:dyDescent="0.45">
      <c r="A189">
        <v>1158518</v>
      </c>
      <c r="B189">
        <v>20770</v>
      </c>
      <c r="C189">
        <v>7440439</v>
      </c>
      <c r="D189" t="s">
        <v>889</v>
      </c>
      <c r="F189" t="s">
        <v>245</v>
      </c>
      <c r="G189" t="s">
        <v>246</v>
      </c>
      <c r="N189" t="s">
        <v>369</v>
      </c>
      <c r="O189" t="s">
        <v>370</v>
      </c>
      <c r="P189" t="s">
        <v>249</v>
      </c>
      <c r="Q189" t="s">
        <v>250</v>
      </c>
      <c r="R189" t="s">
        <v>251</v>
      </c>
      <c r="T189" t="s">
        <v>252</v>
      </c>
      <c r="U189" t="s">
        <v>371</v>
      </c>
      <c r="V189" t="s">
        <v>372</v>
      </c>
      <c r="W189" t="s">
        <v>373</v>
      </c>
      <c r="X189" t="s">
        <v>374</v>
      </c>
      <c r="Z189" t="s">
        <v>649</v>
      </c>
      <c r="AB189">
        <v>24</v>
      </c>
      <c r="AG189" t="s">
        <v>267</v>
      </c>
      <c r="AM189" t="s">
        <v>258</v>
      </c>
      <c r="AN189" t="s">
        <v>259</v>
      </c>
      <c r="AO189" t="s">
        <v>260</v>
      </c>
      <c r="AQ189" t="s">
        <v>261</v>
      </c>
      <c r="AS189">
        <v>111.05</v>
      </c>
      <c r="AU189">
        <v>78.63</v>
      </c>
      <c r="AW189">
        <v>273.67</v>
      </c>
      <c r="AX189" t="s">
        <v>262</v>
      </c>
      <c r="BO189" t="s">
        <v>261</v>
      </c>
      <c r="BQ189">
        <v>0.11105</v>
      </c>
      <c r="BS189">
        <v>7.8630000000000005E-2</v>
      </c>
      <c r="BU189">
        <v>0.27367000000000002</v>
      </c>
      <c r="BV189" t="s">
        <v>263</v>
      </c>
      <c r="CM189" t="s">
        <v>264</v>
      </c>
      <c r="CN189" t="s">
        <v>264</v>
      </c>
      <c r="CP189" t="s">
        <v>265</v>
      </c>
      <c r="DB189">
        <v>2</v>
      </c>
      <c r="DG189" t="s">
        <v>267</v>
      </c>
      <c r="DI189">
        <v>48</v>
      </c>
      <c r="DN189" t="s">
        <v>268</v>
      </c>
      <c r="DR189">
        <v>110441</v>
      </c>
      <c r="DS189">
        <v>142</v>
      </c>
      <c r="EW189" t="s">
        <v>293</v>
      </c>
      <c r="GA189">
        <v>100</v>
      </c>
      <c r="GF189" t="s">
        <v>572</v>
      </c>
      <c r="GG189" t="s">
        <v>278</v>
      </c>
      <c r="GH189">
        <v>60</v>
      </c>
      <c r="GM189" t="s">
        <v>900</v>
      </c>
      <c r="GW189">
        <v>25</v>
      </c>
      <c r="GY189">
        <v>26</v>
      </c>
      <c r="GZ189" t="s">
        <v>296</v>
      </c>
      <c r="HH189" t="s">
        <v>272</v>
      </c>
      <c r="IE189" t="s">
        <v>987</v>
      </c>
      <c r="IF189">
        <v>13866</v>
      </c>
      <c r="IG189" t="s">
        <v>988</v>
      </c>
      <c r="IH189" t="s">
        <v>989</v>
      </c>
      <c r="II189">
        <v>1989</v>
      </c>
      <c r="IJ189" t="s">
        <v>990</v>
      </c>
    </row>
    <row r="190" spans="1:244" x14ac:dyDescent="0.45">
      <c r="A190">
        <v>1158532</v>
      </c>
      <c r="B190">
        <v>40866</v>
      </c>
      <c r="C190">
        <v>7440439</v>
      </c>
      <c r="D190" t="s">
        <v>889</v>
      </c>
      <c r="F190" t="s">
        <v>245</v>
      </c>
      <c r="G190" t="s">
        <v>246</v>
      </c>
      <c r="N190" t="s">
        <v>369</v>
      </c>
      <c r="O190" t="s">
        <v>370</v>
      </c>
      <c r="P190" t="s">
        <v>249</v>
      </c>
      <c r="Q190" t="s">
        <v>250</v>
      </c>
      <c r="R190" t="s">
        <v>251</v>
      </c>
      <c r="T190" t="s">
        <v>252</v>
      </c>
      <c r="U190" t="s">
        <v>371</v>
      </c>
      <c r="V190" t="s">
        <v>372</v>
      </c>
      <c r="W190" t="s">
        <v>373</v>
      </c>
      <c r="X190" t="s">
        <v>374</v>
      </c>
      <c r="Z190" t="s">
        <v>649</v>
      </c>
      <c r="AB190">
        <v>24</v>
      </c>
      <c r="AG190" t="s">
        <v>267</v>
      </c>
      <c r="AM190" t="s">
        <v>258</v>
      </c>
      <c r="AN190" t="s">
        <v>259</v>
      </c>
      <c r="AO190" t="s">
        <v>260</v>
      </c>
      <c r="AQ190" t="s">
        <v>261</v>
      </c>
      <c r="AS190">
        <v>33.97</v>
      </c>
      <c r="AU190">
        <v>26.71</v>
      </c>
      <c r="AW190">
        <v>41.33</v>
      </c>
      <c r="AX190" t="s">
        <v>262</v>
      </c>
      <c r="BO190" t="s">
        <v>261</v>
      </c>
      <c r="BQ190">
        <v>3.397E-2</v>
      </c>
      <c r="BS190">
        <v>2.6710000000000001E-2</v>
      </c>
      <c r="BU190">
        <v>4.1329999999999999E-2</v>
      </c>
      <c r="BV190" t="s">
        <v>263</v>
      </c>
      <c r="CM190" t="s">
        <v>264</v>
      </c>
      <c r="CN190" t="s">
        <v>264</v>
      </c>
      <c r="CP190" t="s">
        <v>265</v>
      </c>
      <c r="DB190">
        <v>2</v>
      </c>
      <c r="DG190" t="s">
        <v>267</v>
      </c>
      <c r="DI190">
        <v>48</v>
      </c>
      <c r="DN190" t="s">
        <v>268</v>
      </c>
      <c r="DR190">
        <v>110441</v>
      </c>
      <c r="DS190">
        <v>142</v>
      </c>
      <c r="EW190" t="s">
        <v>293</v>
      </c>
      <c r="GA190">
        <v>200</v>
      </c>
      <c r="GF190" t="s">
        <v>572</v>
      </c>
      <c r="GG190" t="s">
        <v>278</v>
      </c>
      <c r="GH190">
        <v>60</v>
      </c>
      <c r="GM190" t="s">
        <v>900</v>
      </c>
      <c r="GW190">
        <v>25</v>
      </c>
      <c r="GY190">
        <v>26</v>
      </c>
      <c r="GZ190" t="s">
        <v>296</v>
      </c>
      <c r="HH190" t="s">
        <v>272</v>
      </c>
      <c r="IE190" t="s">
        <v>987</v>
      </c>
      <c r="IF190">
        <v>13866</v>
      </c>
      <c r="IG190" t="s">
        <v>988</v>
      </c>
      <c r="IH190" t="s">
        <v>989</v>
      </c>
      <c r="II190">
        <v>1989</v>
      </c>
      <c r="IJ190" t="s">
        <v>990</v>
      </c>
    </row>
    <row r="191" spans="1:244" x14ac:dyDescent="0.45">
      <c r="A191">
        <v>1158541</v>
      </c>
      <c r="B191">
        <v>40875</v>
      </c>
      <c r="C191">
        <v>7440439</v>
      </c>
      <c r="D191" t="s">
        <v>889</v>
      </c>
      <c r="F191" t="s">
        <v>245</v>
      </c>
      <c r="G191" t="s">
        <v>246</v>
      </c>
      <c r="N191" t="s">
        <v>369</v>
      </c>
      <c r="O191" t="s">
        <v>370</v>
      </c>
      <c r="P191" t="s">
        <v>249</v>
      </c>
      <c r="Q191" t="s">
        <v>250</v>
      </c>
      <c r="R191" t="s">
        <v>251</v>
      </c>
      <c r="T191" t="s">
        <v>252</v>
      </c>
      <c r="U191" t="s">
        <v>371</v>
      </c>
      <c r="V191" t="s">
        <v>372</v>
      </c>
      <c r="W191" t="s">
        <v>373</v>
      </c>
      <c r="X191" t="s">
        <v>374</v>
      </c>
      <c r="Z191" t="s">
        <v>649</v>
      </c>
      <c r="AB191">
        <v>24</v>
      </c>
      <c r="AG191" t="s">
        <v>267</v>
      </c>
      <c r="AM191" t="s">
        <v>258</v>
      </c>
      <c r="AN191" t="s">
        <v>259</v>
      </c>
      <c r="AO191" t="s">
        <v>260</v>
      </c>
      <c r="AQ191" t="s">
        <v>261</v>
      </c>
      <c r="AS191">
        <v>52.22</v>
      </c>
      <c r="AU191">
        <v>43.88</v>
      </c>
      <c r="AW191">
        <v>59.99</v>
      </c>
      <c r="AX191" t="s">
        <v>262</v>
      </c>
      <c r="BO191" t="s">
        <v>261</v>
      </c>
      <c r="BQ191">
        <v>5.2220000000000003E-2</v>
      </c>
      <c r="BS191">
        <v>4.3880000000000002E-2</v>
      </c>
      <c r="BU191">
        <v>5.9990000000000002E-2</v>
      </c>
      <c r="BV191" t="s">
        <v>263</v>
      </c>
      <c r="CM191" t="s">
        <v>264</v>
      </c>
      <c r="CN191" t="s">
        <v>264</v>
      </c>
      <c r="CP191" t="s">
        <v>265</v>
      </c>
      <c r="DB191">
        <v>3</v>
      </c>
      <c r="DG191" t="s">
        <v>267</v>
      </c>
      <c r="DI191">
        <v>72</v>
      </c>
      <c r="DN191" t="s">
        <v>268</v>
      </c>
      <c r="DR191">
        <v>110441</v>
      </c>
      <c r="DS191">
        <v>142</v>
      </c>
      <c r="EW191" t="s">
        <v>293</v>
      </c>
      <c r="GA191">
        <v>100</v>
      </c>
      <c r="GF191" t="s">
        <v>572</v>
      </c>
      <c r="GG191" t="s">
        <v>278</v>
      </c>
      <c r="GH191">
        <v>60</v>
      </c>
      <c r="GM191" t="s">
        <v>900</v>
      </c>
      <c r="GW191">
        <v>25</v>
      </c>
      <c r="GY191">
        <v>26</v>
      </c>
      <c r="GZ191" t="s">
        <v>296</v>
      </c>
      <c r="HH191" t="s">
        <v>272</v>
      </c>
      <c r="IE191" t="s">
        <v>987</v>
      </c>
      <c r="IF191">
        <v>13866</v>
      </c>
      <c r="IG191" t="s">
        <v>988</v>
      </c>
      <c r="IH191" t="s">
        <v>989</v>
      </c>
      <c r="II191">
        <v>1989</v>
      </c>
      <c r="IJ191" t="s">
        <v>990</v>
      </c>
    </row>
    <row r="192" spans="1:244" x14ac:dyDescent="0.45">
      <c r="A192">
        <v>1158548</v>
      </c>
      <c r="B192">
        <v>141642</v>
      </c>
      <c r="C192">
        <v>7440439</v>
      </c>
      <c r="D192" t="s">
        <v>889</v>
      </c>
      <c r="F192" t="s">
        <v>245</v>
      </c>
      <c r="G192" t="s">
        <v>246</v>
      </c>
      <c r="N192" t="s">
        <v>369</v>
      </c>
      <c r="O192" t="s">
        <v>370</v>
      </c>
      <c r="P192" t="s">
        <v>249</v>
      </c>
      <c r="Q192" t="s">
        <v>250</v>
      </c>
      <c r="R192" t="s">
        <v>251</v>
      </c>
      <c r="T192" t="s">
        <v>252</v>
      </c>
      <c r="U192" t="s">
        <v>371</v>
      </c>
      <c r="V192" t="s">
        <v>372</v>
      </c>
      <c r="W192" t="s">
        <v>373</v>
      </c>
      <c r="X192" t="s">
        <v>374</v>
      </c>
      <c r="Z192" t="s">
        <v>649</v>
      </c>
      <c r="AB192">
        <v>24</v>
      </c>
      <c r="AG192" t="s">
        <v>267</v>
      </c>
      <c r="AM192" t="s">
        <v>258</v>
      </c>
      <c r="AN192" t="s">
        <v>259</v>
      </c>
      <c r="AO192" t="s">
        <v>260</v>
      </c>
      <c r="AQ192" t="s">
        <v>261</v>
      </c>
      <c r="AS192">
        <v>32.11</v>
      </c>
      <c r="AU192">
        <v>25.97</v>
      </c>
      <c r="AW192">
        <v>38.11</v>
      </c>
      <c r="AX192" t="s">
        <v>262</v>
      </c>
      <c r="BO192" t="s">
        <v>261</v>
      </c>
      <c r="BQ192">
        <v>3.211E-2</v>
      </c>
      <c r="BS192">
        <v>2.597E-2</v>
      </c>
      <c r="BU192">
        <v>3.8109999999999998E-2</v>
      </c>
      <c r="BV192" t="s">
        <v>263</v>
      </c>
      <c r="CM192" t="s">
        <v>264</v>
      </c>
      <c r="CN192" t="s">
        <v>264</v>
      </c>
      <c r="CP192" t="s">
        <v>265</v>
      </c>
      <c r="DB192">
        <v>4</v>
      </c>
      <c r="DG192" t="s">
        <v>267</v>
      </c>
      <c r="DI192">
        <v>96</v>
      </c>
      <c r="DN192" t="s">
        <v>268</v>
      </c>
      <c r="DR192">
        <v>110441</v>
      </c>
      <c r="DS192">
        <v>142</v>
      </c>
      <c r="EW192" t="s">
        <v>293</v>
      </c>
      <c r="GA192">
        <v>100</v>
      </c>
      <c r="GF192" t="s">
        <v>572</v>
      </c>
      <c r="GG192" t="s">
        <v>278</v>
      </c>
      <c r="GH192">
        <v>60</v>
      </c>
      <c r="GM192" t="s">
        <v>900</v>
      </c>
      <c r="GW192">
        <v>25</v>
      </c>
      <c r="GY192">
        <v>26</v>
      </c>
      <c r="GZ192" t="s">
        <v>296</v>
      </c>
      <c r="HH192" t="s">
        <v>272</v>
      </c>
      <c r="IE192" t="s">
        <v>987</v>
      </c>
      <c r="IF192">
        <v>13866</v>
      </c>
      <c r="IG192" t="s">
        <v>988</v>
      </c>
      <c r="IH192" t="s">
        <v>989</v>
      </c>
      <c r="II192">
        <v>1989</v>
      </c>
      <c r="IJ192" t="s">
        <v>990</v>
      </c>
    </row>
    <row r="193" spans="1:244" x14ac:dyDescent="0.45">
      <c r="A193">
        <v>1111941</v>
      </c>
      <c r="B193">
        <v>23767</v>
      </c>
      <c r="C193">
        <v>7440439</v>
      </c>
      <c r="D193" t="s">
        <v>889</v>
      </c>
      <c r="F193" t="s">
        <v>245</v>
      </c>
      <c r="G193" t="s">
        <v>246</v>
      </c>
      <c r="N193" t="s">
        <v>630</v>
      </c>
      <c r="O193" t="s">
        <v>631</v>
      </c>
      <c r="P193" t="s">
        <v>249</v>
      </c>
      <c r="Q193" t="s">
        <v>250</v>
      </c>
      <c r="R193" t="s">
        <v>251</v>
      </c>
      <c r="T193" t="s">
        <v>389</v>
      </c>
      <c r="U193" t="s">
        <v>632</v>
      </c>
      <c r="V193" t="s">
        <v>633</v>
      </c>
      <c r="W193" t="s">
        <v>634</v>
      </c>
      <c r="X193" t="s">
        <v>635</v>
      </c>
      <c r="Z193" t="s">
        <v>315</v>
      </c>
      <c r="AM193" t="s">
        <v>317</v>
      </c>
      <c r="AN193" t="s">
        <v>259</v>
      </c>
      <c r="AO193" t="s">
        <v>260</v>
      </c>
      <c r="AQ193" t="s">
        <v>261</v>
      </c>
      <c r="AS193">
        <v>122</v>
      </c>
      <c r="AU193">
        <v>60</v>
      </c>
      <c r="AW193">
        <v>341</v>
      </c>
      <c r="AX193" t="s">
        <v>262</v>
      </c>
      <c r="BO193" t="s">
        <v>261</v>
      </c>
      <c r="BQ193">
        <v>0.122</v>
      </c>
      <c r="BS193">
        <v>0.06</v>
      </c>
      <c r="BU193">
        <v>0.34100000000000003</v>
      </c>
      <c r="BV193" t="s">
        <v>263</v>
      </c>
      <c r="CM193" t="s">
        <v>264</v>
      </c>
      <c r="CN193" t="s">
        <v>264</v>
      </c>
      <c r="CP193" t="s">
        <v>265</v>
      </c>
      <c r="CQ193" t="s">
        <v>890</v>
      </c>
      <c r="DB193">
        <v>4</v>
      </c>
      <c r="DG193" t="s">
        <v>267</v>
      </c>
      <c r="DI193">
        <v>96</v>
      </c>
      <c r="DN193" t="s">
        <v>268</v>
      </c>
      <c r="DP193" t="s">
        <v>823</v>
      </c>
      <c r="DR193">
        <v>136180</v>
      </c>
      <c r="DS193">
        <v>376</v>
      </c>
      <c r="DT193" t="s">
        <v>814</v>
      </c>
      <c r="EW193" t="s">
        <v>271</v>
      </c>
      <c r="FK193" t="s">
        <v>1002</v>
      </c>
      <c r="FM193">
        <v>20</v>
      </c>
      <c r="FR193" t="s">
        <v>295</v>
      </c>
      <c r="GU193">
        <v>30</v>
      </c>
      <c r="GZ193" t="s">
        <v>296</v>
      </c>
      <c r="HH193" t="s">
        <v>272</v>
      </c>
      <c r="ID193" t="s">
        <v>1003</v>
      </c>
      <c r="IE193" t="s">
        <v>816</v>
      </c>
      <c r="IF193">
        <v>8445</v>
      </c>
      <c r="IG193" t="s">
        <v>817</v>
      </c>
      <c r="IH193" t="s">
        <v>818</v>
      </c>
      <c r="II193">
        <v>1978</v>
      </c>
      <c r="IJ193" t="s">
        <v>819</v>
      </c>
    </row>
    <row r="194" spans="1:244" x14ac:dyDescent="0.45">
      <c r="A194">
        <v>1158516</v>
      </c>
      <c r="B194">
        <v>8570</v>
      </c>
      <c r="C194">
        <v>7440439</v>
      </c>
      <c r="D194" t="s">
        <v>889</v>
      </c>
      <c r="F194" t="s">
        <v>245</v>
      </c>
      <c r="G194" t="s">
        <v>246</v>
      </c>
      <c r="N194" t="s">
        <v>369</v>
      </c>
      <c r="O194" t="s">
        <v>370</v>
      </c>
      <c r="P194" t="s">
        <v>249</v>
      </c>
      <c r="Q194" t="s">
        <v>250</v>
      </c>
      <c r="R194" t="s">
        <v>251</v>
      </c>
      <c r="T194" t="s">
        <v>252</v>
      </c>
      <c r="U194" t="s">
        <v>371</v>
      </c>
      <c r="V194" t="s">
        <v>372</v>
      </c>
      <c r="W194" t="s">
        <v>373</v>
      </c>
      <c r="X194" t="s">
        <v>374</v>
      </c>
      <c r="Z194" t="s">
        <v>649</v>
      </c>
      <c r="AB194">
        <v>24</v>
      </c>
      <c r="AG194" t="s">
        <v>267</v>
      </c>
      <c r="AM194" t="s">
        <v>258</v>
      </c>
      <c r="AN194" t="s">
        <v>259</v>
      </c>
      <c r="AO194" t="s">
        <v>260</v>
      </c>
      <c r="AQ194" t="s">
        <v>261</v>
      </c>
      <c r="AS194">
        <v>87.4</v>
      </c>
      <c r="AU194">
        <v>65.89</v>
      </c>
      <c r="AW194">
        <v>149.75</v>
      </c>
      <c r="AX194" t="s">
        <v>262</v>
      </c>
      <c r="BO194" t="s">
        <v>261</v>
      </c>
      <c r="BQ194">
        <v>8.7400000000000005E-2</v>
      </c>
      <c r="BS194">
        <v>6.5890000000000004E-2</v>
      </c>
      <c r="BU194">
        <v>0.14974999999999999</v>
      </c>
      <c r="BV194" t="s">
        <v>263</v>
      </c>
      <c r="CM194" t="s">
        <v>264</v>
      </c>
      <c r="CN194" t="s">
        <v>264</v>
      </c>
      <c r="CP194" t="s">
        <v>265</v>
      </c>
      <c r="DB194">
        <v>2</v>
      </c>
      <c r="DG194" t="s">
        <v>267</v>
      </c>
      <c r="DI194">
        <v>48</v>
      </c>
      <c r="DN194" t="s">
        <v>268</v>
      </c>
      <c r="DR194">
        <v>110441</v>
      </c>
      <c r="DS194">
        <v>142</v>
      </c>
      <c r="EW194" t="s">
        <v>293</v>
      </c>
      <c r="GA194">
        <v>100</v>
      </c>
      <c r="GF194" t="s">
        <v>572</v>
      </c>
      <c r="GG194" t="s">
        <v>278</v>
      </c>
      <c r="GH194">
        <v>60</v>
      </c>
      <c r="GM194" t="s">
        <v>900</v>
      </c>
      <c r="GW194">
        <v>25</v>
      </c>
      <c r="GY194">
        <v>26</v>
      </c>
      <c r="GZ194" t="s">
        <v>296</v>
      </c>
      <c r="HH194" t="s">
        <v>272</v>
      </c>
      <c r="IE194" t="s">
        <v>987</v>
      </c>
      <c r="IF194">
        <v>13866</v>
      </c>
      <c r="IG194" t="s">
        <v>988</v>
      </c>
      <c r="IH194" t="s">
        <v>989</v>
      </c>
      <c r="II194">
        <v>1989</v>
      </c>
      <c r="IJ194" t="s">
        <v>990</v>
      </c>
    </row>
    <row r="195" spans="1:244" x14ac:dyDescent="0.45">
      <c r="A195">
        <v>1158526</v>
      </c>
      <c r="B195">
        <v>39177</v>
      </c>
      <c r="C195">
        <v>7440439</v>
      </c>
      <c r="D195" t="s">
        <v>889</v>
      </c>
      <c r="F195" t="s">
        <v>245</v>
      </c>
      <c r="G195" t="s">
        <v>246</v>
      </c>
      <c r="N195" t="s">
        <v>369</v>
      </c>
      <c r="O195" t="s">
        <v>370</v>
      </c>
      <c r="P195" t="s">
        <v>249</v>
      </c>
      <c r="Q195" t="s">
        <v>250</v>
      </c>
      <c r="R195" t="s">
        <v>251</v>
      </c>
      <c r="T195" t="s">
        <v>252</v>
      </c>
      <c r="U195" t="s">
        <v>371</v>
      </c>
      <c r="V195" t="s">
        <v>372</v>
      </c>
      <c r="W195" t="s">
        <v>373</v>
      </c>
      <c r="X195" t="s">
        <v>374</v>
      </c>
      <c r="Z195" t="s">
        <v>649</v>
      </c>
      <c r="AB195">
        <v>24</v>
      </c>
      <c r="AG195" t="s">
        <v>268</v>
      </c>
      <c r="AM195" t="s">
        <v>258</v>
      </c>
      <c r="AN195" t="s">
        <v>259</v>
      </c>
      <c r="AO195" t="s">
        <v>260</v>
      </c>
      <c r="AQ195" t="s">
        <v>261</v>
      </c>
      <c r="AS195">
        <v>22.87</v>
      </c>
      <c r="AU195">
        <v>18.07</v>
      </c>
      <c r="AW195">
        <v>27.9</v>
      </c>
      <c r="AX195" t="s">
        <v>262</v>
      </c>
      <c r="BO195" t="s">
        <v>261</v>
      </c>
      <c r="BQ195">
        <v>2.2870000000000001E-2</v>
      </c>
      <c r="BS195">
        <v>1.8069999999999999E-2</v>
      </c>
      <c r="BU195">
        <v>2.7900000000000001E-2</v>
      </c>
      <c r="BV195" t="s">
        <v>263</v>
      </c>
      <c r="CM195" t="s">
        <v>264</v>
      </c>
      <c r="CN195" t="s">
        <v>264</v>
      </c>
      <c r="CP195" t="s">
        <v>265</v>
      </c>
      <c r="DB195">
        <v>3</v>
      </c>
      <c r="DG195" t="s">
        <v>267</v>
      </c>
      <c r="DI195">
        <v>72</v>
      </c>
      <c r="DN195" t="s">
        <v>268</v>
      </c>
      <c r="DR195">
        <v>110441</v>
      </c>
      <c r="DS195">
        <v>142</v>
      </c>
      <c r="EW195" t="s">
        <v>293</v>
      </c>
      <c r="GA195">
        <v>200</v>
      </c>
      <c r="GF195" t="s">
        <v>572</v>
      </c>
      <c r="GG195" t="s">
        <v>278</v>
      </c>
      <c r="GH195">
        <v>60</v>
      </c>
      <c r="GM195" t="s">
        <v>900</v>
      </c>
      <c r="GW195">
        <v>25</v>
      </c>
      <c r="GY195">
        <v>26</v>
      </c>
      <c r="GZ195" t="s">
        <v>296</v>
      </c>
      <c r="HH195" t="s">
        <v>272</v>
      </c>
      <c r="IE195" t="s">
        <v>987</v>
      </c>
      <c r="IF195">
        <v>13866</v>
      </c>
      <c r="IG195" t="s">
        <v>988</v>
      </c>
      <c r="IH195" t="s">
        <v>989</v>
      </c>
      <c r="II195">
        <v>1989</v>
      </c>
      <c r="IJ195" t="s">
        <v>990</v>
      </c>
    </row>
    <row r="196" spans="1:244" x14ac:dyDescent="0.45">
      <c r="A196">
        <v>1158552</v>
      </c>
      <c r="B196">
        <v>151717</v>
      </c>
      <c r="C196">
        <v>7440439</v>
      </c>
      <c r="D196" t="s">
        <v>889</v>
      </c>
      <c r="F196" t="s">
        <v>245</v>
      </c>
      <c r="G196" t="s">
        <v>246</v>
      </c>
      <c r="N196" t="s">
        <v>369</v>
      </c>
      <c r="O196" t="s">
        <v>370</v>
      </c>
      <c r="P196" t="s">
        <v>249</v>
      </c>
      <c r="Q196" t="s">
        <v>250</v>
      </c>
      <c r="R196" t="s">
        <v>251</v>
      </c>
      <c r="T196" t="s">
        <v>252</v>
      </c>
      <c r="U196" t="s">
        <v>371</v>
      </c>
      <c r="V196" t="s">
        <v>372</v>
      </c>
      <c r="W196" t="s">
        <v>373</v>
      </c>
      <c r="X196" t="s">
        <v>374</v>
      </c>
      <c r="Z196" t="s">
        <v>649</v>
      </c>
      <c r="AB196">
        <v>24</v>
      </c>
      <c r="AG196" t="s">
        <v>267</v>
      </c>
      <c r="AM196" t="s">
        <v>258</v>
      </c>
      <c r="AN196" t="s">
        <v>259</v>
      </c>
      <c r="AO196" t="s">
        <v>260</v>
      </c>
      <c r="AQ196" t="s">
        <v>261</v>
      </c>
      <c r="AS196">
        <v>31.74</v>
      </c>
      <c r="AU196">
        <v>25.07</v>
      </c>
      <c r="AW196">
        <v>38.44</v>
      </c>
      <c r="AX196" t="s">
        <v>262</v>
      </c>
      <c r="BO196" t="s">
        <v>261</v>
      </c>
      <c r="BQ196">
        <v>3.1739999999999997E-2</v>
      </c>
      <c r="BS196">
        <v>2.5069999999999999E-2</v>
      </c>
      <c r="BU196">
        <v>3.8440000000000002E-2</v>
      </c>
      <c r="BV196" t="s">
        <v>263</v>
      </c>
      <c r="CM196" t="s">
        <v>264</v>
      </c>
      <c r="CN196" t="s">
        <v>264</v>
      </c>
      <c r="CP196" t="s">
        <v>265</v>
      </c>
      <c r="DB196">
        <v>4</v>
      </c>
      <c r="DG196" t="s">
        <v>267</v>
      </c>
      <c r="DI196">
        <v>96</v>
      </c>
      <c r="DN196" t="s">
        <v>268</v>
      </c>
      <c r="DR196">
        <v>110441</v>
      </c>
      <c r="DS196">
        <v>142</v>
      </c>
      <c r="EW196" t="s">
        <v>293</v>
      </c>
      <c r="GA196">
        <v>100</v>
      </c>
      <c r="GF196" t="s">
        <v>572</v>
      </c>
      <c r="GG196" t="s">
        <v>278</v>
      </c>
      <c r="GH196">
        <v>60</v>
      </c>
      <c r="GM196" t="s">
        <v>900</v>
      </c>
      <c r="GW196">
        <v>25</v>
      </c>
      <c r="GY196">
        <v>26</v>
      </c>
      <c r="GZ196" t="s">
        <v>296</v>
      </c>
      <c r="HH196" t="s">
        <v>272</v>
      </c>
      <c r="IE196" t="s">
        <v>987</v>
      </c>
      <c r="IF196">
        <v>13866</v>
      </c>
      <c r="IG196" t="s">
        <v>988</v>
      </c>
      <c r="IH196" t="s">
        <v>989</v>
      </c>
      <c r="II196">
        <v>1989</v>
      </c>
      <c r="IJ196" t="s">
        <v>990</v>
      </c>
    </row>
    <row r="197" spans="1:244" x14ac:dyDescent="0.45">
      <c r="A197">
        <v>1158550</v>
      </c>
      <c r="B197">
        <v>151711</v>
      </c>
      <c r="C197">
        <v>7440439</v>
      </c>
      <c r="D197" t="s">
        <v>889</v>
      </c>
      <c r="F197" t="s">
        <v>245</v>
      </c>
      <c r="G197" t="s">
        <v>246</v>
      </c>
      <c r="N197" t="s">
        <v>369</v>
      </c>
      <c r="O197" t="s">
        <v>370</v>
      </c>
      <c r="P197" t="s">
        <v>249</v>
      </c>
      <c r="Q197" t="s">
        <v>250</v>
      </c>
      <c r="R197" t="s">
        <v>251</v>
      </c>
      <c r="T197" t="s">
        <v>252</v>
      </c>
      <c r="U197" t="s">
        <v>371</v>
      </c>
      <c r="V197" t="s">
        <v>372</v>
      </c>
      <c r="W197" t="s">
        <v>373</v>
      </c>
      <c r="X197" t="s">
        <v>374</v>
      </c>
      <c r="Z197" t="s">
        <v>649</v>
      </c>
      <c r="AB197">
        <v>24</v>
      </c>
      <c r="AG197" t="s">
        <v>268</v>
      </c>
      <c r="AM197" t="s">
        <v>258</v>
      </c>
      <c r="AN197" t="s">
        <v>259</v>
      </c>
      <c r="AO197" t="s">
        <v>260</v>
      </c>
      <c r="AQ197" t="s">
        <v>261</v>
      </c>
      <c r="AS197">
        <v>30.73</v>
      </c>
      <c r="AU197">
        <v>24.17</v>
      </c>
      <c r="AW197">
        <v>37.36</v>
      </c>
      <c r="AX197" t="s">
        <v>262</v>
      </c>
      <c r="BO197" t="s">
        <v>261</v>
      </c>
      <c r="BQ197">
        <v>3.073E-2</v>
      </c>
      <c r="BS197">
        <v>2.4170000000000001E-2</v>
      </c>
      <c r="BU197">
        <v>3.7359999999999997E-2</v>
      </c>
      <c r="BV197" t="s">
        <v>263</v>
      </c>
      <c r="CM197" t="s">
        <v>264</v>
      </c>
      <c r="CN197" t="s">
        <v>264</v>
      </c>
      <c r="CP197" t="s">
        <v>265</v>
      </c>
      <c r="DB197">
        <v>4</v>
      </c>
      <c r="DG197" t="s">
        <v>267</v>
      </c>
      <c r="DI197">
        <v>96</v>
      </c>
      <c r="DN197" t="s">
        <v>268</v>
      </c>
      <c r="DR197">
        <v>110441</v>
      </c>
      <c r="DS197">
        <v>142</v>
      </c>
      <c r="EW197" t="s">
        <v>293</v>
      </c>
      <c r="GA197">
        <v>50</v>
      </c>
      <c r="GF197" t="s">
        <v>572</v>
      </c>
      <c r="GG197" t="s">
        <v>278</v>
      </c>
      <c r="GH197">
        <v>60</v>
      </c>
      <c r="GM197" t="s">
        <v>900</v>
      </c>
      <c r="GW197">
        <v>25</v>
      </c>
      <c r="GY197">
        <v>26</v>
      </c>
      <c r="GZ197" t="s">
        <v>296</v>
      </c>
      <c r="HH197" t="s">
        <v>272</v>
      </c>
      <c r="IE197" t="s">
        <v>987</v>
      </c>
      <c r="IF197">
        <v>13866</v>
      </c>
      <c r="IG197" t="s">
        <v>988</v>
      </c>
      <c r="IH197" t="s">
        <v>989</v>
      </c>
      <c r="II197">
        <v>1989</v>
      </c>
      <c r="IJ197" t="s">
        <v>990</v>
      </c>
    </row>
    <row r="198" spans="1:244" x14ac:dyDescent="0.45">
      <c r="A198">
        <v>1158543</v>
      </c>
      <c r="B198">
        <v>40877</v>
      </c>
      <c r="C198">
        <v>7440439</v>
      </c>
      <c r="D198" t="s">
        <v>889</v>
      </c>
      <c r="F198" t="s">
        <v>245</v>
      </c>
      <c r="G198" t="s">
        <v>246</v>
      </c>
      <c r="N198" t="s">
        <v>369</v>
      </c>
      <c r="O198" t="s">
        <v>370</v>
      </c>
      <c r="P198" t="s">
        <v>249</v>
      </c>
      <c r="Q198" t="s">
        <v>250</v>
      </c>
      <c r="R198" t="s">
        <v>251</v>
      </c>
      <c r="T198" t="s">
        <v>252</v>
      </c>
      <c r="U198" t="s">
        <v>371</v>
      </c>
      <c r="V198" t="s">
        <v>372</v>
      </c>
      <c r="W198" t="s">
        <v>373</v>
      </c>
      <c r="X198" t="s">
        <v>374</v>
      </c>
      <c r="Z198" t="s">
        <v>649</v>
      </c>
      <c r="AB198">
        <v>24</v>
      </c>
      <c r="AG198" t="s">
        <v>267</v>
      </c>
      <c r="AM198" t="s">
        <v>258</v>
      </c>
      <c r="AN198" t="s">
        <v>259</v>
      </c>
      <c r="AO198" t="s">
        <v>260</v>
      </c>
      <c r="AQ198" t="s">
        <v>261</v>
      </c>
      <c r="AS198">
        <v>22.8</v>
      </c>
      <c r="AU198">
        <v>18.149999999999999</v>
      </c>
      <c r="AW198">
        <v>27.6</v>
      </c>
      <c r="AX198" t="s">
        <v>262</v>
      </c>
      <c r="BO198" t="s">
        <v>261</v>
      </c>
      <c r="BQ198">
        <v>2.2800000000000001E-2</v>
      </c>
      <c r="BS198">
        <v>1.8149999999999999E-2</v>
      </c>
      <c r="BU198">
        <v>2.76E-2</v>
      </c>
      <c r="BV198" t="s">
        <v>263</v>
      </c>
      <c r="CM198" t="s">
        <v>264</v>
      </c>
      <c r="CN198" t="s">
        <v>264</v>
      </c>
      <c r="CP198" t="s">
        <v>265</v>
      </c>
      <c r="DB198">
        <v>3</v>
      </c>
      <c r="DG198" t="s">
        <v>267</v>
      </c>
      <c r="DI198">
        <v>72</v>
      </c>
      <c r="DN198" t="s">
        <v>268</v>
      </c>
      <c r="DR198">
        <v>110441</v>
      </c>
      <c r="DS198">
        <v>142</v>
      </c>
      <c r="EW198" t="s">
        <v>293</v>
      </c>
      <c r="GA198">
        <v>200</v>
      </c>
      <c r="GF198" t="s">
        <v>572</v>
      </c>
      <c r="GG198" t="s">
        <v>278</v>
      </c>
      <c r="GH198">
        <v>60</v>
      </c>
      <c r="GM198" t="s">
        <v>900</v>
      </c>
      <c r="GW198">
        <v>25</v>
      </c>
      <c r="GY198">
        <v>26</v>
      </c>
      <c r="GZ198" t="s">
        <v>296</v>
      </c>
      <c r="HH198" t="s">
        <v>272</v>
      </c>
      <c r="IE198" t="s">
        <v>987</v>
      </c>
      <c r="IF198">
        <v>13866</v>
      </c>
      <c r="IG198" t="s">
        <v>988</v>
      </c>
      <c r="IH198" t="s">
        <v>989</v>
      </c>
      <c r="II198">
        <v>1989</v>
      </c>
      <c r="IJ198" t="s">
        <v>990</v>
      </c>
    </row>
    <row r="199" spans="1:244" x14ac:dyDescent="0.45">
      <c r="A199">
        <v>1158524</v>
      </c>
      <c r="B199">
        <v>28700</v>
      </c>
      <c r="C199">
        <v>7440439</v>
      </c>
      <c r="D199" t="s">
        <v>889</v>
      </c>
      <c r="F199" t="s">
        <v>245</v>
      </c>
      <c r="G199" t="s">
        <v>246</v>
      </c>
      <c r="N199" t="s">
        <v>369</v>
      </c>
      <c r="O199" t="s">
        <v>370</v>
      </c>
      <c r="P199" t="s">
        <v>249</v>
      </c>
      <c r="Q199" t="s">
        <v>250</v>
      </c>
      <c r="R199" t="s">
        <v>251</v>
      </c>
      <c r="T199" t="s">
        <v>252</v>
      </c>
      <c r="U199" t="s">
        <v>371</v>
      </c>
      <c r="V199" t="s">
        <v>372</v>
      </c>
      <c r="W199" t="s">
        <v>373</v>
      </c>
      <c r="X199" t="s">
        <v>374</v>
      </c>
      <c r="Z199" t="s">
        <v>649</v>
      </c>
      <c r="AB199">
        <v>24</v>
      </c>
      <c r="AG199" t="s">
        <v>268</v>
      </c>
      <c r="AM199" t="s">
        <v>258</v>
      </c>
      <c r="AN199" t="s">
        <v>259</v>
      </c>
      <c r="AO199" t="s">
        <v>260</v>
      </c>
      <c r="AQ199" t="s">
        <v>261</v>
      </c>
      <c r="AS199">
        <v>88.47</v>
      </c>
      <c r="AU199">
        <v>71.319999999999993</v>
      </c>
      <c r="AW199">
        <v>133.25</v>
      </c>
      <c r="AX199" t="s">
        <v>262</v>
      </c>
      <c r="BO199" t="s">
        <v>261</v>
      </c>
      <c r="BQ199">
        <v>8.8469999999999993E-2</v>
      </c>
      <c r="BS199">
        <v>7.1319999999999995E-2</v>
      </c>
      <c r="BU199">
        <v>0.13325000000000001</v>
      </c>
      <c r="BV199" t="s">
        <v>263</v>
      </c>
      <c r="CM199" t="s">
        <v>264</v>
      </c>
      <c r="CN199" t="s">
        <v>264</v>
      </c>
      <c r="CP199" t="s">
        <v>265</v>
      </c>
      <c r="DB199">
        <v>2</v>
      </c>
      <c r="DG199" t="s">
        <v>267</v>
      </c>
      <c r="DI199">
        <v>48</v>
      </c>
      <c r="DN199" t="s">
        <v>268</v>
      </c>
      <c r="DR199">
        <v>110441</v>
      </c>
      <c r="DS199">
        <v>142</v>
      </c>
      <c r="EW199" t="s">
        <v>293</v>
      </c>
      <c r="GA199">
        <v>50</v>
      </c>
      <c r="GF199" t="s">
        <v>572</v>
      </c>
      <c r="GG199" t="s">
        <v>278</v>
      </c>
      <c r="GH199">
        <v>60</v>
      </c>
      <c r="GM199" t="s">
        <v>900</v>
      </c>
      <c r="GW199">
        <v>25</v>
      </c>
      <c r="GY199">
        <v>26</v>
      </c>
      <c r="GZ199" t="s">
        <v>296</v>
      </c>
      <c r="HH199" t="s">
        <v>272</v>
      </c>
      <c r="IE199" t="s">
        <v>987</v>
      </c>
      <c r="IF199">
        <v>13866</v>
      </c>
      <c r="IG199" t="s">
        <v>988</v>
      </c>
      <c r="IH199" t="s">
        <v>989</v>
      </c>
      <c r="II199">
        <v>1989</v>
      </c>
      <c r="IJ199" t="s">
        <v>990</v>
      </c>
    </row>
    <row r="200" spans="1:244" x14ac:dyDescent="0.45">
      <c r="A200">
        <v>1158523</v>
      </c>
      <c r="B200">
        <v>28699</v>
      </c>
      <c r="C200">
        <v>7440439</v>
      </c>
      <c r="D200" t="s">
        <v>889</v>
      </c>
      <c r="F200" t="s">
        <v>245</v>
      </c>
      <c r="G200" t="s">
        <v>246</v>
      </c>
      <c r="N200" t="s">
        <v>369</v>
      </c>
      <c r="O200" t="s">
        <v>370</v>
      </c>
      <c r="P200" t="s">
        <v>249</v>
      </c>
      <c r="Q200" t="s">
        <v>250</v>
      </c>
      <c r="R200" t="s">
        <v>251</v>
      </c>
      <c r="T200" t="s">
        <v>252</v>
      </c>
      <c r="U200" t="s">
        <v>371</v>
      </c>
      <c r="V200" t="s">
        <v>372</v>
      </c>
      <c r="W200" t="s">
        <v>373</v>
      </c>
      <c r="X200" t="s">
        <v>374</v>
      </c>
      <c r="Z200" t="s">
        <v>649</v>
      </c>
      <c r="AB200">
        <v>24</v>
      </c>
      <c r="AG200" t="s">
        <v>268</v>
      </c>
      <c r="AM200" t="s">
        <v>258</v>
      </c>
      <c r="AN200" t="s">
        <v>259</v>
      </c>
      <c r="AO200" t="s">
        <v>260</v>
      </c>
      <c r="AQ200" t="s">
        <v>261</v>
      </c>
      <c r="AS200">
        <v>54.03</v>
      </c>
      <c r="AU200">
        <v>41.62</v>
      </c>
      <c r="AW200">
        <v>71.72</v>
      </c>
      <c r="AX200" t="s">
        <v>262</v>
      </c>
      <c r="BO200" t="s">
        <v>261</v>
      </c>
      <c r="BQ200">
        <v>5.4030000000000002E-2</v>
      </c>
      <c r="BS200">
        <v>4.1619999999999997E-2</v>
      </c>
      <c r="BU200">
        <v>7.1720000000000006E-2</v>
      </c>
      <c r="BV200" t="s">
        <v>263</v>
      </c>
      <c r="CM200" t="s">
        <v>264</v>
      </c>
      <c r="CN200" t="s">
        <v>264</v>
      </c>
      <c r="CP200" t="s">
        <v>265</v>
      </c>
      <c r="DB200">
        <v>2</v>
      </c>
      <c r="DG200" t="s">
        <v>267</v>
      </c>
      <c r="DI200">
        <v>48</v>
      </c>
      <c r="DN200" t="s">
        <v>268</v>
      </c>
      <c r="DR200">
        <v>110441</v>
      </c>
      <c r="DS200">
        <v>142</v>
      </c>
      <c r="EW200" t="s">
        <v>293</v>
      </c>
      <c r="GA200">
        <v>25</v>
      </c>
      <c r="GF200" t="s">
        <v>572</v>
      </c>
      <c r="GG200" t="s">
        <v>278</v>
      </c>
      <c r="GH200">
        <v>60</v>
      </c>
      <c r="GM200" t="s">
        <v>900</v>
      </c>
      <c r="GW200">
        <v>25</v>
      </c>
      <c r="GY200">
        <v>26</v>
      </c>
      <c r="GZ200" t="s">
        <v>296</v>
      </c>
      <c r="HH200" t="s">
        <v>272</v>
      </c>
      <c r="IE200" t="s">
        <v>987</v>
      </c>
      <c r="IF200">
        <v>13866</v>
      </c>
      <c r="IG200" t="s">
        <v>988</v>
      </c>
      <c r="IH200" t="s">
        <v>989</v>
      </c>
      <c r="II200">
        <v>1989</v>
      </c>
      <c r="IJ200" t="s">
        <v>990</v>
      </c>
    </row>
    <row r="201" spans="1:244" x14ac:dyDescent="0.45">
      <c r="A201">
        <v>1047485</v>
      </c>
      <c r="B201">
        <v>109991</v>
      </c>
      <c r="C201">
        <v>7440439</v>
      </c>
      <c r="D201" t="s">
        <v>889</v>
      </c>
      <c r="F201" t="s">
        <v>245</v>
      </c>
      <c r="G201" t="s">
        <v>246</v>
      </c>
      <c r="N201" t="s">
        <v>369</v>
      </c>
      <c r="O201" t="s">
        <v>370</v>
      </c>
      <c r="P201" t="s">
        <v>249</v>
      </c>
      <c r="Q201" t="s">
        <v>250</v>
      </c>
      <c r="R201" t="s">
        <v>251</v>
      </c>
      <c r="T201" t="s">
        <v>252</v>
      </c>
      <c r="U201" t="s">
        <v>371</v>
      </c>
      <c r="V201" t="s">
        <v>372</v>
      </c>
      <c r="W201" t="s">
        <v>373</v>
      </c>
      <c r="X201" t="s">
        <v>374</v>
      </c>
      <c r="Z201" t="s">
        <v>649</v>
      </c>
      <c r="AA201" t="s">
        <v>352</v>
      </c>
      <c r="AB201">
        <v>72</v>
      </c>
      <c r="AG201" t="s">
        <v>268</v>
      </c>
      <c r="AM201" t="s">
        <v>307</v>
      </c>
      <c r="AN201" t="s">
        <v>259</v>
      </c>
      <c r="AO201" t="s">
        <v>260</v>
      </c>
      <c r="AQ201" t="s">
        <v>261</v>
      </c>
      <c r="AS201">
        <v>28</v>
      </c>
      <c r="AX201" t="s">
        <v>262</v>
      </c>
      <c r="BO201" t="s">
        <v>261</v>
      </c>
      <c r="BQ201">
        <v>2.8000000000000001E-2</v>
      </c>
      <c r="BV201" t="s">
        <v>263</v>
      </c>
      <c r="CM201" t="s">
        <v>264</v>
      </c>
      <c r="CN201" t="s">
        <v>264</v>
      </c>
      <c r="CP201" t="s">
        <v>265</v>
      </c>
      <c r="DB201">
        <v>4</v>
      </c>
      <c r="DG201" t="s">
        <v>267</v>
      </c>
      <c r="DI201">
        <v>96</v>
      </c>
      <c r="DN201" t="s">
        <v>268</v>
      </c>
      <c r="DR201">
        <v>110441</v>
      </c>
      <c r="DS201">
        <v>142</v>
      </c>
      <c r="DT201" t="s">
        <v>1004</v>
      </c>
      <c r="EW201" t="s">
        <v>333</v>
      </c>
      <c r="FM201">
        <v>25</v>
      </c>
      <c r="FR201" t="s">
        <v>295</v>
      </c>
      <c r="GU201">
        <v>30</v>
      </c>
      <c r="GZ201" t="s">
        <v>296</v>
      </c>
      <c r="HH201" t="s">
        <v>272</v>
      </c>
      <c r="IE201" t="s">
        <v>1005</v>
      </c>
      <c r="IF201">
        <v>3008</v>
      </c>
      <c r="IG201" t="s">
        <v>1006</v>
      </c>
      <c r="IH201" t="s">
        <v>1007</v>
      </c>
      <c r="II201">
        <v>1990</v>
      </c>
      <c r="IJ201" t="s">
        <v>1008</v>
      </c>
    </row>
    <row r="202" spans="1:244" x14ac:dyDescent="0.45">
      <c r="A202">
        <v>1158540</v>
      </c>
      <c r="B202">
        <v>40874</v>
      </c>
      <c r="C202">
        <v>7440439</v>
      </c>
      <c r="D202" t="s">
        <v>889</v>
      </c>
      <c r="F202" t="s">
        <v>245</v>
      </c>
      <c r="G202" t="s">
        <v>246</v>
      </c>
      <c r="N202" t="s">
        <v>369</v>
      </c>
      <c r="O202" t="s">
        <v>370</v>
      </c>
      <c r="P202" t="s">
        <v>249</v>
      </c>
      <c r="Q202" t="s">
        <v>250</v>
      </c>
      <c r="R202" t="s">
        <v>251</v>
      </c>
      <c r="T202" t="s">
        <v>252</v>
      </c>
      <c r="U202" t="s">
        <v>371</v>
      </c>
      <c r="V202" t="s">
        <v>372</v>
      </c>
      <c r="W202" t="s">
        <v>373</v>
      </c>
      <c r="X202" t="s">
        <v>374</v>
      </c>
      <c r="Z202" t="s">
        <v>649</v>
      </c>
      <c r="AB202">
        <v>24</v>
      </c>
      <c r="AG202" t="s">
        <v>267</v>
      </c>
      <c r="AM202" t="s">
        <v>258</v>
      </c>
      <c r="AN202" t="s">
        <v>259</v>
      </c>
      <c r="AO202" t="s">
        <v>260</v>
      </c>
      <c r="AQ202" t="s">
        <v>261</v>
      </c>
      <c r="AS202">
        <v>46.63</v>
      </c>
      <c r="AU202">
        <v>37.729999999999997</v>
      </c>
      <c r="AW202">
        <v>55.69</v>
      </c>
      <c r="AX202" t="s">
        <v>262</v>
      </c>
      <c r="BO202" t="s">
        <v>261</v>
      </c>
      <c r="BQ202">
        <v>4.6629999999999998E-2</v>
      </c>
      <c r="BS202">
        <v>3.773E-2</v>
      </c>
      <c r="BU202">
        <v>5.5690000000000003E-2</v>
      </c>
      <c r="BV202" t="s">
        <v>263</v>
      </c>
      <c r="CM202" t="s">
        <v>264</v>
      </c>
      <c r="CN202" t="s">
        <v>264</v>
      </c>
      <c r="CP202" t="s">
        <v>265</v>
      </c>
      <c r="DB202">
        <v>3</v>
      </c>
      <c r="DG202" t="s">
        <v>267</v>
      </c>
      <c r="DI202">
        <v>72</v>
      </c>
      <c r="DN202" t="s">
        <v>268</v>
      </c>
      <c r="DR202">
        <v>110441</v>
      </c>
      <c r="DS202">
        <v>142</v>
      </c>
      <c r="EW202" t="s">
        <v>293</v>
      </c>
      <c r="GA202">
        <v>100</v>
      </c>
      <c r="GF202" t="s">
        <v>572</v>
      </c>
      <c r="GG202" t="s">
        <v>278</v>
      </c>
      <c r="GH202">
        <v>60</v>
      </c>
      <c r="GM202" t="s">
        <v>900</v>
      </c>
      <c r="GW202">
        <v>25</v>
      </c>
      <c r="GY202">
        <v>26</v>
      </c>
      <c r="GZ202" t="s">
        <v>296</v>
      </c>
      <c r="HH202" t="s">
        <v>272</v>
      </c>
      <c r="IE202" t="s">
        <v>987</v>
      </c>
      <c r="IF202">
        <v>13866</v>
      </c>
      <c r="IG202" t="s">
        <v>988</v>
      </c>
      <c r="IH202" t="s">
        <v>989</v>
      </c>
      <c r="II202">
        <v>1989</v>
      </c>
      <c r="IJ202" t="s">
        <v>990</v>
      </c>
    </row>
    <row r="203" spans="1:244" x14ac:dyDescent="0.45">
      <c r="A203">
        <v>1120299</v>
      </c>
      <c r="B203">
        <v>126283</v>
      </c>
      <c r="C203">
        <v>7440439</v>
      </c>
      <c r="D203" t="s">
        <v>889</v>
      </c>
      <c r="F203" t="s">
        <v>327</v>
      </c>
      <c r="G203" t="s">
        <v>246</v>
      </c>
      <c r="N203" t="s">
        <v>1009</v>
      </c>
      <c r="O203" t="s">
        <v>388</v>
      </c>
      <c r="P203" t="s">
        <v>249</v>
      </c>
      <c r="Q203" t="s">
        <v>250</v>
      </c>
      <c r="R203" t="s">
        <v>251</v>
      </c>
      <c r="T203" t="s">
        <v>389</v>
      </c>
      <c r="U203" t="s">
        <v>390</v>
      </c>
      <c r="V203" t="s">
        <v>1010</v>
      </c>
      <c r="W203" t="s">
        <v>1011</v>
      </c>
      <c r="X203" t="s">
        <v>1012</v>
      </c>
      <c r="Z203" t="s">
        <v>315</v>
      </c>
      <c r="AM203" t="s">
        <v>317</v>
      </c>
      <c r="AN203" t="s">
        <v>259</v>
      </c>
      <c r="AO203" t="s">
        <v>260</v>
      </c>
      <c r="AQ203" t="s">
        <v>261</v>
      </c>
      <c r="AS203">
        <v>224</v>
      </c>
      <c r="AU203">
        <v>213</v>
      </c>
      <c r="AW203">
        <v>234</v>
      </c>
      <c r="AX203" t="s">
        <v>262</v>
      </c>
      <c r="BO203" t="s">
        <v>261</v>
      </c>
      <c r="BQ203">
        <v>0.224</v>
      </c>
      <c r="BS203">
        <v>0.21299999999999999</v>
      </c>
      <c r="BU203">
        <v>0.23400000000000001</v>
      </c>
      <c r="BV203" t="s">
        <v>263</v>
      </c>
      <c r="CM203" t="s">
        <v>264</v>
      </c>
      <c r="CN203" t="s">
        <v>264</v>
      </c>
      <c r="CP203" t="s">
        <v>265</v>
      </c>
      <c r="CQ203" t="s">
        <v>890</v>
      </c>
      <c r="DB203">
        <v>4</v>
      </c>
      <c r="DG203" t="s">
        <v>267</v>
      </c>
      <c r="DI203">
        <v>96</v>
      </c>
      <c r="DN203" t="s">
        <v>268</v>
      </c>
      <c r="DP203" t="s">
        <v>1013</v>
      </c>
      <c r="DR203">
        <v>1042268</v>
      </c>
      <c r="DS203">
        <v>4612</v>
      </c>
      <c r="EW203" t="s">
        <v>333</v>
      </c>
      <c r="FK203" t="s">
        <v>1014</v>
      </c>
      <c r="FM203">
        <v>20.8</v>
      </c>
      <c r="FR203" t="s">
        <v>295</v>
      </c>
      <c r="GH203">
        <v>7.5</v>
      </c>
      <c r="GM203" t="s">
        <v>356</v>
      </c>
      <c r="GO203">
        <v>7.8</v>
      </c>
      <c r="GU203">
        <v>30.7</v>
      </c>
      <c r="GZ203" t="s">
        <v>296</v>
      </c>
      <c r="HH203" t="s">
        <v>272</v>
      </c>
      <c r="ID203" t="s">
        <v>1015</v>
      </c>
      <c r="IE203" t="s">
        <v>1016</v>
      </c>
      <c r="IF203">
        <v>9365</v>
      </c>
      <c r="IG203" t="s">
        <v>1017</v>
      </c>
      <c r="IH203" t="s">
        <v>1018</v>
      </c>
      <c r="II203">
        <v>1993</v>
      </c>
      <c r="IJ203" t="s">
        <v>1019</v>
      </c>
    </row>
    <row r="204" spans="1:244" x14ac:dyDescent="0.45">
      <c r="A204">
        <v>1158535</v>
      </c>
      <c r="B204">
        <v>40869</v>
      </c>
      <c r="C204">
        <v>7440439</v>
      </c>
      <c r="D204" t="s">
        <v>889</v>
      </c>
      <c r="F204" t="s">
        <v>245</v>
      </c>
      <c r="G204" t="s">
        <v>246</v>
      </c>
      <c r="N204" t="s">
        <v>369</v>
      </c>
      <c r="O204" t="s">
        <v>370</v>
      </c>
      <c r="P204" t="s">
        <v>249</v>
      </c>
      <c r="Q204" t="s">
        <v>250</v>
      </c>
      <c r="R204" t="s">
        <v>251</v>
      </c>
      <c r="T204" t="s">
        <v>252</v>
      </c>
      <c r="U204" t="s">
        <v>371</v>
      </c>
      <c r="V204" t="s">
        <v>372</v>
      </c>
      <c r="W204" t="s">
        <v>373</v>
      </c>
      <c r="X204" t="s">
        <v>374</v>
      </c>
      <c r="Z204" t="s">
        <v>649</v>
      </c>
      <c r="AB204">
        <v>24</v>
      </c>
      <c r="AG204" t="s">
        <v>268</v>
      </c>
      <c r="AM204" t="s">
        <v>258</v>
      </c>
      <c r="AN204" t="s">
        <v>259</v>
      </c>
      <c r="AO204" t="s">
        <v>260</v>
      </c>
      <c r="AQ204" t="s">
        <v>261</v>
      </c>
      <c r="AS204">
        <v>35.229999999999997</v>
      </c>
      <c r="AU204">
        <v>26.88</v>
      </c>
      <c r="AW204">
        <v>44.2</v>
      </c>
      <c r="AX204" t="s">
        <v>262</v>
      </c>
      <c r="BO204" t="s">
        <v>261</v>
      </c>
      <c r="BQ204">
        <v>3.5229999999999997E-2</v>
      </c>
      <c r="BS204">
        <v>2.6880000000000001E-2</v>
      </c>
      <c r="BU204">
        <v>4.4200000000000003E-2</v>
      </c>
      <c r="BV204" t="s">
        <v>263</v>
      </c>
      <c r="CM204" t="s">
        <v>264</v>
      </c>
      <c r="CN204" t="s">
        <v>264</v>
      </c>
      <c r="CP204" t="s">
        <v>265</v>
      </c>
      <c r="DB204">
        <v>3</v>
      </c>
      <c r="DG204" t="s">
        <v>267</v>
      </c>
      <c r="DI204">
        <v>72</v>
      </c>
      <c r="DN204" t="s">
        <v>268</v>
      </c>
      <c r="DR204">
        <v>110441</v>
      </c>
      <c r="DS204">
        <v>142</v>
      </c>
      <c r="EW204" t="s">
        <v>293</v>
      </c>
      <c r="GA204">
        <v>25</v>
      </c>
      <c r="GF204" t="s">
        <v>572</v>
      </c>
      <c r="GG204" t="s">
        <v>278</v>
      </c>
      <c r="GH204">
        <v>60</v>
      </c>
      <c r="GM204" t="s">
        <v>900</v>
      </c>
      <c r="GW204">
        <v>25</v>
      </c>
      <c r="GY204">
        <v>26</v>
      </c>
      <c r="GZ204" t="s">
        <v>296</v>
      </c>
      <c r="HH204" t="s">
        <v>272</v>
      </c>
      <c r="IE204" t="s">
        <v>987</v>
      </c>
      <c r="IF204">
        <v>13866</v>
      </c>
      <c r="IG204" t="s">
        <v>988</v>
      </c>
      <c r="IH204" t="s">
        <v>989</v>
      </c>
      <c r="II204">
        <v>1989</v>
      </c>
      <c r="IJ204" t="s">
        <v>990</v>
      </c>
    </row>
    <row r="205" spans="1:244" x14ac:dyDescent="0.45">
      <c r="A205">
        <v>1047481</v>
      </c>
      <c r="B205">
        <v>109987</v>
      </c>
      <c r="C205">
        <v>7440439</v>
      </c>
      <c r="D205" t="s">
        <v>889</v>
      </c>
      <c r="F205" t="s">
        <v>245</v>
      </c>
      <c r="G205" t="s">
        <v>246</v>
      </c>
      <c r="N205" t="s">
        <v>369</v>
      </c>
      <c r="O205" t="s">
        <v>370</v>
      </c>
      <c r="P205" t="s">
        <v>249</v>
      </c>
      <c r="Q205" t="s">
        <v>250</v>
      </c>
      <c r="R205" t="s">
        <v>251</v>
      </c>
      <c r="T205" t="s">
        <v>252</v>
      </c>
      <c r="U205" t="s">
        <v>371</v>
      </c>
      <c r="V205" t="s">
        <v>372</v>
      </c>
      <c r="W205" t="s">
        <v>373</v>
      </c>
      <c r="X205" t="s">
        <v>374</v>
      </c>
      <c r="Z205" t="s">
        <v>649</v>
      </c>
      <c r="AA205" t="s">
        <v>352</v>
      </c>
      <c r="AB205">
        <v>72</v>
      </c>
      <c r="AG205" t="s">
        <v>268</v>
      </c>
      <c r="AM205" t="s">
        <v>307</v>
      </c>
      <c r="AN205" t="s">
        <v>259</v>
      </c>
      <c r="AO205" t="s">
        <v>260</v>
      </c>
      <c r="AQ205" t="s">
        <v>261</v>
      </c>
      <c r="AS205">
        <v>73</v>
      </c>
      <c r="AX205" t="s">
        <v>262</v>
      </c>
      <c r="BO205" t="s">
        <v>261</v>
      </c>
      <c r="BQ205">
        <v>7.2999999999999995E-2</v>
      </c>
      <c r="BV205" t="s">
        <v>263</v>
      </c>
      <c r="CM205" t="s">
        <v>264</v>
      </c>
      <c r="CN205" t="s">
        <v>264</v>
      </c>
      <c r="CP205" t="s">
        <v>265</v>
      </c>
      <c r="DB205">
        <v>4</v>
      </c>
      <c r="DG205" t="s">
        <v>267</v>
      </c>
      <c r="DI205">
        <v>96</v>
      </c>
      <c r="DN205" t="s">
        <v>268</v>
      </c>
      <c r="DR205">
        <v>110441</v>
      </c>
      <c r="DS205">
        <v>142</v>
      </c>
      <c r="DT205" t="s">
        <v>1004</v>
      </c>
      <c r="EW205" t="s">
        <v>333</v>
      </c>
      <c r="FM205">
        <v>20</v>
      </c>
      <c r="FR205" t="s">
        <v>295</v>
      </c>
      <c r="GU205">
        <v>20</v>
      </c>
      <c r="GZ205" t="s">
        <v>296</v>
      </c>
      <c r="HH205" t="s">
        <v>272</v>
      </c>
      <c r="IE205" t="s">
        <v>1005</v>
      </c>
      <c r="IF205">
        <v>3008</v>
      </c>
      <c r="IG205" t="s">
        <v>1006</v>
      </c>
      <c r="IH205" t="s">
        <v>1007</v>
      </c>
      <c r="II205">
        <v>1990</v>
      </c>
      <c r="IJ205" t="s">
        <v>1008</v>
      </c>
    </row>
    <row r="206" spans="1:244" x14ac:dyDescent="0.45">
      <c r="A206">
        <v>1111940</v>
      </c>
      <c r="B206">
        <v>23766</v>
      </c>
      <c r="C206">
        <v>7440439</v>
      </c>
      <c r="D206" t="s">
        <v>889</v>
      </c>
      <c r="F206" t="s">
        <v>245</v>
      </c>
      <c r="G206" t="s">
        <v>246</v>
      </c>
      <c r="N206" t="s">
        <v>630</v>
      </c>
      <c r="O206" t="s">
        <v>631</v>
      </c>
      <c r="P206" t="s">
        <v>249</v>
      </c>
      <c r="Q206" t="s">
        <v>250</v>
      </c>
      <c r="R206" t="s">
        <v>251</v>
      </c>
      <c r="T206" t="s">
        <v>389</v>
      </c>
      <c r="U206" t="s">
        <v>632</v>
      </c>
      <c r="V206" t="s">
        <v>633</v>
      </c>
      <c r="W206" t="s">
        <v>634</v>
      </c>
      <c r="X206" t="s">
        <v>635</v>
      </c>
      <c r="Z206" t="s">
        <v>820</v>
      </c>
      <c r="AB206" t="s">
        <v>821</v>
      </c>
      <c r="AG206" t="s">
        <v>813</v>
      </c>
      <c r="AL206" t="s">
        <v>822</v>
      </c>
      <c r="AM206" t="s">
        <v>317</v>
      </c>
      <c r="AN206" t="s">
        <v>259</v>
      </c>
      <c r="AO206" t="s">
        <v>260</v>
      </c>
      <c r="AQ206" t="s">
        <v>261</v>
      </c>
      <c r="AS206">
        <v>220</v>
      </c>
      <c r="AU206">
        <v>138</v>
      </c>
      <c r="AW206">
        <v>313</v>
      </c>
      <c r="AX206" t="s">
        <v>262</v>
      </c>
      <c r="BO206" t="s">
        <v>261</v>
      </c>
      <c r="BQ206">
        <v>0.22</v>
      </c>
      <c r="BS206">
        <v>0.13800000000000001</v>
      </c>
      <c r="BU206">
        <v>0.313</v>
      </c>
      <c r="BV206" t="s">
        <v>263</v>
      </c>
      <c r="CM206" t="s">
        <v>264</v>
      </c>
      <c r="CN206" t="s">
        <v>264</v>
      </c>
      <c r="CP206" t="s">
        <v>265</v>
      </c>
      <c r="CQ206" t="s">
        <v>890</v>
      </c>
      <c r="DB206">
        <v>4</v>
      </c>
      <c r="DG206" t="s">
        <v>267</v>
      </c>
      <c r="DI206">
        <v>96</v>
      </c>
      <c r="DN206" t="s">
        <v>268</v>
      </c>
      <c r="DP206" t="s">
        <v>823</v>
      </c>
      <c r="DR206">
        <v>136180</v>
      </c>
      <c r="DS206">
        <v>376</v>
      </c>
      <c r="DT206" t="s">
        <v>814</v>
      </c>
      <c r="EW206" t="s">
        <v>271</v>
      </c>
      <c r="FK206" t="s">
        <v>1020</v>
      </c>
      <c r="FM206">
        <v>20</v>
      </c>
      <c r="FR206" t="s">
        <v>295</v>
      </c>
      <c r="GU206">
        <v>10</v>
      </c>
      <c r="GZ206" t="s">
        <v>296</v>
      </c>
      <c r="HH206" t="s">
        <v>272</v>
      </c>
      <c r="ID206" t="s">
        <v>1021</v>
      </c>
      <c r="IE206" t="s">
        <v>816</v>
      </c>
      <c r="IF206">
        <v>8445</v>
      </c>
      <c r="IG206" t="s">
        <v>817</v>
      </c>
      <c r="IH206" t="s">
        <v>818</v>
      </c>
      <c r="II206">
        <v>1978</v>
      </c>
      <c r="IJ206" t="s">
        <v>819</v>
      </c>
    </row>
    <row r="207" spans="1:244" x14ac:dyDescent="0.45">
      <c r="A207">
        <v>1158520</v>
      </c>
      <c r="B207">
        <v>20827</v>
      </c>
      <c r="C207">
        <v>7440439</v>
      </c>
      <c r="D207" t="s">
        <v>889</v>
      </c>
      <c r="F207" t="s">
        <v>245</v>
      </c>
      <c r="G207" t="s">
        <v>246</v>
      </c>
      <c r="N207" t="s">
        <v>369</v>
      </c>
      <c r="O207" t="s">
        <v>370</v>
      </c>
      <c r="P207" t="s">
        <v>249</v>
      </c>
      <c r="Q207" t="s">
        <v>250</v>
      </c>
      <c r="R207" t="s">
        <v>251</v>
      </c>
      <c r="T207" t="s">
        <v>252</v>
      </c>
      <c r="U207" t="s">
        <v>371</v>
      </c>
      <c r="V207" t="s">
        <v>372</v>
      </c>
      <c r="W207" t="s">
        <v>373</v>
      </c>
      <c r="X207" t="s">
        <v>374</v>
      </c>
      <c r="Z207" t="s">
        <v>649</v>
      </c>
      <c r="AB207">
        <v>24</v>
      </c>
      <c r="AG207" t="s">
        <v>268</v>
      </c>
      <c r="AM207" t="s">
        <v>258</v>
      </c>
      <c r="AN207" t="s">
        <v>259</v>
      </c>
      <c r="AO207" t="s">
        <v>260</v>
      </c>
      <c r="AQ207" t="s">
        <v>261</v>
      </c>
      <c r="AS207">
        <v>24.38</v>
      </c>
      <c r="AU207">
        <v>18.66</v>
      </c>
      <c r="AW207">
        <v>30.31</v>
      </c>
      <c r="AX207" t="s">
        <v>262</v>
      </c>
      <c r="BO207" t="s">
        <v>261</v>
      </c>
      <c r="BQ207">
        <v>2.4379999999999999E-2</v>
      </c>
      <c r="BS207">
        <v>1.866E-2</v>
      </c>
      <c r="BU207">
        <v>3.031E-2</v>
      </c>
      <c r="BV207" t="s">
        <v>263</v>
      </c>
      <c r="CM207" t="s">
        <v>264</v>
      </c>
      <c r="CN207" t="s">
        <v>264</v>
      </c>
      <c r="CP207" t="s">
        <v>265</v>
      </c>
      <c r="DB207">
        <v>4</v>
      </c>
      <c r="DG207" t="s">
        <v>267</v>
      </c>
      <c r="DI207">
        <v>96</v>
      </c>
      <c r="DN207" t="s">
        <v>268</v>
      </c>
      <c r="DR207">
        <v>110441</v>
      </c>
      <c r="DS207">
        <v>142</v>
      </c>
      <c r="EW207" t="s">
        <v>293</v>
      </c>
      <c r="GA207">
        <v>25</v>
      </c>
      <c r="GF207" t="s">
        <v>572</v>
      </c>
      <c r="GG207" t="s">
        <v>278</v>
      </c>
      <c r="GH207">
        <v>60</v>
      </c>
      <c r="GM207" t="s">
        <v>900</v>
      </c>
      <c r="GW207">
        <v>25</v>
      </c>
      <c r="GY207">
        <v>26</v>
      </c>
      <c r="GZ207" t="s">
        <v>296</v>
      </c>
      <c r="HH207" t="s">
        <v>272</v>
      </c>
      <c r="IE207" t="s">
        <v>987</v>
      </c>
      <c r="IF207">
        <v>13866</v>
      </c>
      <c r="IG207" t="s">
        <v>988</v>
      </c>
      <c r="IH207" t="s">
        <v>989</v>
      </c>
      <c r="II207">
        <v>1989</v>
      </c>
      <c r="IJ207" t="s">
        <v>990</v>
      </c>
    </row>
    <row r="208" spans="1:244" x14ac:dyDescent="0.45">
      <c r="A208">
        <v>1158527</v>
      </c>
      <c r="B208">
        <v>39178</v>
      </c>
      <c r="C208">
        <v>7440439</v>
      </c>
      <c r="D208" t="s">
        <v>889</v>
      </c>
      <c r="F208" t="s">
        <v>245</v>
      </c>
      <c r="G208" t="s">
        <v>246</v>
      </c>
      <c r="N208" t="s">
        <v>369</v>
      </c>
      <c r="O208" t="s">
        <v>370</v>
      </c>
      <c r="P208" t="s">
        <v>249</v>
      </c>
      <c r="Q208" t="s">
        <v>250</v>
      </c>
      <c r="R208" t="s">
        <v>251</v>
      </c>
      <c r="T208" t="s">
        <v>252</v>
      </c>
      <c r="U208" t="s">
        <v>371</v>
      </c>
      <c r="V208" t="s">
        <v>372</v>
      </c>
      <c r="W208" t="s">
        <v>373</v>
      </c>
      <c r="X208" t="s">
        <v>374</v>
      </c>
      <c r="Z208" t="s">
        <v>649</v>
      </c>
      <c r="AB208">
        <v>24</v>
      </c>
      <c r="AG208" t="s">
        <v>268</v>
      </c>
      <c r="AM208" t="s">
        <v>258</v>
      </c>
      <c r="AN208" t="s">
        <v>259</v>
      </c>
      <c r="AO208" t="s">
        <v>260</v>
      </c>
      <c r="AQ208" t="s">
        <v>261</v>
      </c>
      <c r="AS208">
        <v>20.03</v>
      </c>
      <c r="AU208">
        <v>15.79</v>
      </c>
      <c r="AW208">
        <v>24.61</v>
      </c>
      <c r="AX208" t="s">
        <v>262</v>
      </c>
      <c r="BO208" t="s">
        <v>261</v>
      </c>
      <c r="BQ208">
        <v>2.0029999999999999E-2</v>
      </c>
      <c r="BS208">
        <v>1.5789999999999998E-2</v>
      </c>
      <c r="BU208">
        <v>2.461E-2</v>
      </c>
      <c r="BV208" t="s">
        <v>263</v>
      </c>
      <c r="CM208" t="s">
        <v>264</v>
      </c>
      <c r="CN208" t="s">
        <v>264</v>
      </c>
      <c r="CP208" t="s">
        <v>265</v>
      </c>
      <c r="DB208">
        <v>4</v>
      </c>
      <c r="DG208" t="s">
        <v>267</v>
      </c>
      <c r="DI208">
        <v>96</v>
      </c>
      <c r="DN208" t="s">
        <v>268</v>
      </c>
      <c r="DR208">
        <v>110441</v>
      </c>
      <c r="DS208">
        <v>142</v>
      </c>
      <c r="EW208" t="s">
        <v>293</v>
      </c>
      <c r="GA208">
        <v>200</v>
      </c>
      <c r="GF208" t="s">
        <v>572</v>
      </c>
      <c r="GG208" t="s">
        <v>278</v>
      </c>
      <c r="GH208">
        <v>60</v>
      </c>
      <c r="GM208" t="s">
        <v>900</v>
      </c>
      <c r="GW208">
        <v>25</v>
      </c>
      <c r="GY208">
        <v>26</v>
      </c>
      <c r="GZ208" t="s">
        <v>296</v>
      </c>
      <c r="HH208" t="s">
        <v>272</v>
      </c>
      <c r="IE208" t="s">
        <v>987</v>
      </c>
      <c r="IF208">
        <v>13866</v>
      </c>
      <c r="IG208" t="s">
        <v>988</v>
      </c>
      <c r="IH208" t="s">
        <v>989</v>
      </c>
      <c r="II208">
        <v>1989</v>
      </c>
      <c r="IJ208" t="s">
        <v>990</v>
      </c>
    </row>
    <row r="209" spans="1:244" x14ac:dyDescent="0.45">
      <c r="A209">
        <v>1158549</v>
      </c>
      <c r="B209">
        <v>141643</v>
      </c>
      <c r="C209">
        <v>7440439</v>
      </c>
      <c r="D209" t="s">
        <v>889</v>
      </c>
      <c r="F209" t="s">
        <v>245</v>
      </c>
      <c r="G209" t="s">
        <v>246</v>
      </c>
      <c r="N209" t="s">
        <v>369</v>
      </c>
      <c r="O209" t="s">
        <v>370</v>
      </c>
      <c r="P209" t="s">
        <v>249</v>
      </c>
      <c r="Q209" t="s">
        <v>250</v>
      </c>
      <c r="R209" t="s">
        <v>251</v>
      </c>
      <c r="T209" t="s">
        <v>252</v>
      </c>
      <c r="U209" t="s">
        <v>371</v>
      </c>
      <c r="V209" t="s">
        <v>372</v>
      </c>
      <c r="W209" t="s">
        <v>373</v>
      </c>
      <c r="X209" t="s">
        <v>374</v>
      </c>
      <c r="Z209" t="s">
        <v>649</v>
      </c>
      <c r="AB209">
        <v>24</v>
      </c>
      <c r="AG209" t="s">
        <v>267</v>
      </c>
      <c r="AM209" t="s">
        <v>258</v>
      </c>
      <c r="AN209" t="s">
        <v>259</v>
      </c>
      <c r="AO209" t="s">
        <v>260</v>
      </c>
      <c r="AQ209" t="s">
        <v>261</v>
      </c>
      <c r="AS209">
        <v>32.64</v>
      </c>
      <c r="AU209">
        <v>25.76</v>
      </c>
      <c r="AW209">
        <v>39.57</v>
      </c>
      <c r="AX209" t="s">
        <v>262</v>
      </c>
      <c r="BO209" t="s">
        <v>261</v>
      </c>
      <c r="BQ209">
        <v>3.2640000000000002E-2</v>
      </c>
      <c r="BS209">
        <v>2.5760000000000002E-2</v>
      </c>
      <c r="BU209">
        <v>3.9570000000000001E-2</v>
      </c>
      <c r="BV209" t="s">
        <v>263</v>
      </c>
      <c r="CM209" t="s">
        <v>264</v>
      </c>
      <c r="CN209" t="s">
        <v>264</v>
      </c>
      <c r="CP209" t="s">
        <v>265</v>
      </c>
      <c r="DB209">
        <v>4</v>
      </c>
      <c r="DG209" t="s">
        <v>267</v>
      </c>
      <c r="DI209">
        <v>96</v>
      </c>
      <c r="DN209" t="s">
        <v>268</v>
      </c>
      <c r="DR209">
        <v>110441</v>
      </c>
      <c r="DS209">
        <v>142</v>
      </c>
      <c r="EW209" t="s">
        <v>293</v>
      </c>
      <c r="GA209">
        <v>100</v>
      </c>
      <c r="GF209" t="s">
        <v>572</v>
      </c>
      <c r="GG209" t="s">
        <v>278</v>
      </c>
      <c r="GH209">
        <v>60</v>
      </c>
      <c r="GM209" t="s">
        <v>900</v>
      </c>
      <c r="GW209">
        <v>25</v>
      </c>
      <c r="GY209">
        <v>26</v>
      </c>
      <c r="GZ209" t="s">
        <v>296</v>
      </c>
      <c r="HH209" t="s">
        <v>272</v>
      </c>
      <c r="IE209" t="s">
        <v>987</v>
      </c>
      <c r="IF209">
        <v>13866</v>
      </c>
      <c r="IG209" t="s">
        <v>988</v>
      </c>
      <c r="IH209" t="s">
        <v>989</v>
      </c>
      <c r="II209">
        <v>1989</v>
      </c>
      <c r="IJ209" t="s">
        <v>990</v>
      </c>
    </row>
    <row r="210" spans="1:244" x14ac:dyDescent="0.45">
      <c r="A210">
        <v>1158546</v>
      </c>
      <c r="B210">
        <v>54436</v>
      </c>
      <c r="C210">
        <v>7440439</v>
      </c>
      <c r="D210" t="s">
        <v>889</v>
      </c>
      <c r="F210" t="s">
        <v>245</v>
      </c>
      <c r="G210" t="s">
        <v>246</v>
      </c>
      <c r="N210" t="s">
        <v>369</v>
      </c>
      <c r="O210" t="s">
        <v>370</v>
      </c>
      <c r="P210" t="s">
        <v>249</v>
      </c>
      <c r="Q210" t="s">
        <v>250</v>
      </c>
      <c r="R210" t="s">
        <v>251</v>
      </c>
      <c r="T210" t="s">
        <v>252</v>
      </c>
      <c r="U210" t="s">
        <v>371</v>
      </c>
      <c r="V210" t="s">
        <v>372</v>
      </c>
      <c r="W210" t="s">
        <v>373</v>
      </c>
      <c r="X210" t="s">
        <v>374</v>
      </c>
      <c r="Z210" t="s">
        <v>649</v>
      </c>
      <c r="AB210">
        <v>24</v>
      </c>
      <c r="AG210" t="s">
        <v>267</v>
      </c>
      <c r="AM210" t="s">
        <v>258</v>
      </c>
      <c r="AN210" t="s">
        <v>259</v>
      </c>
      <c r="AO210" t="s">
        <v>260</v>
      </c>
      <c r="AQ210" t="s">
        <v>261</v>
      </c>
      <c r="AS210">
        <v>17.93</v>
      </c>
      <c r="AU210">
        <v>14.25</v>
      </c>
      <c r="AW210">
        <v>22.05</v>
      </c>
      <c r="AX210" t="s">
        <v>262</v>
      </c>
      <c r="BO210" t="s">
        <v>261</v>
      </c>
      <c r="BQ210">
        <v>1.7930000000000001E-2</v>
      </c>
      <c r="BS210">
        <v>1.4250000000000001E-2</v>
      </c>
      <c r="BU210">
        <v>2.205E-2</v>
      </c>
      <c r="BV210" t="s">
        <v>263</v>
      </c>
      <c r="CM210" t="s">
        <v>264</v>
      </c>
      <c r="CN210" t="s">
        <v>264</v>
      </c>
      <c r="CP210" t="s">
        <v>265</v>
      </c>
      <c r="DB210">
        <v>4</v>
      </c>
      <c r="DG210" t="s">
        <v>267</v>
      </c>
      <c r="DI210">
        <v>96</v>
      </c>
      <c r="DN210" t="s">
        <v>268</v>
      </c>
      <c r="DR210">
        <v>110441</v>
      </c>
      <c r="DS210">
        <v>142</v>
      </c>
      <c r="EW210" t="s">
        <v>293</v>
      </c>
      <c r="GA210">
        <v>200</v>
      </c>
      <c r="GF210" t="s">
        <v>572</v>
      </c>
      <c r="GG210" t="s">
        <v>278</v>
      </c>
      <c r="GH210">
        <v>60</v>
      </c>
      <c r="GM210" t="s">
        <v>900</v>
      </c>
      <c r="GW210">
        <v>25</v>
      </c>
      <c r="GY210">
        <v>26</v>
      </c>
      <c r="GZ210" t="s">
        <v>296</v>
      </c>
      <c r="HH210" t="s">
        <v>272</v>
      </c>
      <c r="IE210" t="s">
        <v>987</v>
      </c>
      <c r="IF210">
        <v>13866</v>
      </c>
      <c r="IG210" t="s">
        <v>988</v>
      </c>
      <c r="IH210" t="s">
        <v>989</v>
      </c>
      <c r="II210">
        <v>1989</v>
      </c>
      <c r="IJ210" t="s">
        <v>990</v>
      </c>
    </row>
    <row r="211" spans="1:244" x14ac:dyDescent="0.45">
      <c r="A211">
        <v>1047482</v>
      </c>
      <c r="B211">
        <v>109988</v>
      </c>
      <c r="C211">
        <v>7440439</v>
      </c>
      <c r="D211" t="s">
        <v>889</v>
      </c>
      <c r="F211" t="s">
        <v>245</v>
      </c>
      <c r="G211" t="s">
        <v>246</v>
      </c>
      <c r="N211" t="s">
        <v>369</v>
      </c>
      <c r="O211" t="s">
        <v>370</v>
      </c>
      <c r="P211" t="s">
        <v>249</v>
      </c>
      <c r="Q211" t="s">
        <v>250</v>
      </c>
      <c r="R211" t="s">
        <v>251</v>
      </c>
      <c r="T211" t="s">
        <v>252</v>
      </c>
      <c r="U211" t="s">
        <v>371</v>
      </c>
      <c r="V211" t="s">
        <v>372</v>
      </c>
      <c r="W211" t="s">
        <v>373</v>
      </c>
      <c r="X211" t="s">
        <v>374</v>
      </c>
      <c r="Z211" t="s">
        <v>649</v>
      </c>
      <c r="AA211" t="s">
        <v>352</v>
      </c>
      <c r="AB211">
        <v>72</v>
      </c>
      <c r="AG211" t="s">
        <v>268</v>
      </c>
      <c r="AM211" t="s">
        <v>307</v>
      </c>
      <c r="AN211" t="s">
        <v>259</v>
      </c>
      <c r="AO211" t="s">
        <v>260</v>
      </c>
      <c r="AQ211" t="s">
        <v>261</v>
      </c>
      <c r="AS211">
        <v>85</v>
      </c>
      <c r="AX211" t="s">
        <v>262</v>
      </c>
      <c r="BO211" t="s">
        <v>261</v>
      </c>
      <c r="BQ211">
        <v>8.5000000000000006E-2</v>
      </c>
      <c r="BV211" t="s">
        <v>263</v>
      </c>
      <c r="CM211" t="s">
        <v>264</v>
      </c>
      <c r="CN211" t="s">
        <v>264</v>
      </c>
      <c r="CP211" t="s">
        <v>265</v>
      </c>
      <c r="DB211">
        <v>4</v>
      </c>
      <c r="DG211" t="s">
        <v>267</v>
      </c>
      <c r="DI211">
        <v>96</v>
      </c>
      <c r="DN211" t="s">
        <v>268</v>
      </c>
      <c r="DR211">
        <v>110441</v>
      </c>
      <c r="DS211">
        <v>142</v>
      </c>
      <c r="DT211" t="s">
        <v>1004</v>
      </c>
      <c r="EW211" t="s">
        <v>333</v>
      </c>
      <c r="FM211">
        <v>20</v>
      </c>
      <c r="FR211" t="s">
        <v>295</v>
      </c>
      <c r="GU211">
        <v>30</v>
      </c>
      <c r="GZ211" t="s">
        <v>296</v>
      </c>
      <c r="HH211" t="s">
        <v>272</v>
      </c>
      <c r="IE211" t="s">
        <v>1005</v>
      </c>
      <c r="IF211">
        <v>3008</v>
      </c>
      <c r="IG211" t="s">
        <v>1006</v>
      </c>
      <c r="IH211" t="s">
        <v>1007</v>
      </c>
      <c r="II211">
        <v>1990</v>
      </c>
      <c r="IJ211" t="s">
        <v>1008</v>
      </c>
    </row>
    <row r="212" spans="1:244" x14ac:dyDescent="0.45">
      <c r="A212">
        <v>2019459</v>
      </c>
      <c r="B212">
        <v>2033106</v>
      </c>
      <c r="C212">
        <v>7440439</v>
      </c>
      <c r="D212" t="s">
        <v>889</v>
      </c>
      <c r="F212" t="s">
        <v>245</v>
      </c>
      <c r="G212" t="s">
        <v>272</v>
      </c>
      <c r="N212" t="s">
        <v>1022</v>
      </c>
      <c r="O212" t="s">
        <v>578</v>
      </c>
      <c r="P212" t="s">
        <v>249</v>
      </c>
      <c r="Q212" t="s">
        <v>250</v>
      </c>
      <c r="R212" t="s">
        <v>251</v>
      </c>
      <c r="T212" t="s">
        <v>252</v>
      </c>
      <c r="U212" t="s">
        <v>499</v>
      </c>
      <c r="V212" t="s">
        <v>992</v>
      </c>
      <c r="W212" t="s">
        <v>1023</v>
      </c>
      <c r="X212" t="s">
        <v>1024</v>
      </c>
      <c r="Z212" t="s">
        <v>1025</v>
      </c>
      <c r="AJ212" t="s">
        <v>354</v>
      </c>
      <c r="AM212" t="s">
        <v>287</v>
      </c>
      <c r="AN212" t="s">
        <v>259</v>
      </c>
      <c r="AO212" t="s">
        <v>260</v>
      </c>
      <c r="AQ212" t="s">
        <v>261</v>
      </c>
      <c r="AS212">
        <v>0.6</v>
      </c>
      <c r="AU212">
        <v>0.5</v>
      </c>
      <c r="AW212">
        <v>0.71</v>
      </c>
      <c r="AX212" t="s">
        <v>356</v>
      </c>
      <c r="BO212" t="s">
        <v>261</v>
      </c>
      <c r="BQ212">
        <v>0.6</v>
      </c>
      <c r="BS212">
        <v>0.5</v>
      </c>
      <c r="BU212">
        <v>0.71</v>
      </c>
      <c r="BV212" t="s">
        <v>263</v>
      </c>
      <c r="CM212" t="s">
        <v>264</v>
      </c>
      <c r="CN212" t="s">
        <v>264</v>
      </c>
      <c r="CO212" t="s">
        <v>1026</v>
      </c>
      <c r="CP212" t="s">
        <v>265</v>
      </c>
      <c r="CQ212" t="s">
        <v>890</v>
      </c>
      <c r="DB212">
        <v>4</v>
      </c>
      <c r="DG212" t="s">
        <v>267</v>
      </c>
      <c r="DI212">
        <v>96</v>
      </c>
      <c r="DN212" t="s">
        <v>268</v>
      </c>
      <c r="DR212">
        <v>247138</v>
      </c>
      <c r="DS212">
        <v>4424</v>
      </c>
      <c r="DT212" t="s">
        <v>1027</v>
      </c>
      <c r="DV212">
        <v>96</v>
      </c>
      <c r="EA212" t="s">
        <v>268</v>
      </c>
      <c r="EC212">
        <v>4</v>
      </c>
      <c r="EH212" t="s">
        <v>267</v>
      </c>
      <c r="EJ212">
        <v>96</v>
      </c>
      <c r="EO212" t="s">
        <v>268</v>
      </c>
      <c r="EQ212">
        <v>4</v>
      </c>
      <c r="EV212" t="s">
        <v>267</v>
      </c>
      <c r="EW212" t="s">
        <v>293</v>
      </c>
      <c r="HH212" t="s">
        <v>272</v>
      </c>
      <c r="ID212" t="s">
        <v>1028</v>
      </c>
      <c r="IE212" t="s">
        <v>1029</v>
      </c>
      <c r="IF212">
        <v>119424</v>
      </c>
      <c r="IG212" t="s">
        <v>1030</v>
      </c>
      <c r="IH212" t="s">
        <v>1031</v>
      </c>
      <c r="II212">
        <v>2010</v>
      </c>
      <c r="IJ212" t="s">
        <v>1032</v>
      </c>
    </row>
    <row r="213" spans="1:244" x14ac:dyDescent="0.45">
      <c r="A213">
        <v>2019459</v>
      </c>
      <c r="B213">
        <v>2033107</v>
      </c>
      <c r="C213">
        <v>7440439</v>
      </c>
      <c r="D213" t="s">
        <v>889</v>
      </c>
      <c r="F213" t="s">
        <v>245</v>
      </c>
      <c r="G213" t="s">
        <v>272</v>
      </c>
      <c r="N213" t="s">
        <v>1022</v>
      </c>
      <c r="O213" t="s">
        <v>578</v>
      </c>
      <c r="P213" t="s">
        <v>249</v>
      </c>
      <c r="Q213" t="s">
        <v>250</v>
      </c>
      <c r="R213" t="s">
        <v>251</v>
      </c>
      <c r="T213" t="s">
        <v>252</v>
      </c>
      <c r="U213" t="s">
        <v>499</v>
      </c>
      <c r="V213" t="s">
        <v>992</v>
      </c>
      <c r="W213" t="s">
        <v>1023</v>
      </c>
      <c r="X213" t="s">
        <v>1024</v>
      </c>
      <c r="Z213" t="s">
        <v>1025</v>
      </c>
      <c r="AJ213" t="s">
        <v>354</v>
      </c>
      <c r="AM213" t="s">
        <v>287</v>
      </c>
      <c r="AN213" t="s">
        <v>259</v>
      </c>
      <c r="AO213" t="s">
        <v>260</v>
      </c>
      <c r="AQ213" t="s">
        <v>261</v>
      </c>
      <c r="AS213">
        <v>0.53</v>
      </c>
      <c r="AU213">
        <v>0.43</v>
      </c>
      <c r="AW213">
        <v>0.63</v>
      </c>
      <c r="AX213" t="s">
        <v>356</v>
      </c>
      <c r="BO213" t="s">
        <v>261</v>
      </c>
      <c r="BQ213">
        <v>0.53</v>
      </c>
      <c r="BS213">
        <v>0.43</v>
      </c>
      <c r="BU213">
        <v>0.63</v>
      </c>
      <c r="BV213" t="s">
        <v>263</v>
      </c>
      <c r="CM213" t="s">
        <v>264</v>
      </c>
      <c r="CN213" t="s">
        <v>264</v>
      </c>
      <c r="CO213" t="s">
        <v>1033</v>
      </c>
      <c r="CP213" t="s">
        <v>265</v>
      </c>
      <c r="CQ213" t="s">
        <v>890</v>
      </c>
      <c r="DB213">
        <v>4</v>
      </c>
      <c r="DG213" t="s">
        <v>267</v>
      </c>
      <c r="DI213">
        <v>96</v>
      </c>
      <c r="DN213" t="s">
        <v>268</v>
      </c>
      <c r="DR213">
        <v>247138</v>
      </c>
      <c r="DS213">
        <v>4424</v>
      </c>
      <c r="DT213" t="s">
        <v>1027</v>
      </c>
      <c r="DV213">
        <v>96</v>
      </c>
      <c r="EA213" t="s">
        <v>268</v>
      </c>
      <c r="EC213">
        <v>4</v>
      </c>
      <c r="EH213" t="s">
        <v>267</v>
      </c>
      <c r="EJ213">
        <v>96</v>
      </c>
      <c r="EO213" t="s">
        <v>268</v>
      </c>
      <c r="EQ213">
        <v>4</v>
      </c>
      <c r="EV213" t="s">
        <v>267</v>
      </c>
      <c r="EW213" t="s">
        <v>293</v>
      </c>
      <c r="HH213" t="s">
        <v>272</v>
      </c>
      <c r="ID213" t="s">
        <v>1028</v>
      </c>
      <c r="IE213" t="s">
        <v>1029</v>
      </c>
      <c r="IF213">
        <v>119424</v>
      </c>
      <c r="IG213" t="s">
        <v>1030</v>
      </c>
      <c r="IH213" t="s">
        <v>1031</v>
      </c>
      <c r="II213">
        <v>2010</v>
      </c>
      <c r="IJ213" t="s">
        <v>1032</v>
      </c>
    </row>
    <row r="214" spans="1:244" x14ac:dyDescent="0.45">
      <c r="A214">
        <v>1134122</v>
      </c>
      <c r="B214">
        <v>107489</v>
      </c>
      <c r="C214">
        <v>7440439</v>
      </c>
      <c r="D214" t="s">
        <v>889</v>
      </c>
      <c r="F214" t="s">
        <v>327</v>
      </c>
      <c r="G214" t="s">
        <v>246</v>
      </c>
      <c r="N214" t="s">
        <v>829</v>
      </c>
      <c r="O214" t="s">
        <v>631</v>
      </c>
      <c r="P214" t="s">
        <v>249</v>
      </c>
      <c r="Q214" t="s">
        <v>250</v>
      </c>
      <c r="R214" t="s">
        <v>251</v>
      </c>
      <c r="T214" t="s">
        <v>389</v>
      </c>
      <c r="U214" t="s">
        <v>632</v>
      </c>
      <c r="V214" t="s">
        <v>830</v>
      </c>
      <c r="W214" t="s">
        <v>831</v>
      </c>
      <c r="X214" t="s">
        <v>832</v>
      </c>
      <c r="Z214" t="s">
        <v>1034</v>
      </c>
      <c r="AL214" t="s">
        <v>1035</v>
      </c>
      <c r="AM214" t="s">
        <v>317</v>
      </c>
      <c r="AN214" t="s">
        <v>259</v>
      </c>
      <c r="AO214" t="s">
        <v>260</v>
      </c>
      <c r="AQ214" t="s">
        <v>261</v>
      </c>
      <c r="AS214">
        <v>147.69999999999999</v>
      </c>
      <c r="AU214">
        <v>133.1</v>
      </c>
      <c r="AW214">
        <v>166.1</v>
      </c>
      <c r="AX214" t="s">
        <v>262</v>
      </c>
      <c r="BO214" t="s">
        <v>261</v>
      </c>
      <c r="BQ214">
        <v>0.1477</v>
      </c>
      <c r="BS214">
        <v>0.1331</v>
      </c>
      <c r="BU214">
        <v>0.1661</v>
      </c>
      <c r="BV214" t="s">
        <v>263</v>
      </c>
      <c r="CM214" t="s">
        <v>264</v>
      </c>
      <c r="CN214" t="s">
        <v>264</v>
      </c>
      <c r="CP214" t="s">
        <v>265</v>
      </c>
      <c r="DB214">
        <v>4</v>
      </c>
      <c r="DG214" t="s">
        <v>267</v>
      </c>
      <c r="DI214">
        <v>96</v>
      </c>
      <c r="DN214" t="s">
        <v>268</v>
      </c>
      <c r="DQ214" t="s">
        <v>1036</v>
      </c>
      <c r="DR214">
        <v>88015</v>
      </c>
      <c r="DS214">
        <v>649</v>
      </c>
      <c r="DT214" t="s">
        <v>1037</v>
      </c>
      <c r="EW214" t="s">
        <v>271</v>
      </c>
      <c r="FM214">
        <v>15</v>
      </c>
      <c r="FR214" t="s">
        <v>295</v>
      </c>
      <c r="GU214">
        <v>10</v>
      </c>
      <c r="GZ214" t="s">
        <v>296</v>
      </c>
      <c r="HH214" t="s">
        <v>272</v>
      </c>
      <c r="IE214" t="s">
        <v>1038</v>
      </c>
      <c r="IF214">
        <v>10900</v>
      </c>
      <c r="IG214" t="s">
        <v>1039</v>
      </c>
      <c r="IH214" t="s">
        <v>1040</v>
      </c>
      <c r="II214">
        <v>1983</v>
      </c>
      <c r="IJ214" t="s">
        <v>1041</v>
      </c>
    </row>
    <row r="215" spans="1:244" x14ac:dyDescent="0.45">
      <c r="A215">
        <v>1111939</v>
      </c>
      <c r="B215">
        <v>23765</v>
      </c>
      <c r="C215">
        <v>7440439</v>
      </c>
      <c r="D215" t="s">
        <v>889</v>
      </c>
      <c r="E215" t="s">
        <v>811</v>
      </c>
      <c r="F215" t="s">
        <v>245</v>
      </c>
      <c r="G215" t="s">
        <v>246</v>
      </c>
      <c r="N215" t="s">
        <v>630</v>
      </c>
      <c r="O215" t="s">
        <v>631</v>
      </c>
      <c r="P215" t="s">
        <v>249</v>
      </c>
      <c r="Q215" t="s">
        <v>250</v>
      </c>
      <c r="R215" t="s">
        <v>251</v>
      </c>
      <c r="T215" t="s">
        <v>389</v>
      </c>
      <c r="U215" t="s">
        <v>632</v>
      </c>
      <c r="V215" t="s">
        <v>633</v>
      </c>
      <c r="W215" t="s">
        <v>634</v>
      </c>
      <c r="X215" t="s">
        <v>635</v>
      </c>
      <c r="AB215" t="s">
        <v>812</v>
      </c>
      <c r="AG215" t="s">
        <v>813</v>
      </c>
      <c r="AM215" t="s">
        <v>317</v>
      </c>
      <c r="AN215" t="s">
        <v>259</v>
      </c>
      <c r="AO215" t="s">
        <v>260</v>
      </c>
      <c r="AQ215" t="s">
        <v>261</v>
      </c>
      <c r="AS215">
        <v>90</v>
      </c>
      <c r="AU215">
        <v>58</v>
      </c>
      <c r="AW215">
        <v>135</v>
      </c>
      <c r="AX215" t="s">
        <v>262</v>
      </c>
      <c r="BO215" t="s">
        <v>261</v>
      </c>
      <c r="BQ215">
        <v>0.09</v>
      </c>
      <c r="BS215">
        <v>5.8000000000000003E-2</v>
      </c>
      <c r="BU215">
        <v>0.13500000000000001</v>
      </c>
      <c r="BV215" t="s">
        <v>263</v>
      </c>
      <c r="CM215" t="s">
        <v>264</v>
      </c>
      <c r="CN215" t="s">
        <v>264</v>
      </c>
      <c r="CP215" t="s">
        <v>265</v>
      </c>
      <c r="CQ215" t="s">
        <v>890</v>
      </c>
      <c r="DB215">
        <v>4</v>
      </c>
      <c r="DG215" t="s">
        <v>267</v>
      </c>
      <c r="DI215">
        <v>96</v>
      </c>
      <c r="DN215" t="s">
        <v>268</v>
      </c>
      <c r="DR215">
        <v>136180</v>
      </c>
      <c r="DS215">
        <v>376</v>
      </c>
      <c r="DT215" t="s">
        <v>814</v>
      </c>
      <c r="EW215" t="s">
        <v>271</v>
      </c>
      <c r="FA215" t="s">
        <v>815</v>
      </c>
      <c r="FM215">
        <v>20</v>
      </c>
      <c r="FR215" t="s">
        <v>295</v>
      </c>
      <c r="GU215">
        <v>10</v>
      </c>
      <c r="GZ215" t="s">
        <v>296</v>
      </c>
      <c r="HH215" t="s">
        <v>272</v>
      </c>
      <c r="IE215" t="s">
        <v>816</v>
      </c>
      <c r="IF215">
        <v>8445</v>
      </c>
      <c r="IG215" t="s">
        <v>817</v>
      </c>
      <c r="IH215" t="s">
        <v>818</v>
      </c>
      <c r="II215">
        <v>1978</v>
      </c>
      <c r="IJ215" t="s">
        <v>819</v>
      </c>
    </row>
    <row r="216" spans="1:244" x14ac:dyDescent="0.45">
      <c r="A216">
        <v>1047484</v>
      </c>
      <c r="B216">
        <v>109990</v>
      </c>
      <c r="C216">
        <v>7440439</v>
      </c>
      <c r="D216" t="s">
        <v>889</v>
      </c>
      <c r="F216" t="s">
        <v>245</v>
      </c>
      <c r="G216" t="s">
        <v>246</v>
      </c>
      <c r="N216" t="s">
        <v>369</v>
      </c>
      <c r="O216" t="s">
        <v>370</v>
      </c>
      <c r="P216" t="s">
        <v>249</v>
      </c>
      <c r="Q216" t="s">
        <v>250</v>
      </c>
      <c r="R216" t="s">
        <v>251</v>
      </c>
      <c r="T216" t="s">
        <v>252</v>
      </c>
      <c r="U216" t="s">
        <v>371</v>
      </c>
      <c r="V216" t="s">
        <v>372</v>
      </c>
      <c r="W216" t="s">
        <v>373</v>
      </c>
      <c r="X216" t="s">
        <v>374</v>
      </c>
      <c r="Z216" t="s">
        <v>649</v>
      </c>
      <c r="AA216" t="s">
        <v>352</v>
      </c>
      <c r="AB216">
        <v>72</v>
      </c>
      <c r="AG216" t="s">
        <v>268</v>
      </c>
      <c r="AM216" t="s">
        <v>307</v>
      </c>
      <c r="AN216" t="s">
        <v>259</v>
      </c>
      <c r="AO216" t="s">
        <v>260</v>
      </c>
      <c r="AQ216" t="s">
        <v>261</v>
      </c>
      <c r="AS216">
        <v>20.5</v>
      </c>
      <c r="AX216" t="s">
        <v>262</v>
      </c>
      <c r="BO216" t="s">
        <v>261</v>
      </c>
      <c r="BQ216">
        <v>2.0500000000000001E-2</v>
      </c>
      <c r="BV216" t="s">
        <v>263</v>
      </c>
      <c r="CM216" t="s">
        <v>264</v>
      </c>
      <c r="CN216" t="s">
        <v>264</v>
      </c>
      <c r="CP216" t="s">
        <v>265</v>
      </c>
      <c r="DB216">
        <v>4</v>
      </c>
      <c r="DG216" t="s">
        <v>267</v>
      </c>
      <c r="DI216">
        <v>96</v>
      </c>
      <c r="DN216" t="s">
        <v>268</v>
      </c>
      <c r="DR216">
        <v>110441</v>
      </c>
      <c r="DS216">
        <v>142</v>
      </c>
      <c r="DT216" t="s">
        <v>1004</v>
      </c>
      <c r="EW216" t="s">
        <v>333</v>
      </c>
      <c r="FM216">
        <v>25</v>
      </c>
      <c r="FR216" t="s">
        <v>295</v>
      </c>
      <c r="GU216">
        <v>20</v>
      </c>
      <c r="GZ216" t="s">
        <v>296</v>
      </c>
      <c r="HH216" t="s">
        <v>272</v>
      </c>
      <c r="IE216" t="s">
        <v>1005</v>
      </c>
      <c r="IF216">
        <v>3008</v>
      </c>
      <c r="IG216" t="s">
        <v>1006</v>
      </c>
      <c r="IH216" t="s">
        <v>1007</v>
      </c>
      <c r="II216">
        <v>1990</v>
      </c>
      <c r="IJ216" t="s">
        <v>1008</v>
      </c>
    </row>
    <row r="217" spans="1:244" x14ac:dyDescent="0.45">
      <c r="A217">
        <v>1158545</v>
      </c>
      <c r="B217">
        <v>40879</v>
      </c>
      <c r="C217">
        <v>7440439</v>
      </c>
      <c r="D217" t="s">
        <v>889</v>
      </c>
      <c r="F217" t="s">
        <v>245</v>
      </c>
      <c r="G217" t="s">
        <v>246</v>
      </c>
      <c r="N217" t="s">
        <v>369</v>
      </c>
      <c r="O217" t="s">
        <v>370</v>
      </c>
      <c r="P217" t="s">
        <v>249</v>
      </c>
      <c r="Q217" t="s">
        <v>250</v>
      </c>
      <c r="R217" t="s">
        <v>251</v>
      </c>
      <c r="T217" t="s">
        <v>252</v>
      </c>
      <c r="U217" t="s">
        <v>371</v>
      </c>
      <c r="V217" t="s">
        <v>372</v>
      </c>
      <c r="W217" t="s">
        <v>373</v>
      </c>
      <c r="X217" t="s">
        <v>374</v>
      </c>
      <c r="Z217" t="s">
        <v>649</v>
      </c>
      <c r="AB217">
        <v>24</v>
      </c>
      <c r="AG217" t="s">
        <v>268</v>
      </c>
      <c r="AM217" t="s">
        <v>258</v>
      </c>
      <c r="AN217" t="s">
        <v>259</v>
      </c>
      <c r="AO217" t="s">
        <v>260</v>
      </c>
      <c r="AQ217" t="s">
        <v>261</v>
      </c>
      <c r="AS217">
        <v>23.54</v>
      </c>
      <c r="AU217">
        <v>17.78</v>
      </c>
      <c r="AW217">
        <v>29.78</v>
      </c>
      <c r="AX217" t="s">
        <v>262</v>
      </c>
      <c r="BO217" t="s">
        <v>261</v>
      </c>
      <c r="BQ217">
        <v>2.3539999999999998E-2</v>
      </c>
      <c r="BS217">
        <v>1.7780000000000001E-2</v>
      </c>
      <c r="BU217">
        <v>2.9780000000000001E-2</v>
      </c>
      <c r="BV217" t="s">
        <v>263</v>
      </c>
      <c r="CM217" t="s">
        <v>264</v>
      </c>
      <c r="CN217" t="s">
        <v>264</v>
      </c>
      <c r="CP217" t="s">
        <v>265</v>
      </c>
      <c r="DB217">
        <v>4</v>
      </c>
      <c r="DG217" t="s">
        <v>267</v>
      </c>
      <c r="DI217">
        <v>96</v>
      </c>
      <c r="DN217" t="s">
        <v>268</v>
      </c>
      <c r="DR217">
        <v>110441</v>
      </c>
      <c r="DS217">
        <v>142</v>
      </c>
      <c r="EW217" t="s">
        <v>293</v>
      </c>
      <c r="GA217">
        <v>25</v>
      </c>
      <c r="GF217" t="s">
        <v>572</v>
      </c>
      <c r="GG217" t="s">
        <v>278</v>
      </c>
      <c r="GH217">
        <v>60</v>
      </c>
      <c r="GM217" t="s">
        <v>900</v>
      </c>
      <c r="GW217">
        <v>25</v>
      </c>
      <c r="GY217">
        <v>26</v>
      </c>
      <c r="GZ217" t="s">
        <v>296</v>
      </c>
      <c r="HH217" t="s">
        <v>272</v>
      </c>
      <c r="IE217" t="s">
        <v>987</v>
      </c>
      <c r="IF217">
        <v>13866</v>
      </c>
      <c r="IG217" t="s">
        <v>988</v>
      </c>
      <c r="IH217" t="s">
        <v>989</v>
      </c>
      <c r="II217">
        <v>1989</v>
      </c>
      <c r="IJ217" t="s">
        <v>990</v>
      </c>
    </row>
    <row r="218" spans="1:244" x14ac:dyDescent="0.45">
      <c r="A218">
        <v>1047491</v>
      </c>
      <c r="B218">
        <v>109997</v>
      </c>
      <c r="C218">
        <v>7440439</v>
      </c>
      <c r="D218" t="s">
        <v>889</v>
      </c>
      <c r="F218" t="s">
        <v>327</v>
      </c>
      <c r="G218" t="s">
        <v>246</v>
      </c>
      <c r="N218" t="s">
        <v>369</v>
      </c>
      <c r="O218" t="s">
        <v>370</v>
      </c>
      <c r="P218" t="s">
        <v>249</v>
      </c>
      <c r="Q218" t="s">
        <v>250</v>
      </c>
      <c r="R218" t="s">
        <v>251</v>
      </c>
      <c r="T218" t="s">
        <v>252</v>
      </c>
      <c r="U218" t="s">
        <v>371</v>
      </c>
      <c r="V218" t="s">
        <v>372</v>
      </c>
      <c r="W218" t="s">
        <v>373</v>
      </c>
      <c r="X218" t="s">
        <v>374</v>
      </c>
      <c r="Z218" t="s">
        <v>649</v>
      </c>
      <c r="AA218" t="s">
        <v>352</v>
      </c>
      <c r="AB218">
        <v>24</v>
      </c>
      <c r="AG218" t="s">
        <v>268</v>
      </c>
      <c r="AM218" t="s">
        <v>317</v>
      </c>
      <c r="AN218" t="s">
        <v>259</v>
      </c>
      <c r="AO218" t="s">
        <v>260</v>
      </c>
      <c r="AQ218" t="s">
        <v>261</v>
      </c>
      <c r="AR218" t="s">
        <v>289</v>
      </c>
      <c r="AS218">
        <v>11.1</v>
      </c>
      <c r="AX218" t="s">
        <v>262</v>
      </c>
      <c r="BO218" t="s">
        <v>261</v>
      </c>
      <c r="BP218" t="s">
        <v>289</v>
      </c>
      <c r="BQ218">
        <v>1.11E-2</v>
      </c>
      <c r="BV218" t="s">
        <v>263</v>
      </c>
      <c r="CM218" t="s">
        <v>264</v>
      </c>
      <c r="CN218" t="s">
        <v>264</v>
      </c>
      <c r="CP218" t="s">
        <v>265</v>
      </c>
      <c r="DB218">
        <v>4</v>
      </c>
      <c r="DG218" t="s">
        <v>267</v>
      </c>
      <c r="DI218">
        <v>96</v>
      </c>
      <c r="DN218" t="s">
        <v>268</v>
      </c>
      <c r="DR218">
        <v>110441</v>
      </c>
      <c r="DS218">
        <v>142</v>
      </c>
      <c r="DT218" t="s">
        <v>1004</v>
      </c>
      <c r="EW218" t="s">
        <v>333</v>
      </c>
      <c r="FM218">
        <v>30</v>
      </c>
      <c r="FR218" t="s">
        <v>295</v>
      </c>
      <c r="GU218">
        <v>30</v>
      </c>
      <c r="GZ218" t="s">
        <v>296</v>
      </c>
      <c r="HH218" t="s">
        <v>272</v>
      </c>
      <c r="IE218" t="s">
        <v>1005</v>
      </c>
      <c r="IF218">
        <v>3008</v>
      </c>
      <c r="IG218" t="s">
        <v>1006</v>
      </c>
      <c r="IH218" t="s">
        <v>1007</v>
      </c>
      <c r="II218">
        <v>1990</v>
      </c>
      <c r="IJ218" t="s">
        <v>1008</v>
      </c>
    </row>
    <row r="219" spans="1:244" x14ac:dyDescent="0.45">
      <c r="A219">
        <v>1158517</v>
      </c>
      <c r="B219">
        <v>8571</v>
      </c>
      <c r="C219">
        <v>7440439</v>
      </c>
      <c r="D219" t="s">
        <v>889</v>
      </c>
      <c r="F219" t="s">
        <v>245</v>
      </c>
      <c r="G219" t="s">
        <v>246</v>
      </c>
      <c r="N219" t="s">
        <v>369</v>
      </c>
      <c r="O219" t="s">
        <v>370</v>
      </c>
      <c r="P219" t="s">
        <v>249</v>
      </c>
      <c r="Q219" t="s">
        <v>250</v>
      </c>
      <c r="R219" t="s">
        <v>251</v>
      </c>
      <c r="T219" t="s">
        <v>252</v>
      </c>
      <c r="U219" t="s">
        <v>371</v>
      </c>
      <c r="V219" t="s">
        <v>372</v>
      </c>
      <c r="W219" t="s">
        <v>373</v>
      </c>
      <c r="X219" t="s">
        <v>374</v>
      </c>
      <c r="Z219" t="s">
        <v>649</v>
      </c>
      <c r="AB219">
        <v>24</v>
      </c>
      <c r="AG219" t="s">
        <v>267</v>
      </c>
      <c r="AM219" t="s">
        <v>258</v>
      </c>
      <c r="AN219" t="s">
        <v>259</v>
      </c>
      <c r="AO219" t="s">
        <v>260</v>
      </c>
      <c r="AQ219" t="s">
        <v>261</v>
      </c>
      <c r="AS219">
        <v>94.3</v>
      </c>
      <c r="AU219">
        <v>75.319999999999993</v>
      </c>
      <c r="AW219">
        <v>153.13</v>
      </c>
      <c r="AX219" t="s">
        <v>262</v>
      </c>
      <c r="BO219" t="s">
        <v>261</v>
      </c>
      <c r="BQ219">
        <v>9.4299999999999995E-2</v>
      </c>
      <c r="BS219">
        <v>7.5319999999999998E-2</v>
      </c>
      <c r="BU219">
        <v>0.15312999999999999</v>
      </c>
      <c r="BV219" t="s">
        <v>263</v>
      </c>
      <c r="CM219" t="s">
        <v>264</v>
      </c>
      <c r="CN219" t="s">
        <v>264</v>
      </c>
      <c r="CP219" t="s">
        <v>265</v>
      </c>
      <c r="DB219">
        <v>2</v>
      </c>
      <c r="DG219" t="s">
        <v>267</v>
      </c>
      <c r="DI219">
        <v>48</v>
      </c>
      <c r="DN219" t="s">
        <v>268</v>
      </c>
      <c r="DR219">
        <v>110441</v>
      </c>
      <c r="DS219">
        <v>142</v>
      </c>
      <c r="EW219" t="s">
        <v>293</v>
      </c>
      <c r="GA219">
        <v>100</v>
      </c>
      <c r="GF219" t="s">
        <v>572</v>
      </c>
      <c r="GG219" t="s">
        <v>278</v>
      </c>
      <c r="GH219">
        <v>60</v>
      </c>
      <c r="GM219" t="s">
        <v>900</v>
      </c>
      <c r="GW219">
        <v>25</v>
      </c>
      <c r="GY219">
        <v>26</v>
      </c>
      <c r="GZ219" t="s">
        <v>296</v>
      </c>
      <c r="HH219" t="s">
        <v>272</v>
      </c>
      <c r="IE219" t="s">
        <v>987</v>
      </c>
      <c r="IF219">
        <v>13866</v>
      </c>
      <c r="IG219" t="s">
        <v>988</v>
      </c>
      <c r="IH219" t="s">
        <v>989</v>
      </c>
      <c r="II219">
        <v>1989</v>
      </c>
      <c r="IJ219" t="s">
        <v>990</v>
      </c>
    </row>
    <row r="220" spans="1:244" x14ac:dyDescent="0.45">
      <c r="A220">
        <v>1158536</v>
      </c>
      <c r="B220">
        <v>40870</v>
      </c>
      <c r="C220">
        <v>7440439</v>
      </c>
      <c r="D220" t="s">
        <v>889</v>
      </c>
      <c r="F220" t="s">
        <v>245</v>
      </c>
      <c r="G220" t="s">
        <v>246</v>
      </c>
      <c r="N220" t="s">
        <v>369</v>
      </c>
      <c r="O220" t="s">
        <v>370</v>
      </c>
      <c r="P220" t="s">
        <v>249</v>
      </c>
      <c r="Q220" t="s">
        <v>250</v>
      </c>
      <c r="R220" t="s">
        <v>251</v>
      </c>
      <c r="T220" t="s">
        <v>252</v>
      </c>
      <c r="U220" t="s">
        <v>371</v>
      </c>
      <c r="V220" t="s">
        <v>372</v>
      </c>
      <c r="W220" t="s">
        <v>373</v>
      </c>
      <c r="X220" t="s">
        <v>374</v>
      </c>
      <c r="Z220" t="s">
        <v>649</v>
      </c>
      <c r="AB220">
        <v>24</v>
      </c>
      <c r="AG220" t="s">
        <v>268</v>
      </c>
      <c r="AM220" t="s">
        <v>258</v>
      </c>
      <c r="AN220" t="s">
        <v>259</v>
      </c>
      <c r="AO220" t="s">
        <v>260</v>
      </c>
      <c r="AQ220" t="s">
        <v>261</v>
      </c>
      <c r="AS220">
        <v>42.71</v>
      </c>
      <c r="AU220">
        <v>33.28</v>
      </c>
      <c r="AW220">
        <v>53.24</v>
      </c>
      <c r="AX220" t="s">
        <v>262</v>
      </c>
      <c r="BO220" t="s">
        <v>261</v>
      </c>
      <c r="BQ220">
        <v>4.2709999999999998E-2</v>
      </c>
      <c r="BS220">
        <v>3.3279999999999997E-2</v>
      </c>
      <c r="BU220">
        <v>5.3240000000000003E-2</v>
      </c>
      <c r="BV220" t="s">
        <v>263</v>
      </c>
      <c r="CM220" t="s">
        <v>264</v>
      </c>
      <c r="CN220" t="s">
        <v>264</v>
      </c>
      <c r="CP220" t="s">
        <v>265</v>
      </c>
      <c r="DB220">
        <v>3</v>
      </c>
      <c r="DG220" t="s">
        <v>267</v>
      </c>
      <c r="DI220">
        <v>72</v>
      </c>
      <c r="DN220" t="s">
        <v>268</v>
      </c>
      <c r="DR220">
        <v>110441</v>
      </c>
      <c r="DS220">
        <v>142</v>
      </c>
      <c r="EW220" t="s">
        <v>293</v>
      </c>
      <c r="GA220">
        <v>50</v>
      </c>
      <c r="GF220" t="s">
        <v>572</v>
      </c>
      <c r="GG220" t="s">
        <v>278</v>
      </c>
      <c r="GH220">
        <v>60</v>
      </c>
      <c r="GM220" t="s">
        <v>900</v>
      </c>
      <c r="GW220">
        <v>25</v>
      </c>
      <c r="GY220">
        <v>26</v>
      </c>
      <c r="GZ220" t="s">
        <v>296</v>
      </c>
      <c r="HH220" t="s">
        <v>272</v>
      </c>
      <c r="IE220" t="s">
        <v>987</v>
      </c>
      <c r="IF220">
        <v>13866</v>
      </c>
      <c r="IG220" t="s">
        <v>988</v>
      </c>
      <c r="IH220" t="s">
        <v>989</v>
      </c>
      <c r="II220">
        <v>1989</v>
      </c>
      <c r="IJ220" t="s">
        <v>990</v>
      </c>
    </row>
    <row r="221" spans="1:244" x14ac:dyDescent="0.45">
      <c r="A221">
        <v>1158531</v>
      </c>
      <c r="B221">
        <v>40865</v>
      </c>
      <c r="C221">
        <v>7440439</v>
      </c>
      <c r="D221" t="s">
        <v>889</v>
      </c>
      <c r="F221" t="s">
        <v>245</v>
      </c>
      <c r="G221" t="s">
        <v>246</v>
      </c>
      <c r="N221" t="s">
        <v>369</v>
      </c>
      <c r="O221" t="s">
        <v>370</v>
      </c>
      <c r="P221" t="s">
        <v>249</v>
      </c>
      <c r="Q221" t="s">
        <v>250</v>
      </c>
      <c r="R221" t="s">
        <v>251</v>
      </c>
      <c r="T221" t="s">
        <v>252</v>
      </c>
      <c r="U221" t="s">
        <v>371</v>
      </c>
      <c r="V221" t="s">
        <v>372</v>
      </c>
      <c r="W221" t="s">
        <v>373</v>
      </c>
      <c r="X221" t="s">
        <v>374</v>
      </c>
      <c r="Z221" t="s">
        <v>649</v>
      </c>
      <c r="AB221">
        <v>24</v>
      </c>
      <c r="AG221" t="s">
        <v>267</v>
      </c>
      <c r="AM221" t="s">
        <v>258</v>
      </c>
      <c r="AN221" t="s">
        <v>259</v>
      </c>
      <c r="AO221" t="s">
        <v>260</v>
      </c>
      <c r="AQ221" t="s">
        <v>261</v>
      </c>
      <c r="AS221">
        <v>31.13</v>
      </c>
      <c r="AU221">
        <v>24.03</v>
      </c>
      <c r="AW221">
        <v>38.47</v>
      </c>
      <c r="AX221" t="s">
        <v>262</v>
      </c>
      <c r="BO221" t="s">
        <v>261</v>
      </c>
      <c r="BQ221">
        <v>3.1130000000000001E-2</v>
      </c>
      <c r="BS221">
        <v>2.4029999999999999E-2</v>
      </c>
      <c r="BU221">
        <v>3.8469999999999997E-2</v>
      </c>
      <c r="BV221" t="s">
        <v>263</v>
      </c>
      <c r="CM221" t="s">
        <v>264</v>
      </c>
      <c r="CN221" t="s">
        <v>264</v>
      </c>
      <c r="CP221" t="s">
        <v>265</v>
      </c>
      <c r="DB221">
        <v>2</v>
      </c>
      <c r="DG221" t="s">
        <v>267</v>
      </c>
      <c r="DI221">
        <v>48</v>
      </c>
      <c r="DN221" t="s">
        <v>268</v>
      </c>
      <c r="DR221">
        <v>110441</v>
      </c>
      <c r="DS221">
        <v>142</v>
      </c>
      <c r="EW221" t="s">
        <v>293</v>
      </c>
      <c r="GA221">
        <v>200</v>
      </c>
      <c r="GF221" t="s">
        <v>572</v>
      </c>
      <c r="GG221" t="s">
        <v>278</v>
      </c>
      <c r="GH221">
        <v>60</v>
      </c>
      <c r="GM221" t="s">
        <v>900</v>
      </c>
      <c r="GW221">
        <v>25</v>
      </c>
      <c r="GY221">
        <v>26</v>
      </c>
      <c r="GZ221" t="s">
        <v>296</v>
      </c>
      <c r="HH221" t="s">
        <v>272</v>
      </c>
      <c r="IE221" t="s">
        <v>987</v>
      </c>
      <c r="IF221">
        <v>13866</v>
      </c>
      <c r="IG221" t="s">
        <v>988</v>
      </c>
      <c r="IH221" t="s">
        <v>989</v>
      </c>
      <c r="II221">
        <v>1989</v>
      </c>
      <c r="IJ221" t="s">
        <v>990</v>
      </c>
    </row>
    <row r="222" spans="1:244" x14ac:dyDescent="0.45">
      <c r="A222">
        <v>1047486</v>
      </c>
      <c r="B222">
        <v>109992</v>
      </c>
      <c r="C222">
        <v>7440439</v>
      </c>
      <c r="D222" t="s">
        <v>889</v>
      </c>
      <c r="F222" t="s">
        <v>327</v>
      </c>
      <c r="G222" t="s">
        <v>246</v>
      </c>
      <c r="N222" t="s">
        <v>369</v>
      </c>
      <c r="O222" t="s">
        <v>370</v>
      </c>
      <c r="P222" t="s">
        <v>249</v>
      </c>
      <c r="Q222" t="s">
        <v>250</v>
      </c>
      <c r="R222" t="s">
        <v>251</v>
      </c>
      <c r="T222" t="s">
        <v>252</v>
      </c>
      <c r="U222" t="s">
        <v>371</v>
      </c>
      <c r="V222" t="s">
        <v>372</v>
      </c>
      <c r="W222" t="s">
        <v>373</v>
      </c>
      <c r="X222" t="s">
        <v>374</v>
      </c>
      <c r="Z222" t="s">
        <v>649</v>
      </c>
      <c r="AA222" t="s">
        <v>352</v>
      </c>
      <c r="AB222">
        <v>24</v>
      </c>
      <c r="AG222" t="s">
        <v>268</v>
      </c>
      <c r="AM222" t="s">
        <v>317</v>
      </c>
      <c r="AN222" t="s">
        <v>259</v>
      </c>
      <c r="AO222" t="s">
        <v>260</v>
      </c>
      <c r="AQ222" t="s">
        <v>261</v>
      </c>
      <c r="AS222">
        <v>30.9</v>
      </c>
      <c r="AU222">
        <v>24.6</v>
      </c>
      <c r="AW222">
        <v>38.6</v>
      </c>
      <c r="AX222" t="s">
        <v>262</v>
      </c>
      <c r="BO222" t="s">
        <v>261</v>
      </c>
      <c r="BQ222">
        <v>3.09E-2</v>
      </c>
      <c r="BS222">
        <v>2.46E-2</v>
      </c>
      <c r="BU222">
        <v>3.8600000000000002E-2</v>
      </c>
      <c r="BV222" t="s">
        <v>263</v>
      </c>
      <c r="CM222" t="s">
        <v>264</v>
      </c>
      <c r="CN222" t="s">
        <v>264</v>
      </c>
      <c r="CP222" t="s">
        <v>265</v>
      </c>
      <c r="DB222">
        <v>4</v>
      </c>
      <c r="DG222" t="s">
        <v>267</v>
      </c>
      <c r="DI222">
        <v>96</v>
      </c>
      <c r="DN222" t="s">
        <v>268</v>
      </c>
      <c r="DR222">
        <v>110441</v>
      </c>
      <c r="DS222">
        <v>142</v>
      </c>
      <c r="DT222" t="s">
        <v>1004</v>
      </c>
      <c r="EW222" t="s">
        <v>333</v>
      </c>
      <c r="FM222">
        <v>20</v>
      </c>
      <c r="FR222" t="s">
        <v>295</v>
      </c>
      <c r="GU222">
        <v>10</v>
      </c>
      <c r="GZ222" t="s">
        <v>296</v>
      </c>
      <c r="HH222" t="s">
        <v>272</v>
      </c>
      <c r="IE222" t="s">
        <v>1005</v>
      </c>
      <c r="IF222">
        <v>3008</v>
      </c>
      <c r="IG222" t="s">
        <v>1006</v>
      </c>
      <c r="IH222" t="s">
        <v>1007</v>
      </c>
      <c r="II222">
        <v>1990</v>
      </c>
      <c r="IJ222" t="s">
        <v>1008</v>
      </c>
    </row>
    <row r="223" spans="1:244" x14ac:dyDescent="0.45">
      <c r="A223">
        <v>1158538</v>
      </c>
      <c r="B223">
        <v>40872</v>
      </c>
      <c r="C223">
        <v>7440439</v>
      </c>
      <c r="D223" t="s">
        <v>889</v>
      </c>
      <c r="F223" t="s">
        <v>245</v>
      </c>
      <c r="G223" t="s">
        <v>246</v>
      </c>
      <c r="N223" t="s">
        <v>369</v>
      </c>
      <c r="O223" t="s">
        <v>370</v>
      </c>
      <c r="P223" t="s">
        <v>249</v>
      </c>
      <c r="Q223" t="s">
        <v>250</v>
      </c>
      <c r="R223" t="s">
        <v>251</v>
      </c>
      <c r="T223" t="s">
        <v>252</v>
      </c>
      <c r="U223" t="s">
        <v>371</v>
      </c>
      <c r="V223" t="s">
        <v>372</v>
      </c>
      <c r="W223" t="s">
        <v>373</v>
      </c>
      <c r="X223" t="s">
        <v>374</v>
      </c>
      <c r="Z223" t="s">
        <v>649</v>
      </c>
      <c r="AB223">
        <v>24</v>
      </c>
      <c r="AG223" t="s">
        <v>267</v>
      </c>
      <c r="AM223" t="s">
        <v>258</v>
      </c>
      <c r="AN223" t="s">
        <v>259</v>
      </c>
      <c r="AO223" t="s">
        <v>260</v>
      </c>
      <c r="AQ223" t="s">
        <v>261</v>
      </c>
      <c r="AS223">
        <v>42.53</v>
      </c>
      <c r="AU223">
        <v>33.69</v>
      </c>
      <c r="AW223">
        <v>51.81</v>
      </c>
      <c r="AX223" t="s">
        <v>262</v>
      </c>
      <c r="BO223" t="s">
        <v>261</v>
      </c>
      <c r="BQ223">
        <v>4.2529999999999998E-2</v>
      </c>
      <c r="BS223">
        <v>3.3689999999999998E-2</v>
      </c>
      <c r="BU223">
        <v>5.1810000000000002E-2</v>
      </c>
      <c r="BV223" t="s">
        <v>263</v>
      </c>
      <c r="CM223" t="s">
        <v>264</v>
      </c>
      <c r="CN223" t="s">
        <v>264</v>
      </c>
      <c r="CP223" t="s">
        <v>265</v>
      </c>
      <c r="DB223">
        <v>3</v>
      </c>
      <c r="DG223" t="s">
        <v>267</v>
      </c>
      <c r="DI223">
        <v>72</v>
      </c>
      <c r="DN223" t="s">
        <v>268</v>
      </c>
      <c r="DR223">
        <v>110441</v>
      </c>
      <c r="DS223">
        <v>142</v>
      </c>
      <c r="EW223" t="s">
        <v>293</v>
      </c>
      <c r="GA223">
        <v>100</v>
      </c>
      <c r="GF223" t="s">
        <v>572</v>
      </c>
      <c r="GG223" t="s">
        <v>278</v>
      </c>
      <c r="GH223">
        <v>60</v>
      </c>
      <c r="GM223" t="s">
        <v>900</v>
      </c>
      <c r="GW223">
        <v>25</v>
      </c>
      <c r="GY223">
        <v>26</v>
      </c>
      <c r="GZ223" t="s">
        <v>296</v>
      </c>
      <c r="HH223" t="s">
        <v>272</v>
      </c>
      <c r="IE223" t="s">
        <v>987</v>
      </c>
      <c r="IF223">
        <v>13866</v>
      </c>
      <c r="IG223" t="s">
        <v>988</v>
      </c>
      <c r="IH223" t="s">
        <v>989</v>
      </c>
      <c r="II223">
        <v>1989</v>
      </c>
      <c r="IJ223" t="s">
        <v>990</v>
      </c>
    </row>
    <row r="224" spans="1:244" x14ac:dyDescent="0.45">
      <c r="A224">
        <v>1192628</v>
      </c>
      <c r="B224">
        <v>146360</v>
      </c>
      <c r="C224">
        <v>7440439</v>
      </c>
      <c r="D224" t="s">
        <v>889</v>
      </c>
      <c r="F224" t="s">
        <v>245</v>
      </c>
      <c r="G224" t="s">
        <v>246</v>
      </c>
      <c r="N224" t="s">
        <v>729</v>
      </c>
      <c r="O224" t="s">
        <v>578</v>
      </c>
      <c r="P224" t="s">
        <v>249</v>
      </c>
      <c r="Q224" t="s">
        <v>250</v>
      </c>
      <c r="R224" t="s">
        <v>251</v>
      </c>
      <c r="T224" t="s">
        <v>252</v>
      </c>
      <c r="U224" t="s">
        <v>499</v>
      </c>
      <c r="V224" t="s">
        <v>730</v>
      </c>
      <c r="W224" t="s">
        <v>731</v>
      </c>
      <c r="X224" t="s">
        <v>732</v>
      </c>
      <c r="AM224" t="s">
        <v>317</v>
      </c>
      <c r="AN224" t="s">
        <v>259</v>
      </c>
      <c r="AO224" t="s">
        <v>260</v>
      </c>
      <c r="AQ224" t="s">
        <v>261</v>
      </c>
      <c r="AS224">
        <v>530</v>
      </c>
      <c r="AU224">
        <v>430</v>
      </c>
      <c r="AW224">
        <v>660</v>
      </c>
      <c r="AX224" t="s">
        <v>262</v>
      </c>
      <c r="BO224" t="s">
        <v>261</v>
      </c>
      <c r="BQ224">
        <v>0.53</v>
      </c>
      <c r="BS224">
        <v>0.43</v>
      </c>
      <c r="BU224">
        <v>0.66</v>
      </c>
      <c r="BV224" t="s">
        <v>263</v>
      </c>
      <c r="CM224" t="s">
        <v>264</v>
      </c>
      <c r="CN224" t="s">
        <v>264</v>
      </c>
      <c r="CP224" t="s">
        <v>265</v>
      </c>
      <c r="DB224">
        <v>4</v>
      </c>
      <c r="DG224" t="s">
        <v>267</v>
      </c>
      <c r="DI224">
        <v>96</v>
      </c>
      <c r="DN224" t="s">
        <v>268</v>
      </c>
      <c r="DS224">
        <v>2921</v>
      </c>
      <c r="DT224" t="s">
        <v>995</v>
      </c>
      <c r="EW224" t="s">
        <v>293</v>
      </c>
      <c r="FA224" t="s">
        <v>1042</v>
      </c>
      <c r="FM224">
        <v>15</v>
      </c>
      <c r="FR224" t="s">
        <v>295</v>
      </c>
      <c r="GG224" t="s">
        <v>288</v>
      </c>
      <c r="GH224">
        <v>6</v>
      </c>
      <c r="GM224" t="s">
        <v>356</v>
      </c>
      <c r="GO224">
        <v>8</v>
      </c>
      <c r="GU224">
        <v>30</v>
      </c>
      <c r="GZ224" t="s">
        <v>296</v>
      </c>
      <c r="HH224" t="s">
        <v>272</v>
      </c>
      <c r="IE224" t="s">
        <v>996</v>
      </c>
      <c r="IF224">
        <v>17293</v>
      </c>
      <c r="IG224" t="s">
        <v>997</v>
      </c>
      <c r="IH224" t="s">
        <v>998</v>
      </c>
      <c r="II224">
        <v>1994</v>
      </c>
      <c r="IJ224" t="s">
        <v>999</v>
      </c>
    </row>
    <row r="225" spans="1:244" x14ac:dyDescent="0.45">
      <c r="A225">
        <v>1047480</v>
      </c>
      <c r="B225">
        <v>109986</v>
      </c>
      <c r="C225">
        <v>7440439</v>
      </c>
      <c r="D225" t="s">
        <v>889</v>
      </c>
      <c r="F225" t="s">
        <v>245</v>
      </c>
      <c r="G225" t="s">
        <v>246</v>
      </c>
      <c r="N225" t="s">
        <v>369</v>
      </c>
      <c r="O225" t="s">
        <v>370</v>
      </c>
      <c r="P225" t="s">
        <v>249</v>
      </c>
      <c r="Q225" t="s">
        <v>250</v>
      </c>
      <c r="R225" t="s">
        <v>251</v>
      </c>
      <c r="T225" t="s">
        <v>252</v>
      </c>
      <c r="U225" t="s">
        <v>371</v>
      </c>
      <c r="V225" t="s">
        <v>372</v>
      </c>
      <c r="W225" t="s">
        <v>373</v>
      </c>
      <c r="X225" t="s">
        <v>374</v>
      </c>
      <c r="Z225" t="s">
        <v>649</v>
      </c>
      <c r="AA225" t="s">
        <v>352</v>
      </c>
      <c r="AB225">
        <v>72</v>
      </c>
      <c r="AG225" t="s">
        <v>268</v>
      </c>
      <c r="AM225" t="s">
        <v>307</v>
      </c>
      <c r="AN225" t="s">
        <v>259</v>
      </c>
      <c r="AO225" t="s">
        <v>260</v>
      </c>
      <c r="AQ225" t="s">
        <v>261</v>
      </c>
      <c r="AS225">
        <v>47</v>
      </c>
      <c r="AX225" t="s">
        <v>262</v>
      </c>
      <c r="BO225" t="s">
        <v>261</v>
      </c>
      <c r="BQ225">
        <v>4.7E-2</v>
      </c>
      <c r="BV225" t="s">
        <v>263</v>
      </c>
      <c r="CM225" t="s">
        <v>264</v>
      </c>
      <c r="CN225" t="s">
        <v>264</v>
      </c>
      <c r="CP225" t="s">
        <v>265</v>
      </c>
      <c r="DB225">
        <v>4</v>
      </c>
      <c r="DG225" t="s">
        <v>267</v>
      </c>
      <c r="DI225">
        <v>96</v>
      </c>
      <c r="DN225" t="s">
        <v>268</v>
      </c>
      <c r="DR225">
        <v>110441</v>
      </c>
      <c r="DS225">
        <v>142</v>
      </c>
      <c r="DT225" t="s">
        <v>1004</v>
      </c>
      <c r="EW225" t="s">
        <v>333</v>
      </c>
      <c r="FM225">
        <v>20</v>
      </c>
      <c r="FR225" t="s">
        <v>295</v>
      </c>
      <c r="GU225">
        <v>10</v>
      </c>
      <c r="GZ225" t="s">
        <v>296</v>
      </c>
      <c r="HH225" t="s">
        <v>272</v>
      </c>
      <c r="IE225" t="s">
        <v>1005</v>
      </c>
      <c r="IF225">
        <v>3008</v>
      </c>
      <c r="IG225" t="s">
        <v>1006</v>
      </c>
      <c r="IH225" t="s">
        <v>1007</v>
      </c>
      <c r="II225">
        <v>1990</v>
      </c>
      <c r="IJ225" t="s">
        <v>1008</v>
      </c>
    </row>
    <row r="226" spans="1:244" x14ac:dyDescent="0.45">
      <c r="A226">
        <v>1158544</v>
      </c>
      <c r="B226">
        <v>40878</v>
      </c>
      <c r="C226">
        <v>7440439</v>
      </c>
      <c r="D226" t="s">
        <v>889</v>
      </c>
      <c r="F226" t="s">
        <v>245</v>
      </c>
      <c r="G226" t="s">
        <v>246</v>
      </c>
      <c r="N226" t="s">
        <v>369</v>
      </c>
      <c r="O226" t="s">
        <v>370</v>
      </c>
      <c r="P226" t="s">
        <v>249</v>
      </c>
      <c r="Q226" t="s">
        <v>250</v>
      </c>
      <c r="R226" t="s">
        <v>251</v>
      </c>
      <c r="T226" t="s">
        <v>252</v>
      </c>
      <c r="U226" t="s">
        <v>371</v>
      </c>
      <c r="V226" t="s">
        <v>372</v>
      </c>
      <c r="W226" t="s">
        <v>373</v>
      </c>
      <c r="X226" t="s">
        <v>374</v>
      </c>
      <c r="Z226" t="s">
        <v>649</v>
      </c>
      <c r="AB226">
        <v>24</v>
      </c>
      <c r="AG226" t="s">
        <v>268</v>
      </c>
      <c r="AM226" t="s">
        <v>258</v>
      </c>
      <c r="AN226" t="s">
        <v>259</v>
      </c>
      <c r="AO226" t="s">
        <v>260</v>
      </c>
      <c r="AQ226" t="s">
        <v>261</v>
      </c>
      <c r="AS226">
        <v>21.68</v>
      </c>
      <c r="AU226">
        <v>16.14</v>
      </c>
      <c r="AW226">
        <v>27.37</v>
      </c>
      <c r="AX226" t="s">
        <v>262</v>
      </c>
      <c r="BO226" t="s">
        <v>261</v>
      </c>
      <c r="BQ226">
        <v>2.1680000000000001E-2</v>
      </c>
      <c r="BS226">
        <v>1.6140000000000002E-2</v>
      </c>
      <c r="BU226">
        <v>2.7369999999999998E-2</v>
      </c>
      <c r="BV226" t="s">
        <v>263</v>
      </c>
      <c r="CM226" t="s">
        <v>264</v>
      </c>
      <c r="CN226" t="s">
        <v>264</v>
      </c>
      <c r="CP226" t="s">
        <v>265</v>
      </c>
      <c r="DB226">
        <v>4</v>
      </c>
      <c r="DG226" t="s">
        <v>267</v>
      </c>
      <c r="DI226">
        <v>96</v>
      </c>
      <c r="DN226" t="s">
        <v>268</v>
      </c>
      <c r="DR226">
        <v>110441</v>
      </c>
      <c r="DS226">
        <v>142</v>
      </c>
      <c r="EW226" t="s">
        <v>293</v>
      </c>
      <c r="GA226">
        <v>25</v>
      </c>
      <c r="GF226" t="s">
        <v>572</v>
      </c>
      <c r="GG226" t="s">
        <v>278</v>
      </c>
      <c r="GH226">
        <v>60</v>
      </c>
      <c r="GM226" t="s">
        <v>900</v>
      </c>
      <c r="GW226">
        <v>25</v>
      </c>
      <c r="GY226">
        <v>26</v>
      </c>
      <c r="GZ226" t="s">
        <v>296</v>
      </c>
      <c r="HH226" t="s">
        <v>272</v>
      </c>
      <c r="IE226" t="s">
        <v>987</v>
      </c>
      <c r="IF226">
        <v>13866</v>
      </c>
      <c r="IG226" t="s">
        <v>988</v>
      </c>
      <c r="IH226" t="s">
        <v>989</v>
      </c>
      <c r="II226">
        <v>1989</v>
      </c>
      <c r="IJ226" t="s">
        <v>990</v>
      </c>
    </row>
    <row r="227" spans="1:244" x14ac:dyDescent="0.45">
      <c r="A227">
        <v>1158539</v>
      </c>
      <c r="B227">
        <v>40873</v>
      </c>
      <c r="C227">
        <v>7440439</v>
      </c>
      <c r="D227" t="s">
        <v>889</v>
      </c>
      <c r="F227" t="s">
        <v>245</v>
      </c>
      <c r="G227" t="s">
        <v>246</v>
      </c>
      <c r="N227" t="s">
        <v>369</v>
      </c>
      <c r="O227" t="s">
        <v>370</v>
      </c>
      <c r="P227" t="s">
        <v>249</v>
      </c>
      <c r="Q227" t="s">
        <v>250</v>
      </c>
      <c r="R227" t="s">
        <v>251</v>
      </c>
      <c r="T227" t="s">
        <v>252</v>
      </c>
      <c r="U227" t="s">
        <v>371</v>
      </c>
      <c r="V227" t="s">
        <v>372</v>
      </c>
      <c r="W227" t="s">
        <v>373</v>
      </c>
      <c r="X227" t="s">
        <v>374</v>
      </c>
      <c r="Z227" t="s">
        <v>649</v>
      </c>
      <c r="AB227">
        <v>24</v>
      </c>
      <c r="AG227" t="s">
        <v>267</v>
      </c>
      <c r="AM227" t="s">
        <v>258</v>
      </c>
      <c r="AN227" t="s">
        <v>259</v>
      </c>
      <c r="AO227" t="s">
        <v>260</v>
      </c>
      <c r="AQ227" t="s">
        <v>261</v>
      </c>
      <c r="AS227">
        <v>45.16</v>
      </c>
      <c r="AU227">
        <v>35.03</v>
      </c>
      <c r="AW227">
        <v>57.04</v>
      </c>
      <c r="AX227" t="s">
        <v>262</v>
      </c>
      <c r="BO227" t="s">
        <v>261</v>
      </c>
      <c r="BQ227">
        <v>4.5159999999999999E-2</v>
      </c>
      <c r="BS227">
        <v>3.5029999999999999E-2</v>
      </c>
      <c r="BU227">
        <v>5.704E-2</v>
      </c>
      <c r="BV227" t="s">
        <v>263</v>
      </c>
      <c r="CM227" t="s">
        <v>264</v>
      </c>
      <c r="CN227" t="s">
        <v>264</v>
      </c>
      <c r="CP227" t="s">
        <v>265</v>
      </c>
      <c r="DB227">
        <v>3</v>
      </c>
      <c r="DG227" t="s">
        <v>267</v>
      </c>
      <c r="DI227">
        <v>72</v>
      </c>
      <c r="DN227" t="s">
        <v>268</v>
      </c>
      <c r="DR227">
        <v>110441</v>
      </c>
      <c r="DS227">
        <v>142</v>
      </c>
      <c r="EW227" t="s">
        <v>293</v>
      </c>
      <c r="GA227">
        <v>100</v>
      </c>
      <c r="GF227" t="s">
        <v>572</v>
      </c>
      <c r="GG227" t="s">
        <v>278</v>
      </c>
      <c r="GH227">
        <v>60</v>
      </c>
      <c r="GM227" t="s">
        <v>900</v>
      </c>
      <c r="GW227">
        <v>25</v>
      </c>
      <c r="GY227">
        <v>26</v>
      </c>
      <c r="GZ227" t="s">
        <v>296</v>
      </c>
      <c r="HH227" t="s">
        <v>272</v>
      </c>
      <c r="IE227" t="s">
        <v>987</v>
      </c>
      <c r="IF227">
        <v>13866</v>
      </c>
      <c r="IG227" t="s">
        <v>988</v>
      </c>
      <c r="IH227" t="s">
        <v>989</v>
      </c>
      <c r="II227">
        <v>1989</v>
      </c>
      <c r="IJ227" t="s">
        <v>990</v>
      </c>
    </row>
    <row r="228" spans="1:244" x14ac:dyDescent="0.45">
      <c r="A228">
        <v>1111938</v>
      </c>
      <c r="B228">
        <v>23764</v>
      </c>
      <c r="C228">
        <v>7440439</v>
      </c>
      <c r="D228" t="s">
        <v>889</v>
      </c>
      <c r="F228" t="s">
        <v>245</v>
      </c>
      <c r="G228" t="s">
        <v>246</v>
      </c>
      <c r="N228" t="s">
        <v>630</v>
      </c>
      <c r="O228" t="s">
        <v>631</v>
      </c>
      <c r="P228" t="s">
        <v>249</v>
      </c>
      <c r="Q228" t="s">
        <v>250</v>
      </c>
      <c r="R228" t="s">
        <v>251</v>
      </c>
      <c r="T228" t="s">
        <v>389</v>
      </c>
      <c r="U228" t="s">
        <v>632</v>
      </c>
      <c r="V228" t="s">
        <v>633</v>
      </c>
      <c r="W228" t="s">
        <v>634</v>
      </c>
      <c r="X228" t="s">
        <v>635</v>
      </c>
      <c r="AL228" t="s">
        <v>1043</v>
      </c>
      <c r="AM228" t="s">
        <v>317</v>
      </c>
      <c r="AN228" t="s">
        <v>259</v>
      </c>
      <c r="AO228" t="s">
        <v>260</v>
      </c>
      <c r="AQ228" t="s">
        <v>261</v>
      </c>
      <c r="AS228">
        <v>337</v>
      </c>
      <c r="AU228">
        <v>184</v>
      </c>
      <c r="AW228">
        <v>530</v>
      </c>
      <c r="AX228" t="s">
        <v>262</v>
      </c>
      <c r="BO228" t="s">
        <v>261</v>
      </c>
      <c r="BQ228">
        <v>0.33700000000000002</v>
      </c>
      <c r="BS228">
        <v>0.184</v>
      </c>
      <c r="BU228">
        <v>0.53</v>
      </c>
      <c r="BV228" t="s">
        <v>263</v>
      </c>
      <c r="CM228" t="s">
        <v>264</v>
      </c>
      <c r="CN228" t="s">
        <v>264</v>
      </c>
      <c r="CP228" t="s">
        <v>265</v>
      </c>
      <c r="CQ228" t="s">
        <v>890</v>
      </c>
      <c r="DB228">
        <v>4</v>
      </c>
      <c r="DG228" t="s">
        <v>267</v>
      </c>
      <c r="DI228">
        <v>96</v>
      </c>
      <c r="DN228" t="s">
        <v>268</v>
      </c>
      <c r="DP228" t="s">
        <v>823</v>
      </c>
      <c r="DR228">
        <v>136180</v>
      </c>
      <c r="DS228">
        <v>376</v>
      </c>
      <c r="DT228" t="s">
        <v>814</v>
      </c>
      <c r="EW228" t="s">
        <v>271</v>
      </c>
      <c r="FK228" t="s">
        <v>1020</v>
      </c>
      <c r="FM228">
        <v>20</v>
      </c>
      <c r="FR228" t="s">
        <v>295</v>
      </c>
      <c r="GU228">
        <v>10</v>
      </c>
      <c r="GZ228" t="s">
        <v>296</v>
      </c>
      <c r="HH228" t="s">
        <v>272</v>
      </c>
      <c r="ID228" t="s">
        <v>1021</v>
      </c>
      <c r="IE228" t="s">
        <v>816</v>
      </c>
      <c r="IF228">
        <v>8445</v>
      </c>
      <c r="IG228" t="s">
        <v>817</v>
      </c>
      <c r="IH228" t="s">
        <v>818</v>
      </c>
      <c r="II228">
        <v>1978</v>
      </c>
      <c r="IJ228" t="s">
        <v>819</v>
      </c>
    </row>
    <row r="229" spans="1:244" x14ac:dyDescent="0.45">
      <c r="A229">
        <v>1158537</v>
      </c>
      <c r="B229">
        <v>40871</v>
      </c>
      <c r="C229">
        <v>7440439</v>
      </c>
      <c r="D229" t="s">
        <v>889</v>
      </c>
      <c r="F229" t="s">
        <v>245</v>
      </c>
      <c r="G229" t="s">
        <v>246</v>
      </c>
      <c r="N229" t="s">
        <v>369</v>
      </c>
      <c r="O229" t="s">
        <v>370</v>
      </c>
      <c r="P229" t="s">
        <v>249</v>
      </c>
      <c r="Q229" t="s">
        <v>250</v>
      </c>
      <c r="R229" t="s">
        <v>251</v>
      </c>
      <c r="T229" t="s">
        <v>252</v>
      </c>
      <c r="U229" t="s">
        <v>371</v>
      </c>
      <c r="V229" t="s">
        <v>372</v>
      </c>
      <c r="W229" t="s">
        <v>373</v>
      </c>
      <c r="X229" t="s">
        <v>374</v>
      </c>
      <c r="Z229" t="s">
        <v>649</v>
      </c>
      <c r="AB229">
        <v>24</v>
      </c>
      <c r="AG229" t="s">
        <v>268</v>
      </c>
      <c r="AM229" t="s">
        <v>258</v>
      </c>
      <c r="AN229" t="s">
        <v>259</v>
      </c>
      <c r="AO229" t="s">
        <v>260</v>
      </c>
      <c r="AQ229" t="s">
        <v>261</v>
      </c>
      <c r="AS229">
        <v>43.65</v>
      </c>
      <c r="AU229">
        <v>34.97</v>
      </c>
      <c r="AW229">
        <v>52.5</v>
      </c>
      <c r="AX229" t="s">
        <v>262</v>
      </c>
      <c r="BO229" t="s">
        <v>261</v>
      </c>
      <c r="BQ229">
        <v>4.3650000000000001E-2</v>
      </c>
      <c r="BS229">
        <v>3.4970000000000001E-2</v>
      </c>
      <c r="BU229">
        <v>5.2499999999999998E-2</v>
      </c>
      <c r="BV229" t="s">
        <v>263</v>
      </c>
      <c r="CM229" t="s">
        <v>264</v>
      </c>
      <c r="CN229" t="s">
        <v>264</v>
      </c>
      <c r="CP229" t="s">
        <v>265</v>
      </c>
      <c r="DB229">
        <v>3</v>
      </c>
      <c r="DG229" t="s">
        <v>267</v>
      </c>
      <c r="DI229">
        <v>72</v>
      </c>
      <c r="DN229" t="s">
        <v>268</v>
      </c>
      <c r="DR229">
        <v>110441</v>
      </c>
      <c r="DS229">
        <v>142</v>
      </c>
      <c r="EW229" t="s">
        <v>293</v>
      </c>
      <c r="GA229">
        <v>50</v>
      </c>
      <c r="GF229" t="s">
        <v>572</v>
      </c>
      <c r="GG229" t="s">
        <v>278</v>
      </c>
      <c r="GH229">
        <v>60</v>
      </c>
      <c r="GM229" t="s">
        <v>900</v>
      </c>
      <c r="GW229">
        <v>25</v>
      </c>
      <c r="GY229">
        <v>26</v>
      </c>
      <c r="GZ229" t="s">
        <v>296</v>
      </c>
      <c r="HH229" t="s">
        <v>272</v>
      </c>
      <c r="IE229" t="s">
        <v>987</v>
      </c>
      <c r="IF229">
        <v>13866</v>
      </c>
      <c r="IG229" t="s">
        <v>988</v>
      </c>
      <c r="IH229" t="s">
        <v>989</v>
      </c>
      <c r="II229">
        <v>1989</v>
      </c>
      <c r="IJ229" t="s">
        <v>990</v>
      </c>
    </row>
    <row r="230" spans="1:244" x14ac:dyDescent="0.45">
      <c r="A230">
        <v>1192634</v>
      </c>
      <c r="B230">
        <v>146366</v>
      </c>
      <c r="C230">
        <v>7440439</v>
      </c>
      <c r="D230" t="s">
        <v>889</v>
      </c>
      <c r="F230" t="s">
        <v>245</v>
      </c>
      <c r="G230" t="s">
        <v>246</v>
      </c>
      <c r="N230" t="s">
        <v>590</v>
      </c>
      <c r="O230" t="s">
        <v>578</v>
      </c>
      <c r="P230" t="s">
        <v>249</v>
      </c>
      <c r="Q230" t="s">
        <v>250</v>
      </c>
      <c r="R230" t="s">
        <v>251</v>
      </c>
      <c r="T230" t="s">
        <v>252</v>
      </c>
      <c r="U230" t="s">
        <v>499</v>
      </c>
      <c r="V230" t="s">
        <v>591</v>
      </c>
      <c r="W230" t="s">
        <v>592</v>
      </c>
      <c r="X230" t="s">
        <v>593</v>
      </c>
      <c r="AM230" t="s">
        <v>317</v>
      </c>
      <c r="AN230" t="s">
        <v>259</v>
      </c>
      <c r="AO230" t="s">
        <v>260</v>
      </c>
      <c r="AQ230" t="s">
        <v>261</v>
      </c>
      <c r="AS230">
        <v>1320</v>
      </c>
      <c r="AU230">
        <v>1220</v>
      </c>
      <c r="AW230">
        <v>1430</v>
      </c>
      <c r="AX230" t="s">
        <v>262</v>
      </c>
      <c r="BO230" t="s">
        <v>261</v>
      </c>
      <c r="BQ230">
        <v>1.32</v>
      </c>
      <c r="BS230">
        <v>1.22</v>
      </c>
      <c r="BU230">
        <v>1.43</v>
      </c>
      <c r="BV230" t="s">
        <v>263</v>
      </c>
      <c r="CM230" t="s">
        <v>264</v>
      </c>
      <c r="CN230" t="s">
        <v>264</v>
      </c>
      <c r="CP230" t="s">
        <v>265</v>
      </c>
      <c r="DB230">
        <v>4</v>
      </c>
      <c r="DG230" t="s">
        <v>267</v>
      </c>
      <c r="DI230">
        <v>96</v>
      </c>
      <c r="DN230" t="s">
        <v>268</v>
      </c>
      <c r="DR230">
        <v>1239313</v>
      </c>
      <c r="DS230">
        <v>4665</v>
      </c>
      <c r="DT230" t="s">
        <v>995</v>
      </c>
      <c r="EW230" t="s">
        <v>293</v>
      </c>
      <c r="FA230" t="s">
        <v>1044</v>
      </c>
      <c r="FM230">
        <v>15</v>
      </c>
      <c r="FR230" t="s">
        <v>295</v>
      </c>
      <c r="GG230" t="s">
        <v>288</v>
      </c>
      <c r="GH230">
        <v>6</v>
      </c>
      <c r="GM230" t="s">
        <v>356</v>
      </c>
      <c r="GO230">
        <v>8</v>
      </c>
      <c r="GU230">
        <v>30</v>
      </c>
      <c r="GZ230" t="s">
        <v>296</v>
      </c>
      <c r="HH230" t="s">
        <v>272</v>
      </c>
      <c r="IE230" t="s">
        <v>996</v>
      </c>
      <c r="IF230">
        <v>17293</v>
      </c>
      <c r="IG230" t="s">
        <v>997</v>
      </c>
      <c r="IH230" t="s">
        <v>998</v>
      </c>
      <c r="II230">
        <v>1994</v>
      </c>
      <c r="IJ230" t="s">
        <v>999</v>
      </c>
    </row>
    <row r="231" spans="1:244" x14ac:dyDescent="0.45">
      <c r="A231">
        <v>1047488</v>
      </c>
      <c r="B231">
        <v>109994</v>
      </c>
      <c r="C231">
        <v>7440439</v>
      </c>
      <c r="D231" t="s">
        <v>889</v>
      </c>
      <c r="F231" t="s">
        <v>327</v>
      </c>
      <c r="G231" t="s">
        <v>246</v>
      </c>
      <c r="N231" t="s">
        <v>369</v>
      </c>
      <c r="O231" t="s">
        <v>370</v>
      </c>
      <c r="P231" t="s">
        <v>249</v>
      </c>
      <c r="Q231" t="s">
        <v>250</v>
      </c>
      <c r="R231" t="s">
        <v>251</v>
      </c>
      <c r="T231" t="s">
        <v>252</v>
      </c>
      <c r="U231" t="s">
        <v>371</v>
      </c>
      <c r="V231" t="s">
        <v>372</v>
      </c>
      <c r="W231" t="s">
        <v>373</v>
      </c>
      <c r="X231" t="s">
        <v>374</v>
      </c>
      <c r="Z231" t="s">
        <v>649</v>
      </c>
      <c r="AA231" t="s">
        <v>352</v>
      </c>
      <c r="AB231">
        <v>24</v>
      </c>
      <c r="AG231" t="s">
        <v>268</v>
      </c>
      <c r="AM231" t="s">
        <v>317</v>
      </c>
      <c r="AN231" t="s">
        <v>259</v>
      </c>
      <c r="AO231" t="s">
        <v>260</v>
      </c>
      <c r="AQ231" t="s">
        <v>261</v>
      </c>
      <c r="AS231">
        <v>20.7</v>
      </c>
      <c r="AU231">
        <v>16.5</v>
      </c>
      <c r="AW231">
        <v>25.9</v>
      </c>
      <c r="AX231" t="s">
        <v>262</v>
      </c>
      <c r="BO231" t="s">
        <v>261</v>
      </c>
      <c r="BQ231">
        <v>2.07E-2</v>
      </c>
      <c r="BS231">
        <v>1.6500000000000001E-2</v>
      </c>
      <c r="BU231">
        <v>2.5899999999999999E-2</v>
      </c>
      <c r="BV231" t="s">
        <v>263</v>
      </c>
      <c r="CM231" t="s">
        <v>264</v>
      </c>
      <c r="CN231" t="s">
        <v>264</v>
      </c>
      <c r="CP231" t="s">
        <v>265</v>
      </c>
      <c r="DB231">
        <v>4</v>
      </c>
      <c r="DG231" t="s">
        <v>267</v>
      </c>
      <c r="DI231">
        <v>96</v>
      </c>
      <c r="DN231" t="s">
        <v>268</v>
      </c>
      <c r="DR231">
        <v>110441</v>
      </c>
      <c r="DS231">
        <v>142</v>
      </c>
      <c r="DT231" t="s">
        <v>1004</v>
      </c>
      <c r="EW231" t="s">
        <v>333</v>
      </c>
      <c r="FM231">
        <v>25</v>
      </c>
      <c r="FR231" t="s">
        <v>295</v>
      </c>
      <c r="GU231">
        <v>10</v>
      </c>
      <c r="GZ231" t="s">
        <v>296</v>
      </c>
      <c r="HH231" t="s">
        <v>272</v>
      </c>
      <c r="IE231" t="s">
        <v>1005</v>
      </c>
      <c r="IF231">
        <v>3008</v>
      </c>
      <c r="IG231" t="s">
        <v>1006</v>
      </c>
      <c r="IH231" t="s">
        <v>1007</v>
      </c>
      <c r="II231">
        <v>1990</v>
      </c>
      <c r="IJ231" t="s">
        <v>1008</v>
      </c>
    </row>
    <row r="232" spans="1:244" x14ac:dyDescent="0.45">
      <c r="A232">
        <v>1192629</v>
      </c>
      <c r="B232">
        <v>146361</v>
      </c>
      <c r="C232">
        <v>7440439</v>
      </c>
      <c r="D232" t="s">
        <v>889</v>
      </c>
      <c r="F232" t="s">
        <v>245</v>
      </c>
      <c r="G232" t="s">
        <v>246</v>
      </c>
      <c r="N232" t="s">
        <v>729</v>
      </c>
      <c r="O232" t="s">
        <v>578</v>
      </c>
      <c r="P232" t="s">
        <v>249</v>
      </c>
      <c r="Q232" t="s">
        <v>250</v>
      </c>
      <c r="R232" t="s">
        <v>251</v>
      </c>
      <c r="T232" t="s">
        <v>252</v>
      </c>
      <c r="U232" t="s">
        <v>499</v>
      </c>
      <c r="V232" t="s">
        <v>730</v>
      </c>
      <c r="W232" t="s">
        <v>731</v>
      </c>
      <c r="X232" t="s">
        <v>732</v>
      </c>
      <c r="AM232" t="s">
        <v>317</v>
      </c>
      <c r="AN232" t="s">
        <v>259</v>
      </c>
      <c r="AO232" t="s">
        <v>260</v>
      </c>
      <c r="AQ232" t="s">
        <v>261</v>
      </c>
      <c r="AS232">
        <v>1920</v>
      </c>
      <c r="AU232">
        <v>1470</v>
      </c>
      <c r="AW232">
        <v>2510</v>
      </c>
      <c r="AX232" t="s">
        <v>262</v>
      </c>
      <c r="BO232" t="s">
        <v>261</v>
      </c>
      <c r="BQ232">
        <v>1.92</v>
      </c>
      <c r="BS232">
        <v>1.47</v>
      </c>
      <c r="BU232">
        <v>2.5099999999999998</v>
      </c>
      <c r="BV232" t="s">
        <v>263</v>
      </c>
      <c r="CM232" t="s">
        <v>264</v>
      </c>
      <c r="CN232" t="s">
        <v>264</v>
      </c>
      <c r="CP232" t="s">
        <v>265</v>
      </c>
      <c r="DB232">
        <v>4</v>
      </c>
      <c r="DG232" t="s">
        <v>267</v>
      </c>
      <c r="DI232">
        <v>96</v>
      </c>
      <c r="DN232" t="s">
        <v>268</v>
      </c>
      <c r="DS232">
        <v>2921</v>
      </c>
      <c r="DT232" t="s">
        <v>995</v>
      </c>
      <c r="EW232" t="s">
        <v>293</v>
      </c>
      <c r="FA232" t="s">
        <v>1044</v>
      </c>
      <c r="FM232">
        <v>15</v>
      </c>
      <c r="FR232" t="s">
        <v>295</v>
      </c>
      <c r="GG232" t="s">
        <v>288</v>
      </c>
      <c r="GH232">
        <v>6</v>
      </c>
      <c r="GM232" t="s">
        <v>356</v>
      </c>
      <c r="GO232">
        <v>8</v>
      </c>
      <c r="GU232">
        <v>30</v>
      </c>
      <c r="GZ232" t="s">
        <v>296</v>
      </c>
      <c r="HH232" t="s">
        <v>272</v>
      </c>
      <c r="IE232" t="s">
        <v>996</v>
      </c>
      <c r="IF232">
        <v>17293</v>
      </c>
      <c r="IG232" t="s">
        <v>997</v>
      </c>
      <c r="IH232" t="s">
        <v>998</v>
      </c>
      <c r="II232">
        <v>1994</v>
      </c>
      <c r="IJ232" t="s">
        <v>999</v>
      </c>
    </row>
    <row r="233" spans="1:244" x14ac:dyDescent="0.45">
      <c r="A233">
        <v>1158522</v>
      </c>
      <c r="B233">
        <v>28698</v>
      </c>
      <c r="C233">
        <v>7440439</v>
      </c>
      <c r="D233" t="s">
        <v>889</v>
      </c>
      <c r="F233" t="s">
        <v>245</v>
      </c>
      <c r="G233" t="s">
        <v>246</v>
      </c>
      <c r="N233" t="s">
        <v>369</v>
      </c>
      <c r="O233" t="s">
        <v>370</v>
      </c>
      <c r="P233" t="s">
        <v>249</v>
      </c>
      <c r="Q233" t="s">
        <v>250</v>
      </c>
      <c r="R233" t="s">
        <v>251</v>
      </c>
      <c r="T233" t="s">
        <v>252</v>
      </c>
      <c r="U233" t="s">
        <v>371</v>
      </c>
      <c r="V233" t="s">
        <v>372</v>
      </c>
      <c r="W233" t="s">
        <v>373</v>
      </c>
      <c r="X233" t="s">
        <v>374</v>
      </c>
      <c r="Z233" t="s">
        <v>649</v>
      </c>
      <c r="AB233">
        <v>24</v>
      </c>
      <c r="AG233" t="s">
        <v>268</v>
      </c>
      <c r="AM233" t="s">
        <v>258</v>
      </c>
      <c r="AN233" t="s">
        <v>259</v>
      </c>
      <c r="AO233" t="s">
        <v>260</v>
      </c>
      <c r="AQ233" t="s">
        <v>261</v>
      </c>
      <c r="AS233">
        <v>52.74</v>
      </c>
      <c r="AU233">
        <v>41.82</v>
      </c>
      <c r="AW233">
        <v>66.17</v>
      </c>
      <c r="AX233" t="s">
        <v>262</v>
      </c>
      <c r="BO233" t="s">
        <v>261</v>
      </c>
      <c r="BQ233">
        <v>5.2740000000000002E-2</v>
      </c>
      <c r="BS233">
        <v>4.1820000000000003E-2</v>
      </c>
      <c r="BU233">
        <v>6.6170000000000007E-2</v>
      </c>
      <c r="BV233" t="s">
        <v>263</v>
      </c>
      <c r="CM233" t="s">
        <v>264</v>
      </c>
      <c r="CN233" t="s">
        <v>264</v>
      </c>
      <c r="CP233" t="s">
        <v>265</v>
      </c>
      <c r="DB233">
        <v>2</v>
      </c>
      <c r="DG233" t="s">
        <v>267</v>
      </c>
      <c r="DI233">
        <v>48</v>
      </c>
      <c r="DN233" t="s">
        <v>268</v>
      </c>
      <c r="DR233">
        <v>110441</v>
      </c>
      <c r="DS233">
        <v>142</v>
      </c>
      <c r="EW233" t="s">
        <v>293</v>
      </c>
      <c r="GA233">
        <v>25</v>
      </c>
      <c r="GF233" t="s">
        <v>572</v>
      </c>
      <c r="GG233" t="s">
        <v>278</v>
      </c>
      <c r="GH233">
        <v>60</v>
      </c>
      <c r="GM233" t="s">
        <v>900</v>
      </c>
      <c r="GW233">
        <v>25</v>
      </c>
      <c r="GY233">
        <v>26</v>
      </c>
      <c r="GZ233" t="s">
        <v>296</v>
      </c>
      <c r="HH233" t="s">
        <v>272</v>
      </c>
      <c r="IE233" t="s">
        <v>987</v>
      </c>
      <c r="IF233">
        <v>13866</v>
      </c>
      <c r="IG233" t="s">
        <v>988</v>
      </c>
      <c r="IH233" t="s">
        <v>989</v>
      </c>
      <c r="II233">
        <v>1989</v>
      </c>
      <c r="IJ233" t="s">
        <v>990</v>
      </c>
    </row>
    <row r="234" spans="1:244" x14ac:dyDescent="0.45">
      <c r="A234">
        <v>1047489</v>
      </c>
      <c r="B234">
        <v>109995</v>
      </c>
      <c r="C234">
        <v>7440439</v>
      </c>
      <c r="D234" t="s">
        <v>889</v>
      </c>
      <c r="F234" t="s">
        <v>327</v>
      </c>
      <c r="G234" t="s">
        <v>246</v>
      </c>
      <c r="N234" t="s">
        <v>369</v>
      </c>
      <c r="O234" t="s">
        <v>370</v>
      </c>
      <c r="P234" t="s">
        <v>249</v>
      </c>
      <c r="Q234" t="s">
        <v>250</v>
      </c>
      <c r="R234" t="s">
        <v>251</v>
      </c>
      <c r="T234" t="s">
        <v>252</v>
      </c>
      <c r="U234" t="s">
        <v>371</v>
      </c>
      <c r="V234" t="s">
        <v>372</v>
      </c>
      <c r="W234" t="s">
        <v>373</v>
      </c>
      <c r="X234" t="s">
        <v>374</v>
      </c>
      <c r="Z234" t="s">
        <v>649</v>
      </c>
      <c r="AA234" t="s">
        <v>352</v>
      </c>
      <c r="AB234">
        <v>24</v>
      </c>
      <c r="AG234" t="s">
        <v>268</v>
      </c>
      <c r="AM234" t="s">
        <v>317</v>
      </c>
      <c r="AN234" t="s">
        <v>259</v>
      </c>
      <c r="AO234" t="s">
        <v>260</v>
      </c>
      <c r="AQ234" t="s">
        <v>261</v>
      </c>
      <c r="AS234">
        <v>32.799999999999997</v>
      </c>
      <c r="AU234">
        <v>27.3</v>
      </c>
      <c r="AW234">
        <v>39.4</v>
      </c>
      <c r="AX234" t="s">
        <v>262</v>
      </c>
      <c r="BO234" t="s">
        <v>261</v>
      </c>
      <c r="BQ234">
        <v>3.2800000000000003E-2</v>
      </c>
      <c r="BS234">
        <v>2.7300000000000001E-2</v>
      </c>
      <c r="BU234">
        <v>3.9399999999999998E-2</v>
      </c>
      <c r="BV234" t="s">
        <v>263</v>
      </c>
      <c r="CM234" t="s">
        <v>264</v>
      </c>
      <c r="CN234" t="s">
        <v>264</v>
      </c>
      <c r="CP234" t="s">
        <v>265</v>
      </c>
      <c r="DB234">
        <v>4</v>
      </c>
      <c r="DG234" t="s">
        <v>267</v>
      </c>
      <c r="DI234">
        <v>96</v>
      </c>
      <c r="DN234" t="s">
        <v>268</v>
      </c>
      <c r="DR234">
        <v>110441</v>
      </c>
      <c r="DS234">
        <v>142</v>
      </c>
      <c r="DT234" t="s">
        <v>1004</v>
      </c>
      <c r="EW234" t="s">
        <v>333</v>
      </c>
      <c r="FM234">
        <v>25</v>
      </c>
      <c r="FR234" t="s">
        <v>295</v>
      </c>
      <c r="GU234">
        <v>30</v>
      </c>
      <c r="GZ234" t="s">
        <v>296</v>
      </c>
      <c r="HH234" t="s">
        <v>272</v>
      </c>
      <c r="IE234" t="s">
        <v>1005</v>
      </c>
      <c r="IF234">
        <v>3008</v>
      </c>
      <c r="IG234" t="s">
        <v>1006</v>
      </c>
      <c r="IH234" t="s">
        <v>1007</v>
      </c>
      <c r="II234">
        <v>1990</v>
      </c>
      <c r="IJ234" t="s">
        <v>1008</v>
      </c>
    </row>
    <row r="235" spans="1:244" x14ac:dyDescent="0.45">
      <c r="A235">
        <v>1047490</v>
      </c>
      <c r="B235">
        <v>109996</v>
      </c>
      <c r="C235">
        <v>7440439</v>
      </c>
      <c r="D235" t="s">
        <v>889</v>
      </c>
      <c r="F235" t="s">
        <v>327</v>
      </c>
      <c r="G235" t="s">
        <v>246</v>
      </c>
      <c r="N235" t="s">
        <v>369</v>
      </c>
      <c r="O235" t="s">
        <v>370</v>
      </c>
      <c r="P235" t="s">
        <v>249</v>
      </c>
      <c r="Q235" t="s">
        <v>250</v>
      </c>
      <c r="R235" t="s">
        <v>251</v>
      </c>
      <c r="T235" t="s">
        <v>252</v>
      </c>
      <c r="U235" t="s">
        <v>371</v>
      </c>
      <c r="V235" t="s">
        <v>372</v>
      </c>
      <c r="W235" t="s">
        <v>373</v>
      </c>
      <c r="X235" t="s">
        <v>374</v>
      </c>
      <c r="Z235" t="s">
        <v>649</v>
      </c>
      <c r="AA235" t="s">
        <v>352</v>
      </c>
      <c r="AB235">
        <v>24</v>
      </c>
      <c r="AG235" t="s">
        <v>268</v>
      </c>
      <c r="AM235" t="s">
        <v>317</v>
      </c>
      <c r="AN235" t="s">
        <v>259</v>
      </c>
      <c r="AO235" t="s">
        <v>260</v>
      </c>
      <c r="AQ235" t="s">
        <v>261</v>
      </c>
      <c r="AR235" t="s">
        <v>289</v>
      </c>
      <c r="AS235">
        <v>11.1</v>
      </c>
      <c r="AX235" t="s">
        <v>262</v>
      </c>
      <c r="BO235" t="s">
        <v>261</v>
      </c>
      <c r="BP235" t="s">
        <v>289</v>
      </c>
      <c r="BQ235">
        <v>1.11E-2</v>
      </c>
      <c r="BV235" t="s">
        <v>263</v>
      </c>
      <c r="CM235" t="s">
        <v>264</v>
      </c>
      <c r="CN235" t="s">
        <v>264</v>
      </c>
      <c r="CP235" t="s">
        <v>265</v>
      </c>
      <c r="DB235">
        <v>4</v>
      </c>
      <c r="DG235" t="s">
        <v>267</v>
      </c>
      <c r="DI235">
        <v>96</v>
      </c>
      <c r="DN235" t="s">
        <v>268</v>
      </c>
      <c r="DR235">
        <v>110441</v>
      </c>
      <c r="DS235">
        <v>142</v>
      </c>
      <c r="DT235" t="s">
        <v>1004</v>
      </c>
      <c r="EW235" t="s">
        <v>333</v>
      </c>
      <c r="FM235">
        <v>30</v>
      </c>
      <c r="FR235" t="s">
        <v>295</v>
      </c>
      <c r="GU235">
        <v>10</v>
      </c>
      <c r="GZ235" t="s">
        <v>296</v>
      </c>
      <c r="HH235" t="s">
        <v>272</v>
      </c>
      <c r="IE235" t="s">
        <v>1005</v>
      </c>
      <c r="IF235">
        <v>3008</v>
      </c>
      <c r="IG235" t="s">
        <v>1006</v>
      </c>
      <c r="IH235" t="s">
        <v>1007</v>
      </c>
      <c r="II235">
        <v>1990</v>
      </c>
      <c r="IJ235" t="s">
        <v>1008</v>
      </c>
    </row>
    <row r="236" spans="1:244" x14ac:dyDescent="0.45">
      <c r="A236">
        <v>1047483</v>
      </c>
      <c r="B236">
        <v>109989</v>
      </c>
      <c r="C236">
        <v>7440439</v>
      </c>
      <c r="D236" t="s">
        <v>889</v>
      </c>
      <c r="F236" t="s">
        <v>245</v>
      </c>
      <c r="G236" t="s">
        <v>246</v>
      </c>
      <c r="N236" t="s">
        <v>369</v>
      </c>
      <c r="O236" t="s">
        <v>370</v>
      </c>
      <c r="P236" t="s">
        <v>249</v>
      </c>
      <c r="Q236" t="s">
        <v>250</v>
      </c>
      <c r="R236" t="s">
        <v>251</v>
      </c>
      <c r="T236" t="s">
        <v>252</v>
      </c>
      <c r="U236" t="s">
        <v>371</v>
      </c>
      <c r="V236" t="s">
        <v>372</v>
      </c>
      <c r="W236" t="s">
        <v>373</v>
      </c>
      <c r="X236" t="s">
        <v>374</v>
      </c>
      <c r="Z236" t="s">
        <v>649</v>
      </c>
      <c r="AA236" t="s">
        <v>352</v>
      </c>
      <c r="AB236">
        <v>72</v>
      </c>
      <c r="AG236" t="s">
        <v>268</v>
      </c>
      <c r="AM236" t="s">
        <v>307</v>
      </c>
      <c r="AN236" t="s">
        <v>259</v>
      </c>
      <c r="AO236" t="s">
        <v>260</v>
      </c>
      <c r="AQ236" t="s">
        <v>261</v>
      </c>
      <c r="AS236">
        <v>15.5</v>
      </c>
      <c r="AX236" t="s">
        <v>262</v>
      </c>
      <c r="BO236" t="s">
        <v>261</v>
      </c>
      <c r="BQ236">
        <v>1.55E-2</v>
      </c>
      <c r="BV236" t="s">
        <v>263</v>
      </c>
      <c r="CM236" t="s">
        <v>264</v>
      </c>
      <c r="CN236" t="s">
        <v>264</v>
      </c>
      <c r="CP236" t="s">
        <v>265</v>
      </c>
      <c r="DB236">
        <v>4</v>
      </c>
      <c r="DG236" t="s">
        <v>267</v>
      </c>
      <c r="DI236">
        <v>96</v>
      </c>
      <c r="DN236" t="s">
        <v>268</v>
      </c>
      <c r="DR236">
        <v>110441</v>
      </c>
      <c r="DS236">
        <v>142</v>
      </c>
      <c r="DT236" t="s">
        <v>1004</v>
      </c>
      <c r="EW236" t="s">
        <v>333</v>
      </c>
      <c r="FM236">
        <v>25</v>
      </c>
      <c r="FR236" t="s">
        <v>295</v>
      </c>
      <c r="GU236">
        <v>10</v>
      </c>
      <c r="GZ236" t="s">
        <v>296</v>
      </c>
      <c r="HH236" t="s">
        <v>272</v>
      </c>
      <c r="IE236" t="s">
        <v>1005</v>
      </c>
      <c r="IF236">
        <v>3008</v>
      </c>
      <c r="IG236" t="s">
        <v>1006</v>
      </c>
      <c r="IH236" t="s">
        <v>1007</v>
      </c>
      <c r="II236">
        <v>1990</v>
      </c>
      <c r="IJ236" t="s">
        <v>1008</v>
      </c>
    </row>
    <row r="237" spans="1:244" x14ac:dyDescent="0.45">
      <c r="A237">
        <v>1158533</v>
      </c>
      <c r="B237">
        <v>40867</v>
      </c>
      <c r="C237">
        <v>7440439</v>
      </c>
      <c r="D237" t="s">
        <v>889</v>
      </c>
      <c r="F237" t="s">
        <v>245</v>
      </c>
      <c r="G237" t="s">
        <v>246</v>
      </c>
      <c r="N237" t="s">
        <v>369</v>
      </c>
      <c r="O237" t="s">
        <v>370</v>
      </c>
      <c r="P237" t="s">
        <v>249</v>
      </c>
      <c r="Q237" t="s">
        <v>250</v>
      </c>
      <c r="R237" t="s">
        <v>251</v>
      </c>
      <c r="T237" t="s">
        <v>252</v>
      </c>
      <c r="U237" t="s">
        <v>371</v>
      </c>
      <c r="V237" t="s">
        <v>372</v>
      </c>
      <c r="W237" t="s">
        <v>373</v>
      </c>
      <c r="X237" t="s">
        <v>374</v>
      </c>
      <c r="Z237" t="s">
        <v>649</v>
      </c>
      <c r="AB237">
        <v>24</v>
      </c>
      <c r="AG237" t="s">
        <v>268</v>
      </c>
      <c r="AM237" t="s">
        <v>258</v>
      </c>
      <c r="AN237" t="s">
        <v>259</v>
      </c>
      <c r="AO237" t="s">
        <v>260</v>
      </c>
      <c r="AQ237" t="s">
        <v>261</v>
      </c>
      <c r="AS237">
        <v>32.29</v>
      </c>
      <c r="AU237">
        <v>24.59</v>
      </c>
      <c r="AW237">
        <v>40.409999999999997</v>
      </c>
      <c r="AX237" t="s">
        <v>262</v>
      </c>
      <c r="BO237" t="s">
        <v>261</v>
      </c>
      <c r="BQ237">
        <v>3.2289999999999999E-2</v>
      </c>
      <c r="BS237">
        <v>2.4590000000000001E-2</v>
      </c>
      <c r="BU237">
        <v>4.0410000000000001E-2</v>
      </c>
      <c r="BV237" t="s">
        <v>263</v>
      </c>
      <c r="CM237" t="s">
        <v>264</v>
      </c>
      <c r="CN237" t="s">
        <v>264</v>
      </c>
      <c r="CP237" t="s">
        <v>265</v>
      </c>
      <c r="DB237">
        <v>3</v>
      </c>
      <c r="DG237" t="s">
        <v>267</v>
      </c>
      <c r="DI237">
        <v>72</v>
      </c>
      <c r="DN237" t="s">
        <v>268</v>
      </c>
      <c r="DR237">
        <v>110441</v>
      </c>
      <c r="DS237">
        <v>142</v>
      </c>
      <c r="EW237" t="s">
        <v>293</v>
      </c>
      <c r="GA237">
        <v>25</v>
      </c>
      <c r="GF237" t="s">
        <v>572</v>
      </c>
      <c r="GG237" t="s">
        <v>278</v>
      </c>
      <c r="GH237">
        <v>60</v>
      </c>
      <c r="GM237" t="s">
        <v>900</v>
      </c>
      <c r="GW237">
        <v>25</v>
      </c>
      <c r="GY237">
        <v>26</v>
      </c>
      <c r="GZ237" t="s">
        <v>296</v>
      </c>
      <c r="HH237" t="s">
        <v>272</v>
      </c>
      <c r="IE237" t="s">
        <v>987</v>
      </c>
      <c r="IF237">
        <v>13866</v>
      </c>
      <c r="IG237" t="s">
        <v>988</v>
      </c>
      <c r="IH237" t="s">
        <v>989</v>
      </c>
      <c r="II237">
        <v>1989</v>
      </c>
      <c r="IJ237" t="s">
        <v>990</v>
      </c>
    </row>
    <row r="238" spans="1:244" x14ac:dyDescent="0.45">
      <c r="A238">
        <v>1158515</v>
      </c>
      <c r="B238">
        <v>8569</v>
      </c>
      <c r="C238">
        <v>7440439</v>
      </c>
      <c r="D238" t="s">
        <v>889</v>
      </c>
      <c r="F238" t="s">
        <v>245</v>
      </c>
      <c r="G238" t="s">
        <v>246</v>
      </c>
      <c r="N238" t="s">
        <v>369</v>
      </c>
      <c r="O238" t="s">
        <v>370</v>
      </c>
      <c r="P238" t="s">
        <v>249</v>
      </c>
      <c r="Q238" t="s">
        <v>250</v>
      </c>
      <c r="R238" t="s">
        <v>251</v>
      </c>
      <c r="T238" t="s">
        <v>252</v>
      </c>
      <c r="U238" t="s">
        <v>371</v>
      </c>
      <c r="V238" t="s">
        <v>372</v>
      </c>
      <c r="W238" t="s">
        <v>373</v>
      </c>
      <c r="X238" t="s">
        <v>374</v>
      </c>
      <c r="Z238" t="s">
        <v>649</v>
      </c>
      <c r="AB238">
        <v>24</v>
      </c>
      <c r="AG238" t="s">
        <v>268</v>
      </c>
      <c r="AM238" t="s">
        <v>258</v>
      </c>
      <c r="AN238" t="s">
        <v>259</v>
      </c>
      <c r="AO238" t="s">
        <v>260</v>
      </c>
      <c r="AQ238" t="s">
        <v>261</v>
      </c>
      <c r="AS238">
        <v>99.14</v>
      </c>
      <c r="AU238">
        <v>73.34</v>
      </c>
      <c r="AW238">
        <v>195.87</v>
      </c>
      <c r="AX238" t="s">
        <v>262</v>
      </c>
      <c r="BO238" t="s">
        <v>261</v>
      </c>
      <c r="BQ238">
        <v>9.9140000000000006E-2</v>
      </c>
      <c r="BS238">
        <v>7.3340000000000002E-2</v>
      </c>
      <c r="BU238">
        <v>0.19586999999999999</v>
      </c>
      <c r="BV238" t="s">
        <v>263</v>
      </c>
      <c r="CM238" t="s">
        <v>264</v>
      </c>
      <c r="CN238" t="s">
        <v>264</v>
      </c>
      <c r="CP238" t="s">
        <v>265</v>
      </c>
      <c r="DB238">
        <v>2</v>
      </c>
      <c r="DG238" t="s">
        <v>267</v>
      </c>
      <c r="DI238">
        <v>48</v>
      </c>
      <c r="DN238" t="s">
        <v>268</v>
      </c>
      <c r="DR238">
        <v>110441</v>
      </c>
      <c r="DS238">
        <v>142</v>
      </c>
      <c r="EW238" t="s">
        <v>293</v>
      </c>
      <c r="GA238">
        <v>50</v>
      </c>
      <c r="GF238" t="s">
        <v>572</v>
      </c>
      <c r="GG238" t="s">
        <v>278</v>
      </c>
      <c r="GH238">
        <v>60</v>
      </c>
      <c r="GM238" t="s">
        <v>900</v>
      </c>
      <c r="GW238">
        <v>25</v>
      </c>
      <c r="GY238">
        <v>26</v>
      </c>
      <c r="GZ238" t="s">
        <v>296</v>
      </c>
      <c r="HH238" t="s">
        <v>272</v>
      </c>
      <c r="IE238" t="s">
        <v>987</v>
      </c>
      <c r="IF238">
        <v>13866</v>
      </c>
      <c r="IG238" t="s">
        <v>988</v>
      </c>
      <c r="IH238" t="s">
        <v>989</v>
      </c>
      <c r="II238">
        <v>1989</v>
      </c>
      <c r="IJ238" t="s">
        <v>990</v>
      </c>
    </row>
    <row r="239" spans="1:244" x14ac:dyDescent="0.45">
      <c r="A239">
        <v>1047487</v>
      </c>
      <c r="B239">
        <v>109993</v>
      </c>
      <c r="C239">
        <v>7440439</v>
      </c>
      <c r="D239" t="s">
        <v>889</v>
      </c>
      <c r="F239" t="s">
        <v>327</v>
      </c>
      <c r="G239" t="s">
        <v>246</v>
      </c>
      <c r="N239" t="s">
        <v>369</v>
      </c>
      <c r="O239" t="s">
        <v>370</v>
      </c>
      <c r="P239" t="s">
        <v>249</v>
      </c>
      <c r="Q239" t="s">
        <v>250</v>
      </c>
      <c r="R239" t="s">
        <v>251</v>
      </c>
      <c r="T239" t="s">
        <v>252</v>
      </c>
      <c r="U239" t="s">
        <v>371</v>
      </c>
      <c r="V239" t="s">
        <v>372</v>
      </c>
      <c r="W239" t="s">
        <v>373</v>
      </c>
      <c r="X239" t="s">
        <v>374</v>
      </c>
      <c r="Z239" t="s">
        <v>649</v>
      </c>
      <c r="AA239" t="s">
        <v>352</v>
      </c>
      <c r="AB239">
        <v>24</v>
      </c>
      <c r="AG239" t="s">
        <v>268</v>
      </c>
      <c r="AM239" t="s">
        <v>317</v>
      </c>
      <c r="AN239" t="s">
        <v>259</v>
      </c>
      <c r="AO239" t="s">
        <v>260</v>
      </c>
      <c r="AQ239" t="s">
        <v>261</v>
      </c>
      <c r="AS239">
        <v>82</v>
      </c>
      <c r="AU239">
        <v>74.599999999999994</v>
      </c>
      <c r="AW239">
        <v>90.2</v>
      </c>
      <c r="AX239" t="s">
        <v>262</v>
      </c>
      <c r="BO239" t="s">
        <v>261</v>
      </c>
      <c r="BQ239">
        <v>8.2000000000000003E-2</v>
      </c>
      <c r="BS239">
        <v>7.46E-2</v>
      </c>
      <c r="BU239">
        <v>9.0200000000000002E-2</v>
      </c>
      <c r="BV239" t="s">
        <v>263</v>
      </c>
      <c r="CM239" t="s">
        <v>264</v>
      </c>
      <c r="CN239" t="s">
        <v>264</v>
      </c>
      <c r="CP239" t="s">
        <v>265</v>
      </c>
      <c r="DB239">
        <v>4</v>
      </c>
      <c r="DG239" t="s">
        <v>267</v>
      </c>
      <c r="DI239">
        <v>96</v>
      </c>
      <c r="DN239" t="s">
        <v>268</v>
      </c>
      <c r="DR239">
        <v>110441</v>
      </c>
      <c r="DS239">
        <v>142</v>
      </c>
      <c r="DT239" t="s">
        <v>1004</v>
      </c>
      <c r="EW239" t="s">
        <v>333</v>
      </c>
      <c r="FM239">
        <v>20</v>
      </c>
      <c r="FR239" t="s">
        <v>295</v>
      </c>
      <c r="GU239">
        <v>30</v>
      </c>
      <c r="GZ239" t="s">
        <v>296</v>
      </c>
      <c r="HH239" t="s">
        <v>272</v>
      </c>
      <c r="IE239" t="s">
        <v>1005</v>
      </c>
      <c r="IF239">
        <v>3008</v>
      </c>
      <c r="IG239" t="s">
        <v>1006</v>
      </c>
      <c r="IH239" t="s">
        <v>1007</v>
      </c>
      <c r="II239">
        <v>1990</v>
      </c>
      <c r="IJ239" t="s">
        <v>1008</v>
      </c>
    </row>
    <row r="240" spans="1:244" x14ac:dyDescent="0.45">
      <c r="A240">
        <v>1134120</v>
      </c>
      <c r="B240">
        <v>107487</v>
      </c>
      <c r="C240">
        <v>7440439</v>
      </c>
      <c r="D240" t="s">
        <v>889</v>
      </c>
      <c r="F240" t="s">
        <v>327</v>
      </c>
      <c r="G240" t="s">
        <v>246</v>
      </c>
      <c r="N240" t="s">
        <v>829</v>
      </c>
      <c r="O240" t="s">
        <v>631</v>
      </c>
      <c r="P240" t="s">
        <v>249</v>
      </c>
      <c r="Q240" t="s">
        <v>250</v>
      </c>
      <c r="R240" t="s">
        <v>251</v>
      </c>
      <c r="T240" t="s">
        <v>389</v>
      </c>
      <c r="U240" t="s">
        <v>632</v>
      </c>
      <c r="V240" t="s">
        <v>830</v>
      </c>
      <c r="W240" t="s">
        <v>831</v>
      </c>
      <c r="X240" t="s">
        <v>832</v>
      </c>
      <c r="Z240" t="s">
        <v>1034</v>
      </c>
      <c r="AL240" t="s">
        <v>1035</v>
      </c>
      <c r="AM240" t="s">
        <v>317</v>
      </c>
      <c r="AN240" t="s">
        <v>259</v>
      </c>
      <c r="AO240" t="s">
        <v>260</v>
      </c>
      <c r="AQ240" t="s">
        <v>261</v>
      </c>
      <c r="AR240" t="s">
        <v>288</v>
      </c>
      <c r="AS240">
        <v>120</v>
      </c>
      <c r="AX240" t="s">
        <v>262</v>
      </c>
      <c r="BO240" t="s">
        <v>261</v>
      </c>
      <c r="BP240" t="s">
        <v>288</v>
      </c>
      <c r="BQ240">
        <v>0.12</v>
      </c>
      <c r="BV240" t="s">
        <v>263</v>
      </c>
      <c r="CM240" t="s">
        <v>264</v>
      </c>
      <c r="CN240" t="s">
        <v>264</v>
      </c>
      <c r="CP240" t="s">
        <v>265</v>
      </c>
      <c r="DB240">
        <v>4</v>
      </c>
      <c r="DG240" t="s">
        <v>267</v>
      </c>
      <c r="DI240">
        <v>96</v>
      </c>
      <c r="DN240" t="s">
        <v>268</v>
      </c>
      <c r="DQ240" t="s">
        <v>1036</v>
      </c>
      <c r="DR240">
        <v>88015</v>
      </c>
      <c r="DS240">
        <v>649</v>
      </c>
      <c r="DT240" t="s">
        <v>1037</v>
      </c>
      <c r="EW240" t="s">
        <v>271</v>
      </c>
      <c r="FM240">
        <v>15</v>
      </c>
      <c r="FR240" t="s">
        <v>295</v>
      </c>
      <c r="GU240">
        <v>10</v>
      </c>
      <c r="GZ240" t="s">
        <v>296</v>
      </c>
      <c r="HH240" t="s">
        <v>272</v>
      </c>
      <c r="IE240" t="s">
        <v>1038</v>
      </c>
      <c r="IF240">
        <v>10900</v>
      </c>
      <c r="IG240" t="s">
        <v>1039</v>
      </c>
      <c r="IH240" t="s">
        <v>1040</v>
      </c>
      <c r="II240">
        <v>1983</v>
      </c>
      <c r="IJ240" t="s">
        <v>1041</v>
      </c>
    </row>
    <row r="241" spans="1:244" x14ac:dyDescent="0.45">
      <c r="A241">
        <v>1047625</v>
      </c>
      <c r="B241">
        <v>129351</v>
      </c>
      <c r="C241">
        <v>7440439</v>
      </c>
      <c r="D241" t="s">
        <v>889</v>
      </c>
      <c r="F241" t="s">
        <v>245</v>
      </c>
      <c r="G241" t="s">
        <v>246</v>
      </c>
      <c r="N241" t="s">
        <v>312</v>
      </c>
      <c r="O241" t="s">
        <v>313</v>
      </c>
      <c r="P241" t="s">
        <v>249</v>
      </c>
      <c r="Q241" t="s">
        <v>250</v>
      </c>
      <c r="R241" t="s">
        <v>251</v>
      </c>
      <c r="T241" t="s">
        <v>252</v>
      </c>
      <c r="U241" t="s">
        <v>253</v>
      </c>
      <c r="V241" t="s">
        <v>304</v>
      </c>
      <c r="W241" t="s">
        <v>305</v>
      </c>
      <c r="X241" t="s">
        <v>314</v>
      </c>
      <c r="Z241" t="s">
        <v>284</v>
      </c>
      <c r="AB241">
        <v>12</v>
      </c>
      <c r="AG241" t="s">
        <v>268</v>
      </c>
      <c r="AM241" t="s">
        <v>258</v>
      </c>
      <c r="AN241" t="s">
        <v>259</v>
      </c>
      <c r="AO241" t="s">
        <v>260</v>
      </c>
      <c r="AQ241" t="s">
        <v>504</v>
      </c>
      <c r="AS241">
        <v>1.1000000000000001</v>
      </c>
      <c r="AX241" t="s">
        <v>262</v>
      </c>
      <c r="BO241" t="s">
        <v>504</v>
      </c>
      <c r="BQ241">
        <v>1.1000000000000001E-3</v>
      </c>
      <c r="BV241" t="s">
        <v>263</v>
      </c>
      <c r="CM241" t="s">
        <v>264</v>
      </c>
      <c r="CN241" t="s">
        <v>264</v>
      </c>
      <c r="CO241" t="s">
        <v>939</v>
      </c>
      <c r="CP241" t="s">
        <v>265</v>
      </c>
      <c r="DB241">
        <v>4</v>
      </c>
      <c r="DG241" t="s">
        <v>267</v>
      </c>
      <c r="DI241">
        <v>96</v>
      </c>
      <c r="DN241" t="s">
        <v>268</v>
      </c>
      <c r="DR241">
        <v>221654</v>
      </c>
      <c r="DS241">
        <v>65263</v>
      </c>
      <c r="EW241" t="s">
        <v>333</v>
      </c>
      <c r="FM241">
        <v>30</v>
      </c>
      <c r="FR241" t="s">
        <v>295</v>
      </c>
      <c r="GO241">
        <v>7.6</v>
      </c>
      <c r="GU241">
        <v>20</v>
      </c>
      <c r="GZ241" t="s">
        <v>296</v>
      </c>
      <c r="HH241" t="s">
        <v>272</v>
      </c>
      <c r="IE241" t="s">
        <v>940</v>
      </c>
      <c r="IF241">
        <v>3035</v>
      </c>
      <c r="IG241" t="s">
        <v>941</v>
      </c>
      <c r="IH241" t="s">
        <v>942</v>
      </c>
      <c r="II241">
        <v>1988</v>
      </c>
      <c r="IJ241" t="s">
        <v>943</v>
      </c>
    </row>
    <row r="242" spans="1:244" x14ac:dyDescent="0.45">
      <c r="A242">
        <v>1158534</v>
      </c>
      <c r="B242">
        <v>40868</v>
      </c>
      <c r="C242">
        <v>7440439</v>
      </c>
      <c r="D242" t="s">
        <v>889</v>
      </c>
      <c r="F242" t="s">
        <v>245</v>
      </c>
      <c r="G242" t="s">
        <v>246</v>
      </c>
      <c r="N242" t="s">
        <v>369</v>
      </c>
      <c r="O242" t="s">
        <v>370</v>
      </c>
      <c r="P242" t="s">
        <v>249</v>
      </c>
      <c r="Q242" t="s">
        <v>250</v>
      </c>
      <c r="R242" t="s">
        <v>251</v>
      </c>
      <c r="T242" t="s">
        <v>252</v>
      </c>
      <c r="U242" t="s">
        <v>371</v>
      </c>
      <c r="V242" t="s">
        <v>372</v>
      </c>
      <c r="W242" t="s">
        <v>373</v>
      </c>
      <c r="X242" t="s">
        <v>374</v>
      </c>
      <c r="Z242" t="s">
        <v>649</v>
      </c>
      <c r="AB242">
        <v>24</v>
      </c>
      <c r="AG242" t="s">
        <v>268</v>
      </c>
      <c r="AM242" t="s">
        <v>258</v>
      </c>
      <c r="AN242" t="s">
        <v>259</v>
      </c>
      <c r="AO242" t="s">
        <v>260</v>
      </c>
      <c r="AQ242" t="s">
        <v>261</v>
      </c>
      <c r="AS242">
        <v>33.19</v>
      </c>
      <c r="AU242">
        <v>25.26</v>
      </c>
      <c r="AW242">
        <v>41.6</v>
      </c>
      <c r="AX242" t="s">
        <v>262</v>
      </c>
      <c r="BO242" t="s">
        <v>261</v>
      </c>
      <c r="BQ242">
        <v>3.3189999999999997E-2</v>
      </c>
      <c r="BS242">
        <v>2.5260000000000001E-2</v>
      </c>
      <c r="BU242">
        <v>4.1599999999999998E-2</v>
      </c>
      <c r="BV242" t="s">
        <v>263</v>
      </c>
      <c r="CM242" t="s">
        <v>264</v>
      </c>
      <c r="CN242" t="s">
        <v>264</v>
      </c>
      <c r="CP242" t="s">
        <v>265</v>
      </c>
      <c r="DB242">
        <v>3</v>
      </c>
      <c r="DG242" t="s">
        <v>267</v>
      </c>
      <c r="DI242">
        <v>72</v>
      </c>
      <c r="DN242" t="s">
        <v>268</v>
      </c>
      <c r="DR242">
        <v>110441</v>
      </c>
      <c r="DS242">
        <v>142</v>
      </c>
      <c r="EW242" t="s">
        <v>293</v>
      </c>
      <c r="GA242">
        <v>25</v>
      </c>
      <c r="GF242" t="s">
        <v>572</v>
      </c>
      <c r="GG242" t="s">
        <v>278</v>
      </c>
      <c r="GH242">
        <v>60</v>
      </c>
      <c r="GM242" t="s">
        <v>900</v>
      </c>
      <c r="GW242">
        <v>25</v>
      </c>
      <c r="GY242">
        <v>26</v>
      </c>
      <c r="GZ242" t="s">
        <v>296</v>
      </c>
      <c r="HH242" t="s">
        <v>272</v>
      </c>
      <c r="IE242" t="s">
        <v>987</v>
      </c>
      <c r="IF242">
        <v>13866</v>
      </c>
      <c r="IG242" t="s">
        <v>988</v>
      </c>
      <c r="IH242" t="s">
        <v>989</v>
      </c>
      <c r="II242">
        <v>1989</v>
      </c>
      <c r="IJ242" t="s">
        <v>990</v>
      </c>
    </row>
    <row r="243" spans="1:244" x14ac:dyDescent="0.45">
      <c r="A243">
        <v>1134121</v>
      </c>
      <c r="B243">
        <v>107488</v>
      </c>
      <c r="C243">
        <v>7440439</v>
      </c>
      <c r="D243" t="s">
        <v>889</v>
      </c>
      <c r="F243" t="s">
        <v>327</v>
      </c>
      <c r="G243" t="s">
        <v>246</v>
      </c>
      <c r="N243" t="s">
        <v>829</v>
      </c>
      <c r="O243" t="s">
        <v>631</v>
      </c>
      <c r="P243" t="s">
        <v>249</v>
      </c>
      <c r="Q243" t="s">
        <v>250</v>
      </c>
      <c r="R243" t="s">
        <v>251</v>
      </c>
      <c r="T243" t="s">
        <v>389</v>
      </c>
      <c r="U243" t="s">
        <v>632</v>
      </c>
      <c r="V243" t="s">
        <v>830</v>
      </c>
      <c r="W243" t="s">
        <v>831</v>
      </c>
      <c r="X243" t="s">
        <v>832</v>
      </c>
      <c r="Z243" t="s">
        <v>1034</v>
      </c>
      <c r="AL243" t="s">
        <v>1035</v>
      </c>
      <c r="AM243" t="s">
        <v>317</v>
      </c>
      <c r="AN243" t="s">
        <v>259</v>
      </c>
      <c r="AO243" t="s">
        <v>260</v>
      </c>
      <c r="AQ243" t="s">
        <v>261</v>
      </c>
      <c r="AR243" t="s">
        <v>288</v>
      </c>
      <c r="AS243">
        <v>140</v>
      </c>
      <c r="AX243" t="s">
        <v>262</v>
      </c>
      <c r="BO243" t="s">
        <v>261</v>
      </c>
      <c r="BP243" t="s">
        <v>288</v>
      </c>
      <c r="BQ243">
        <v>0.14000000000000001</v>
      </c>
      <c r="BV243" t="s">
        <v>263</v>
      </c>
      <c r="CM243" t="s">
        <v>264</v>
      </c>
      <c r="CN243" t="s">
        <v>264</v>
      </c>
      <c r="CP243" t="s">
        <v>265</v>
      </c>
      <c r="DB243">
        <v>4</v>
      </c>
      <c r="DG243" t="s">
        <v>267</v>
      </c>
      <c r="DI243">
        <v>96</v>
      </c>
      <c r="DN243" t="s">
        <v>268</v>
      </c>
      <c r="DQ243" t="s">
        <v>1036</v>
      </c>
      <c r="DR243">
        <v>88015</v>
      </c>
      <c r="DS243">
        <v>649</v>
      </c>
      <c r="DT243" t="s">
        <v>1037</v>
      </c>
      <c r="EW243" t="s">
        <v>271</v>
      </c>
      <c r="FM243">
        <v>15</v>
      </c>
      <c r="FR243" t="s">
        <v>295</v>
      </c>
      <c r="GU243">
        <v>10</v>
      </c>
      <c r="GZ243" t="s">
        <v>296</v>
      </c>
      <c r="HH243" t="s">
        <v>272</v>
      </c>
      <c r="IE243" t="s">
        <v>1038</v>
      </c>
      <c r="IF243">
        <v>10900</v>
      </c>
      <c r="IG243" t="s">
        <v>1039</v>
      </c>
      <c r="IH243" t="s">
        <v>1040</v>
      </c>
      <c r="II243">
        <v>1983</v>
      </c>
      <c r="IJ243" t="s">
        <v>1041</v>
      </c>
    </row>
    <row r="244" spans="1:244" x14ac:dyDescent="0.45">
      <c r="A244">
        <v>1165676</v>
      </c>
      <c r="B244">
        <v>71525</v>
      </c>
      <c r="C244">
        <v>7440473</v>
      </c>
      <c r="D244" t="s">
        <v>1045</v>
      </c>
      <c r="F244" t="s">
        <v>245</v>
      </c>
      <c r="G244" t="s">
        <v>246</v>
      </c>
      <c r="N244" t="s">
        <v>416</v>
      </c>
      <c r="O244" t="s">
        <v>417</v>
      </c>
      <c r="P244" t="s">
        <v>249</v>
      </c>
      <c r="Q244" t="s">
        <v>250</v>
      </c>
      <c r="R244" t="s">
        <v>251</v>
      </c>
      <c r="T244" t="s">
        <v>252</v>
      </c>
      <c r="U244" t="s">
        <v>253</v>
      </c>
      <c r="V244" t="s">
        <v>418</v>
      </c>
      <c r="W244" t="s">
        <v>419</v>
      </c>
      <c r="X244" t="s">
        <v>420</v>
      </c>
      <c r="AL244" t="s">
        <v>697</v>
      </c>
      <c r="AM244" t="s">
        <v>287</v>
      </c>
      <c r="AN244" t="s">
        <v>259</v>
      </c>
      <c r="AO244" t="s">
        <v>260</v>
      </c>
      <c r="AQ244" t="s">
        <v>261</v>
      </c>
      <c r="AS244">
        <v>3500</v>
      </c>
      <c r="AX244" t="s">
        <v>262</v>
      </c>
      <c r="BO244" t="s">
        <v>261</v>
      </c>
      <c r="BQ244">
        <v>3.5</v>
      </c>
      <c r="BV244" t="s">
        <v>263</v>
      </c>
      <c r="CM244" t="s">
        <v>264</v>
      </c>
      <c r="CN244" t="s">
        <v>264</v>
      </c>
      <c r="CP244" t="s">
        <v>265</v>
      </c>
      <c r="DB244">
        <v>1</v>
      </c>
      <c r="DG244" t="s">
        <v>267</v>
      </c>
      <c r="DI244">
        <v>24</v>
      </c>
      <c r="DN244" t="s">
        <v>268</v>
      </c>
      <c r="DS244">
        <v>1009</v>
      </c>
      <c r="EW244" t="s">
        <v>272</v>
      </c>
      <c r="HH244" t="s">
        <v>272</v>
      </c>
      <c r="IE244" t="s">
        <v>686</v>
      </c>
      <c r="IF244">
        <v>14577</v>
      </c>
      <c r="IG244" t="s">
        <v>687</v>
      </c>
      <c r="IH244" t="s">
        <v>688</v>
      </c>
      <c r="II244">
        <v>1993</v>
      </c>
      <c r="IJ244" t="s">
        <v>689</v>
      </c>
    </row>
    <row r="245" spans="1:244" x14ac:dyDescent="0.45">
      <c r="A245">
        <v>1165671</v>
      </c>
      <c r="B245">
        <v>71520</v>
      </c>
      <c r="C245">
        <v>7440473</v>
      </c>
      <c r="D245" t="s">
        <v>1045</v>
      </c>
      <c r="F245" t="s">
        <v>245</v>
      </c>
      <c r="G245" t="s">
        <v>246</v>
      </c>
      <c r="N245" t="s">
        <v>452</v>
      </c>
      <c r="O245" t="s">
        <v>346</v>
      </c>
      <c r="P245" t="s">
        <v>249</v>
      </c>
      <c r="Q245" t="s">
        <v>250</v>
      </c>
      <c r="R245" t="s">
        <v>251</v>
      </c>
      <c r="T245" t="s">
        <v>347</v>
      </c>
      <c r="U245" t="s">
        <v>348</v>
      </c>
      <c r="V245" t="s">
        <v>349</v>
      </c>
      <c r="W245" t="s">
        <v>350</v>
      </c>
      <c r="X245" t="s">
        <v>453</v>
      </c>
      <c r="AM245" t="s">
        <v>287</v>
      </c>
      <c r="AN245" t="s">
        <v>259</v>
      </c>
      <c r="AO245" t="s">
        <v>260</v>
      </c>
      <c r="AQ245" t="s">
        <v>261</v>
      </c>
      <c r="AS245">
        <v>3540</v>
      </c>
      <c r="AX245" t="s">
        <v>262</v>
      </c>
      <c r="BO245" t="s">
        <v>261</v>
      </c>
      <c r="BQ245">
        <v>3.54</v>
      </c>
      <c r="BV245" t="s">
        <v>263</v>
      </c>
      <c r="CM245" t="s">
        <v>264</v>
      </c>
      <c r="CN245" t="s">
        <v>264</v>
      </c>
      <c r="CP245" t="s">
        <v>265</v>
      </c>
      <c r="DB245">
        <v>2</v>
      </c>
      <c r="DG245" t="s">
        <v>267</v>
      </c>
      <c r="DI245">
        <v>48</v>
      </c>
      <c r="DN245" t="s">
        <v>268</v>
      </c>
      <c r="DR245">
        <v>85549</v>
      </c>
      <c r="DS245">
        <v>366</v>
      </c>
      <c r="EW245" t="s">
        <v>272</v>
      </c>
      <c r="HH245" t="s">
        <v>272</v>
      </c>
      <c r="IE245" t="s">
        <v>686</v>
      </c>
      <c r="IF245">
        <v>14577</v>
      </c>
      <c r="IG245" t="s">
        <v>687</v>
      </c>
      <c r="IH245" t="s">
        <v>688</v>
      </c>
      <c r="II245">
        <v>1993</v>
      </c>
      <c r="IJ245" t="s">
        <v>689</v>
      </c>
    </row>
    <row r="246" spans="1:244" x14ac:dyDescent="0.45">
      <c r="A246">
        <v>2140916</v>
      </c>
      <c r="B246">
        <v>2264447</v>
      </c>
      <c r="C246">
        <v>7440473</v>
      </c>
      <c r="D246" t="s">
        <v>1045</v>
      </c>
      <c r="F246" t="s">
        <v>245</v>
      </c>
      <c r="G246" t="s">
        <v>272</v>
      </c>
      <c r="N246" t="s">
        <v>452</v>
      </c>
      <c r="O246" t="s">
        <v>346</v>
      </c>
      <c r="P246" t="s">
        <v>249</v>
      </c>
      <c r="Q246" t="s">
        <v>250</v>
      </c>
      <c r="R246" t="s">
        <v>251</v>
      </c>
      <c r="T246" t="s">
        <v>347</v>
      </c>
      <c r="U246" t="s">
        <v>348</v>
      </c>
      <c r="V246" t="s">
        <v>349</v>
      </c>
      <c r="W246" t="s">
        <v>350</v>
      </c>
      <c r="X246" t="s">
        <v>453</v>
      </c>
      <c r="Z246" t="s">
        <v>315</v>
      </c>
      <c r="AH246" t="s">
        <v>753</v>
      </c>
      <c r="AJ246" t="s">
        <v>354</v>
      </c>
      <c r="AL246" t="s">
        <v>753</v>
      </c>
      <c r="AM246" t="s">
        <v>287</v>
      </c>
      <c r="AN246" t="s">
        <v>259</v>
      </c>
      <c r="AO246" t="s">
        <v>260</v>
      </c>
      <c r="AP246">
        <v>11</v>
      </c>
      <c r="AQ246" t="s">
        <v>261</v>
      </c>
      <c r="AS246">
        <v>0.41299999999999998</v>
      </c>
      <c r="AU246">
        <v>0.09</v>
      </c>
      <c r="AW246">
        <v>0.68799999999999994</v>
      </c>
      <c r="AX246" t="s">
        <v>422</v>
      </c>
      <c r="BO246" t="s">
        <v>261</v>
      </c>
      <c r="BQ246">
        <v>0.41299999999999998</v>
      </c>
      <c r="BS246">
        <v>0.09</v>
      </c>
      <c r="BU246">
        <v>0.68799999999999994</v>
      </c>
      <c r="BV246" t="s">
        <v>263</v>
      </c>
      <c r="CM246" t="s">
        <v>264</v>
      </c>
      <c r="CN246" t="s">
        <v>264</v>
      </c>
      <c r="CP246" t="s">
        <v>265</v>
      </c>
      <c r="CQ246" t="s">
        <v>538</v>
      </c>
      <c r="DB246">
        <v>4</v>
      </c>
      <c r="DG246" t="s">
        <v>267</v>
      </c>
      <c r="DI246">
        <v>96</v>
      </c>
      <c r="DN246" t="s">
        <v>268</v>
      </c>
      <c r="DR246">
        <v>85549</v>
      </c>
      <c r="DS246">
        <v>366</v>
      </c>
      <c r="DT246" t="s">
        <v>754</v>
      </c>
      <c r="DV246">
        <v>96</v>
      </c>
      <c r="EA246" t="s">
        <v>268</v>
      </c>
      <c r="EC246">
        <v>4</v>
      </c>
      <c r="EH246" t="s">
        <v>267</v>
      </c>
      <c r="EJ246">
        <v>96</v>
      </c>
      <c r="EO246" t="s">
        <v>268</v>
      </c>
      <c r="EQ246">
        <v>4</v>
      </c>
      <c r="EV246" t="s">
        <v>267</v>
      </c>
      <c r="EW246" t="s">
        <v>293</v>
      </c>
      <c r="EY246" t="s">
        <v>377</v>
      </c>
      <c r="FA246" t="s">
        <v>755</v>
      </c>
      <c r="FK246" t="s">
        <v>756</v>
      </c>
      <c r="FM246">
        <v>28</v>
      </c>
      <c r="FR246" t="s">
        <v>295</v>
      </c>
      <c r="GI246" t="s">
        <v>288</v>
      </c>
      <c r="GJ246">
        <v>0</v>
      </c>
      <c r="GK246" t="s">
        <v>289</v>
      </c>
      <c r="GL246">
        <v>10</v>
      </c>
      <c r="GM246" t="s">
        <v>356</v>
      </c>
      <c r="GO246">
        <v>7.5</v>
      </c>
      <c r="GU246">
        <v>60</v>
      </c>
      <c r="GZ246" t="s">
        <v>296</v>
      </c>
      <c r="HH246" t="s">
        <v>272</v>
      </c>
      <c r="ID246" t="s">
        <v>757</v>
      </c>
      <c r="IE246" t="s">
        <v>758</v>
      </c>
      <c r="IF246">
        <v>165375</v>
      </c>
      <c r="IG246" t="s">
        <v>759</v>
      </c>
      <c r="IH246" t="s">
        <v>760</v>
      </c>
      <c r="II246">
        <v>2012</v>
      </c>
      <c r="IJ246" t="s">
        <v>761</v>
      </c>
    </row>
    <row r="247" spans="1:244" x14ac:dyDescent="0.45">
      <c r="A247">
        <v>1119402</v>
      </c>
      <c r="B247">
        <v>70697</v>
      </c>
      <c r="C247">
        <v>7440473</v>
      </c>
      <c r="D247" t="s">
        <v>1045</v>
      </c>
      <c r="F247" t="s">
        <v>245</v>
      </c>
      <c r="G247" t="s">
        <v>246</v>
      </c>
      <c r="N247" t="s">
        <v>546</v>
      </c>
      <c r="O247" t="s">
        <v>547</v>
      </c>
      <c r="P247" t="s">
        <v>249</v>
      </c>
      <c r="Q247" t="s">
        <v>250</v>
      </c>
      <c r="R247" t="s">
        <v>251</v>
      </c>
      <c r="T247" t="s">
        <v>252</v>
      </c>
      <c r="U247" t="s">
        <v>253</v>
      </c>
      <c r="V247" t="s">
        <v>548</v>
      </c>
      <c r="W247" t="s">
        <v>549</v>
      </c>
      <c r="X247" t="s">
        <v>550</v>
      </c>
      <c r="AM247" t="s">
        <v>317</v>
      </c>
      <c r="AN247" t="s">
        <v>259</v>
      </c>
      <c r="AO247" t="s">
        <v>260</v>
      </c>
      <c r="AQ247" t="s">
        <v>261</v>
      </c>
      <c r="AS247">
        <v>100000</v>
      </c>
      <c r="AX247" t="s">
        <v>262</v>
      </c>
      <c r="BO247" t="s">
        <v>261</v>
      </c>
      <c r="BQ247">
        <v>100</v>
      </c>
      <c r="BV247" t="s">
        <v>263</v>
      </c>
      <c r="CM247" t="s">
        <v>264</v>
      </c>
      <c r="CN247" t="s">
        <v>264</v>
      </c>
      <c r="CP247" t="s">
        <v>265</v>
      </c>
      <c r="CQ247" t="s">
        <v>538</v>
      </c>
      <c r="DB247">
        <v>2</v>
      </c>
      <c r="DG247" t="s">
        <v>267</v>
      </c>
      <c r="DI247">
        <v>48</v>
      </c>
      <c r="DN247" t="s">
        <v>268</v>
      </c>
      <c r="DR247">
        <v>491138</v>
      </c>
      <c r="DS247">
        <v>11</v>
      </c>
      <c r="EW247" t="s">
        <v>293</v>
      </c>
      <c r="FM247">
        <v>15</v>
      </c>
      <c r="FR247" t="s">
        <v>295</v>
      </c>
      <c r="HH247" t="s">
        <v>272</v>
      </c>
      <c r="IE247" t="s">
        <v>774</v>
      </c>
      <c r="IF247">
        <v>9258</v>
      </c>
      <c r="IG247" t="s">
        <v>786</v>
      </c>
      <c r="IH247" t="s">
        <v>787</v>
      </c>
      <c r="II247">
        <v>1972</v>
      </c>
      <c r="IJ247" t="s">
        <v>788</v>
      </c>
    </row>
    <row r="248" spans="1:244" x14ac:dyDescent="0.45">
      <c r="A248">
        <v>2140917</v>
      </c>
      <c r="B248">
        <v>2264448</v>
      </c>
      <c r="C248">
        <v>7440473</v>
      </c>
      <c r="D248" t="s">
        <v>1045</v>
      </c>
      <c r="F248" t="s">
        <v>245</v>
      </c>
      <c r="G248" t="s">
        <v>272</v>
      </c>
      <c r="N248" t="s">
        <v>452</v>
      </c>
      <c r="O248" t="s">
        <v>346</v>
      </c>
      <c r="P248" t="s">
        <v>249</v>
      </c>
      <c r="Q248" t="s">
        <v>250</v>
      </c>
      <c r="R248" t="s">
        <v>251</v>
      </c>
      <c r="T248" t="s">
        <v>347</v>
      </c>
      <c r="U248" t="s">
        <v>348</v>
      </c>
      <c r="V248" t="s">
        <v>349</v>
      </c>
      <c r="W248" t="s">
        <v>350</v>
      </c>
      <c r="X248" t="s">
        <v>453</v>
      </c>
      <c r="Z248" t="s">
        <v>315</v>
      </c>
      <c r="AH248" t="s">
        <v>753</v>
      </c>
      <c r="AJ248" t="s">
        <v>354</v>
      </c>
      <c r="AL248" t="s">
        <v>753</v>
      </c>
      <c r="AM248" t="s">
        <v>287</v>
      </c>
      <c r="AN248" t="s">
        <v>259</v>
      </c>
      <c r="AO248" t="s">
        <v>260</v>
      </c>
      <c r="AP248">
        <v>11</v>
      </c>
      <c r="AQ248" t="s">
        <v>261</v>
      </c>
      <c r="AS248">
        <v>0.88700000000000001</v>
      </c>
      <c r="AU248">
        <v>0.66400000000000003</v>
      </c>
      <c r="AW248">
        <v>1.0900000000000001</v>
      </c>
      <c r="AX248" t="s">
        <v>422</v>
      </c>
      <c r="BO248" t="s">
        <v>261</v>
      </c>
      <c r="BQ248">
        <v>0.88700000000000001</v>
      </c>
      <c r="BS248">
        <v>0.66400000000000003</v>
      </c>
      <c r="BU248">
        <v>1.0900000000000001</v>
      </c>
      <c r="BV248" t="s">
        <v>263</v>
      </c>
      <c r="CM248" t="s">
        <v>264</v>
      </c>
      <c r="CN248" t="s">
        <v>264</v>
      </c>
      <c r="CP248" t="s">
        <v>265</v>
      </c>
      <c r="CQ248" t="s">
        <v>538</v>
      </c>
      <c r="DB248">
        <v>4</v>
      </c>
      <c r="DG248" t="s">
        <v>267</v>
      </c>
      <c r="DI248">
        <v>96</v>
      </c>
      <c r="DN248" t="s">
        <v>268</v>
      </c>
      <c r="DR248">
        <v>85549</v>
      </c>
      <c r="DS248">
        <v>366</v>
      </c>
      <c r="DT248" t="s">
        <v>754</v>
      </c>
      <c r="DV248">
        <v>96</v>
      </c>
      <c r="EA248" t="s">
        <v>268</v>
      </c>
      <c r="EC248">
        <v>4</v>
      </c>
      <c r="EH248" t="s">
        <v>267</v>
      </c>
      <c r="EJ248">
        <v>96</v>
      </c>
      <c r="EO248" t="s">
        <v>268</v>
      </c>
      <c r="EQ248">
        <v>4</v>
      </c>
      <c r="EV248" t="s">
        <v>267</v>
      </c>
      <c r="EW248" t="s">
        <v>293</v>
      </c>
      <c r="EY248" t="s">
        <v>377</v>
      </c>
      <c r="FA248" t="s">
        <v>755</v>
      </c>
      <c r="FK248" t="s">
        <v>756</v>
      </c>
      <c r="FM248">
        <v>28</v>
      </c>
      <c r="FR248" t="s">
        <v>295</v>
      </c>
      <c r="GI248" t="s">
        <v>288</v>
      </c>
      <c r="GJ248">
        <v>0</v>
      </c>
      <c r="GK248" t="s">
        <v>289</v>
      </c>
      <c r="GL248">
        <v>10</v>
      </c>
      <c r="GM248" t="s">
        <v>356</v>
      </c>
      <c r="GO248">
        <v>7.5</v>
      </c>
      <c r="GU248">
        <v>80</v>
      </c>
      <c r="GZ248" t="s">
        <v>296</v>
      </c>
      <c r="HH248" t="s">
        <v>272</v>
      </c>
      <c r="ID248" t="s">
        <v>757</v>
      </c>
      <c r="IE248" t="s">
        <v>758</v>
      </c>
      <c r="IF248">
        <v>165375</v>
      </c>
      <c r="IG248" t="s">
        <v>759</v>
      </c>
      <c r="IH248" t="s">
        <v>760</v>
      </c>
      <c r="II248">
        <v>2012</v>
      </c>
      <c r="IJ248" t="s">
        <v>761</v>
      </c>
    </row>
    <row r="249" spans="1:244" x14ac:dyDescent="0.45">
      <c r="A249">
        <v>1165670</v>
      </c>
      <c r="B249">
        <v>71519</v>
      </c>
      <c r="C249">
        <v>7440473</v>
      </c>
      <c r="D249" t="s">
        <v>1045</v>
      </c>
      <c r="F249" t="s">
        <v>245</v>
      </c>
      <c r="G249" t="s">
        <v>246</v>
      </c>
      <c r="N249" t="s">
        <v>452</v>
      </c>
      <c r="O249" t="s">
        <v>346</v>
      </c>
      <c r="P249" t="s">
        <v>249</v>
      </c>
      <c r="Q249" t="s">
        <v>250</v>
      </c>
      <c r="R249" t="s">
        <v>251</v>
      </c>
      <c r="T249" t="s">
        <v>347</v>
      </c>
      <c r="U249" t="s">
        <v>348</v>
      </c>
      <c r="V249" t="s">
        <v>349</v>
      </c>
      <c r="W249" t="s">
        <v>350</v>
      </c>
      <c r="X249" t="s">
        <v>453</v>
      </c>
      <c r="AM249" t="s">
        <v>287</v>
      </c>
      <c r="AN249" t="s">
        <v>259</v>
      </c>
      <c r="AO249" t="s">
        <v>260</v>
      </c>
      <c r="AQ249" t="s">
        <v>261</v>
      </c>
      <c r="AS249">
        <v>5300</v>
      </c>
      <c r="AX249" t="s">
        <v>262</v>
      </c>
      <c r="BO249" t="s">
        <v>261</v>
      </c>
      <c r="BQ249">
        <v>5.3</v>
      </c>
      <c r="BV249" t="s">
        <v>263</v>
      </c>
      <c r="CM249" t="s">
        <v>264</v>
      </c>
      <c r="CN249" t="s">
        <v>264</v>
      </c>
      <c r="CP249" t="s">
        <v>265</v>
      </c>
      <c r="DB249">
        <v>1</v>
      </c>
      <c r="DG249" t="s">
        <v>267</v>
      </c>
      <c r="DI249">
        <v>24</v>
      </c>
      <c r="DN249" t="s">
        <v>268</v>
      </c>
      <c r="DR249">
        <v>85549</v>
      </c>
      <c r="DS249">
        <v>366</v>
      </c>
      <c r="EW249" t="s">
        <v>272</v>
      </c>
      <c r="HH249" t="s">
        <v>272</v>
      </c>
      <c r="IE249" t="s">
        <v>686</v>
      </c>
      <c r="IF249">
        <v>14577</v>
      </c>
      <c r="IG249" t="s">
        <v>687</v>
      </c>
      <c r="IH249" t="s">
        <v>688</v>
      </c>
      <c r="II249">
        <v>1993</v>
      </c>
      <c r="IJ249" t="s">
        <v>689</v>
      </c>
    </row>
    <row r="250" spans="1:244" x14ac:dyDescent="0.45">
      <c r="A250">
        <v>2140912</v>
      </c>
      <c r="B250">
        <v>2264443</v>
      </c>
      <c r="C250">
        <v>7440473</v>
      </c>
      <c r="D250" t="s">
        <v>1045</v>
      </c>
      <c r="F250" t="s">
        <v>245</v>
      </c>
      <c r="G250" t="s">
        <v>272</v>
      </c>
      <c r="N250" t="s">
        <v>452</v>
      </c>
      <c r="O250" t="s">
        <v>346</v>
      </c>
      <c r="P250" t="s">
        <v>249</v>
      </c>
      <c r="Q250" t="s">
        <v>250</v>
      </c>
      <c r="R250" t="s">
        <v>251</v>
      </c>
      <c r="T250" t="s">
        <v>347</v>
      </c>
      <c r="U250" t="s">
        <v>348</v>
      </c>
      <c r="V250" t="s">
        <v>349</v>
      </c>
      <c r="W250" t="s">
        <v>350</v>
      </c>
      <c r="X250" t="s">
        <v>453</v>
      </c>
      <c r="Z250" t="s">
        <v>767</v>
      </c>
      <c r="AH250" t="s">
        <v>753</v>
      </c>
      <c r="AJ250" t="s">
        <v>354</v>
      </c>
      <c r="AL250" t="s">
        <v>753</v>
      </c>
      <c r="AM250" t="s">
        <v>287</v>
      </c>
      <c r="AN250" t="s">
        <v>259</v>
      </c>
      <c r="AO250" t="s">
        <v>260</v>
      </c>
      <c r="AP250">
        <v>11</v>
      </c>
      <c r="AQ250" t="s">
        <v>261</v>
      </c>
      <c r="AS250">
        <v>0.51900000000000002</v>
      </c>
      <c r="AU250">
        <v>0.38</v>
      </c>
      <c r="AW250">
        <v>0.64500000000000002</v>
      </c>
      <c r="AX250" t="s">
        <v>422</v>
      </c>
      <c r="BO250" t="s">
        <v>261</v>
      </c>
      <c r="BQ250">
        <v>0.51900000000000002</v>
      </c>
      <c r="BS250">
        <v>0.38</v>
      </c>
      <c r="BU250">
        <v>0.64500000000000002</v>
      </c>
      <c r="BV250" t="s">
        <v>263</v>
      </c>
      <c r="CM250" t="s">
        <v>264</v>
      </c>
      <c r="CN250" t="s">
        <v>264</v>
      </c>
      <c r="CP250" t="s">
        <v>265</v>
      </c>
      <c r="CQ250" t="s">
        <v>538</v>
      </c>
      <c r="DB250">
        <v>4</v>
      </c>
      <c r="DG250" t="s">
        <v>267</v>
      </c>
      <c r="DI250">
        <v>96</v>
      </c>
      <c r="DN250" t="s">
        <v>268</v>
      </c>
      <c r="DR250">
        <v>85549</v>
      </c>
      <c r="DS250">
        <v>366</v>
      </c>
      <c r="DT250" t="s">
        <v>754</v>
      </c>
      <c r="DV250">
        <v>96</v>
      </c>
      <c r="EA250" t="s">
        <v>268</v>
      </c>
      <c r="EC250">
        <v>4</v>
      </c>
      <c r="EH250" t="s">
        <v>267</v>
      </c>
      <c r="EJ250">
        <v>96</v>
      </c>
      <c r="EO250" t="s">
        <v>268</v>
      </c>
      <c r="EQ250">
        <v>4</v>
      </c>
      <c r="EV250" t="s">
        <v>267</v>
      </c>
      <c r="EW250" t="s">
        <v>293</v>
      </c>
      <c r="EY250" t="s">
        <v>377</v>
      </c>
      <c r="FA250" t="s">
        <v>755</v>
      </c>
      <c r="FK250" t="s">
        <v>756</v>
      </c>
      <c r="FM250">
        <v>28</v>
      </c>
      <c r="FR250" t="s">
        <v>295</v>
      </c>
      <c r="GI250" t="s">
        <v>288</v>
      </c>
      <c r="GJ250">
        <v>0</v>
      </c>
      <c r="GK250" t="s">
        <v>289</v>
      </c>
      <c r="GL250">
        <v>10</v>
      </c>
      <c r="GM250" t="s">
        <v>356</v>
      </c>
      <c r="GO250">
        <v>7.5</v>
      </c>
      <c r="GU250">
        <v>40</v>
      </c>
      <c r="GZ250" t="s">
        <v>296</v>
      </c>
      <c r="HH250" t="s">
        <v>272</v>
      </c>
      <c r="ID250" t="s">
        <v>757</v>
      </c>
      <c r="IE250" t="s">
        <v>758</v>
      </c>
      <c r="IF250">
        <v>165375</v>
      </c>
      <c r="IG250" t="s">
        <v>759</v>
      </c>
      <c r="IH250" t="s">
        <v>760</v>
      </c>
      <c r="II250">
        <v>2012</v>
      </c>
      <c r="IJ250" t="s">
        <v>761</v>
      </c>
    </row>
    <row r="251" spans="1:244" x14ac:dyDescent="0.45">
      <c r="A251">
        <v>2140915</v>
      </c>
      <c r="B251">
        <v>2264446</v>
      </c>
      <c r="C251">
        <v>7440473</v>
      </c>
      <c r="D251" t="s">
        <v>1045</v>
      </c>
      <c r="F251" t="s">
        <v>245</v>
      </c>
      <c r="G251" t="s">
        <v>272</v>
      </c>
      <c r="N251" t="s">
        <v>452</v>
      </c>
      <c r="O251" t="s">
        <v>346</v>
      </c>
      <c r="P251" t="s">
        <v>249</v>
      </c>
      <c r="Q251" t="s">
        <v>250</v>
      </c>
      <c r="R251" t="s">
        <v>251</v>
      </c>
      <c r="T251" t="s">
        <v>347</v>
      </c>
      <c r="U251" t="s">
        <v>348</v>
      </c>
      <c r="V251" t="s">
        <v>349</v>
      </c>
      <c r="W251" t="s">
        <v>350</v>
      </c>
      <c r="X251" t="s">
        <v>453</v>
      </c>
      <c r="Z251" t="s">
        <v>315</v>
      </c>
      <c r="AH251" t="s">
        <v>753</v>
      </c>
      <c r="AJ251" t="s">
        <v>354</v>
      </c>
      <c r="AL251" t="s">
        <v>753</v>
      </c>
      <c r="AM251" t="s">
        <v>287</v>
      </c>
      <c r="AN251" t="s">
        <v>259</v>
      </c>
      <c r="AO251" t="s">
        <v>260</v>
      </c>
      <c r="AP251">
        <v>11</v>
      </c>
      <c r="AQ251" t="s">
        <v>261</v>
      </c>
      <c r="AS251">
        <v>1.0309999999999999</v>
      </c>
      <c r="AU251">
        <v>0.86899999999999999</v>
      </c>
      <c r="AW251">
        <v>1.1830000000000001</v>
      </c>
      <c r="AX251" t="s">
        <v>422</v>
      </c>
      <c r="BO251" t="s">
        <v>261</v>
      </c>
      <c r="BQ251">
        <v>1.0309999999999999</v>
      </c>
      <c r="BS251">
        <v>0.86899999999999999</v>
      </c>
      <c r="BU251">
        <v>1.1830000000000001</v>
      </c>
      <c r="BV251" t="s">
        <v>263</v>
      </c>
      <c r="CM251" t="s">
        <v>264</v>
      </c>
      <c r="CN251" t="s">
        <v>264</v>
      </c>
      <c r="CP251" t="s">
        <v>265</v>
      </c>
      <c r="CQ251" t="s">
        <v>538</v>
      </c>
      <c r="DB251">
        <v>4</v>
      </c>
      <c r="DG251" t="s">
        <v>267</v>
      </c>
      <c r="DI251">
        <v>96</v>
      </c>
      <c r="DN251" t="s">
        <v>268</v>
      </c>
      <c r="DR251">
        <v>85549</v>
      </c>
      <c r="DS251">
        <v>366</v>
      </c>
      <c r="DT251" t="s">
        <v>754</v>
      </c>
      <c r="DV251">
        <v>96</v>
      </c>
      <c r="EA251" t="s">
        <v>268</v>
      </c>
      <c r="EC251">
        <v>4</v>
      </c>
      <c r="EH251" t="s">
        <v>267</v>
      </c>
      <c r="EJ251">
        <v>96</v>
      </c>
      <c r="EO251" t="s">
        <v>268</v>
      </c>
      <c r="EQ251">
        <v>4</v>
      </c>
      <c r="EV251" t="s">
        <v>267</v>
      </c>
      <c r="EW251" t="s">
        <v>293</v>
      </c>
      <c r="EY251" t="s">
        <v>377</v>
      </c>
      <c r="FA251" t="s">
        <v>755</v>
      </c>
      <c r="FK251" t="s">
        <v>756</v>
      </c>
      <c r="FM251">
        <v>28</v>
      </c>
      <c r="FR251" t="s">
        <v>295</v>
      </c>
      <c r="GI251" t="s">
        <v>288</v>
      </c>
      <c r="GJ251">
        <v>0</v>
      </c>
      <c r="GK251" t="s">
        <v>289</v>
      </c>
      <c r="GL251">
        <v>10</v>
      </c>
      <c r="GM251" t="s">
        <v>356</v>
      </c>
      <c r="GO251">
        <v>7.5</v>
      </c>
      <c r="GU251">
        <v>40</v>
      </c>
      <c r="GZ251" t="s">
        <v>296</v>
      </c>
      <c r="HH251" t="s">
        <v>272</v>
      </c>
      <c r="ID251" t="s">
        <v>757</v>
      </c>
      <c r="IE251" t="s">
        <v>758</v>
      </c>
      <c r="IF251">
        <v>165375</v>
      </c>
      <c r="IG251" t="s">
        <v>759</v>
      </c>
      <c r="IH251" t="s">
        <v>760</v>
      </c>
      <c r="II251">
        <v>2012</v>
      </c>
      <c r="IJ251" t="s">
        <v>761</v>
      </c>
    </row>
    <row r="252" spans="1:244" x14ac:dyDescent="0.45">
      <c r="A252">
        <v>2140913</v>
      </c>
      <c r="B252">
        <v>2264444</v>
      </c>
      <c r="C252">
        <v>7440473</v>
      </c>
      <c r="D252" t="s">
        <v>1045</v>
      </c>
      <c r="F252" t="s">
        <v>245</v>
      </c>
      <c r="G252" t="s">
        <v>272</v>
      </c>
      <c r="N252" t="s">
        <v>452</v>
      </c>
      <c r="O252" t="s">
        <v>346</v>
      </c>
      <c r="P252" t="s">
        <v>249</v>
      </c>
      <c r="Q252" t="s">
        <v>250</v>
      </c>
      <c r="R252" t="s">
        <v>251</v>
      </c>
      <c r="T252" t="s">
        <v>347</v>
      </c>
      <c r="U252" t="s">
        <v>348</v>
      </c>
      <c r="V252" t="s">
        <v>349</v>
      </c>
      <c r="W252" t="s">
        <v>350</v>
      </c>
      <c r="X252" t="s">
        <v>453</v>
      </c>
      <c r="Z252" t="s">
        <v>767</v>
      </c>
      <c r="AH252" t="s">
        <v>753</v>
      </c>
      <c r="AJ252" t="s">
        <v>354</v>
      </c>
      <c r="AL252" t="s">
        <v>753</v>
      </c>
      <c r="AM252" t="s">
        <v>287</v>
      </c>
      <c r="AN252" t="s">
        <v>259</v>
      </c>
      <c r="AO252" t="s">
        <v>260</v>
      </c>
      <c r="AP252">
        <v>11</v>
      </c>
      <c r="AQ252" t="s">
        <v>261</v>
      </c>
      <c r="AS252">
        <v>0.748</v>
      </c>
      <c r="AU252">
        <v>0.628</v>
      </c>
      <c r="AW252">
        <v>0.88400000000000001</v>
      </c>
      <c r="AX252" t="s">
        <v>422</v>
      </c>
      <c r="BO252" t="s">
        <v>261</v>
      </c>
      <c r="BQ252">
        <v>0.748</v>
      </c>
      <c r="BS252">
        <v>0.628</v>
      </c>
      <c r="BU252">
        <v>0.88400000000000001</v>
      </c>
      <c r="BV252" t="s">
        <v>263</v>
      </c>
      <c r="CM252" t="s">
        <v>264</v>
      </c>
      <c r="CN252" t="s">
        <v>264</v>
      </c>
      <c r="CP252" t="s">
        <v>265</v>
      </c>
      <c r="CQ252" t="s">
        <v>538</v>
      </c>
      <c r="DB252">
        <v>4</v>
      </c>
      <c r="DG252" t="s">
        <v>267</v>
      </c>
      <c r="DI252">
        <v>96</v>
      </c>
      <c r="DN252" t="s">
        <v>268</v>
      </c>
      <c r="DR252">
        <v>85549</v>
      </c>
      <c r="DS252">
        <v>366</v>
      </c>
      <c r="DT252" t="s">
        <v>754</v>
      </c>
      <c r="DV252">
        <v>96</v>
      </c>
      <c r="EA252" t="s">
        <v>268</v>
      </c>
      <c r="EC252">
        <v>4</v>
      </c>
      <c r="EH252" t="s">
        <v>267</v>
      </c>
      <c r="EJ252">
        <v>96</v>
      </c>
      <c r="EO252" t="s">
        <v>268</v>
      </c>
      <c r="EQ252">
        <v>4</v>
      </c>
      <c r="EV252" t="s">
        <v>267</v>
      </c>
      <c r="EW252" t="s">
        <v>293</v>
      </c>
      <c r="EY252" t="s">
        <v>377</v>
      </c>
      <c r="FA252" t="s">
        <v>755</v>
      </c>
      <c r="FK252" t="s">
        <v>756</v>
      </c>
      <c r="FM252">
        <v>28</v>
      </c>
      <c r="FR252" t="s">
        <v>295</v>
      </c>
      <c r="GI252" t="s">
        <v>288</v>
      </c>
      <c r="GJ252">
        <v>0</v>
      </c>
      <c r="GK252" t="s">
        <v>289</v>
      </c>
      <c r="GL252">
        <v>10</v>
      </c>
      <c r="GM252" t="s">
        <v>356</v>
      </c>
      <c r="GO252">
        <v>7.5</v>
      </c>
      <c r="GU252">
        <v>60</v>
      </c>
      <c r="GZ252" t="s">
        <v>296</v>
      </c>
      <c r="HH252" t="s">
        <v>272</v>
      </c>
      <c r="ID252" t="s">
        <v>757</v>
      </c>
      <c r="IE252" t="s">
        <v>758</v>
      </c>
      <c r="IF252">
        <v>165375</v>
      </c>
      <c r="IG252" t="s">
        <v>759</v>
      </c>
      <c r="IH252" t="s">
        <v>760</v>
      </c>
      <c r="II252">
        <v>2012</v>
      </c>
      <c r="IJ252" t="s">
        <v>761</v>
      </c>
    </row>
    <row r="253" spans="1:244" x14ac:dyDescent="0.45">
      <c r="A253">
        <v>1165677</v>
      </c>
      <c r="B253">
        <v>71526</v>
      </c>
      <c r="C253">
        <v>7440473</v>
      </c>
      <c r="D253" t="s">
        <v>1045</v>
      </c>
      <c r="F253" t="s">
        <v>245</v>
      </c>
      <c r="G253" t="s">
        <v>246</v>
      </c>
      <c r="N253" t="s">
        <v>416</v>
      </c>
      <c r="O253" t="s">
        <v>417</v>
      </c>
      <c r="P253" t="s">
        <v>249</v>
      </c>
      <c r="Q253" t="s">
        <v>250</v>
      </c>
      <c r="R253" t="s">
        <v>251</v>
      </c>
      <c r="T253" t="s">
        <v>252</v>
      </c>
      <c r="U253" t="s">
        <v>253</v>
      </c>
      <c r="V253" t="s">
        <v>418</v>
      </c>
      <c r="W253" t="s">
        <v>419</v>
      </c>
      <c r="X253" t="s">
        <v>420</v>
      </c>
      <c r="AL253" t="s">
        <v>697</v>
      </c>
      <c r="AM253" t="s">
        <v>287</v>
      </c>
      <c r="AN253" t="s">
        <v>259</v>
      </c>
      <c r="AO253" t="s">
        <v>260</v>
      </c>
      <c r="AQ253" t="s">
        <v>261</v>
      </c>
      <c r="AS253">
        <v>1010</v>
      </c>
      <c r="AX253" t="s">
        <v>262</v>
      </c>
      <c r="BO253" t="s">
        <v>261</v>
      </c>
      <c r="BQ253">
        <v>1.01</v>
      </c>
      <c r="BV253" t="s">
        <v>263</v>
      </c>
      <c r="CM253" t="s">
        <v>264</v>
      </c>
      <c r="CN253" t="s">
        <v>264</v>
      </c>
      <c r="CP253" t="s">
        <v>265</v>
      </c>
      <c r="DB253">
        <v>2</v>
      </c>
      <c r="DG253" t="s">
        <v>267</v>
      </c>
      <c r="DI253">
        <v>48</v>
      </c>
      <c r="DN253" t="s">
        <v>268</v>
      </c>
      <c r="DS253">
        <v>1009</v>
      </c>
      <c r="EW253" t="s">
        <v>272</v>
      </c>
      <c r="HH253" t="s">
        <v>272</v>
      </c>
      <c r="IE253" t="s">
        <v>686</v>
      </c>
      <c r="IF253">
        <v>14577</v>
      </c>
      <c r="IG253" t="s">
        <v>687</v>
      </c>
      <c r="IH253" t="s">
        <v>688</v>
      </c>
      <c r="II253">
        <v>1993</v>
      </c>
      <c r="IJ253" t="s">
        <v>689</v>
      </c>
    </row>
    <row r="254" spans="1:244" x14ac:dyDescent="0.45">
      <c r="A254">
        <v>1054945</v>
      </c>
      <c r="B254">
        <v>220832</v>
      </c>
      <c r="C254">
        <v>7440473</v>
      </c>
      <c r="D254" t="s">
        <v>1045</v>
      </c>
      <c r="F254" t="s">
        <v>245</v>
      </c>
      <c r="G254" t="s">
        <v>246</v>
      </c>
      <c r="N254" t="s">
        <v>798</v>
      </c>
      <c r="O254" t="s">
        <v>631</v>
      </c>
      <c r="P254" t="s">
        <v>249</v>
      </c>
      <c r="Q254" t="s">
        <v>250</v>
      </c>
      <c r="R254" t="s">
        <v>251</v>
      </c>
      <c r="T254" t="s">
        <v>389</v>
      </c>
      <c r="U254" t="s">
        <v>632</v>
      </c>
      <c r="V254" t="s">
        <v>799</v>
      </c>
      <c r="W254" t="s">
        <v>800</v>
      </c>
      <c r="X254" t="s">
        <v>801</v>
      </c>
      <c r="AM254" t="s">
        <v>287</v>
      </c>
      <c r="AN254" t="s">
        <v>259</v>
      </c>
      <c r="AO254" t="s">
        <v>260</v>
      </c>
      <c r="AQ254" t="s">
        <v>261</v>
      </c>
      <c r="AS254">
        <v>3650</v>
      </c>
      <c r="AU254">
        <v>1290</v>
      </c>
      <c r="AW254">
        <v>6250</v>
      </c>
      <c r="AX254" t="s">
        <v>262</v>
      </c>
      <c r="BO254" t="s">
        <v>261</v>
      </c>
      <c r="BQ254">
        <v>3.65</v>
      </c>
      <c r="BS254">
        <v>1.29</v>
      </c>
      <c r="BU254">
        <v>6.25</v>
      </c>
      <c r="BV254" t="s">
        <v>263</v>
      </c>
      <c r="CM254" t="s">
        <v>264</v>
      </c>
      <c r="CN254" t="s">
        <v>264</v>
      </c>
      <c r="CP254" t="s">
        <v>265</v>
      </c>
      <c r="CQ254" t="s">
        <v>538</v>
      </c>
      <c r="DB254">
        <v>4</v>
      </c>
      <c r="DG254" t="s">
        <v>267</v>
      </c>
      <c r="DI254">
        <v>96</v>
      </c>
      <c r="DN254" t="s">
        <v>268</v>
      </c>
      <c r="DR254">
        <v>163476</v>
      </c>
      <c r="DS254">
        <v>740</v>
      </c>
      <c r="EW254" t="s">
        <v>293</v>
      </c>
      <c r="FM254">
        <v>20</v>
      </c>
      <c r="FR254" t="s">
        <v>295</v>
      </c>
      <c r="GU254">
        <v>30</v>
      </c>
      <c r="GZ254" t="s">
        <v>296</v>
      </c>
      <c r="HH254" t="s">
        <v>272</v>
      </c>
      <c r="IE254" t="s">
        <v>725</v>
      </c>
      <c r="IF254">
        <v>3825</v>
      </c>
      <c r="IG254" t="s">
        <v>726</v>
      </c>
      <c r="IH254" t="s">
        <v>727</v>
      </c>
      <c r="II254">
        <v>1985</v>
      </c>
      <c r="IJ254" t="s">
        <v>728</v>
      </c>
    </row>
    <row r="255" spans="1:244" x14ac:dyDescent="0.45">
      <c r="A255">
        <v>2140914</v>
      </c>
      <c r="B255">
        <v>2264445</v>
      </c>
      <c r="C255">
        <v>7440473</v>
      </c>
      <c r="D255" t="s">
        <v>1045</v>
      </c>
      <c r="F255" t="s">
        <v>245</v>
      </c>
      <c r="G255" t="s">
        <v>272</v>
      </c>
      <c r="N255" t="s">
        <v>452</v>
      </c>
      <c r="O255" t="s">
        <v>346</v>
      </c>
      <c r="P255" t="s">
        <v>249</v>
      </c>
      <c r="Q255" t="s">
        <v>250</v>
      </c>
      <c r="R255" t="s">
        <v>251</v>
      </c>
      <c r="T255" t="s">
        <v>347</v>
      </c>
      <c r="U255" t="s">
        <v>348</v>
      </c>
      <c r="V255" t="s">
        <v>349</v>
      </c>
      <c r="W255" t="s">
        <v>350</v>
      </c>
      <c r="X255" t="s">
        <v>453</v>
      </c>
      <c r="Z255" t="s">
        <v>767</v>
      </c>
      <c r="AH255" t="s">
        <v>753</v>
      </c>
      <c r="AJ255" t="s">
        <v>354</v>
      </c>
      <c r="AL255" t="s">
        <v>753</v>
      </c>
      <c r="AM255" t="s">
        <v>287</v>
      </c>
      <c r="AN255" t="s">
        <v>259</v>
      </c>
      <c r="AO255" t="s">
        <v>260</v>
      </c>
      <c r="AP255">
        <v>11</v>
      </c>
      <c r="AQ255" t="s">
        <v>261</v>
      </c>
      <c r="AS255">
        <v>1.1919999999999999</v>
      </c>
      <c r="AU255">
        <v>0.80600000000000005</v>
      </c>
      <c r="AW255">
        <v>1.629</v>
      </c>
      <c r="AX255" t="s">
        <v>422</v>
      </c>
      <c r="BO255" t="s">
        <v>261</v>
      </c>
      <c r="BQ255">
        <v>1.1919999999999999</v>
      </c>
      <c r="BS255">
        <v>0.80600000000000005</v>
      </c>
      <c r="BU255">
        <v>1.629</v>
      </c>
      <c r="BV255" t="s">
        <v>263</v>
      </c>
      <c r="CM255" t="s">
        <v>264</v>
      </c>
      <c r="CN255" t="s">
        <v>264</v>
      </c>
      <c r="CP255" t="s">
        <v>265</v>
      </c>
      <c r="CQ255" t="s">
        <v>538</v>
      </c>
      <c r="DB255">
        <v>4</v>
      </c>
      <c r="DG255" t="s">
        <v>267</v>
      </c>
      <c r="DI255">
        <v>96</v>
      </c>
      <c r="DN255" t="s">
        <v>268</v>
      </c>
      <c r="DR255">
        <v>85549</v>
      </c>
      <c r="DS255">
        <v>366</v>
      </c>
      <c r="DT255" t="s">
        <v>754</v>
      </c>
      <c r="DV255">
        <v>96</v>
      </c>
      <c r="EA255" t="s">
        <v>268</v>
      </c>
      <c r="EC255">
        <v>4</v>
      </c>
      <c r="EH255" t="s">
        <v>267</v>
      </c>
      <c r="EJ255">
        <v>96</v>
      </c>
      <c r="EO255" t="s">
        <v>268</v>
      </c>
      <c r="EQ255">
        <v>4</v>
      </c>
      <c r="EV255" t="s">
        <v>267</v>
      </c>
      <c r="EW255" t="s">
        <v>293</v>
      </c>
      <c r="EY255" t="s">
        <v>377</v>
      </c>
      <c r="FA255" t="s">
        <v>755</v>
      </c>
      <c r="FK255" t="s">
        <v>756</v>
      </c>
      <c r="FM255">
        <v>28</v>
      </c>
      <c r="FR255" t="s">
        <v>295</v>
      </c>
      <c r="GI255" t="s">
        <v>288</v>
      </c>
      <c r="GJ255">
        <v>0</v>
      </c>
      <c r="GK255" t="s">
        <v>289</v>
      </c>
      <c r="GL255">
        <v>10</v>
      </c>
      <c r="GM255" t="s">
        <v>356</v>
      </c>
      <c r="GO255">
        <v>7.5</v>
      </c>
      <c r="GU255">
        <v>80</v>
      </c>
      <c r="GZ255" t="s">
        <v>296</v>
      </c>
      <c r="HH255" t="s">
        <v>272</v>
      </c>
      <c r="ID255" t="s">
        <v>757</v>
      </c>
      <c r="IE255" t="s">
        <v>758</v>
      </c>
      <c r="IF255">
        <v>165375</v>
      </c>
      <c r="IG255" t="s">
        <v>759</v>
      </c>
      <c r="IH255" t="s">
        <v>760</v>
      </c>
      <c r="II255">
        <v>2012</v>
      </c>
      <c r="IJ255" t="s">
        <v>761</v>
      </c>
    </row>
    <row r="256" spans="1:244" x14ac:dyDescent="0.45">
      <c r="A256">
        <v>1320563</v>
      </c>
      <c r="B256">
        <v>779297</v>
      </c>
      <c r="C256">
        <v>7440473</v>
      </c>
      <c r="D256" t="s">
        <v>1045</v>
      </c>
      <c r="F256" t="s">
        <v>327</v>
      </c>
      <c r="G256" t="s">
        <v>246</v>
      </c>
      <c r="N256" t="s">
        <v>916</v>
      </c>
      <c r="O256" t="s">
        <v>917</v>
      </c>
      <c r="P256" t="s">
        <v>249</v>
      </c>
      <c r="Q256" t="s">
        <v>250</v>
      </c>
      <c r="R256" t="s">
        <v>251</v>
      </c>
      <c r="T256" t="s">
        <v>252</v>
      </c>
      <c r="U256" t="s">
        <v>253</v>
      </c>
      <c r="V256" t="s">
        <v>304</v>
      </c>
      <c r="W256" t="s">
        <v>305</v>
      </c>
      <c r="X256" t="s">
        <v>918</v>
      </c>
      <c r="Z256" t="s">
        <v>1046</v>
      </c>
      <c r="AL256" t="s">
        <v>1047</v>
      </c>
      <c r="AM256" t="s">
        <v>317</v>
      </c>
      <c r="AN256" t="s">
        <v>259</v>
      </c>
      <c r="AO256" t="s">
        <v>260</v>
      </c>
      <c r="AP256">
        <v>6</v>
      </c>
      <c r="AQ256" t="s">
        <v>261</v>
      </c>
      <c r="AS256">
        <v>12486</v>
      </c>
      <c r="AX256" t="s">
        <v>262</v>
      </c>
      <c r="BO256" t="s">
        <v>261</v>
      </c>
      <c r="BQ256">
        <v>12.486000000000001</v>
      </c>
      <c r="BV256" t="s">
        <v>263</v>
      </c>
      <c r="CM256" t="s">
        <v>264</v>
      </c>
      <c r="CN256" t="s">
        <v>264</v>
      </c>
      <c r="CO256" t="s">
        <v>1048</v>
      </c>
      <c r="CP256" t="s">
        <v>265</v>
      </c>
      <c r="CQ256" t="s">
        <v>538</v>
      </c>
      <c r="DB256">
        <v>3</v>
      </c>
      <c r="DG256" t="s">
        <v>267</v>
      </c>
      <c r="DI256">
        <v>72</v>
      </c>
      <c r="DN256" t="s">
        <v>268</v>
      </c>
      <c r="DP256" t="s">
        <v>1049</v>
      </c>
      <c r="DR256">
        <v>645159</v>
      </c>
      <c r="DS256">
        <v>730</v>
      </c>
      <c r="DT256" t="s">
        <v>1050</v>
      </c>
      <c r="EW256" t="s">
        <v>293</v>
      </c>
      <c r="FK256" t="s">
        <v>1051</v>
      </c>
      <c r="FM256">
        <v>18</v>
      </c>
      <c r="FR256" t="s">
        <v>295</v>
      </c>
      <c r="HH256" t="s">
        <v>272</v>
      </c>
      <c r="ID256" t="s">
        <v>1052</v>
      </c>
      <c r="IE256" t="s">
        <v>1053</v>
      </c>
      <c r="IF256">
        <v>56995</v>
      </c>
      <c r="IG256" t="s">
        <v>1054</v>
      </c>
      <c r="IH256" t="s">
        <v>1055</v>
      </c>
      <c r="II256">
        <v>2000</v>
      </c>
      <c r="IJ256" t="s">
        <v>1056</v>
      </c>
    </row>
    <row r="257" spans="1:244" x14ac:dyDescent="0.45">
      <c r="A257">
        <v>1053690</v>
      </c>
      <c r="B257">
        <v>194881</v>
      </c>
      <c r="C257">
        <v>7440473</v>
      </c>
      <c r="D257" t="s">
        <v>1045</v>
      </c>
      <c r="F257" t="s">
        <v>245</v>
      </c>
      <c r="G257" t="s">
        <v>246</v>
      </c>
      <c r="N257" t="s">
        <v>798</v>
      </c>
      <c r="O257" t="s">
        <v>631</v>
      </c>
      <c r="P257" t="s">
        <v>249</v>
      </c>
      <c r="Q257" t="s">
        <v>250</v>
      </c>
      <c r="R257" t="s">
        <v>251</v>
      </c>
      <c r="T257" t="s">
        <v>389</v>
      </c>
      <c r="U257" t="s">
        <v>632</v>
      </c>
      <c r="V257" t="s">
        <v>799</v>
      </c>
      <c r="W257" t="s">
        <v>800</v>
      </c>
      <c r="X257" t="s">
        <v>801</v>
      </c>
      <c r="Z257" t="s">
        <v>315</v>
      </c>
      <c r="AM257" t="s">
        <v>287</v>
      </c>
      <c r="AN257" t="s">
        <v>259</v>
      </c>
      <c r="AO257" t="s">
        <v>260</v>
      </c>
      <c r="AQ257" t="s">
        <v>261</v>
      </c>
      <c r="AS257">
        <v>3650</v>
      </c>
      <c r="AU257">
        <v>1290</v>
      </c>
      <c r="AW257">
        <v>6250</v>
      </c>
      <c r="AX257" t="s">
        <v>262</v>
      </c>
      <c r="BO257" t="s">
        <v>261</v>
      </c>
      <c r="BQ257">
        <v>3.65</v>
      </c>
      <c r="BS257">
        <v>1.29</v>
      </c>
      <c r="BU257">
        <v>6.25</v>
      </c>
      <c r="BV257" t="s">
        <v>263</v>
      </c>
      <c r="CM257" t="s">
        <v>264</v>
      </c>
      <c r="CN257" t="s">
        <v>264</v>
      </c>
      <c r="CP257" t="s">
        <v>265</v>
      </c>
      <c r="CQ257" t="s">
        <v>538</v>
      </c>
      <c r="DB257">
        <v>4</v>
      </c>
      <c r="DG257" t="s">
        <v>267</v>
      </c>
      <c r="DI257">
        <v>96</v>
      </c>
      <c r="DN257" t="s">
        <v>268</v>
      </c>
      <c r="DP257" t="s">
        <v>739</v>
      </c>
      <c r="DR257">
        <v>163476</v>
      </c>
      <c r="DS257">
        <v>740</v>
      </c>
      <c r="EW257" t="s">
        <v>272</v>
      </c>
      <c r="FM257">
        <v>20</v>
      </c>
      <c r="FR257" t="s">
        <v>295</v>
      </c>
      <c r="GU257">
        <v>30</v>
      </c>
      <c r="GZ257" t="s">
        <v>296</v>
      </c>
      <c r="HH257" t="s">
        <v>272</v>
      </c>
      <c r="IE257" t="s">
        <v>740</v>
      </c>
      <c r="IF257">
        <v>3751</v>
      </c>
      <c r="IG257" t="s">
        <v>741</v>
      </c>
      <c r="IH257" t="s">
        <v>742</v>
      </c>
      <c r="II257">
        <v>1980</v>
      </c>
      <c r="IJ257" t="s">
        <v>743</v>
      </c>
    </row>
    <row r="258" spans="1:244" x14ac:dyDescent="0.45">
      <c r="A258">
        <v>1320515</v>
      </c>
      <c r="B258">
        <v>779229</v>
      </c>
      <c r="C258">
        <v>7440473</v>
      </c>
      <c r="D258" t="s">
        <v>1045</v>
      </c>
      <c r="F258" t="s">
        <v>245</v>
      </c>
      <c r="G258" t="s">
        <v>272</v>
      </c>
      <c r="N258" t="s">
        <v>247</v>
      </c>
      <c r="O258" t="s">
        <v>248</v>
      </c>
      <c r="P258" t="s">
        <v>249</v>
      </c>
      <c r="Q258" t="s">
        <v>250</v>
      </c>
      <c r="R258" t="s">
        <v>251</v>
      </c>
      <c r="T258" t="s">
        <v>252</v>
      </c>
      <c r="U258" t="s">
        <v>253</v>
      </c>
      <c r="V258" t="s">
        <v>254</v>
      </c>
      <c r="W258" t="s">
        <v>255</v>
      </c>
      <c r="X258" t="s">
        <v>256</v>
      </c>
      <c r="Z258" t="s">
        <v>1057</v>
      </c>
      <c r="AJ258" t="s">
        <v>285</v>
      </c>
      <c r="AL258" t="s">
        <v>1058</v>
      </c>
      <c r="AM258" t="s">
        <v>258</v>
      </c>
      <c r="AN258" t="s">
        <v>259</v>
      </c>
      <c r="AO258" t="s">
        <v>260</v>
      </c>
      <c r="AQ258" t="s">
        <v>261</v>
      </c>
      <c r="AS258">
        <v>65</v>
      </c>
      <c r="AU258">
        <v>54.16</v>
      </c>
      <c r="AW258">
        <v>78.900000000000006</v>
      </c>
      <c r="AX258" t="s">
        <v>422</v>
      </c>
      <c r="BO258" t="s">
        <v>261</v>
      </c>
      <c r="BQ258">
        <v>65</v>
      </c>
      <c r="BS258">
        <v>54.16</v>
      </c>
      <c r="BU258">
        <v>78.900000000000006</v>
      </c>
      <c r="BV258" t="s">
        <v>263</v>
      </c>
      <c r="CM258" t="s">
        <v>264</v>
      </c>
      <c r="CN258" t="s">
        <v>264</v>
      </c>
      <c r="CP258" t="s">
        <v>265</v>
      </c>
      <c r="CQ258" t="s">
        <v>538</v>
      </c>
      <c r="DB258">
        <v>3</v>
      </c>
      <c r="DG258" t="s">
        <v>267</v>
      </c>
      <c r="DI258">
        <v>72</v>
      </c>
      <c r="DN258" t="s">
        <v>268</v>
      </c>
      <c r="DR258">
        <v>6761</v>
      </c>
      <c r="DS258">
        <v>2461</v>
      </c>
      <c r="DV258">
        <v>96</v>
      </c>
      <c r="EA258" t="s">
        <v>268</v>
      </c>
      <c r="EC258">
        <v>4</v>
      </c>
      <c r="EH258" t="s">
        <v>267</v>
      </c>
      <c r="EJ258">
        <v>96</v>
      </c>
      <c r="EO258" t="s">
        <v>268</v>
      </c>
      <c r="EQ258">
        <v>4</v>
      </c>
      <c r="EV258" t="s">
        <v>267</v>
      </c>
      <c r="EW258" t="s">
        <v>293</v>
      </c>
      <c r="FM258">
        <v>29</v>
      </c>
      <c r="FR258" t="s">
        <v>295</v>
      </c>
      <c r="GH258">
        <v>6.8</v>
      </c>
      <c r="GM258" t="s">
        <v>356</v>
      </c>
      <c r="GO258">
        <v>8</v>
      </c>
      <c r="GU258">
        <v>30</v>
      </c>
      <c r="GZ258" t="s">
        <v>900</v>
      </c>
      <c r="HH258" t="s">
        <v>272</v>
      </c>
      <c r="IE258" t="s">
        <v>1059</v>
      </c>
      <c r="IF258">
        <v>81814</v>
      </c>
      <c r="IG258" t="s">
        <v>1060</v>
      </c>
      <c r="IH258" t="s">
        <v>1061</v>
      </c>
      <c r="II258">
        <v>1991</v>
      </c>
      <c r="IJ258" t="s">
        <v>1062</v>
      </c>
    </row>
    <row r="259" spans="1:244" x14ac:dyDescent="0.45">
      <c r="A259">
        <v>1320515</v>
      </c>
      <c r="B259">
        <v>779230</v>
      </c>
      <c r="C259">
        <v>7440473</v>
      </c>
      <c r="D259" t="s">
        <v>1045</v>
      </c>
      <c r="F259" t="s">
        <v>245</v>
      </c>
      <c r="G259" t="s">
        <v>272</v>
      </c>
      <c r="N259" t="s">
        <v>247</v>
      </c>
      <c r="O259" t="s">
        <v>248</v>
      </c>
      <c r="P259" t="s">
        <v>249</v>
      </c>
      <c r="Q259" t="s">
        <v>250</v>
      </c>
      <c r="R259" t="s">
        <v>251</v>
      </c>
      <c r="T259" t="s">
        <v>252</v>
      </c>
      <c r="U259" t="s">
        <v>253</v>
      </c>
      <c r="V259" t="s">
        <v>254</v>
      </c>
      <c r="W259" t="s">
        <v>255</v>
      </c>
      <c r="X259" t="s">
        <v>256</v>
      </c>
      <c r="Z259" t="s">
        <v>1057</v>
      </c>
      <c r="AJ259" t="s">
        <v>285</v>
      </c>
      <c r="AL259" t="s">
        <v>1058</v>
      </c>
      <c r="AM259" t="s">
        <v>258</v>
      </c>
      <c r="AN259" t="s">
        <v>259</v>
      </c>
      <c r="AO259" t="s">
        <v>260</v>
      </c>
      <c r="AQ259" t="s">
        <v>261</v>
      </c>
      <c r="AS259">
        <v>56.25</v>
      </c>
      <c r="AU259">
        <v>48.91</v>
      </c>
      <c r="AW259">
        <v>64.680000000000007</v>
      </c>
      <c r="AX259" t="s">
        <v>422</v>
      </c>
      <c r="BO259" t="s">
        <v>261</v>
      </c>
      <c r="BQ259">
        <v>56.25</v>
      </c>
      <c r="BS259">
        <v>48.91</v>
      </c>
      <c r="BU259">
        <v>64.680000000000007</v>
      </c>
      <c r="BV259" t="s">
        <v>263</v>
      </c>
      <c r="CM259" t="s">
        <v>264</v>
      </c>
      <c r="CN259" t="s">
        <v>264</v>
      </c>
      <c r="CP259" t="s">
        <v>265</v>
      </c>
      <c r="CQ259" t="s">
        <v>538</v>
      </c>
      <c r="DB259">
        <v>4</v>
      </c>
      <c r="DG259" t="s">
        <v>267</v>
      </c>
      <c r="DI259">
        <v>96</v>
      </c>
      <c r="DN259" t="s">
        <v>268</v>
      </c>
      <c r="DR259">
        <v>6761</v>
      </c>
      <c r="DS259">
        <v>2461</v>
      </c>
      <c r="DV259">
        <v>96</v>
      </c>
      <c r="EA259" t="s">
        <v>268</v>
      </c>
      <c r="EC259">
        <v>4</v>
      </c>
      <c r="EH259" t="s">
        <v>267</v>
      </c>
      <c r="EJ259">
        <v>96</v>
      </c>
      <c r="EO259" t="s">
        <v>268</v>
      </c>
      <c r="EQ259">
        <v>4</v>
      </c>
      <c r="EV259" t="s">
        <v>267</v>
      </c>
      <c r="EW259" t="s">
        <v>293</v>
      </c>
      <c r="FM259">
        <v>29</v>
      </c>
      <c r="FR259" t="s">
        <v>295</v>
      </c>
      <c r="GH259">
        <v>6.8</v>
      </c>
      <c r="GM259" t="s">
        <v>356</v>
      </c>
      <c r="GO259">
        <v>8</v>
      </c>
      <c r="GU259">
        <v>30</v>
      </c>
      <c r="GZ259" t="s">
        <v>900</v>
      </c>
      <c r="HH259" t="s">
        <v>272</v>
      </c>
      <c r="IE259" t="s">
        <v>1059</v>
      </c>
      <c r="IF259">
        <v>81814</v>
      </c>
      <c r="IG259" t="s">
        <v>1060</v>
      </c>
      <c r="IH259" t="s">
        <v>1061</v>
      </c>
      <c r="II259">
        <v>1991</v>
      </c>
      <c r="IJ259" t="s">
        <v>1062</v>
      </c>
    </row>
    <row r="260" spans="1:244" x14ac:dyDescent="0.45">
      <c r="A260">
        <v>1320515</v>
      </c>
      <c r="B260">
        <v>779228</v>
      </c>
      <c r="C260">
        <v>7440473</v>
      </c>
      <c r="D260" t="s">
        <v>1045</v>
      </c>
      <c r="F260" t="s">
        <v>245</v>
      </c>
      <c r="G260" t="s">
        <v>272</v>
      </c>
      <c r="N260" t="s">
        <v>247</v>
      </c>
      <c r="O260" t="s">
        <v>248</v>
      </c>
      <c r="P260" t="s">
        <v>249</v>
      </c>
      <c r="Q260" t="s">
        <v>250</v>
      </c>
      <c r="R260" t="s">
        <v>251</v>
      </c>
      <c r="T260" t="s">
        <v>252</v>
      </c>
      <c r="U260" t="s">
        <v>253</v>
      </c>
      <c r="V260" t="s">
        <v>254</v>
      </c>
      <c r="W260" t="s">
        <v>255</v>
      </c>
      <c r="X260" t="s">
        <v>256</v>
      </c>
      <c r="Z260" t="s">
        <v>1057</v>
      </c>
      <c r="AJ260" t="s">
        <v>285</v>
      </c>
      <c r="AL260" t="s">
        <v>1058</v>
      </c>
      <c r="AM260" t="s">
        <v>258</v>
      </c>
      <c r="AN260" t="s">
        <v>259</v>
      </c>
      <c r="AO260" t="s">
        <v>260</v>
      </c>
      <c r="AQ260" t="s">
        <v>261</v>
      </c>
      <c r="AS260">
        <v>87.5</v>
      </c>
      <c r="AU260">
        <v>77.430000000000007</v>
      </c>
      <c r="AW260">
        <v>98.87</v>
      </c>
      <c r="AX260" t="s">
        <v>422</v>
      </c>
      <c r="BO260" t="s">
        <v>261</v>
      </c>
      <c r="BQ260">
        <v>87.5</v>
      </c>
      <c r="BS260">
        <v>77.430000000000007</v>
      </c>
      <c r="BU260">
        <v>98.87</v>
      </c>
      <c r="BV260" t="s">
        <v>263</v>
      </c>
      <c r="CM260" t="s">
        <v>264</v>
      </c>
      <c r="CN260" t="s">
        <v>264</v>
      </c>
      <c r="CP260" t="s">
        <v>265</v>
      </c>
      <c r="CQ260" t="s">
        <v>538</v>
      </c>
      <c r="DB260">
        <v>2</v>
      </c>
      <c r="DG260" t="s">
        <v>267</v>
      </c>
      <c r="DI260">
        <v>48</v>
      </c>
      <c r="DN260" t="s">
        <v>268</v>
      </c>
      <c r="DR260">
        <v>6761</v>
      </c>
      <c r="DS260">
        <v>2461</v>
      </c>
      <c r="DV260">
        <v>96</v>
      </c>
      <c r="EA260" t="s">
        <v>268</v>
      </c>
      <c r="EC260">
        <v>4</v>
      </c>
      <c r="EH260" t="s">
        <v>267</v>
      </c>
      <c r="EJ260">
        <v>96</v>
      </c>
      <c r="EO260" t="s">
        <v>268</v>
      </c>
      <c r="EQ260">
        <v>4</v>
      </c>
      <c r="EV260" t="s">
        <v>267</v>
      </c>
      <c r="EW260" t="s">
        <v>293</v>
      </c>
      <c r="FM260">
        <v>29</v>
      </c>
      <c r="FR260" t="s">
        <v>295</v>
      </c>
      <c r="GH260">
        <v>6.8</v>
      </c>
      <c r="GM260" t="s">
        <v>356</v>
      </c>
      <c r="GO260">
        <v>8</v>
      </c>
      <c r="GU260">
        <v>30</v>
      </c>
      <c r="GZ260" t="s">
        <v>900</v>
      </c>
      <c r="HH260" t="s">
        <v>272</v>
      </c>
      <c r="IE260" t="s">
        <v>1059</v>
      </c>
      <c r="IF260">
        <v>81814</v>
      </c>
      <c r="IG260" t="s">
        <v>1060</v>
      </c>
      <c r="IH260" t="s">
        <v>1061</v>
      </c>
      <c r="II260">
        <v>1991</v>
      </c>
      <c r="IJ260" t="s">
        <v>1062</v>
      </c>
    </row>
    <row r="261" spans="1:244" x14ac:dyDescent="0.45">
      <c r="A261">
        <v>1320515</v>
      </c>
      <c r="B261">
        <v>779227</v>
      </c>
      <c r="C261">
        <v>7440473</v>
      </c>
      <c r="D261" t="s">
        <v>1045</v>
      </c>
      <c r="F261" t="s">
        <v>245</v>
      </c>
      <c r="G261" t="s">
        <v>272</v>
      </c>
      <c r="N261" t="s">
        <v>247</v>
      </c>
      <c r="O261" t="s">
        <v>248</v>
      </c>
      <c r="P261" t="s">
        <v>249</v>
      </c>
      <c r="Q261" t="s">
        <v>250</v>
      </c>
      <c r="R261" t="s">
        <v>251</v>
      </c>
      <c r="T261" t="s">
        <v>252</v>
      </c>
      <c r="U261" t="s">
        <v>253</v>
      </c>
      <c r="V261" t="s">
        <v>254</v>
      </c>
      <c r="W261" t="s">
        <v>255</v>
      </c>
      <c r="X261" t="s">
        <v>256</v>
      </c>
      <c r="Z261" t="s">
        <v>1057</v>
      </c>
      <c r="AJ261" t="s">
        <v>285</v>
      </c>
      <c r="AL261" t="s">
        <v>1058</v>
      </c>
      <c r="AM261" t="s">
        <v>258</v>
      </c>
      <c r="AN261" t="s">
        <v>259</v>
      </c>
      <c r="AO261" t="s">
        <v>260</v>
      </c>
      <c r="AQ261" t="s">
        <v>261</v>
      </c>
      <c r="AS261">
        <v>190</v>
      </c>
      <c r="AU261">
        <v>175.53</v>
      </c>
      <c r="AW261">
        <v>205.65</v>
      </c>
      <c r="AX261" t="s">
        <v>422</v>
      </c>
      <c r="BO261" t="s">
        <v>261</v>
      </c>
      <c r="BQ261">
        <v>190</v>
      </c>
      <c r="BS261">
        <v>175.53</v>
      </c>
      <c r="BU261">
        <v>205.65</v>
      </c>
      <c r="BV261" t="s">
        <v>263</v>
      </c>
      <c r="CM261" t="s">
        <v>264</v>
      </c>
      <c r="CN261" t="s">
        <v>264</v>
      </c>
      <c r="CP261" t="s">
        <v>265</v>
      </c>
      <c r="CQ261" t="s">
        <v>538</v>
      </c>
      <c r="DB261">
        <v>1</v>
      </c>
      <c r="DG261" t="s">
        <v>267</v>
      </c>
      <c r="DI261">
        <v>24</v>
      </c>
      <c r="DN261" t="s">
        <v>268</v>
      </c>
      <c r="DR261">
        <v>6761</v>
      </c>
      <c r="DS261">
        <v>2461</v>
      </c>
      <c r="DV261">
        <v>96</v>
      </c>
      <c r="EA261" t="s">
        <v>268</v>
      </c>
      <c r="EC261">
        <v>4</v>
      </c>
      <c r="EH261" t="s">
        <v>267</v>
      </c>
      <c r="EJ261">
        <v>96</v>
      </c>
      <c r="EO261" t="s">
        <v>268</v>
      </c>
      <c r="EQ261">
        <v>4</v>
      </c>
      <c r="EV261" t="s">
        <v>267</v>
      </c>
      <c r="EW261" t="s">
        <v>293</v>
      </c>
      <c r="FM261">
        <v>29</v>
      </c>
      <c r="FR261" t="s">
        <v>295</v>
      </c>
      <c r="GH261">
        <v>6.8</v>
      </c>
      <c r="GM261" t="s">
        <v>356</v>
      </c>
      <c r="GO261">
        <v>8</v>
      </c>
      <c r="GU261">
        <v>30</v>
      </c>
      <c r="GZ261" t="s">
        <v>900</v>
      </c>
      <c r="HH261" t="s">
        <v>272</v>
      </c>
      <c r="IE261" t="s">
        <v>1059</v>
      </c>
      <c r="IF261">
        <v>81814</v>
      </c>
      <c r="IG261" t="s">
        <v>1060</v>
      </c>
      <c r="IH261" t="s">
        <v>1061</v>
      </c>
      <c r="II261">
        <v>1991</v>
      </c>
      <c r="IJ261" t="s">
        <v>1062</v>
      </c>
    </row>
    <row r="262" spans="1:244" x14ac:dyDescent="0.45">
      <c r="A262">
        <v>1053689</v>
      </c>
      <c r="B262">
        <v>194880</v>
      </c>
      <c r="C262">
        <v>7440473</v>
      </c>
      <c r="D262" t="s">
        <v>1045</v>
      </c>
      <c r="F262" t="s">
        <v>245</v>
      </c>
      <c r="G262" t="s">
        <v>246</v>
      </c>
      <c r="N262" t="s">
        <v>723</v>
      </c>
      <c r="O262" t="s">
        <v>631</v>
      </c>
      <c r="P262" t="s">
        <v>249</v>
      </c>
      <c r="Q262" t="s">
        <v>250</v>
      </c>
      <c r="R262" t="s">
        <v>251</v>
      </c>
      <c r="T262" t="s">
        <v>389</v>
      </c>
      <c r="U262" t="s">
        <v>632</v>
      </c>
      <c r="V262" t="s">
        <v>633</v>
      </c>
      <c r="W262" t="s">
        <v>634</v>
      </c>
      <c r="X262" t="s">
        <v>724</v>
      </c>
      <c r="Z262" t="s">
        <v>315</v>
      </c>
      <c r="AM262" t="s">
        <v>287</v>
      </c>
      <c r="AN262" t="s">
        <v>259</v>
      </c>
      <c r="AO262" t="s">
        <v>260</v>
      </c>
      <c r="AQ262" t="s">
        <v>261</v>
      </c>
      <c r="AS262">
        <v>6643</v>
      </c>
      <c r="AU262">
        <v>5697</v>
      </c>
      <c r="AW262">
        <v>7987</v>
      </c>
      <c r="AX262" t="s">
        <v>262</v>
      </c>
      <c r="BO262" t="s">
        <v>261</v>
      </c>
      <c r="BQ262">
        <v>6.6429999999999998</v>
      </c>
      <c r="BS262">
        <v>5.6970000000000001</v>
      </c>
      <c r="BU262">
        <v>7.9870000000000001</v>
      </c>
      <c r="BV262" t="s">
        <v>263</v>
      </c>
      <c r="CM262" t="s">
        <v>264</v>
      </c>
      <c r="CN262" t="s">
        <v>264</v>
      </c>
      <c r="CP262" t="s">
        <v>265</v>
      </c>
      <c r="CQ262" t="s">
        <v>538</v>
      </c>
      <c r="DB262">
        <v>4</v>
      </c>
      <c r="DG262" t="s">
        <v>267</v>
      </c>
      <c r="DI262">
        <v>96</v>
      </c>
      <c r="DN262" t="s">
        <v>268</v>
      </c>
      <c r="DP262" t="s">
        <v>739</v>
      </c>
      <c r="DR262">
        <v>136140</v>
      </c>
      <c r="DS262">
        <v>1784</v>
      </c>
      <c r="EW262" t="s">
        <v>272</v>
      </c>
      <c r="FM262">
        <v>10</v>
      </c>
      <c r="FR262" t="s">
        <v>295</v>
      </c>
      <c r="GU262">
        <v>30</v>
      </c>
      <c r="GZ262" t="s">
        <v>296</v>
      </c>
      <c r="HH262" t="s">
        <v>272</v>
      </c>
      <c r="IE262" t="s">
        <v>740</v>
      </c>
      <c r="IF262">
        <v>3751</v>
      </c>
      <c r="IG262" t="s">
        <v>741</v>
      </c>
      <c r="IH262" t="s">
        <v>742</v>
      </c>
      <c r="II262">
        <v>1980</v>
      </c>
      <c r="IJ262" t="s">
        <v>743</v>
      </c>
    </row>
    <row r="263" spans="1:244" x14ac:dyDescent="0.45">
      <c r="A263">
        <v>1054944</v>
      </c>
      <c r="B263">
        <v>220831</v>
      </c>
      <c r="C263">
        <v>7440473</v>
      </c>
      <c r="D263" t="s">
        <v>1045</v>
      </c>
      <c r="F263" t="s">
        <v>245</v>
      </c>
      <c r="G263" t="s">
        <v>246</v>
      </c>
      <c r="N263" t="s">
        <v>723</v>
      </c>
      <c r="O263" t="s">
        <v>631</v>
      </c>
      <c r="P263" t="s">
        <v>249</v>
      </c>
      <c r="Q263" t="s">
        <v>250</v>
      </c>
      <c r="R263" t="s">
        <v>251</v>
      </c>
      <c r="T263" t="s">
        <v>389</v>
      </c>
      <c r="U263" t="s">
        <v>632</v>
      </c>
      <c r="V263" t="s">
        <v>633</v>
      </c>
      <c r="W263" t="s">
        <v>634</v>
      </c>
      <c r="X263" t="s">
        <v>724</v>
      </c>
      <c r="AM263" t="s">
        <v>287</v>
      </c>
      <c r="AN263" t="s">
        <v>259</v>
      </c>
      <c r="AO263" t="s">
        <v>260</v>
      </c>
      <c r="AQ263" t="s">
        <v>261</v>
      </c>
      <c r="AS263">
        <v>6643</v>
      </c>
      <c r="AU263">
        <v>5697</v>
      </c>
      <c r="AW263">
        <v>7987</v>
      </c>
      <c r="AX263" t="s">
        <v>262</v>
      </c>
      <c r="BO263" t="s">
        <v>261</v>
      </c>
      <c r="BQ263">
        <v>6.6429999999999998</v>
      </c>
      <c r="BS263">
        <v>5.6970000000000001</v>
      </c>
      <c r="BU263">
        <v>7.9870000000000001</v>
      </c>
      <c r="BV263" t="s">
        <v>263</v>
      </c>
      <c r="CM263" t="s">
        <v>264</v>
      </c>
      <c r="CN263" t="s">
        <v>264</v>
      </c>
      <c r="CP263" t="s">
        <v>265</v>
      </c>
      <c r="CQ263" t="s">
        <v>538</v>
      </c>
      <c r="DB263">
        <v>4</v>
      </c>
      <c r="DG263" t="s">
        <v>267</v>
      </c>
      <c r="DI263">
        <v>96</v>
      </c>
      <c r="DN263" t="s">
        <v>268</v>
      </c>
      <c r="DR263">
        <v>136140</v>
      </c>
      <c r="DS263">
        <v>1784</v>
      </c>
      <c r="EW263" t="s">
        <v>293</v>
      </c>
      <c r="FM263">
        <v>10</v>
      </c>
      <c r="FR263" t="s">
        <v>295</v>
      </c>
      <c r="GU263">
        <v>30</v>
      </c>
      <c r="GZ263" t="s">
        <v>296</v>
      </c>
      <c r="HH263" t="s">
        <v>272</v>
      </c>
      <c r="IE263" t="s">
        <v>725</v>
      </c>
      <c r="IF263">
        <v>3825</v>
      </c>
      <c r="IG263" t="s">
        <v>726</v>
      </c>
      <c r="IH263" t="s">
        <v>727</v>
      </c>
      <c r="II263">
        <v>1985</v>
      </c>
      <c r="IJ263" t="s">
        <v>728</v>
      </c>
    </row>
    <row r="264" spans="1:244" x14ac:dyDescent="0.45">
      <c r="A264">
        <v>1165661</v>
      </c>
      <c r="B264">
        <v>58994</v>
      </c>
      <c r="C264">
        <v>7440508</v>
      </c>
      <c r="D264" t="s">
        <v>1063</v>
      </c>
      <c r="F264" t="s">
        <v>245</v>
      </c>
      <c r="G264" t="s">
        <v>246</v>
      </c>
      <c r="N264" t="s">
        <v>416</v>
      </c>
      <c r="O264" t="s">
        <v>417</v>
      </c>
      <c r="P264" t="s">
        <v>249</v>
      </c>
      <c r="Q264" t="s">
        <v>250</v>
      </c>
      <c r="R264" t="s">
        <v>251</v>
      </c>
      <c r="T264" t="s">
        <v>252</v>
      </c>
      <c r="U264" t="s">
        <v>253</v>
      </c>
      <c r="V264" t="s">
        <v>418</v>
      </c>
      <c r="W264" t="s">
        <v>419</v>
      </c>
      <c r="X264" t="s">
        <v>420</v>
      </c>
      <c r="AL264" t="s">
        <v>697</v>
      </c>
      <c r="AM264" t="s">
        <v>287</v>
      </c>
      <c r="AN264" t="s">
        <v>259</v>
      </c>
      <c r="AO264" t="s">
        <v>260</v>
      </c>
      <c r="AQ264" t="s">
        <v>261</v>
      </c>
      <c r="AS264">
        <v>1770</v>
      </c>
      <c r="AX264" t="s">
        <v>262</v>
      </c>
      <c r="BO264" t="s">
        <v>261</v>
      </c>
      <c r="BQ264">
        <v>1.77</v>
      </c>
      <c r="BV264" t="s">
        <v>263</v>
      </c>
      <c r="CM264" t="s">
        <v>264</v>
      </c>
      <c r="CN264" t="s">
        <v>264</v>
      </c>
      <c r="CP264" t="s">
        <v>265</v>
      </c>
      <c r="DB264">
        <v>1</v>
      </c>
      <c r="DG264" t="s">
        <v>267</v>
      </c>
      <c r="DI264">
        <v>24</v>
      </c>
      <c r="DN264" t="s">
        <v>268</v>
      </c>
      <c r="DS264">
        <v>1009</v>
      </c>
      <c r="EW264" t="s">
        <v>272</v>
      </c>
      <c r="HH264" t="s">
        <v>272</v>
      </c>
      <c r="IE264" t="s">
        <v>686</v>
      </c>
      <c r="IF264">
        <v>14577</v>
      </c>
      <c r="IG264" t="s">
        <v>687</v>
      </c>
      <c r="IH264" t="s">
        <v>688</v>
      </c>
      <c r="II264">
        <v>1993</v>
      </c>
      <c r="IJ264" t="s">
        <v>689</v>
      </c>
    </row>
    <row r="265" spans="1:244" x14ac:dyDescent="0.45">
      <c r="A265">
        <v>1056821</v>
      </c>
      <c r="B265">
        <v>125488</v>
      </c>
      <c r="C265">
        <v>7440508</v>
      </c>
      <c r="D265" t="s">
        <v>1063</v>
      </c>
      <c r="F265" t="s">
        <v>327</v>
      </c>
      <c r="G265" t="s">
        <v>246</v>
      </c>
      <c r="N265" t="s">
        <v>1064</v>
      </c>
      <c r="O265" t="s">
        <v>1065</v>
      </c>
      <c r="P265" t="s">
        <v>249</v>
      </c>
      <c r="Q265" t="s">
        <v>250</v>
      </c>
      <c r="R265" t="s">
        <v>251</v>
      </c>
      <c r="T265" t="s">
        <v>252</v>
      </c>
      <c r="U265" t="s">
        <v>253</v>
      </c>
      <c r="V265" t="s">
        <v>304</v>
      </c>
      <c r="W265" t="s">
        <v>1066</v>
      </c>
      <c r="X265" t="s">
        <v>1067</v>
      </c>
      <c r="Z265" t="s">
        <v>284</v>
      </c>
      <c r="AB265">
        <v>5</v>
      </c>
      <c r="AG265" t="s">
        <v>598</v>
      </c>
      <c r="AM265" t="s">
        <v>317</v>
      </c>
      <c r="AN265" t="s">
        <v>259</v>
      </c>
      <c r="AO265" t="s">
        <v>260</v>
      </c>
      <c r="AQ265" t="s">
        <v>261</v>
      </c>
      <c r="AS265">
        <v>85</v>
      </c>
      <c r="AX265" t="s">
        <v>262</v>
      </c>
      <c r="BO265" t="s">
        <v>261</v>
      </c>
      <c r="BQ265">
        <v>8.5000000000000006E-2</v>
      </c>
      <c r="BV265" t="s">
        <v>263</v>
      </c>
      <c r="CM265" t="s">
        <v>264</v>
      </c>
      <c r="CN265" t="s">
        <v>264</v>
      </c>
      <c r="CP265" t="s">
        <v>265</v>
      </c>
      <c r="DB265">
        <v>4</v>
      </c>
      <c r="DG265" t="s">
        <v>267</v>
      </c>
      <c r="DI265">
        <v>96</v>
      </c>
      <c r="DN265" t="s">
        <v>268</v>
      </c>
      <c r="DR265">
        <v>79674</v>
      </c>
      <c r="DS265">
        <v>648</v>
      </c>
      <c r="EW265" t="s">
        <v>333</v>
      </c>
      <c r="FK265" t="s">
        <v>1068</v>
      </c>
      <c r="FM265">
        <v>26.5</v>
      </c>
      <c r="FR265" t="s">
        <v>295</v>
      </c>
      <c r="GC265">
        <v>80</v>
      </c>
      <c r="GE265">
        <v>85</v>
      </c>
      <c r="GF265" t="s">
        <v>572</v>
      </c>
      <c r="GJ265">
        <v>7</v>
      </c>
      <c r="GL265">
        <v>8</v>
      </c>
      <c r="GM265" t="s">
        <v>356</v>
      </c>
      <c r="GQ265">
        <v>7.5</v>
      </c>
      <c r="GS265">
        <v>8.5</v>
      </c>
      <c r="GU265">
        <v>12</v>
      </c>
      <c r="GZ265" t="s">
        <v>296</v>
      </c>
      <c r="HH265" t="s">
        <v>272</v>
      </c>
      <c r="ID265" t="s">
        <v>1069</v>
      </c>
      <c r="IE265" t="s">
        <v>1070</v>
      </c>
      <c r="IF265">
        <v>4043</v>
      </c>
      <c r="IG265" t="s">
        <v>1071</v>
      </c>
      <c r="IH265" t="s">
        <v>1072</v>
      </c>
      <c r="II265">
        <v>1990</v>
      </c>
      <c r="IJ265" t="s">
        <v>1073</v>
      </c>
    </row>
    <row r="266" spans="1:244" x14ac:dyDescent="0.45">
      <c r="A266">
        <v>1056830</v>
      </c>
      <c r="B266">
        <v>125497</v>
      </c>
      <c r="C266">
        <v>7440508</v>
      </c>
      <c r="D266" t="s">
        <v>1063</v>
      </c>
      <c r="F266" t="s">
        <v>327</v>
      </c>
      <c r="G266" t="s">
        <v>246</v>
      </c>
      <c r="N266" t="s">
        <v>1064</v>
      </c>
      <c r="O266" t="s">
        <v>1065</v>
      </c>
      <c r="P266" t="s">
        <v>249</v>
      </c>
      <c r="Q266" t="s">
        <v>250</v>
      </c>
      <c r="R266" t="s">
        <v>251</v>
      </c>
      <c r="T266" t="s">
        <v>252</v>
      </c>
      <c r="U266" t="s">
        <v>253</v>
      </c>
      <c r="V266" t="s">
        <v>304</v>
      </c>
      <c r="W266" t="s">
        <v>1066</v>
      </c>
      <c r="X266" t="s">
        <v>1067</v>
      </c>
      <c r="Z266" t="s">
        <v>284</v>
      </c>
      <c r="AB266">
        <v>8</v>
      </c>
      <c r="AG266" t="s">
        <v>598</v>
      </c>
      <c r="AM266" t="s">
        <v>317</v>
      </c>
      <c r="AN266" t="s">
        <v>259</v>
      </c>
      <c r="AO266" t="s">
        <v>260</v>
      </c>
      <c r="AQ266" t="s">
        <v>261</v>
      </c>
      <c r="AS266">
        <v>660</v>
      </c>
      <c r="AX266" t="s">
        <v>262</v>
      </c>
      <c r="BO266" t="s">
        <v>261</v>
      </c>
      <c r="BQ266">
        <v>0.66</v>
      </c>
      <c r="BV266" t="s">
        <v>263</v>
      </c>
      <c r="CM266" t="s">
        <v>264</v>
      </c>
      <c r="CN266" t="s">
        <v>264</v>
      </c>
      <c r="CP266" t="s">
        <v>265</v>
      </c>
      <c r="DB266">
        <v>1</v>
      </c>
      <c r="DG266" t="s">
        <v>267</v>
      </c>
      <c r="DI266">
        <v>24</v>
      </c>
      <c r="DN266" t="s">
        <v>268</v>
      </c>
      <c r="DR266">
        <v>79674</v>
      </c>
      <c r="DS266">
        <v>648</v>
      </c>
      <c r="EW266" t="s">
        <v>333</v>
      </c>
      <c r="FK266" t="s">
        <v>1068</v>
      </c>
      <c r="FM266">
        <v>26.5</v>
      </c>
      <c r="FR266" t="s">
        <v>295</v>
      </c>
      <c r="GC266">
        <v>80</v>
      </c>
      <c r="GE266">
        <v>85</v>
      </c>
      <c r="GF266" t="s">
        <v>572</v>
      </c>
      <c r="GJ266">
        <v>7</v>
      </c>
      <c r="GL266">
        <v>8</v>
      </c>
      <c r="GM266" t="s">
        <v>356</v>
      </c>
      <c r="GQ266">
        <v>7.5</v>
      </c>
      <c r="GS266">
        <v>8.5</v>
      </c>
      <c r="GU266">
        <v>12</v>
      </c>
      <c r="GZ266" t="s">
        <v>296</v>
      </c>
      <c r="HH266" t="s">
        <v>272</v>
      </c>
      <c r="ID266" t="s">
        <v>1069</v>
      </c>
      <c r="IE266" t="s">
        <v>1070</v>
      </c>
      <c r="IF266">
        <v>4043</v>
      </c>
      <c r="IG266" t="s">
        <v>1071</v>
      </c>
      <c r="IH266" t="s">
        <v>1072</v>
      </c>
      <c r="II266">
        <v>1990</v>
      </c>
      <c r="IJ266" t="s">
        <v>1073</v>
      </c>
    </row>
    <row r="267" spans="1:244" x14ac:dyDescent="0.45">
      <c r="A267">
        <v>1056839</v>
      </c>
      <c r="B267">
        <v>125506</v>
      </c>
      <c r="C267">
        <v>7440508</v>
      </c>
      <c r="D267" t="s">
        <v>1063</v>
      </c>
      <c r="F267" t="s">
        <v>327</v>
      </c>
      <c r="G267" t="s">
        <v>246</v>
      </c>
      <c r="N267" t="s">
        <v>1064</v>
      </c>
      <c r="O267" t="s">
        <v>1065</v>
      </c>
      <c r="P267" t="s">
        <v>249</v>
      </c>
      <c r="Q267" t="s">
        <v>250</v>
      </c>
      <c r="R267" t="s">
        <v>251</v>
      </c>
      <c r="T267" t="s">
        <v>252</v>
      </c>
      <c r="U267" t="s">
        <v>253</v>
      </c>
      <c r="V267" t="s">
        <v>304</v>
      </c>
      <c r="W267" t="s">
        <v>1066</v>
      </c>
      <c r="X267" t="s">
        <v>1067</v>
      </c>
      <c r="Z267" t="s">
        <v>284</v>
      </c>
      <c r="AB267">
        <v>10</v>
      </c>
      <c r="AG267" t="s">
        <v>598</v>
      </c>
      <c r="AM267" t="s">
        <v>317</v>
      </c>
      <c r="AN267" t="s">
        <v>259</v>
      </c>
      <c r="AO267" t="s">
        <v>260</v>
      </c>
      <c r="AQ267" t="s">
        <v>261</v>
      </c>
      <c r="AS267">
        <v>580</v>
      </c>
      <c r="AX267" t="s">
        <v>262</v>
      </c>
      <c r="BO267" t="s">
        <v>261</v>
      </c>
      <c r="BQ267">
        <v>0.57999999999999996</v>
      </c>
      <c r="BV267" t="s">
        <v>263</v>
      </c>
      <c r="CM267" t="s">
        <v>264</v>
      </c>
      <c r="CN267" t="s">
        <v>264</v>
      </c>
      <c r="CP267" t="s">
        <v>265</v>
      </c>
      <c r="DB267">
        <v>2</v>
      </c>
      <c r="DG267" t="s">
        <v>267</v>
      </c>
      <c r="DI267">
        <v>48</v>
      </c>
      <c r="DN267" t="s">
        <v>268</v>
      </c>
      <c r="DR267">
        <v>79674</v>
      </c>
      <c r="DS267">
        <v>648</v>
      </c>
      <c r="EW267" t="s">
        <v>333</v>
      </c>
      <c r="FK267" t="s">
        <v>1068</v>
      </c>
      <c r="FM267">
        <v>26.5</v>
      </c>
      <c r="FR267" t="s">
        <v>295</v>
      </c>
      <c r="GC267">
        <v>80</v>
      </c>
      <c r="GE267">
        <v>85</v>
      </c>
      <c r="GF267" t="s">
        <v>572</v>
      </c>
      <c r="GJ267">
        <v>7</v>
      </c>
      <c r="GL267">
        <v>8</v>
      </c>
      <c r="GM267" t="s">
        <v>356</v>
      </c>
      <c r="GQ267">
        <v>7.5</v>
      </c>
      <c r="GS267">
        <v>8.5</v>
      </c>
      <c r="GU267">
        <v>12</v>
      </c>
      <c r="GZ267" t="s">
        <v>296</v>
      </c>
      <c r="HH267" t="s">
        <v>272</v>
      </c>
      <c r="ID267" t="s">
        <v>1069</v>
      </c>
      <c r="IE267" t="s">
        <v>1070</v>
      </c>
      <c r="IF267">
        <v>4043</v>
      </c>
      <c r="IG267" t="s">
        <v>1071</v>
      </c>
      <c r="IH267" t="s">
        <v>1072</v>
      </c>
      <c r="II267">
        <v>1990</v>
      </c>
      <c r="IJ267" t="s">
        <v>1073</v>
      </c>
    </row>
    <row r="268" spans="1:244" x14ac:dyDescent="0.45">
      <c r="A268">
        <v>1078810</v>
      </c>
      <c r="B268">
        <v>12517</v>
      </c>
      <c r="C268">
        <v>7440508</v>
      </c>
      <c r="D268" t="s">
        <v>1063</v>
      </c>
      <c r="F268" t="s">
        <v>245</v>
      </c>
      <c r="G268" t="s">
        <v>246</v>
      </c>
      <c r="N268" t="s">
        <v>632</v>
      </c>
      <c r="O268" t="s">
        <v>745</v>
      </c>
      <c r="P268" t="s">
        <v>249</v>
      </c>
      <c r="Q268" t="s">
        <v>250</v>
      </c>
      <c r="R268" t="s">
        <v>251</v>
      </c>
      <c r="T268" t="s">
        <v>389</v>
      </c>
      <c r="U268" t="s">
        <v>632</v>
      </c>
      <c r="Z268" t="s">
        <v>315</v>
      </c>
      <c r="AL268" t="s">
        <v>1074</v>
      </c>
      <c r="AM268" t="s">
        <v>317</v>
      </c>
      <c r="AN268" t="s">
        <v>259</v>
      </c>
      <c r="AO268" t="s">
        <v>260</v>
      </c>
      <c r="AQ268" t="s">
        <v>261</v>
      </c>
      <c r="AS268">
        <v>60</v>
      </c>
      <c r="AX268" t="s">
        <v>262</v>
      </c>
      <c r="BO268" t="s">
        <v>261</v>
      </c>
      <c r="BQ268">
        <v>0.06</v>
      </c>
      <c r="BV268" t="s">
        <v>263</v>
      </c>
      <c r="CM268" t="s">
        <v>264</v>
      </c>
      <c r="CN268" t="s">
        <v>264</v>
      </c>
      <c r="CP268" t="s">
        <v>265</v>
      </c>
      <c r="CQ268" t="s">
        <v>394</v>
      </c>
      <c r="DB268">
        <v>4</v>
      </c>
      <c r="DG268" t="s">
        <v>267</v>
      </c>
      <c r="DI268">
        <v>96</v>
      </c>
      <c r="DN268" t="s">
        <v>268</v>
      </c>
      <c r="DR268">
        <v>6833</v>
      </c>
      <c r="DS268">
        <v>1138</v>
      </c>
      <c r="EW268" t="s">
        <v>271</v>
      </c>
      <c r="FK268" t="s">
        <v>1075</v>
      </c>
      <c r="FM268">
        <v>21</v>
      </c>
      <c r="FR268" t="s">
        <v>295</v>
      </c>
      <c r="HH268" t="s">
        <v>272</v>
      </c>
      <c r="ID268" t="s">
        <v>1076</v>
      </c>
      <c r="IE268" t="s">
        <v>749</v>
      </c>
      <c r="IF268">
        <v>6079</v>
      </c>
      <c r="IG268" t="s">
        <v>750</v>
      </c>
      <c r="IH268" t="s">
        <v>751</v>
      </c>
      <c r="II268">
        <v>1977</v>
      </c>
      <c r="IJ268" t="s">
        <v>752</v>
      </c>
    </row>
    <row r="269" spans="1:244" x14ac:dyDescent="0.45">
      <c r="A269">
        <v>1056833</v>
      </c>
      <c r="B269">
        <v>125500</v>
      </c>
      <c r="C269">
        <v>7440508</v>
      </c>
      <c r="D269" t="s">
        <v>1063</v>
      </c>
      <c r="F269" t="s">
        <v>327</v>
      </c>
      <c r="G269" t="s">
        <v>246</v>
      </c>
      <c r="N269" t="s">
        <v>1064</v>
      </c>
      <c r="O269" t="s">
        <v>1065</v>
      </c>
      <c r="P269" t="s">
        <v>249</v>
      </c>
      <c r="Q269" t="s">
        <v>250</v>
      </c>
      <c r="R269" t="s">
        <v>251</v>
      </c>
      <c r="T269" t="s">
        <v>252</v>
      </c>
      <c r="U269" t="s">
        <v>253</v>
      </c>
      <c r="V269" t="s">
        <v>304</v>
      </c>
      <c r="W269" t="s">
        <v>1066</v>
      </c>
      <c r="X269" t="s">
        <v>1067</v>
      </c>
      <c r="Z269" t="s">
        <v>284</v>
      </c>
      <c r="AB269">
        <v>8</v>
      </c>
      <c r="AG269" t="s">
        <v>598</v>
      </c>
      <c r="AM269" t="s">
        <v>317</v>
      </c>
      <c r="AN269" t="s">
        <v>259</v>
      </c>
      <c r="AO269" t="s">
        <v>260</v>
      </c>
      <c r="AQ269" t="s">
        <v>261</v>
      </c>
      <c r="AS269">
        <v>195</v>
      </c>
      <c r="AX269" t="s">
        <v>262</v>
      </c>
      <c r="BO269" t="s">
        <v>261</v>
      </c>
      <c r="BQ269">
        <v>0.19500000000000001</v>
      </c>
      <c r="BV269" t="s">
        <v>263</v>
      </c>
      <c r="CM269" t="s">
        <v>264</v>
      </c>
      <c r="CN269" t="s">
        <v>264</v>
      </c>
      <c r="CP269" t="s">
        <v>265</v>
      </c>
      <c r="DB269">
        <v>4</v>
      </c>
      <c r="DG269" t="s">
        <v>267</v>
      </c>
      <c r="DI269">
        <v>96</v>
      </c>
      <c r="DN269" t="s">
        <v>268</v>
      </c>
      <c r="DR269">
        <v>79674</v>
      </c>
      <c r="DS269">
        <v>648</v>
      </c>
      <c r="EW269" t="s">
        <v>333</v>
      </c>
      <c r="FK269" t="s">
        <v>1068</v>
      </c>
      <c r="FM269">
        <v>26.5</v>
      </c>
      <c r="FR269" t="s">
        <v>295</v>
      </c>
      <c r="GC269">
        <v>80</v>
      </c>
      <c r="GE269">
        <v>85</v>
      </c>
      <c r="GF269" t="s">
        <v>572</v>
      </c>
      <c r="GJ269">
        <v>7</v>
      </c>
      <c r="GL269">
        <v>8</v>
      </c>
      <c r="GM269" t="s">
        <v>356</v>
      </c>
      <c r="GQ269">
        <v>7.5</v>
      </c>
      <c r="GS269">
        <v>8.5</v>
      </c>
      <c r="GU269">
        <v>12</v>
      </c>
      <c r="GZ269" t="s">
        <v>296</v>
      </c>
      <c r="HH269" t="s">
        <v>272</v>
      </c>
      <c r="ID269" t="s">
        <v>1069</v>
      </c>
      <c r="IE269" t="s">
        <v>1070</v>
      </c>
      <c r="IF269">
        <v>4043</v>
      </c>
      <c r="IG269" t="s">
        <v>1071</v>
      </c>
      <c r="IH269" t="s">
        <v>1072</v>
      </c>
      <c r="II269">
        <v>1990</v>
      </c>
      <c r="IJ269" t="s">
        <v>1073</v>
      </c>
    </row>
    <row r="270" spans="1:244" x14ac:dyDescent="0.45">
      <c r="A270">
        <v>1205311</v>
      </c>
      <c r="B270">
        <v>203498</v>
      </c>
      <c r="C270">
        <v>7440508</v>
      </c>
      <c r="D270" t="s">
        <v>1063</v>
      </c>
      <c r="F270" t="s">
        <v>245</v>
      </c>
      <c r="G270" t="s">
        <v>246</v>
      </c>
      <c r="N270" t="s">
        <v>690</v>
      </c>
      <c r="O270" t="s">
        <v>691</v>
      </c>
      <c r="P270" t="s">
        <v>249</v>
      </c>
      <c r="Q270" t="s">
        <v>250</v>
      </c>
      <c r="R270" t="s">
        <v>251</v>
      </c>
      <c r="T270" t="s">
        <v>252</v>
      </c>
      <c r="U270" t="s">
        <v>253</v>
      </c>
      <c r="V270" t="s">
        <v>418</v>
      </c>
      <c r="W270" t="s">
        <v>419</v>
      </c>
      <c r="X270" t="s">
        <v>692</v>
      </c>
      <c r="AM270" t="s">
        <v>287</v>
      </c>
      <c r="AN270" t="s">
        <v>259</v>
      </c>
      <c r="AO270" t="s">
        <v>260</v>
      </c>
      <c r="AQ270" t="s">
        <v>261</v>
      </c>
      <c r="AS270">
        <v>52</v>
      </c>
      <c r="AU270">
        <v>33</v>
      </c>
      <c r="AW270">
        <v>83</v>
      </c>
      <c r="AX270" t="s">
        <v>262</v>
      </c>
      <c r="BO270" t="s">
        <v>261</v>
      </c>
      <c r="BQ270">
        <v>5.1999999999999998E-2</v>
      </c>
      <c r="BS270">
        <v>3.3000000000000002E-2</v>
      </c>
      <c r="BU270">
        <v>8.3000000000000004E-2</v>
      </c>
      <c r="BV270" t="s">
        <v>263</v>
      </c>
      <c r="CM270" t="s">
        <v>264</v>
      </c>
      <c r="CN270" t="s">
        <v>264</v>
      </c>
      <c r="CP270" t="s">
        <v>265</v>
      </c>
      <c r="CQ270" t="s">
        <v>394</v>
      </c>
      <c r="DB270">
        <v>3</v>
      </c>
      <c r="DG270" t="s">
        <v>267</v>
      </c>
      <c r="DI270">
        <v>72</v>
      </c>
      <c r="DN270" t="s">
        <v>268</v>
      </c>
      <c r="DR270">
        <v>139456</v>
      </c>
      <c r="DS270">
        <v>3044</v>
      </c>
      <c r="EW270" t="s">
        <v>272</v>
      </c>
      <c r="HH270" t="s">
        <v>272</v>
      </c>
      <c r="IE270" t="s">
        <v>693</v>
      </c>
      <c r="IF270">
        <v>18730</v>
      </c>
      <c r="IG270" t="s">
        <v>694</v>
      </c>
      <c r="IH270" t="s">
        <v>695</v>
      </c>
      <c r="II270">
        <v>1995</v>
      </c>
      <c r="IJ270" t="s">
        <v>696</v>
      </c>
    </row>
    <row r="271" spans="1:244" x14ac:dyDescent="0.45">
      <c r="A271">
        <v>1056836</v>
      </c>
      <c r="B271">
        <v>125503</v>
      </c>
      <c r="C271">
        <v>7440508</v>
      </c>
      <c r="D271" t="s">
        <v>1063</v>
      </c>
      <c r="F271" t="s">
        <v>327</v>
      </c>
      <c r="G271" t="s">
        <v>246</v>
      </c>
      <c r="N271" t="s">
        <v>1064</v>
      </c>
      <c r="O271" t="s">
        <v>1065</v>
      </c>
      <c r="P271" t="s">
        <v>249</v>
      </c>
      <c r="Q271" t="s">
        <v>250</v>
      </c>
      <c r="R271" t="s">
        <v>251</v>
      </c>
      <c r="T271" t="s">
        <v>252</v>
      </c>
      <c r="U271" t="s">
        <v>253</v>
      </c>
      <c r="V271" t="s">
        <v>304</v>
      </c>
      <c r="W271" t="s">
        <v>1066</v>
      </c>
      <c r="X271" t="s">
        <v>1067</v>
      </c>
      <c r="Z271" t="s">
        <v>284</v>
      </c>
      <c r="AB271">
        <v>9</v>
      </c>
      <c r="AG271" t="s">
        <v>598</v>
      </c>
      <c r="AM271" t="s">
        <v>317</v>
      </c>
      <c r="AN271" t="s">
        <v>259</v>
      </c>
      <c r="AO271" t="s">
        <v>260</v>
      </c>
      <c r="AQ271" t="s">
        <v>261</v>
      </c>
      <c r="AS271">
        <v>300</v>
      </c>
      <c r="AX271" t="s">
        <v>262</v>
      </c>
      <c r="BO271" t="s">
        <v>261</v>
      </c>
      <c r="BQ271">
        <v>0.3</v>
      </c>
      <c r="BV271" t="s">
        <v>263</v>
      </c>
      <c r="CM271" t="s">
        <v>264</v>
      </c>
      <c r="CN271" t="s">
        <v>264</v>
      </c>
      <c r="CP271" t="s">
        <v>265</v>
      </c>
      <c r="DB271">
        <v>3</v>
      </c>
      <c r="DG271" t="s">
        <v>267</v>
      </c>
      <c r="DI271">
        <v>72</v>
      </c>
      <c r="DN271" t="s">
        <v>268</v>
      </c>
      <c r="DR271">
        <v>79674</v>
      </c>
      <c r="DS271">
        <v>648</v>
      </c>
      <c r="EW271" t="s">
        <v>333</v>
      </c>
      <c r="FK271" t="s">
        <v>1068</v>
      </c>
      <c r="FM271">
        <v>26.5</v>
      </c>
      <c r="FR271" t="s">
        <v>295</v>
      </c>
      <c r="GC271">
        <v>80</v>
      </c>
      <c r="GE271">
        <v>85</v>
      </c>
      <c r="GF271" t="s">
        <v>572</v>
      </c>
      <c r="GJ271">
        <v>7</v>
      </c>
      <c r="GL271">
        <v>8</v>
      </c>
      <c r="GM271" t="s">
        <v>356</v>
      </c>
      <c r="GQ271">
        <v>7.5</v>
      </c>
      <c r="GS271">
        <v>8.5</v>
      </c>
      <c r="GU271">
        <v>12</v>
      </c>
      <c r="GZ271" t="s">
        <v>296</v>
      </c>
      <c r="HH271" t="s">
        <v>272</v>
      </c>
      <c r="ID271" t="s">
        <v>1069</v>
      </c>
      <c r="IE271" t="s">
        <v>1070</v>
      </c>
      <c r="IF271">
        <v>4043</v>
      </c>
      <c r="IG271" t="s">
        <v>1071</v>
      </c>
      <c r="IH271" t="s">
        <v>1072</v>
      </c>
      <c r="II271">
        <v>1990</v>
      </c>
      <c r="IJ271" t="s">
        <v>1073</v>
      </c>
    </row>
    <row r="272" spans="1:244" x14ac:dyDescent="0.45">
      <c r="A272">
        <v>1165666</v>
      </c>
      <c r="B272">
        <v>58999</v>
      </c>
      <c r="C272">
        <v>7440508</v>
      </c>
      <c r="D272" t="s">
        <v>1063</v>
      </c>
      <c r="F272" t="s">
        <v>245</v>
      </c>
      <c r="G272" t="s">
        <v>246</v>
      </c>
      <c r="N272" t="s">
        <v>452</v>
      </c>
      <c r="O272" t="s">
        <v>346</v>
      </c>
      <c r="P272" t="s">
        <v>249</v>
      </c>
      <c r="Q272" t="s">
        <v>250</v>
      </c>
      <c r="R272" t="s">
        <v>251</v>
      </c>
      <c r="T272" t="s">
        <v>347</v>
      </c>
      <c r="U272" t="s">
        <v>348</v>
      </c>
      <c r="V272" t="s">
        <v>349</v>
      </c>
      <c r="W272" t="s">
        <v>350</v>
      </c>
      <c r="X272" t="s">
        <v>453</v>
      </c>
      <c r="AM272" t="s">
        <v>287</v>
      </c>
      <c r="AN272" t="s">
        <v>259</v>
      </c>
      <c r="AO272" t="s">
        <v>260</v>
      </c>
      <c r="AQ272" t="s">
        <v>261</v>
      </c>
      <c r="AS272">
        <v>440</v>
      </c>
      <c r="AX272" t="s">
        <v>262</v>
      </c>
      <c r="BO272" t="s">
        <v>261</v>
      </c>
      <c r="BQ272">
        <v>0.44</v>
      </c>
      <c r="BV272" t="s">
        <v>263</v>
      </c>
      <c r="CM272" t="s">
        <v>264</v>
      </c>
      <c r="CN272" t="s">
        <v>264</v>
      </c>
      <c r="CP272" t="s">
        <v>265</v>
      </c>
      <c r="DB272">
        <v>2</v>
      </c>
      <c r="DG272" t="s">
        <v>267</v>
      </c>
      <c r="DI272">
        <v>48</v>
      </c>
      <c r="DN272" t="s">
        <v>268</v>
      </c>
      <c r="DR272">
        <v>85549</v>
      </c>
      <c r="DS272">
        <v>366</v>
      </c>
      <c r="EW272" t="s">
        <v>272</v>
      </c>
      <c r="HH272" t="s">
        <v>272</v>
      </c>
      <c r="IE272" t="s">
        <v>686</v>
      </c>
      <c r="IF272">
        <v>14577</v>
      </c>
      <c r="IG272" t="s">
        <v>687</v>
      </c>
      <c r="IH272" t="s">
        <v>688</v>
      </c>
      <c r="II272">
        <v>1993</v>
      </c>
      <c r="IJ272" t="s">
        <v>689</v>
      </c>
    </row>
    <row r="273" spans="1:244" x14ac:dyDescent="0.45">
      <c r="A273">
        <v>1165662</v>
      </c>
      <c r="B273">
        <v>58995</v>
      </c>
      <c r="C273">
        <v>7440508</v>
      </c>
      <c r="D273" t="s">
        <v>1063</v>
      </c>
      <c r="F273" t="s">
        <v>245</v>
      </c>
      <c r="G273" t="s">
        <v>246</v>
      </c>
      <c r="N273" t="s">
        <v>416</v>
      </c>
      <c r="O273" t="s">
        <v>417</v>
      </c>
      <c r="P273" t="s">
        <v>249</v>
      </c>
      <c r="Q273" t="s">
        <v>250</v>
      </c>
      <c r="R273" t="s">
        <v>251</v>
      </c>
      <c r="T273" t="s">
        <v>252</v>
      </c>
      <c r="U273" t="s">
        <v>253</v>
      </c>
      <c r="V273" t="s">
        <v>418</v>
      </c>
      <c r="W273" t="s">
        <v>419</v>
      </c>
      <c r="X273" t="s">
        <v>420</v>
      </c>
      <c r="AL273" t="s">
        <v>697</v>
      </c>
      <c r="AM273" t="s">
        <v>287</v>
      </c>
      <c r="AN273" t="s">
        <v>259</v>
      </c>
      <c r="AO273" t="s">
        <v>260</v>
      </c>
      <c r="AQ273" t="s">
        <v>261</v>
      </c>
      <c r="AS273">
        <v>1120</v>
      </c>
      <c r="AX273" t="s">
        <v>262</v>
      </c>
      <c r="BO273" t="s">
        <v>261</v>
      </c>
      <c r="BQ273">
        <v>1.1200000000000001</v>
      </c>
      <c r="BV273" t="s">
        <v>263</v>
      </c>
      <c r="CM273" t="s">
        <v>264</v>
      </c>
      <c r="CN273" t="s">
        <v>264</v>
      </c>
      <c r="CP273" t="s">
        <v>265</v>
      </c>
      <c r="DB273">
        <v>2</v>
      </c>
      <c r="DG273" t="s">
        <v>267</v>
      </c>
      <c r="DI273">
        <v>48</v>
      </c>
      <c r="DN273" t="s">
        <v>268</v>
      </c>
      <c r="DS273">
        <v>1009</v>
      </c>
      <c r="EW273" t="s">
        <v>272</v>
      </c>
      <c r="HH273" t="s">
        <v>272</v>
      </c>
      <c r="IE273" t="s">
        <v>686</v>
      </c>
      <c r="IF273">
        <v>14577</v>
      </c>
      <c r="IG273" t="s">
        <v>687</v>
      </c>
      <c r="IH273" t="s">
        <v>688</v>
      </c>
      <c r="II273">
        <v>1993</v>
      </c>
      <c r="IJ273" t="s">
        <v>689</v>
      </c>
    </row>
    <row r="274" spans="1:244" x14ac:dyDescent="0.45">
      <c r="A274">
        <v>1056844</v>
      </c>
      <c r="B274">
        <v>125511</v>
      </c>
      <c r="C274">
        <v>7440508</v>
      </c>
      <c r="D274" t="s">
        <v>1063</v>
      </c>
      <c r="F274" t="s">
        <v>327</v>
      </c>
      <c r="G274" t="s">
        <v>246</v>
      </c>
      <c r="N274" t="s">
        <v>1064</v>
      </c>
      <c r="O274" t="s">
        <v>1065</v>
      </c>
      <c r="P274" t="s">
        <v>249</v>
      </c>
      <c r="Q274" t="s">
        <v>250</v>
      </c>
      <c r="R274" t="s">
        <v>251</v>
      </c>
      <c r="T274" t="s">
        <v>252</v>
      </c>
      <c r="U274" t="s">
        <v>253</v>
      </c>
      <c r="V274" t="s">
        <v>304</v>
      </c>
      <c r="W274" t="s">
        <v>1066</v>
      </c>
      <c r="X274" t="s">
        <v>1067</v>
      </c>
      <c r="Z274" t="s">
        <v>284</v>
      </c>
      <c r="AB274">
        <v>11</v>
      </c>
      <c r="AG274" t="s">
        <v>598</v>
      </c>
      <c r="AM274" t="s">
        <v>317</v>
      </c>
      <c r="AN274" t="s">
        <v>259</v>
      </c>
      <c r="AO274" t="s">
        <v>260</v>
      </c>
      <c r="AQ274" t="s">
        <v>261</v>
      </c>
      <c r="AS274">
        <v>215</v>
      </c>
      <c r="AX274" t="s">
        <v>262</v>
      </c>
      <c r="BO274" t="s">
        <v>261</v>
      </c>
      <c r="BQ274">
        <v>0.215</v>
      </c>
      <c r="BV274" t="s">
        <v>263</v>
      </c>
      <c r="CM274" t="s">
        <v>264</v>
      </c>
      <c r="CN274" t="s">
        <v>264</v>
      </c>
      <c r="CP274" t="s">
        <v>265</v>
      </c>
      <c r="DB274">
        <v>3</v>
      </c>
      <c r="DG274" t="s">
        <v>267</v>
      </c>
      <c r="DI274">
        <v>72</v>
      </c>
      <c r="DN274" t="s">
        <v>268</v>
      </c>
      <c r="DR274">
        <v>79674</v>
      </c>
      <c r="DS274">
        <v>648</v>
      </c>
      <c r="EW274" t="s">
        <v>333</v>
      </c>
      <c r="FK274" t="s">
        <v>1068</v>
      </c>
      <c r="FM274">
        <v>26.5</v>
      </c>
      <c r="FR274" t="s">
        <v>295</v>
      </c>
      <c r="GC274">
        <v>80</v>
      </c>
      <c r="GE274">
        <v>85</v>
      </c>
      <c r="GF274" t="s">
        <v>572</v>
      </c>
      <c r="GJ274">
        <v>7</v>
      </c>
      <c r="GL274">
        <v>8</v>
      </c>
      <c r="GM274" t="s">
        <v>356</v>
      </c>
      <c r="GQ274">
        <v>7.5</v>
      </c>
      <c r="GS274">
        <v>8.5</v>
      </c>
      <c r="GU274">
        <v>12</v>
      </c>
      <c r="GZ274" t="s">
        <v>296</v>
      </c>
      <c r="HH274" t="s">
        <v>272</v>
      </c>
      <c r="ID274" t="s">
        <v>1069</v>
      </c>
      <c r="IE274" t="s">
        <v>1070</v>
      </c>
      <c r="IF274">
        <v>4043</v>
      </c>
      <c r="IG274" t="s">
        <v>1071</v>
      </c>
      <c r="IH274" t="s">
        <v>1072</v>
      </c>
      <c r="II274">
        <v>1990</v>
      </c>
      <c r="IJ274" t="s">
        <v>1073</v>
      </c>
    </row>
    <row r="275" spans="1:244" x14ac:dyDescent="0.45">
      <c r="A275">
        <v>1056809</v>
      </c>
      <c r="B275">
        <v>125476</v>
      </c>
      <c r="C275">
        <v>7440508</v>
      </c>
      <c r="D275" t="s">
        <v>1063</v>
      </c>
      <c r="F275" t="s">
        <v>327</v>
      </c>
      <c r="G275" t="s">
        <v>246</v>
      </c>
      <c r="N275" t="s">
        <v>1064</v>
      </c>
      <c r="O275" t="s">
        <v>1065</v>
      </c>
      <c r="P275" t="s">
        <v>249</v>
      </c>
      <c r="Q275" t="s">
        <v>250</v>
      </c>
      <c r="R275" t="s">
        <v>251</v>
      </c>
      <c r="T275" t="s">
        <v>252</v>
      </c>
      <c r="U275" t="s">
        <v>253</v>
      </c>
      <c r="V275" t="s">
        <v>304</v>
      </c>
      <c r="W275" t="s">
        <v>1066</v>
      </c>
      <c r="X275" t="s">
        <v>1067</v>
      </c>
      <c r="Z275" t="s">
        <v>284</v>
      </c>
      <c r="AB275">
        <v>2</v>
      </c>
      <c r="AG275" t="s">
        <v>598</v>
      </c>
      <c r="AM275" t="s">
        <v>317</v>
      </c>
      <c r="AN275" t="s">
        <v>259</v>
      </c>
      <c r="AO275" t="s">
        <v>260</v>
      </c>
      <c r="AQ275" t="s">
        <v>261</v>
      </c>
      <c r="AS275">
        <v>110</v>
      </c>
      <c r="AX275" t="s">
        <v>262</v>
      </c>
      <c r="BO275" t="s">
        <v>261</v>
      </c>
      <c r="BQ275">
        <v>0.11</v>
      </c>
      <c r="BV275" t="s">
        <v>263</v>
      </c>
      <c r="CM275" t="s">
        <v>264</v>
      </c>
      <c r="CN275" t="s">
        <v>264</v>
      </c>
      <c r="CP275" t="s">
        <v>265</v>
      </c>
      <c r="DB275">
        <v>4</v>
      </c>
      <c r="DG275" t="s">
        <v>267</v>
      </c>
      <c r="DI275">
        <v>96</v>
      </c>
      <c r="DN275" t="s">
        <v>268</v>
      </c>
      <c r="DR275">
        <v>79674</v>
      </c>
      <c r="DS275">
        <v>648</v>
      </c>
      <c r="EW275" t="s">
        <v>333</v>
      </c>
      <c r="FK275" t="s">
        <v>1068</v>
      </c>
      <c r="FM275">
        <v>26.5</v>
      </c>
      <c r="FR275" t="s">
        <v>295</v>
      </c>
      <c r="GC275">
        <v>80</v>
      </c>
      <c r="GE275">
        <v>85</v>
      </c>
      <c r="GF275" t="s">
        <v>572</v>
      </c>
      <c r="GJ275">
        <v>7</v>
      </c>
      <c r="GL275">
        <v>8</v>
      </c>
      <c r="GM275" t="s">
        <v>356</v>
      </c>
      <c r="GQ275">
        <v>7.5</v>
      </c>
      <c r="GS275">
        <v>8.5</v>
      </c>
      <c r="GU275">
        <v>12</v>
      </c>
      <c r="GZ275" t="s">
        <v>296</v>
      </c>
      <c r="HH275" t="s">
        <v>272</v>
      </c>
      <c r="ID275" t="s">
        <v>1069</v>
      </c>
      <c r="IE275" t="s">
        <v>1070</v>
      </c>
      <c r="IF275">
        <v>4043</v>
      </c>
      <c r="IG275" t="s">
        <v>1071</v>
      </c>
      <c r="IH275" t="s">
        <v>1072</v>
      </c>
      <c r="II275">
        <v>1990</v>
      </c>
      <c r="IJ275" t="s">
        <v>1073</v>
      </c>
    </row>
    <row r="276" spans="1:244" x14ac:dyDescent="0.45">
      <c r="A276">
        <v>2140909</v>
      </c>
      <c r="B276">
        <v>2264440</v>
      </c>
      <c r="C276">
        <v>7440508</v>
      </c>
      <c r="D276" t="s">
        <v>1063</v>
      </c>
      <c r="F276" t="s">
        <v>245</v>
      </c>
      <c r="G276" t="s">
        <v>272</v>
      </c>
      <c r="N276" t="s">
        <v>452</v>
      </c>
      <c r="O276" t="s">
        <v>346</v>
      </c>
      <c r="P276" t="s">
        <v>249</v>
      </c>
      <c r="Q276" t="s">
        <v>250</v>
      </c>
      <c r="R276" t="s">
        <v>251</v>
      </c>
      <c r="T276" t="s">
        <v>347</v>
      </c>
      <c r="U276" t="s">
        <v>348</v>
      </c>
      <c r="V276" t="s">
        <v>349</v>
      </c>
      <c r="W276" t="s">
        <v>350</v>
      </c>
      <c r="X276" t="s">
        <v>453</v>
      </c>
      <c r="Z276" t="s">
        <v>315</v>
      </c>
      <c r="AH276" t="s">
        <v>753</v>
      </c>
      <c r="AJ276" t="s">
        <v>354</v>
      </c>
      <c r="AL276" t="s">
        <v>753</v>
      </c>
      <c r="AM276" t="s">
        <v>287</v>
      </c>
      <c r="AN276" t="s">
        <v>259</v>
      </c>
      <c r="AO276" t="s">
        <v>260</v>
      </c>
      <c r="AP276">
        <v>11</v>
      </c>
      <c r="AQ276" t="s">
        <v>261</v>
      </c>
      <c r="AS276">
        <v>0.40400000000000003</v>
      </c>
      <c r="AU276">
        <v>0.20699999999999999</v>
      </c>
      <c r="AW276">
        <v>0.56599999999999995</v>
      </c>
      <c r="AX276" t="s">
        <v>422</v>
      </c>
      <c r="BO276" t="s">
        <v>261</v>
      </c>
      <c r="BQ276">
        <v>0.40400000000000003</v>
      </c>
      <c r="BS276">
        <v>0.20699999999999999</v>
      </c>
      <c r="BU276">
        <v>0.56599999999999995</v>
      </c>
      <c r="BV276" t="s">
        <v>263</v>
      </c>
      <c r="CM276" t="s">
        <v>264</v>
      </c>
      <c r="CN276" t="s">
        <v>264</v>
      </c>
      <c r="CP276" t="s">
        <v>265</v>
      </c>
      <c r="CQ276" t="s">
        <v>394</v>
      </c>
      <c r="DB276">
        <v>4</v>
      </c>
      <c r="DG276" t="s">
        <v>267</v>
      </c>
      <c r="DI276">
        <v>96</v>
      </c>
      <c r="DN276" t="s">
        <v>268</v>
      </c>
      <c r="DR276">
        <v>85549</v>
      </c>
      <c r="DS276">
        <v>366</v>
      </c>
      <c r="DT276" t="s">
        <v>754</v>
      </c>
      <c r="DV276">
        <v>96</v>
      </c>
      <c r="EA276" t="s">
        <v>268</v>
      </c>
      <c r="EC276">
        <v>4</v>
      </c>
      <c r="EH276" t="s">
        <v>267</v>
      </c>
      <c r="EJ276">
        <v>96</v>
      </c>
      <c r="EO276" t="s">
        <v>268</v>
      </c>
      <c r="EQ276">
        <v>4</v>
      </c>
      <c r="EV276" t="s">
        <v>267</v>
      </c>
      <c r="EW276" t="s">
        <v>293</v>
      </c>
      <c r="EY276" t="s">
        <v>377</v>
      </c>
      <c r="FA276" t="s">
        <v>755</v>
      </c>
      <c r="FK276" t="s">
        <v>756</v>
      </c>
      <c r="FM276">
        <v>28</v>
      </c>
      <c r="FR276" t="s">
        <v>295</v>
      </c>
      <c r="GI276" t="s">
        <v>288</v>
      </c>
      <c r="GJ276">
        <v>0</v>
      </c>
      <c r="GK276" t="s">
        <v>289</v>
      </c>
      <c r="GL276">
        <v>10</v>
      </c>
      <c r="GM276" t="s">
        <v>356</v>
      </c>
      <c r="GO276">
        <v>7.5</v>
      </c>
      <c r="GU276">
        <v>40</v>
      </c>
      <c r="GZ276" t="s">
        <v>296</v>
      </c>
      <c r="HH276" t="s">
        <v>272</v>
      </c>
      <c r="ID276" t="s">
        <v>757</v>
      </c>
      <c r="IE276" t="s">
        <v>758</v>
      </c>
      <c r="IF276">
        <v>165375</v>
      </c>
      <c r="IG276" t="s">
        <v>759</v>
      </c>
      <c r="IH276" t="s">
        <v>760</v>
      </c>
      <c r="II276">
        <v>2012</v>
      </c>
      <c r="IJ276" t="s">
        <v>761</v>
      </c>
    </row>
    <row r="277" spans="1:244" x14ac:dyDescent="0.45">
      <c r="A277">
        <v>1058819</v>
      </c>
      <c r="B277">
        <v>232608</v>
      </c>
      <c r="C277">
        <v>7440508</v>
      </c>
      <c r="D277" t="s">
        <v>1063</v>
      </c>
      <c r="E277" t="s">
        <v>439</v>
      </c>
      <c r="F277" t="s">
        <v>245</v>
      </c>
      <c r="G277" t="s">
        <v>246</v>
      </c>
      <c r="N277" t="s">
        <v>499</v>
      </c>
      <c r="O277" t="s">
        <v>925</v>
      </c>
      <c r="P277" t="s">
        <v>249</v>
      </c>
      <c r="Q277" t="s">
        <v>250</v>
      </c>
      <c r="R277" t="s">
        <v>251</v>
      </c>
      <c r="T277" t="s">
        <v>252</v>
      </c>
      <c r="U277" t="s">
        <v>499</v>
      </c>
      <c r="Z277" t="s">
        <v>315</v>
      </c>
      <c r="AJ277" t="s">
        <v>285</v>
      </c>
      <c r="AL277" t="s">
        <v>926</v>
      </c>
      <c r="AM277" t="s">
        <v>317</v>
      </c>
      <c r="AN277" t="s">
        <v>259</v>
      </c>
      <c r="AO277" t="s">
        <v>260</v>
      </c>
      <c r="AP277">
        <v>6</v>
      </c>
      <c r="AQ277" t="s">
        <v>261</v>
      </c>
      <c r="AS277">
        <v>0.23899999999999999</v>
      </c>
      <c r="AU277">
        <v>0.18</v>
      </c>
      <c r="AW277">
        <v>0.317</v>
      </c>
      <c r="AX277" t="s">
        <v>262</v>
      </c>
      <c r="BO277" t="s">
        <v>261</v>
      </c>
      <c r="BQ277">
        <v>2.3900000000000001E-4</v>
      </c>
      <c r="BS277">
        <v>1.8000000000000001E-4</v>
      </c>
      <c r="BU277">
        <v>3.1700000000000001E-4</v>
      </c>
      <c r="BV277" t="s">
        <v>263</v>
      </c>
      <c r="CM277" t="s">
        <v>264</v>
      </c>
      <c r="CN277" t="s">
        <v>264</v>
      </c>
      <c r="CP277" t="s">
        <v>265</v>
      </c>
      <c r="CQ277" t="s">
        <v>394</v>
      </c>
      <c r="DB277">
        <v>1.25</v>
      </c>
      <c r="DG277" t="s">
        <v>267</v>
      </c>
      <c r="DI277">
        <v>30</v>
      </c>
      <c r="DN277" t="s">
        <v>268</v>
      </c>
      <c r="DR277">
        <v>6821</v>
      </c>
      <c r="DS277">
        <v>1044</v>
      </c>
      <c r="DT277" t="s">
        <v>927</v>
      </c>
      <c r="EW277" t="s">
        <v>272</v>
      </c>
      <c r="FK277" t="s">
        <v>1077</v>
      </c>
      <c r="FO277">
        <v>29.5</v>
      </c>
      <c r="FQ277">
        <v>30.5</v>
      </c>
      <c r="FR277" t="s">
        <v>295</v>
      </c>
      <c r="GJ277">
        <v>4.2</v>
      </c>
      <c r="GL277">
        <v>5.2</v>
      </c>
      <c r="GM277" t="s">
        <v>356</v>
      </c>
      <c r="GQ277">
        <v>7.1</v>
      </c>
      <c r="GS277">
        <v>7.8</v>
      </c>
      <c r="GW277">
        <v>29.5</v>
      </c>
      <c r="GY277">
        <v>30.5</v>
      </c>
      <c r="GZ277" t="s">
        <v>296</v>
      </c>
      <c r="HH277" t="s">
        <v>272</v>
      </c>
      <c r="ID277" t="s">
        <v>1078</v>
      </c>
      <c r="IE277" t="s">
        <v>930</v>
      </c>
      <c r="IF277">
        <v>4336</v>
      </c>
      <c r="IG277" t="s">
        <v>931</v>
      </c>
      <c r="IH277" t="s">
        <v>932</v>
      </c>
      <c r="II277">
        <v>1993</v>
      </c>
      <c r="IJ277" t="s">
        <v>933</v>
      </c>
    </row>
    <row r="278" spans="1:244" x14ac:dyDescent="0.45">
      <c r="A278">
        <v>1056813</v>
      </c>
      <c r="B278">
        <v>125480</v>
      </c>
      <c r="C278">
        <v>7440508</v>
      </c>
      <c r="D278" t="s">
        <v>1063</v>
      </c>
      <c r="F278" t="s">
        <v>327</v>
      </c>
      <c r="G278" t="s">
        <v>246</v>
      </c>
      <c r="N278" t="s">
        <v>1064</v>
      </c>
      <c r="O278" t="s">
        <v>1065</v>
      </c>
      <c r="P278" t="s">
        <v>249</v>
      </c>
      <c r="Q278" t="s">
        <v>250</v>
      </c>
      <c r="R278" t="s">
        <v>251</v>
      </c>
      <c r="T278" t="s">
        <v>252</v>
      </c>
      <c r="U278" t="s">
        <v>253</v>
      </c>
      <c r="V278" t="s">
        <v>304</v>
      </c>
      <c r="W278" t="s">
        <v>1066</v>
      </c>
      <c r="X278" t="s">
        <v>1067</v>
      </c>
      <c r="Z278" t="s">
        <v>284</v>
      </c>
      <c r="AB278">
        <v>3</v>
      </c>
      <c r="AG278" t="s">
        <v>598</v>
      </c>
      <c r="AM278" t="s">
        <v>317</v>
      </c>
      <c r="AN278" t="s">
        <v>259</v>
      </c>
      <c r="AO278" t="s">
        <v>260</v>
      </c>
      <c r="AQ278" t="s">
        <v>261</v>
      </c>
      <c r="AS278">
        <v>115</v>
      </c>
      <c r="AX278" t="s">
        <v>262</v>
      </c>
      <c r="BO278" t="s">
        <v>261</v>
      </c>
      <c r="BQ278">
        <v>0.115</v>
      </c>
      <c r="BV278" t="s">
        <v>263</v>
      </c>
      <c r="CM278" t="s">
        <v>264</v>
      </c>
      <c r="CN278" t="s">
        <v>264</v>
      </c>
      <c r="CP278" t="s">
        <v>265</v>
      </c>
      <c r="DB278">
        <v>4</v>
      </c>
      <c r="DG278" t="s">
        <v>267</v>
      </c>
      <c r="DI278">
        <v>96</v>
      </c>
      <c r="DN278" t="s">
        <v>268</v>
      </c>
      <c r="DR278">
        <v>79674</v>
      </c>
      <c r="DS278">
        <v>648</v>
      </c>
      <c r="EW278" t="s">
        <v>333</v>
      </c>
      <c r="FK278" t="s">
        <v>1068</v>
      </c>
      <c r="FM278">
        <v>26.5</v>
      </c>
      <c r="FR278" t="s">
        <v>295</v>
      </c>
      <c r="GC278">
        <v>80</v>
      </c>
      <c r="GE278">
        <v>85</v>
      </c>
      <c r="GF278" t="s">
        <v>572</v>
      </c>
      <c r="GJ278">
        <v>7</v>
      </c>
      <c r="GL278">
        <v>8</v>
      </c>
      <c r="GM278" t="s">
        <v>356</v>
      </c>
      <c r="GQ278">
        <v>7.5</v>
      </c>
      <c r="GS278">
        <v>8.5</v>
      </c>
      <c r="GU278">
        <v>12</v>
      </c>
      <c r="GZ278" t="s">
        <v>296</v>
      </c>
      <c r="HH278" t="s">
        <v>272</v>
      </c>
      <c r="ID278" t="s">
        <v>1069</v>
      </c>
      <c r="IE278" t="s">
        <v>1070</v>
      </c>
      <c r="IF278">
        <v>4043</v>
      </c>
      <c r="IG278" t="s">
        <v>1071</v>
      </c>
      <c r="IH278" t="s">
        <v>1072</v>
      </c>
      <c r="II278">
        <v>1990</v>
      </c>
      <c r="IJ278" t="s">
        <v>1073</v>
      </c>
    </row>
    <row r="279" spans="1:244" x14ac:dyDescent="0.45">
      <c r="A279">
        <v>1056834</v>
      </c>
      <c r="B279">
        <v>125501</v>
      </c>
      <c r="C279">
        <v>7440508</v>
      </c>
      <c r="D279" t="s">
        <v>1063</v>
      </c>
      <c r="F279" t="s">
        <v>327</v>
      </c>
      <c r="G279" t="s">
        <v>246</v>
      </c>
      <c r="N279" t="s">
        <v>1064</v>
      </c>
      <c r="O279" t="s">
        <v>1065</v>
      </c>
      <c r="P279" t="s">
        <v>249</v>
      </c>
      <c r="Q279" t="s">
        <v>250</v>
      </c>
      <c r="R279" t="s">
        <v>251</v>
      </c>
      <c r="T279" t="s">
        <v>252</v>
      </c>
      <c r="U279" t="s">
        <v>253</v>
      </c>
      <c r="V279" t="s">
        <v>304</v>
      </c>
      <c r="W279" t="s">
        <v>1066</v>
      </c>
      <c r="X279" t="s">
        <v>1067</v>
      </c>
      <c r="Z279" t="s">
        <v>284</v>
      </c>
      <c r="AB279">
        <v>9</v>
      </c>
      <c r="AG279" t="s">
        <v>598</v>
      </c>
      <c r="AM279" t="s">
        <v>317</v>
      </c>
      <c r="AN279" t="s">
        <v>259</v>
      </c>
      <c r="AO279" t="s">
        <v>260</v>
      </c>
      <c r="AQ279" t="s">
        <v>261</v>
      </c>
      <c r="AS279">
        <v>750</v>
      </c>
      <c r="AX279" t="s">
        <v>262</v>
      </c>
      <c r="BO279" t="s">
        <v>261</v>
      </c>
      <c r="BQ279">
        <v>0.75</v>
      </c>
      <c r="BV279" t="s">
        <v>263</v>
      </c>
      <c r="CM279" t="s">
        <v>264</v>
      </c>
      <c r="CN279" t="s">
        <v>264</v>
      </c>
      <c r="CP279" t="s">
        <v>265</v>
      </c>
      <c r="DB279">
        <v>1</v>
      </c>
      <c r="DG279" t="s">
        <v>267</v>
      </c>
      <c r="DI279">
        <v>24</v>
      </c>
      <c r="DN279" t="s">
        <v>268</v>
      </c>
      <c r="DR279">
        <v>79674</v>
      </c>
      <c r="DS279">
        <v>648</v>
      </c>
      <c r="EW279" t="s">
        <v>333</v>
      </c>
      <c r="FK279" t="s">
        <v>1068</v>
      </c>
      <c r="FM279">
        <v>26.5</v>
      </c>
      <c r="FR279" t="s">
        <v>295</v>
      </c>
      <c r="GC279">
        <v>80</v>
      </c>
      <c r="GE279">
        <v>85</v>
      </c>
      <c r="GF279" t="s">
        <v>572</v>
      </c>
      <c r="GJ279">
        <v>7</v>
      </c>
      <c r="GL279">
        <v>8</v>
      </c>
      <c r="GM279" t="s">
        <v>356</v>
      </c>
      <c r="GQ279">
        <v>7.5</v>
      </c>
      <c r="GS279">
        <v>8.5</v>
      </c>
      <c r="GU279">
        <v>12</v>
      </c>
      <c r="GZ279" t="s">
        <v>296</v>
      </c>
      <c r="HH279" t="s">
        <v>272</v>
      </c>
      <c r="ID279" t="s">
        <v>1069</v>
      </c>
      <c r="IE279" t="s">
        <v>1070</v>
      </c>
      <c r="IF279">
        <v>4043</v>
      </c>
      <c r="IG279" t="s">
        <v>1071</v>
      </c>
      <c r="IH279" t="s">
        <v>1072</v>
      </c>
      <c r="II279">
        <v>1990</v>
      </c>
      <c r="IJ279" t="s">
        <v>1073</v>
      </c>
    </row>
    <row r="280" spans="1:244" x14ac:dyDescent="0.45">
      <c r="A280">
        <v>1056811</v>
      </c>
      <c r="B280">
        <v>125478</v>
      </c>
      <c r="C280">
        <v>7440508</v>
      </c>
      <c r="D280" t="s">
        <v>1063</v>
      </c>
      <c r="F280" t="s">
        <v>327</v>
      </c>
      <c r="G280" t="s">
        <v>246</v>
      </c>
      <c r="N280" t="s">
        <v>1064</v>
      </c>
      <c r="O280" t="s">
        <v>1065</v>
      </c>
      <c r="P280" t="s">
        <v>249</v>
      </c>
      <c r="Q280" t="s">
        <v>250</v>
      </c>
      <c r="R280" t="s">
        <v>251</v>
      </c>
      <c r="T280" t="s">
        <v>252</v>
      </c>
      <c r="U280" t="s">
        <v>253</v>
      </c>
      <c r="V280" t="s">
        <v>304</v>
      </c>
      <c r="W280" t="s">
        <v>1066</v>
      </c>
      <c r="X280" t="s">
        <v>1067</v>
      </c>
      <c r="Z280" t="s">
        <v>284</v>
      </c>
      <c r="AB280">
        <v>3</v>
      </c>
      <c r="AG280" t="s">
        <v>598</v>
      </c>
      <c r="AM280" t="s">
        <v>317</v>
      </c>
      <c r="AN280" t="s">
        <v>259</v>
      </c>
      <c r="AO280" t="s">
        <v>260</v>
      </c>
      <c r="AQ280" t="s">
        <v>261</v>
      </c>
      <c r="AS280">
        <v>240</v>
      </c>
      <c r="AX280" t="s">
        <v>262</v>
      </c>
      <c r="BO280" t="s">
        <v>261</v>
      </c>
      <c r="BQ280">
        <v>0.24</v>
      </c>
      <c r="BV280" t="s">
        <v>263</v>
      </c>
      <c r="CM280" t="s">
        <v>264</v>
      </c>
      <c r="CN280" t="s">
        <v>264</v>
      </c>
      <c r="CP280" t="s">
        <v>265</v>
      </c>
      <c r="DB280">
        <v>2</v>
      </c>
      <c r="DG280" t="s">
        <v>267</v>
      </c>
      <c r="DI280">
        <v>48</v>
      </c>
      <c r="DN280" t="s">
        <v>268</v>
      </c>
      <c r="DR280">
        <v>79674</v>
      </c>
      <c r="DS280">
        <v>648</v>
      </c>
      <c r="EW280" t="s">
        <v>333</v>
      </c>
      <c r="FK280" t="s">
        <v>1068</v>
      </c>
      <c r="FM280">
        <v>26.5</v>
      </c>
      <c r="FR280" t="s">
        <v>295</v>
      </c>
      <c r="GC280">
        <v>80</v>
      </c>
      <c r="GE280">
        <v>85</v>
      </c>
      <c r="GF280" t="s">
        <v>572</v>
      </c>
      <c r="GJ280">
        <v>7</v>
      </c>
      <c r="GL280">
        <v>8</v>
      </c>
      <c r="GM280" t="s">
        <v>356</v>
      </c>
      <c r="GQ280">
        <v>7.5</v>
      </c>
      <c r="GS280">
        <v>8.5</v>
      </c>
      <c r="GU280">
        <v>12</v>
      </c>
      <c r="GZ280" t="s">
        <v>296</v>
      </c>
      <c r="HH280" t="s">
        <v>272</v>
      </c>
      <c r="ID280" t="s">
        <v>1069</v>
      </c>
      <c r="IE280" t="s">
        <v>1070</v>
      </c>
      <c r="IF280">
        <v>4043</v>
      </c>
      <c r="IG280" t="s">
        <v>1071</v>
      </c>
      <c r="IH280" t="s">
        <v>1072</v>
      </c>
      <c r="II280">
        <v>1990</v>
      </c>
      <c r="IJ280" t="s">
        <v>1073</v>
      </c>
    </row>
    <row r="281" spans="1:244" x14ac:dyDescent="0.45">
      <c r="A281">
        <v>1205310</v>
      </c>
      <c r="B281">
        <v>203497</v>
      </c>
      <c r="C281">
        <v>7440508</v>
      </c>
      <c r="D281" t="s">
        <v>1063</v>
      </c>
      <c r="F281" t="s">
        <v>245</v>
      </c>
      <c r="G281" t="s">
        <v>246</v>
      </c>
      <c r="N281" t="s">
        <v>690</v>
      </c>
      <c r="O281" t="s">
        <v>691</v>
      </c>
      <c r="P281" t="s">
        <v>249</v>
      </c>
      <c r="Q281" t="s">
        <v>250</v>
      </c>
      <c r="R281" t="s">
        <v>251</v>
      </c>
      <c r="T281" t="s">
        <v>252</v>
      </c>
      <c r="U281" t="s">
        <v>253</v>
      </c>
      <c r="V281" t="s">
        <v>418</v>
      </c>
      <c r="W281" t="s">
        <v>419</v>
      </c>
      <c r="X281" t="s">
        <v>692</v>
      </c>
      <c r="AM281" t="s">
        <v>287</v>
      </c>
      <c r="AN281" t="s">
        <v>259</v>
      </c>
      <c r="AO281" t="s">
        <v>260</v>
      </c>
      <c r="AQ281" t="s">
        <v>261</v>
      </c>
      <c r="AS281">
        <v>85</v>
      </c>
      <c r="AU281">
        <v>52</v>
      </c>
      <c r="AW281">
        <v>138</v>
      </c>
      <c r="AX281" t="s">
        <v>262</v>
      </c>
      <c r="BO281" t="s">
        <v>261</v>
      </c>
      <c r="BQ281">
        <v>8.5000000000000006E-2</v>
      </c>
      <c r="BS281">
        <v>5.1999999999999998E-2</v>
      </c>
      <c r="BU281">
        <v>0.13800000000000001</v>
      </c>
      <c r="BV281" t="s">
        <v>263</v>
      </c>
      <c r="CM281" t="s">
        <v>264</v>
      </c>
      <c r="CN281" t="s">
        <v>264</v>
      </c>
      <c r="CP281" t="s">
        <v>265</v>
      </c>
      <c r="CQ281" t="s">
        <v>394</v>
      </c>
      <c r="DB281">
        <v>2</v>
      </c>
      <c r="DG281" t="s">
        <v>267</v>
      </c>
      <c r="DI281">
        <v>48</v>
      </c>
      <c r="DN281" t="s">
        <v>268</v>
      </c>
      <c r="DR281">
        <v>139456</v>
      </c>
      <c r="DS281">
        <v>3044</v>
      </c>
      <c r="EW281" t="s">
        <v>272</v>
      </c>
      <c r="HH281" t="s">
        <v>272</v>
      </c>
      <c r="IE281" t="s">
        <v>693</v>
      </c>
      <c r="IF281">
        <v>18730</v>
      </c>
      <c r="IG281" t="s">
        <v>694</v>
      </c>
      <c r="IH281" t="s">
        <v>695</v>
      </c>
      <c r="II281">
        <v>1995</v>
      </c>
      <c r="IJ281" t="s">
        <v>696</v>
      </c>
    </row>
    <row r="282" spans="1:244" x14ac:dyDescent="0.45">
      <c r="A282">
        <v>1056802</v>
      </c>
      <c r="B282">
        <v>125469</v>
      </c>
      <c r="C282">
        <v>7440508</v>
      </c>
      <c r="D282" t="s">
        <v>1063</v>
      </c>
      <c r="F282" t="s">
        <v>327</v>
      </c>
      <c r="G282" t="s">
        <v>246</v>
      </c>
      <c r="N282" t="s">
        <v>1064</v>
      </c>
      <c r="O282" t="s">
        <v>1065</v>
      </c>
      <c r="P282" t="s">
        <v>249</v>
      </c>
      <c r="Q282" t="s">
        <v>250</v>
      </c>
      <c r="R282" t="s">
        <v>251</v>
      </c>
      <c r="T282" t="s">
        <v>252</v>
      </c>
      <c r="U282" t="s">
        <v>253</v>
      </c>
      <c r="V282" t="s">
        <v>304</v>
      </c>
      <c r="W282" t="s">
        <v>1066</v>
      </c>
      <c r="X282" t="s">
        <v>1067</v>
      </c>
      <c r="Z282" t="s">
        <v>284</v>
      </c>
      <c r="AB282">
        <v>1</v>
      </c>
      <c r="AG282" t="s">
        <v>598</v>
      </c>
      <c r="AM282" t="s">
        <v>317</v>
      </c>
      <c r="AN282" t="s">
        <v>259</v>
      </c>
      <c r="AO282" t="s">
        <v>260</v>
      </c>
      <c r="AQ282" t="s">
        <v>261</v>
      </c>
      <c r="AS282">
        <v>215</v>
      </c>
      <c r="AX282" t="s">
        <v>262</v>
      </c>
      <c r="BO282" t="s">
        <v>261</v>
      </c>
      <c r="BQ282">
        <v>0.215</v>
      </c>
      <c r="BV282" t="s">
        <v>263</v>
      </c>
      <c r="CM282" t="s">
        <v>264</v>
      </c>
      <c r="CN282" t="s">
        <v>264</v>
      </c>
      <c r="CP282" t="s">
        <v>265</v>
      </c>
      <c r="DB282">
        <v>1</v>
      </c>
      <c r="DG282" t="s">
        <v>267</v>
      </c>
      <c r="DI282">
        <v>24</v>
      </c>
      <c r="DN282" t="s">
        <v>268</v>
      </c>
      <c r="DR282">
        <v>79674</v>
      </c>
      <c r="DS282">
        <v>648</v>
      </c>
      <c r="EW282" t="s">
        <v>333</v>
      </c>
      <c r="FK282" t="s">
        <v>1068</v>
      </c>
      <c r="FM282">
        <v>26.5</v>
      </c>
      <c r="FR282" t="s">
        <v>295</v>
      </c>
      <c r="GC282">
        <v>80</v>
      </c>
      <c r="GE282">
        <v>85</v>
      </c>
      <c r="GF282" t="s">
        <v>572</v>
      </c>
      <c r="GJ282">
        <v>7</v>
      </c>
      <c r="GL282">
        <v>8</v>
      </c>
      <c r="GM282" t="s">
        <v>356</v>
      </c>
      <c r="GQ282">
        <v>7.5</v>
      </c>
      <c r="GS282">
        <v>8.5</v>
      </c>
      <c r="GU282">
        <v>12</v>
      </c>
      <c r="GZ282" t="s">
        <v>296</v>
      </c>
      <c r="HH282" t="s">
        <v>272</v>
      </c>
      <c r="ID282" t="s">
        <v>1069</v>
      </c>
      <c r="IE282" t="s">
        <v>1070</v>
      </c>
      <c r="IF282">
        <v>4043</v>
      </c>
      <c r="IG282" t="s">
        <v>1071</v>
      </c>
      <c r="IH282" t="s">
        <v>1072</v>
      </c>
      <c r="II282">
        <v>1990</v>
      </c>
      <c r="IJ282" t="s">
        <v>1073</v>
      </c>
    </row>
    <row r="283" spans="1:244" x14ac:dyDescent="0.45">
      <c r="A283">
        <v>1056838</v>
      </c>
      <c r="B283">
        <v>125505</v>
      </c>
      <c r="C283">
        <v>7440508</v>
      </c>
      <c r="D283" t="s">
        <v>1063</v>
      </c>
      <c r="F283" t="s">
        <v>327</v>
      </c>
      <c r="G283" t="s">
        <v>246</v>
      </c>
      <c r="N283" t="s">
        <v>1064</v>
      </c>
      <c r="O283" t="s">
        <v>1065</v>
      </c>
      <c r="P283" t="s">
        <v>249</v>
      </c>
      <c r="Q283" t="s">
        <v>250</v>
      </c>
      <c r="R283" t="s">
        <v>251</v>
      </c>
      <c r="T283" t="s">
        <v>252</v>
      </c>
      <c r="U283" t="s">
        <v>253</v>
      </c>
      <c r="V283" t="s">
        <v>304</v>
      </c>
      <c r="W283" t="s">
        <v>1066</v>
      </c>
      <c r="X283" t="s">
        <v>1067</v>
      </c>
      <c r="Z283" t="s">
        <v>284</v>
      </c>
      <c r="AB283">
        <v>10</v>
      </c>
      <c r="AG283" t="s">
        <v>598</v>
      </c>
      <c r="AM283" t="s">
        <v>317</v>
      </c>
      <c r="AN283" t="s">
        <v>259</v>
      </c>
      <c r="AO283" t="s">
        <v>260</v>
      </c>
      <c r="AQ283" t="s">
        <v>261</v>
      </c>
      <c r="AS283">
        <v>740</v>
      </c>
      <c r="AX283" t="s">
        <v>262</v>
      </c>
      <c r="BO283" t="s">
        <v>261</v>
      </c>
      <c r="BQ283">
        <v>0.74</v>
      </c>
      <c r="BV283" t="s">
        <v>263</v>
      </c>
      <c r="CM283" t="s">
        <v>264</v>
      </c>
      <c r="CN283" t="s">
        <v>264</v>
      </c>
      <c r="CP283" t="s">
        <v>265</v>
      </c>
      <c r="DB283">
        <v>1</v>
      </c>
      <c r="DG283" t="s">
        <v>267</v>
      </c>
      <c r="DI283">
        <v>24</v>
      </c>
      <c r="DN283" t="s">
        <v>268</v>
      </c>
      <c r="DR283">
        <v>79674</v>
      </c>
      <c r="DS283">
        <v>648</v>
      </c>
      <c r="EW283" t="s">
        <v>333</v>
      </c>
      <c r="FK283" t="s">
        <v>1068</v>
      </c>
      <c r="FM283">
        <v>26.5</v>
      </c>
      <c r="FR283" t="s">
        <v>295</v>
      </c>
      <c r="GC283">
        <v>80</v>
      </c>
      <c r="GE283">
        <v>85</v>
      </c>
      <c r="GF283" t="s">
        <v>572</v>
      </c>
      <c r="GJ283">
        <v>7</v>
      </c>
      <c r="GL283">
        <v>8</v>
      </c>
      <c r="GM283" t="s">
        <v>356</v>
      </c>
      <c r="GQ283">
        <v>7.5</v>
      </c>
      <c r="GS283">
        <v>8.5</v>
      </c>
      <c r="GU283">
        <v>12</v>
      </c>
      <c r="GZ283" t="s">
        <v>296</v>
      </c>
      <c r="HH283" t="s">
        <v>272</v>
      </c>
      <c r="ID283" t="s">
        <v>1069</v>
      </c>
      <c r="IE283" t="s">
        <v>1070</v>
      </c>
      <c r="IF283">
        <v>4043</v>
      </c>
      <c r="IG283" t="s">
        <v>1071</v>
      </c>
      <c r="IH283" t="s">
        <v>1072</v>
      </c>
      <c r="II283">
        <v>1990</v>
      </c>
      <c r="IJ283" t="s">
        <v>1073</v>
      </c>
    </row>
    <row r="284" spans="1:244" x14ac:dyDescent="0.45">
      <c r="A284">
        <v>1058818</v>
      </c>
      <c r="B284">
        <v>232607</v>
      </c>
      <c r="C284">
        <v>7440508</v>
      </c>
      <c r="D284" t="s">
        <v>1063</v>
      </c>
      <c r="E284" t="s">
        <v>439</v>
      </c>
      <c r="F284" t="s">
        <v>245</v>
      </c>
      <c r="G284" t="s">
        <v>246</v>
      </c>
      <c r="N284" t="s">
        <v>499</v>
      </c>
      <c r="O284" t="s">
        <v>925</v>
      </c>
      <c r="P284" t="s">
        <v>249</v>
      </c>
      <c r="Q284" t="s">
        <v>250</v>
      </c>
      <c r="R284" t="s">
        <v>251</v>
      </c>
      <c r="T284" t="s">
        <v>252</v>
      </c>
      <c r="U284" t="s">
        <v>499</v>
      </c>
      <c r="Z284" t="s">
        <v>315</v>
      </c>
      <c r="AJ284" t="s">
        <v>285</v>
      </c>
      <c r="AL284" t="s">
        <v>926</v>
      </c>
      <c r="AM284" t="s">
        <v>317</v>
      </c>
      <c r="AN284" t="s">
        <v>259</v>
      </c>
      <c r="AO284" t="s">
        <v>260</v>
      </c>
      <c r="AP284">
        <v>6</v>
      </c>
      <c r="AQ284" t="s">
        <v>261</v>
      </c>
      <c r="AS284">
        <v>0.36399999999999999</v>
      </c>
      <c r="AU284">
        <v>0.184</v>
      </c>
      <c r="AW284">
        <v>0.72099999999999997</v>
      </c>
      <c r="AX284" t="s">
        <v>262</v>
      </c>
      <c r="BO284" t="s">
        <v>261</v>
      </c>
      <c r="BQ284">
        <v>3.6400000000000001E-4</v>
      </c>
      <c r="BS284">
        <v>1.84E-4</v>
      </c>
      <c r="BU284">
        <v>7.2099999999999996E-4</v>
      </c>
      <c r="BV284" t="s">
        <v>263</v>
      </c>
      <c r="CM284" t="s">
        <v>264</v>
      </c>
      <c r="CN284" t="s">
        <v>264</v>
      </c>
      <c r="CP284" t="s">
        <v>265</v>
      </c>
      <c r="CQ284" t="s">
        <v>394</v>
      </c>
      <c r="DB284">
        <v>1</v>
      </c>
      <c r="DG284" t="s">
        <v>267</v>
      </c>
      <c r="DI284">
        <v>24</v>
      </c>
      <c r="DN284" t="s">
        <v>268</v>
      </c>
      <c r="DR284">
        <v>6821</v>
      </c>
      <c r="DS284">
        <v>1044</v>
      </c>
      <c r="DT284" t="s">
        <v>927</v>
      </c>
      <c r="EW284" t="s">
        <v>272</v>
      </c>
      <c r="FK284" t="s">
        <v>1077</v>
      </c>
      <c r="FO284">
        <v>29.5</v>
      </c>
      <c r="FQ284">
        <v>30.5</v>
      </c>
      <c r="FR284" t="s">
        <v>295</v>
      </c>
      <c r="GJ284">
        <v>4.2</v>
      </c>
      <c r="GL284">
        <v>5.2</v>
      </c>
      <c r="GM284" t="s">
        <v>356</v>
      </c>
      <c r="GQ284">
        <v>7.1</v>
      </c>
      <c r="GS284">
        <v>7.8</v>
      </c>
      <c r="GW284">
        <v>29.5</v>
      </c>
      <c r="GY284">
        <v>30.5</v>
      </c>
      <c r="GZ284" t="s">
        <v>296</v>
      </c>
      <c r="HH284" t="s">
        <v>272</v>
      </c>
      <c r="ID284" t="s">
        <v>1078</v>
      </c>
      <c r="IE284" t="s">
        <v>930</v>
      </c>
      <c r="IF284">
        <v>4336</v>
      </c>
      <c r="IG284" t="s">
        <v>931</v>
      </c>
      <c r="IH284" t="s">
        <v>932</v>
      </c>
      <c r="II284">
        <v>1993</v>
      </c>
      <c r="IJ284" t="s">
        <v>933</v>
      </c>
    </row>
    <row r="285" spans="1:244" x14ac:dyDescent="0.45">
      <c r="A285">
        <v>1078809</v>
      </c>
      <c r="B285">
        <v>12516</v>
      </c>
      <c r="C285">
        <v>7440508</v>
      </c>
      <c r="D285" t="s">
        <v>1063</v>
      </c>
      <c r="F285" t="s">
        <v>245</v>
      </c>
      <c r="G285" t="s">
        <v>246</v>
      </c>
      <c r="N285" t="s">
        <v>632</v>
      </c>
      <c r="O285" t="s">
        <v>745</v>
      </c>
      <c r="P285" t="s">
        <v>249</v>
      </c>
      <c r="Q285" t="s">
        <v>250</v>
      </c>
      <c r="R285" t="s">
        <v>251</v>
      </c>
      <c r="T285" t="s">
        <v>389</v>
      </c>
      <c r="U285" t="s">
        <v>632</v>
      </c>
      <c r="AL285" t="s">
        <v>746</v>
      </c>
      <c r="AM285" t="s">
        <v>317</v>
      </c>
      <c r="AN285" t="s">
        <v>259</v>
      </c>
      <c r="AO285" t="s">
        <v>260</v>
      </c>
      <c r="AQ285" t="s">
        <v>261</v>
      </c>
      <c r="AS285">
        <v>45</v>
      </c>
      <c r="AX285" t="s">
        <v>262</v>
      </c>
      <c r="BO285" t="s">
        <v>261</v>
      </c>
      <c r="BQ285">
        <v>4.4999999999999998E-2</v>
      </c>
      <c r="BV285" t="s">
        <v>263</v>
      </c>
      <c r="CM285" t="s">
        <v>264</v>
      </c>
      <c r="CN285" t="s">
        <v>264</v>
      </c>
      <c r="CP285" t="s">
        <v>265</v>
      </c>
      <c r="CQ285" t="s">
        <v>394</v>
      </c>
      <c r="DB285">
        <v>4</v>
      </c>
      <c r="DG285" t="s">
        <v>267</v>
      </c>
      <c r="DI285">
        <v>96</v>
      </c>
      <c r="DN285" t="s">
        <v>268</v>
      </c>
      <c r="DR285">
        <v>6833</v>
      </c>
      <c r="DS285">
        <v>1138</v>
      </c>
      <c r="EW285" t="s">
        <v>271</v>
      </c>
      <c r="FK285" t="s">
        <v>1079</v>
      </c>
      <c r="FM285">
        <v>9</v>
      </c>
      <c r="FR285" t="s">
        <v>295</v>
      </c>
      <c r="HH285" t="s">
        <v>272</v>
      </c>
      <c r="ID285" t="s">
        <v>1080</v>
      </c>
      <c r="IE285" t="s">
        <v>749</v>
      </c>
      <c r="IF285">
        <v>6079</v>
      </c>
      <c r="IG285" t="s">
        <v>750</v>
      </c>
      <c r="IH285" t="s">
        <v>751</v>
      </c>
      <c r="II285">
        <v>1977</v>
      </c>
      <c r="IJ285" t="s">
        <v>752</v>
      </c>
    </row>
    <row r="286" spans="1:244" x14ac:dyDescent="0.45">
      <c r="A286">
        <v>1056815</v>
      </c>
      <c r="B286">
        <v>125482</v>
      </c>
      <c r="C286">
        <v>7440508</v>
      </c>
      <c r="D286" t="s">
        <v>1063</v>
      </c>
      <c r="F286" t="s">
        <v>327</v>
      </c>
      <c r="G286" t="s">
        <v>246</v>
      </c>
      <c r="N286" t="s">
        <v>1064</v>
      </c>
      <c r="O286" t="s">
        <v>1065</v>
      </c>
      <c r="P286" t="s">
        <v>249</v>
      </c>
      <c r="Q286" t="s">
        <v>250</v>
      </c>
      <c r="R286" t="s">
        <v>251</v>
      </c>
      <c r="T286" t="s">
        <v>252</v>
      </c>
      <c r="U286" t="s">
        <v>253</v>
      </c>
      <c r="V286" t="s">
        <v>304</v>
      </c>
      <c r="W286" t="s">
        <v>1066</v>
      </c>
      <c r="X286" t="s">
        <v>1067</v>
      </c>
      <c r="Z286" t="s">
        <v>284</v>
      </c>
      <c r="AB286">
        <v>4</v>
      </c>
      <c r="AG286" t="s">
        <v>598</v>
      </c>
      <c r="AM286" t="s">
        <v>317</v>
      </c>
      <c r="AN286" t="s">
        <v>259</v>
      </c>
      <c r="AO286" t="s">
        <v>260</v>
      </c>
      <c r="AQ286" t="s">
        <v>261</v>
      </c>
      <c r="AS286">
        <v>280</v>
      </c>
      <c r="AX286" t="s">
        <v>262</v>
      </c>
      <c r="BO286" t="s">
        <v>261</v>
      </c>
      <c r="BQ286">
        <v>0.28000000000000003</v>
      </c>
      <c r="BV286" t="s">
        <v>263</v>
      </c>
      <c r="CM286" t="s">
        <v>264</v>
      </c>
      <c r="CN286" t="s">
        <v>264</v>
      </c>
      <c r="CP286" t="s">
        <v>265</v>
      </c>
      <c r="DB286">
        <v>2</v>
      </c>
      <c r="DG286" t="s">
        <v>267</v>
      </c>
      <c r="DI286">
        <v>48</v>
      </c>
      <c r="DN286" t="s">
        <v>268</v>
      </c>
      <c r="DR286">
        <v>79674</v>
      </c>
      <c r="DS286">
        <v>648</v>
      </c>
      <c r="EW286" t="s">
        <v>333</v>
      </c>
      <c r="FK286" t="s">
        <v>1068</v>
      </c>
      <c r="FM286">
        <v>26.5</v>
      </c>
      <c r="FR286" t="s">
        <v>295</v>
      </c>
      <c r="GC286">
        <v>80</v>
      </c>
      <c r="GE286">
        <v>85</v>
      </c>
      <c r="GF286" t="s">
        <v>572</v>
      </c>
      <c r="GJ286">
        <v>7</v>
      </c>
      <c r="GL286">
        <v>8</v>
      </c>
      <c r="GM286" t="s">
        <v>356</v>
      </c>
      <c r="GQ286">
        <v>7.5</v>
      </c>
      <c r="GS286">
        <v>8.5</v>
      </c>
      <c r="GU286">
        <v>12</v>
      </c>
      <c r="GZ286" t="s">
        <v>296</v>
      </c>
      <c r="HH286" t="s">
        <v>272</v>
      </c>
      <c r="ID286" t="s">
        <v>1069</v>
      </c>
      <c r="IE286" t="s">
        <v>1070</v>
      </c>
      <c r="IF286">
        <v>4043</v>
      </c>
      <c r="IG286" t="s">
        <v>1071</v>
      </c>
      <c r="IH286" t="s">
        <v>1072</v>
      </c>
      <c r="II286">
        <v>1990</v>
      </c>
      <c r="IJ286" t="s">
        <v>1073</v>
      </c>
    </row>
    <row r="287" spans="1:244" x14ac:dyDescent="0.45">
      <c r="A287">
        <v>1056819</v>
      </c>
      <c r="B287">
        <v>125486</v>
      </c>
      <c r="C287">
        <v>7440508</v>
      </c>
      <c r="D287" t="s">
        <v>1063</v>
      </c>
      <c r="F287" t="s">
        <v>327</v>
      </c>
      <c r="G287" t="s">
        <v>246</v>
      </c>
      <c r="N287" t="s">
        <v>1064</v>
      </c>
      <c r="O287" t="s">
        <v>1065</v>
      </c>
      <c r="P287" t="s">
        <v>249</v>
      </c>
      <c r="Q287" t="s">
        <v>250</v>
      </c>
      <c r="R287" t="s">
        <v>251</v>
      </c>
      <c r="T287" t="s">
        <v>252</v>
      </c>
      <c r="U287" t="s">
        <v>253</v>
      </c>
      <c r="V287" t="s">
        <v>304</v>
      </c>
      <c r="W287" t="s">
        <v>1066</v>
      </c>
      <c r="X287" t="s">
        <v>1067</v>
      </c>
      <c r="Z287" t="s">
        <v>284</v>
      </c>
      <c r="AB287">
        <v>5</v>
      </c>
      <c r="AG287" t="s">
        <v>598</v>
      </c>
      <c r="AM287" t="s">
        <v>317</v>
      </c>
      <c r="AN287" t="s">
        <v>259</v>
      </c>
      <c r="AO287" t="s">
        <v>260</v>
      </c>
      <c r="AQ287" t="s">
        <v>261</v>
      </c>
      <c r="AS287">
        <v>255</v>
      </c>
      <c r="AX287" t="s">
        <v>262</v>
      </c>
      <c r="BO287" t="s">
        <v>261</v>
      </c>
      <c r="BQ287">
        <v>0.255</v>
      </c>
      <c r="BV287" t="s">
        <v>263</v>
      </c>
      <c r="CM287" t="s">
        <v>264</v>
      </c>
      <c r="CN287" t="s">
        <v>264</v>
      </c>
      <c r="CP287" t="s">
        <v>265</v>
      </c>
      <c r="DB287">
        <v>2</v>
      </c>
      <c r="DG287" t="s">
        <v>267</v>
      </c>
      <c r="DI287">
        <v>48</v>
      </c>
      <c r="DN287" t="s">
        <v>268</v>
      </c>
      <c r="DR287">
        <v>79674</v>
      </c>
      <c r="DS287">
        <v>648</v>
      </c>
      <c r="EW287" t="s">
        <v>333</v>
      </c>
      <c r="FK287" t="s">
        <v>1068</v>
      </c>
      <c r="FM287">
        <v>26.5</v>
      </c>
      <c r="FR287" t="s">
        <v>295</v>
      </c>
      <c r="GC287">
        <v>80</v>
      </c>
      <c r="GE287">
        <v>85</v>
      </c>
      <c r="GF287" t="s">
        <v>572</v>
      </c>
      <c r="GJ287">
        <v>7</v>
      </c>
      <c r="GL287">
        <v>8</v>
      </c>
      <c r="GM287" t="s">
        <v>356</v>
      </c>
      <c r="GQ287">
        <v>7.5</v>
      </c>
      <c r="GS287">
        <v>8.5</v>
      </c>
      <c r="GU287">
        <v>12</v>
      </c>
      <c r="GZ287" t="s">
        <v>296</v>
      </c>
      <c r="HH287" t="s">
        <v>272</v>
      </c>
      <c r="ID287" t="s">
        <v>1069</v>
      </c>
      <c r="IE287" t="s">
        <v>1070</v>
      </c>
      <c r="IF287">
        <v>4043</v>
      </c>
      <c r="IG287" t="s">
        <v>1071</v>
      </c>
      <c r="IH287" t="s">
        <v>1072</v>
      </c>
      <c r="II287">
        <v>1990</v>
      </c>
      <c r="IJ287" t="s">
        <v>1073</v>
      </c>
    </row>
    <row r="288" spans="1:244" x14ac:dyDescent="0.45">
      <c r="A288">
        <v>1056841</v>
      </c>
      <c r="B288">
        <v>125508</v>
      </c>
      <c r="C288">
        <v>7440508</v>
      </c>
      <c r="D288" t="s">
        <v>1063</v>
      </c>
      <c r="F288" t="s">
        <v>327</v>
      </c>
      <c r="G288" t="s">
        <v>246</v>
      </c>
      <c r="N288" t="s">
        <v>1064</v>
      </c>
      <c r="O288" t="s">
        <v>1065</v>
      </c>
      <c r="P288" t="s">
        <v>249</v>
      </c>
      <c r="Q288" t="s">
        <v>250</v>
      </c>
      <c r="R288" t="s">
        <v>251</v>
      </c>
      <c r="T288" t="s">
        <v>252</v>
      </c>
      <c r="U288" t="s">
        <v>253</v>
      </c>
      <c r="V288" t="s">
        <v>304</v>
      </c>
      <c r="W288" t="s">
        <v>1066</v>
      </c>
      <c r="X288" t="s">
        <v>1067</v>
      </c>
      <c r="Z288" t="s">
        <v>284</v>
      </c>
      <c r="AB288">
        <v>10</v>
      </c>
      <c r="AG288" t="s">
        <v>598</v>
      </c>
      <c r="AM288" t="s">
        <v>317</v>
      </c>
      <c r="AN288" t="s">
        <v>259</v>
      </c>
      <c r="AO288" t="s">
        <v>260</v>
      </c>
      <c r="AQ288" t="s">
        <v>261</v>
      </c>
      <c r="AS288">
        <v>260</v>
      </c>
      <c r="AX288" t="s">
        <v>262</v>
      </c>
      <c r="BO288" t="s">
        <v>261</v>
      </c>
      <c r="BQ288">
        <v>0.26</v>
      </c>
      <c r="BV288" t="s">
        <v>263</v>
      </c>
      <c r="CM288" t="s">
        <v>264</v>
      </c>
      <c r="CN288" t="s">
        <v>264</v>
      </c>
      <c r="CP288" t="s">
        <v>265</v>
      </c>
      <c r="DB288">
        <v>4</v>
      </c>
      <c r="DG288" t="s">
        <v>267</v>
      </c>
      <c r="DI288">
        <v>96</v>
      </c>
      <c r="DN288" t="s">
        <v>268</v>
      </c>
      <c r="DR288">
        <v>79674</v>
      </c>
      <c r="DS288">
        <v>648</v>
      </c>
      <c r="EW288" t="s">
        <v>333</v>
      </c>
      <c r="FK288" t="s">
        <v>1068</v>
      </c>
      <c r="FM288">
        <v>26.5</v>
      </c>
      <c r="FR288" t="s">
        <v>295</v>
      </c>
      <c r="GC288">
        <v>80</v>
      </c>
      <c r="GE288">
        <v>85</v>
      </c>
      <c r="GF288" t="s">
        <v>572</v>
      </c>
      <c r="GJ288">
        <v>7</v>
      </c>
      <c r="GL288">
        <v>8</v>
      </c>
      <c r="GM288" t="s">
        <v>356</v>
      </c>
      <c r="GQ288">
        <v>7.5</v>
      </c>
      <c r="GS288">
        <v>8.5</v>
      </c>
      <c r="GU288">
        <v>12</v>
      </c>
      <c r="GZ288" t="s">
        <v>296</v>
      </c>
      <c r="HH288" t="s">
        <v>272</v>
      </c>
      <c r="ID288" t="s">
        <v>1069</v>
      </c>
      <c r="IE288" t="s">
        <v>1070</v>
      </c>
      <c r="IF288">
        <v>4043</v>
      </c>
      <c r="IG288" t="s">
        <v>1071</v>
      </c>
      <c r="IH288" t="s">
        <v>1072</v>
      </c>
      <c r="II288">
        <v>1990</v>
      </c>
      <c r="IJ288" t="s">
        <v>1073</v>
      </c>
    </row>
    <row r="289" spans="1:244" x14ac:dyDescent="0.45">
      <c r="A289">
        <v>2140907</v>
      </c>
      <c r="B289">
        <v>2264438</v>
      </c>
      <c r="C289">
        <v>7440508</v>
      </c>
      <c r="D289" t="s">
        <v>1063</v>
      </c>
      <c r="F289" t="s">
        <v>245</v>
      </c>
      <c r="G289" t="s">
        <v>272</v>
      </c>
      <c r="N289" t="s">
        <v>452</v>
      </c>
      <c r="O289" t="s">
        <v>346</v>
      </c>
      <c r="P289" t="s">
        <v>249</v>
      </c>
      <c r="Q289" t="s">
        <v>250</v>
      </c>
      <c r="R289" t="s">
        <v>251</v>
      </c>
      <c r="T289" t="s">
        <v>347</v>
      </c>
      <c r="U289" t="s">
        <v>348</v>
      </c>
      <c r="V289" t="s">
        <v>349</v>
      </c>
      <c r="W289" t="s">
        <v>350</v>
      </c>
      <c r="X289" t="s">
        <v>453</v>
      </c>
      <c r="Z289" t="s">
        <v>767</v>
      </c>
      <c r="AH289" t="s">
        <v>753</v>
      </c>
      <c r="AJ289" t="s">
        <v>354</v>
      </c>
      <c r="AL289" t="s">
        <v>753</v>
      </c>
      <c r="AM289" t="s">
        <v>287</v>
      </c>
      <c r="AN289" t="s">
        <v>259</v>
      </c>
      <c r="AO289" t="s">
        <v>260</v>
      </c>
      <c r="AP289">
        <v>11</v>
      </c>
      <c r="AQ289" t="s">
        <v>261</v>
      </c>
      <c r="AS289">
        <v>0.125</v>
      </c>
      <c r="AX289" t="s">
        <v>422</v>
      </c>
      <c r="BO289" t="s">
        <v>261</v>
      </c>
      <c r="BQ289">
        <v>0.125</v>
      </c>
      <c r="BV289" t="s">
        <v>263</v>
      </c>
      <c r="CM289" t="s">
        <v>264</v>
      </c>
      <c r="CN289" t="s">
        <v>264</v>
      </c>
      <c r="CP289" t="s">
        <v>265</v>
      </c>
      <c r="CQ289" t="s">
        <v>394</v>
      </c>
      <c r="DB289">
        <v>4</v>
      </c>
      <c r="DG289" t="s">
        <v>267</v>
      </c>
      <c r="DI289">
        <v>96</v>
      </c>
      <c r="DN289" t="s">
        <v>268</v>
      </c>
      <c r="DR289">
        <v>85549</v>
      </c>
      <c r="DS289">
        <v>366</v>
      </c>
      <c r="DT289" t="s">
        <v>754</v>
      </c>
      <c r="DV289">
        <v>96</v>
      </c>
      <c r="EA289" t="s">
        <v>268</v>
      </c>
      <c r="EC289">
        <v>4</v>
      </c>
      <c r="EH289" t="s">
        <v>267</v>
      </c>
      <c r="EJ289">
        <v>96</v>
      </c>
      <c r="EO289" t="s">
        <v>268</v>
      </c>
      <c r="EQ289">
        <v>4</v>
      </c>
      <c r="EV289" t="s">
        <v>267</v>
      </c>
      <c r="EW289" t="s">
        <v>293</v>
      </c>
      <c r="EY289" t="s">
        <v>377</v>
      </c>
      <c r="FA289" t="s">
        <v>755</v>
      </c>
      <c r="FK289" t="s">
        <v>1081</v>
      </c>
      <c r="FM289">
        <v>28</v>
      </c>
      <c r="FR289" t="s">
        <v>295</v>
      </c>
      <c r="GI289" t="s">
        <v>288</v>
      </c>
      <c r="GJ289">
        <v>0</v>
      </c>
      <c r="GK289" t="s">
        <v>289</v>
      </c>
      <c r="GL289">
        <v>10</v>
      </c>
      <c r="GM289" t="s">
        <v>356</v>
      </c>
      <c r="GO289">
        <v>7.5</v>
      </c>
      <c r="GU289">
        <v>60</v>
      </c>
      <c r="GZ289" t="s">
        <v>296</v>
      </c>
      <c r="HH289" t="s">
        <v>272</v>
      </c>
      <c r="ID289" t="s">
        <v>1082</v>
      </c>
      <c r="IE289" t="s">
        <v>758</v>
      </c>
      <c r="IF289">
        <v>165375</v>
      </c>
      <c r="IG289" t="s">
        <v>759</v>
      </c>
      <c r="IH289" t="s">
        <v>760</v>
      </c>
      <c r="II289">
        <v>2012</v>
      </c>
      <c r="IJ289" t="s">
        <v>761</v>
      </c>
    </row>
    <row r="290" spans="1:244" x14ac:dyDescent="0.45">
      <c r="A290">
        <v>1056835</v>
      </c>
      <c r="B290">
        <v>125502</v>
      </c>
      <c r="C290">
        <v>7440508</v>
      </c>
      <c r="D290" t="s">
        <v>1063</v>
      </c>
      <c r="F290" t="s">
        <v>327</v>
      </c>
      <c r="G290" t="s">
        <v>246</v>
      </c>
      <c r="N290" t="s">
        <v>1064</v>
      </c>
      <c r="O290" t="s">
        <v>1065</v>
      </c>
      <c r="P290" t="s">
        <v>249</v>
      </c>
      <c r="Q290" t="s">
        <v>250</v>
      </c>
      <c r="R290" t="s">
        <v>251</v>
      </c>
      <c r="T290" t="s">
        <v>252</v>
      </c>
      <c r="U290" t="s">
        <v>253</v>
      </c>
      <c r="V290" t="s">
        <v>304</v>
      </c>
      <c r="W290" t="s">
        <v>1066</v>
      </c>
      <c r="X290" t="s">
        <v>1067</v>
      </c>
      <c r="Z290" t="s">
        <v>284</v>
      </c>
      <c r="AB290">
        <v>9</v>
      </c>
      <c r="AG290" t="s">
        <v>598</v>
      </c>
      <c r="AM290" t="s">
        <v>317</v>
      </c>
      <c r="AN290" t="s">
        <v>259</v>
      </c>
      <c r="AO290" t="s">
        <v>260</v>
      </c>
      <c r="AQ290" t="s">
        <v>261</v>
      </c>
      <c r="AS290">
        <v>445</v>
      </c>
      <c r="AX290" t="s">
        <v>262</v>
      </c>
      <c r="BO290" t="s">
        <v>261</v>
      </c>
      <c r="BQ290">
        <v>0.44500000000000001</v>
      </c>
      <c r="BV290" t="s">
        <v>263</v>
      </c>
      <c r="CM290" t="s">
        <v>264</v>
      </c>
      <c r="CN290" t="s">
        <v>264</v>
      </c>
      <c r="CP290" t="s">
        <v>265</v>
      </c>
      <c r="DB290">
        <v>2</v>
      </c>
      <c r="DG290" t="s">
        <v>267</v>
      </c>
      <c r="DI290">
        <v>48</v>
      </c>
      <c r="DN290" t="s">
        <v>268</v>
      </c>
      <c r="DR290">
        <v>79674</v>
      </c>
      <c r="DS290">
        <v>648</v>
      </c>
      <c r="EW290" t="s">
        <v>333</v>
      </c>
      <c r="FK290" t="s">
        <v>1068</v>
      </c>
      <c r="FM290">
        <v>26.5</v>
      </c>
      <c r="FR290" t="s">
        <v>295</v>
      </c>
      <c r="GC290">
        <v>80</v>
      </c>
      <c r="GE290">
        <v>85</v>
      </c>
      <c r="GF290" t="s">
        <v>572</v>
      </c>
      <c r="GJ290">
        <v>7</v>
      </c>
      <c r="GL290">
        <v>8</v>
      </c>
      <c r="GM290" t="s">
        <v>356</v>
      </c>
      <c r="GQ290">
        <v>7.5</v>
      </c>
      <c r="GS290">
        <v>8.5</v>
      </c>
      <c r="GU290">
        <v>12</v>
      </c>
      <c r="GZ290" t="s">
        <v>296</v>
      </c>
      <c r="HH290" t="s">
        <v>272</v>
      </c>
      <c r="ID290" t="s">
        <v>1069</v>
      </c>
      <c r="IE290" t="s">
        <v>1070</v>
      </c>
      <c r="IF290">
        <v>4043</v>
      </c>
      <c r="IG290" t="s">
        <v>1071</v>
      </c>
      <c r="IH290" t="s">
        <v>1072</v>
      </c>
      <c r="II290">
        <v>1990</v>
      </c>
      <c r="IJ290" t="s">
        <v>1073</v>
      </c>
    </row>
    <row r="291" spans="1:244" x14ac:dyDescent="0.45">
      <c r="A291">
        <v>1297583</v>
      </c>
      <c r="B291">
        <v>752991</v>
      </c>
      <c r="C291">
        <v>7440508</v>
      </c>
      <c r="D291" t="s">
        <v>1063</v>
      </c>
      <c r="F291" t="s">
        <v>245</v>
      </c>
      <c r="G291" t="s">
        <v>246</v>
      </c>
      <c r="N291" t="s">
        <v>958</v>
      </c>
      <c r="O291" t="s">
        <v>959</v>
      </c>
      <c r="P291" t="s">
        <v>249</v>
      </c>
      <c r="Q291" t="s">
        <v>250</v>
      </c>
      <c r="R291" t="s">
        <v>251</v>
      </c>
      <c r="T291" t="s">
        <v>252</v>
      </c>
      <c r="U291" t="s">
        <v>253</v>
      </c>
      <c r="V291" t="s">
        <v>418</v>
      </c>
      <c r="W291" t="s">
        <v>419</v>
      </c>
      <c r="X291" t="s">
        <v>960</v>
      </c>
      <c r="Z291" t="s">
        <v>983</v>
      </c>
      <c r="AL291" t="s">
        <v>984</v>
      </c>
      <c r="AM291" t="s">
        <v>317</v>
      </c>
      <c r="AN291" t="s">
        <v>259</v>
      </c>
      <c r="AO291" t="s">
        <v>260</v>
      </c>
      <c r="AQ291" t="s">
        <v>261</v>
      </c>
      <c r="AS291">
        <v>1.2E-2</v>
      </c>
      <c r="AU291">
        <v>6.0000000000000001E-3</v>
      </c>
      <c r="AW291">
        <v>2.1000000000000001E-2</v>
      </c>
      <c r="AX291" t="s">
        <v>356</v>
      </c>
      <c r="BO291" t="s">
        <v>261</v>
      </c>
      <c r="BQ291">
        <v>1.2E-2</v>
      </c>
      <c r="BS291">
        <v>6.0000000000000001E-3</v>
      </c>
      <c r="BU291">
        <v>2.1000000000000001E-2</v>
      </c>
      <c r="BV291" t="s">
        <v>263</v>
      </c>
      <c r="CM291" t="s">
        <v>264</v>
      </c>
      <c r="CN291" t="s">
        <v>264</v>
      </c>
      <c r="CP291" t="s">
        <v>265</v>
      </c>
      <c r="CQ291" t="s">
        <v>394</v>
      </c>
      <c r="DB291">
        <v>4</v>
      </c>
      <c r="DG291" t="s">
        <v>267</v>
      </c>
      <c r="DI291">
        <v>96</v>
      </c>
      <c r="DN291" t="s">
        <v>268</v>
      </c>
      <c r="DP291" t="s">
        <v>1083</v>
      </c>
      <c r="DR291">
        <v>6687</v>
      </c>
      <c r="DS291">
        <v>252</v>
      </c>
      <c r="EW291" t="s">
        <v>293</v>
      </c>
      <c r="FK291" t="s">
        <v>1084</v>
      </c>
      <c r="FO291">
        <v>23</v>
      </c>
      <c r="FQ291">
        <v>25.1</v>
      </c>
      <c r="FR291" t="s">
        <v>295</v>
      </c>
      <c r="GJ291">
        <v>7.3</v>
      </c>
      <c r="GL291">
        <v>7.6</v>
      </c>
      <c r="GM291" t="s">
        <v>356</v>
      </c>
      <c r="GQ291">
        <v>6.9</v>
      </c>
      <c r="GS291">
        <v>7.4</v>
      </c>
      <c r="GU291">
        <v>30</v>
      </c>
      <c r="GZ291" t="s">
        <v>296</v>
      </c>
      <c r="HH291" t="s">
        <v>272</v>
      </c>
      <c r="ID291" t="s">
        <v>1085</v>
      </c>
      <c r="IE291" t="s">
        <v>964</v>
      </c>
      <c r="IF291">
        <v>115825</v>
      </c>
      <c r="IG291" t="s">
        <v>965</v>
      </c>
      <c r="IH291" t="s">
        <v>966</v>
      </c>
      <c r="II291">
        <v>1996</v>
      </c>
      <c r="IJ291" t="s">
        <v>967</v>
      </c>
    </row>
    <row r="292" spans="1:244" x14ac:dyDescent="0.45">
      <c r="A292">
        <v>1056805</v>
      </c>
      <c r="B292">
        <v>125472</v>
      </c>
      <c r="C292">
        <v>7440508</v>
      </c>
      <c r="D292" t="s">
        <v>1063</v>
      </c>
      <c r="F292" t="s">
        <v>327</v>
      </c>
      <c r="G292" t="s">
        <v>246</v>
      </c>
      <c r="N292" t="s">
        <v>1064</v>
      </c>
      <c r="O292" t="s">
        <v>1065</v>
      </c>
      <c r="P292" t="s">
        <v>249</v>
      </c>
      <c r="Q292" t="s">
        <v>250</v>
      </c>
      <c r="R292" t="s">
        <v>251</v>
      </c>
      <c r="T292" t="s">
        <v>252</v>
      </c>
      <c r="U292" t="s">
        <v>253</v>
      </c>
      <c r="V292" t="s">
        <v>304</v>
      </c>
      <c r="W292" t="s">
        <v>1066</v>
      </c>
      <c r="X292" t="s">
        <v>1067</v>
      </c>
      <c r="Z292" t="s">
        <v>284</v>
      </c>
      <c r="AB292">
        <v>1</v>
      </c>
      <c r="AG292" t="s">
        <v>598</v>
      </c>
      <c r="AM292" t="s">
        <v>317</v>
      </c>
      <c r="AN292" t="s">
        <v>259</v>
      </c>
      <c r="AO292" t="s">
        <v>260</v>
      </c>
      <c r="AQ292" t="s">
        <v>261</v>
      </c>
      <c r="AS292">
        <v>55</v>
      </c>
      <c r="AX292" t="s">
        <v>262</v>
      </c>
      <c r="BO292" t="s">
        <v>261</v>
      </c>
      <c r="BQ292">
        <v>5.5E-2</v>
      </c>
      <c r="BV292" t="s">
        <v>263</v>
      </c>
      <c r="CM292" t="s">
        <v>264</v>
      </c>
      <c r="CN292" t="s">
        <v>264</v>
      </c>
      <c r="CP292" t="s">
        <v>265</v>
      </c>
      <c r="DB292">
        <v>4</v>
      </c>
      <c r="DG292" t="s">
        <v>267</v>
      </c>
      <c r="DI292">
        <v>96</v>
      </c>
      <c r="DN292" t="s">
        <v>268</v>
      </c>
      <c r="DR292">
        <v>79674</v>
      </c>
      <c r="DS292">
        <v>648</v>
      </c>
      <c r="EW292" t="s">
        <v>333</v>
      </c>
      <c r="FK292" t="s">
        <v>1068</v>
      </c>
      <c r="FM292">
        <v>26.5</v>
      </c>
      <c r="FR292" t="s">
        <v>295</v>
      </c>
      <c r="GC292">
        <v>80</v>
      </c>
      <c r="GE292">
        <v>85</v>
      </c>
      <c r="GF292" t="s">
        <v>572</v>
      </c>
      <c r="GJ292">
        <v>7</v>
      </c>
      <c r="GL292">
        <v>8</v>
      </c>
      <c r="GM292" t="s">
        <v>356</v>
      </c>
      <c r="GQ292">
        <v>7.5</v>
      </c>
      <c r="GS292">
        <v>8.5</v>
      </c>
      <c r="GU292">
        <v>12</v>
      </c>
      <c r="GZ292" t="s">
        <v>296</v>
      </c>
      <c r="HH292" t="s">
        <v>272</v>
      </c>
      <c r="ID292" t="s">
        <v>1069</v>
      </c>
      <c r="IE292" t="s">
        <v>1070</v>
      </c>
      <c r="IF292">
        <v>4043</v>
      </c>
      <c r="IG292" t="s">
        <v>1071</v>
      </c>
      <c r="IH292" t="s">
        <v>1072</v>
      </c>
      <c r="II292">
        <v>1990</v>
      </c>
      <c r="IJ292" t="s">
        <v>1073</v>
      </c>
    </row>
    <row r="293" spans="1:244" x14ac:dyDescent="0.45">
      <c r="A293">
        <v>1056848</v>
      </c>
      <c r="B293">
        <v>125515</v>
      </c>
      <c r="C293">
        <v>7440508</v>
      </c>
      <c r="D293" t="s">
        <v>1063</v>
      </c>
      <c r="F293" t="s">
        <v>327</v>
      </c>
      <c r="G293" t="s">
        <v>246</v>
      </c>
      <c r="N293" t="s">
        <v>1064</v>
      </c>
      <c r="O293" t="s">
        <v>1065</v>
      </c>
      <c r="P293" t="s">
        <v>249</v>
      </c>
      <c r="Q293" t="s">
        <v>250</v>
      </c>
      <c r="R293" t="s">
        <v>251</v>
      </c>
      <c r="T293" t="s">
        <v>252</v>
      </c>
      <c r="U293" t="s">
        <v>253</v>
      </c>
      <c r="V293" t="s">
        <v>304</v>
      </c>
      <c r="W293" t="s">
        <v>1066</v>
      </c>
      <c r="X293" t="s">
        <v>1067</v>
      </c>
      <c r="Z293" t="s">
        <v>421</v>
      </c>
      <c r="AB293">
        <v>47</v>
      </c>
      <c r="AG293" t="s">
        <v>267</v>
      </c>
      <c r="AM293" t="s">
        <v>317</v>
      </c>
      <c r="AN293" t="s">
        <v>259</v>
      </c>
      <c r="AO293" t="s">
        <v>260</v>
      </c>
      <c r="AQ293" t="s">
        <v>261</v>
      </c>
      <c r="AS293">
        <v>515</v>
      </c>
      <c r="AX293" t="s">
        <v>262</v>
      </c>
      <c r="BO293" t="s">
        <v>261</v>
      </c>
      <c r="BQ293">
        <v>0.51500000000000001</v>
      </c>
      <c r="BV293" t="s">
        <v>263</v>
      </c>
      <c r="CM293" t="s">
        <v>264</v>
      </c>
      <c r="CN293" t="s">
        <v>264</v>
      </c>
      <c r="CP293" t="s">
        <v>265</v>
      </c>
      <c r="DB293">
        <v>3</v>
      </c>
      <c r="DG293" t="s">
        <v>267</v>
      </c>
      <c r="DI293">
        <v>72</v>
      </c>
      <c r="DN293" t="s">
        <v>268</v>
      </c>
      <c r="DR293">
        <v>79674</v>
      </c>
      <c r="DS293">
        <v>648</v>
      </c>
      <c r="EW293" t="s">
        <v>333</v>
      </c>
      <c r="FK293" t="s">
        <v>1068</v>
      </c>
      <c r="FM293">
        <v>26.5</v>
      </c>
      <c r="FR293" t="s">
        <v>295</v>
      </c>
      <c r="GC293">
        <v>80</v>
      </c>
      <c r="GE293">
        <v>85</v>
      </c>
      <c r="GF293" t="s">
        <v>572</v>
      </c>
      <c r="GJ293">
        <v>7</v>
      </c>
      <c r="GL293">
        <v>8</v>
      </c>
      <c r="GM293" t="s">
        <v>356</v>
      </c>
      <c r="GQ293">
        <v>7.5</v>
      </c>
      <c r="GS293">
        <v>8.5</v>
      </c>
      <c r="GU293">
        <v>12</v>
      </c>
      <c r="GZ293" t="s">
        <v>296</v>
      </c>
      <c r="HH293" t="s">
        <v>272</v>
      </c>
      <c r="ID293" t="s">
        <v>1069</v>
      </c>
      <c r="IE293" t="s">
        <v>1070</v>
      </c>
      <c r="IF293">
        <v>4043</v>
      </c>
      <c r="IG293" t="s">
        <v>1071</v>
      </c>
      <c r="IH293" t="s">
        <v>1072</v>
      </c>
      <c r="II293">
        <v>1990</v>
      </c>
      <c r="IJ293" t="s">
        <v>1073</v>
      </c>
    </row>
    <row r="294" spans="1:244" x14ac:dyDescent="0.45">
      <c r="A294">
        <v>2140911</v>
      </c>
      <c r="B294">
        <v>2264442</v>
      </c>
      <c r="C294">
        <v>7440508</v>
      </c>
      <c r="D294" t="s">
        <v>1063</v>
      </c>
      <c r="F294" t="s">
        <v>245</v>
      </c>
      <c r="G294" t="s">
        <v>272</v>
      </c>
      <c r="N294" t="s">
        <v>452</v>
      </c>
      <c r="O294" t="s">
        <v>346</v>
      </c>
      <c r="P294" t="s">
        <v>249</v>
      </c>
      <c r="Q294" t="s">
        <v>250</v>
      </c>
      <c r="R294" t="s">
        <v>251</v>
      </c>
      <c r="T294" t="s">
        <v>347</v>
      </c>
      <c r="U294" t="s">
        <v>348</v>
      </c>
      <c r="V294" t="s">
        <v>349</v>
      </c>
      <c r="W294" t="s">
        <v>350</v>
      </c>
      <c r="X294" t="s">
        <v>453</v>
      </c>
      <c r="Z294" t="s">
        <v>315</v>
      </c>
      <c r="AH294" t="s">
        <v>753</v>
      </c>
      <c r="AJ294" t="s">
        <v>354</v>
      </c>
      <c r="AL294" t="s">
        <v>753</v>
      </c>
      <c r="AM294" t="s">
        <v>287</v>
      </c>
      <c r="AN294" t="s">
        <v>259</v>
      </c>
      <c r="AO294" t="s">
        <v>260</v>
      </c>
      <c r="AP294">
        <v>11</v>
      </c>
      <c r="AQ294" t="s">
        <v>261</v>
      </c>
      <c r="AS294">
        <v>1.1879999999999999</v>
      </c>
      <c r="AU294">
        <v>0.96599999999999997</v>
      </c>
      <c r="AW294">
        <v>1.3939999999999999</v>
      </c>
      <c r="AX294" t="s">
        <v>422</v>
      </c>
      <c r="BO294" t="s">
        <v>261</v>
      </c>
      <c r="BQ294">
        <v>1.1879999999999999</v>
      </c>
      <c r="BS294">
        <v>0.96599999999999997</v>
      </c>
      <c r="BU294">
        <v>1.3939999999999999</v>
      </c>
      <c r="BV294" t="s">
        <v>263</v>
      </c>
      <c r="CM294" t="s">
        <v>264</v>
      </c>
      <c r="CN294" t="s">
        <v>264</v>
      </c>
      <c r="CP294" t="s">
        <v>265</v>
      </c>
      <c r="CQ294" t="s">
        <v>394</v>
      </c>
      <c r="DB294">
        <v>4</v>
      </c>
      <c r="DG294" t="s">
        <v>267</v>
      </c>
      <c r="DI294">
        <v>96</v>
      </c>
      <c r="DN294" t="s">
        <v>268</v>
      </c>
      <c r="DR294">
        <v>85549</v>
      </c>
      <c r="DS294">
        <v>366</v>
      </c>
      <c r="DT294" t="s">
        <v>754</v>
      </c>
      <c r="DV294">
        <v>96</v>
      </c>
      <c r="EA294" t="s">
        <v>268</v>
      </c>
      <c r="EC294">
        <v>4</v>
      </c>
      <c r="EH294" t="s">
        <v>267</v>
      </c>
      <c r="EJ294">
        <v>96</v>
      </c>
      <c r="EO294" t="s">
        <v>268</v>
      </c>
      <c r="EQ294">
        <v>4</v>
      </c>
      <c r="EV294" t="s">
        <v>267</v>
      </c>
      <c r="EW294" t="s">
        <v>293</v>
      </c>
      <c r="EY294" t="s">
        <v>377</v>
      </c>
      <c r="FA294" t="s">
        <v>755</v>
      </c>
      <c r="FK294" t="s">
        <v>756</v>
      </c>
      <c r="FM294">
        <v>28</v>
      </c>
      <c r="FR294" t="s">
        <v>295</v>
      </c>
      <c r="GI294" t="s">
        <v>288</v>
      </c>
      <c r="GJ294">
        <v>0</v>
      </c>
      <c r="GK294" t="s">
        <v>289</v>
      </c>
      <c r="GL294">
        <v>10</v>
      </c>
      <c r="GM294" t="s">
        <v>356</v>
      </c>
      <c r="GO294">
        <v>7.5</v>
      </c>
      <c r="GU294">
        <v>80</v>
      </c>
      <c r="GZ294" t="s">
        <v>296</v>
      </c>
      <c r="HH294" t="s">
        <v>272</v>
      </c>
      <c r="ID294" t="s">
        <v>757</v>
      </c>
      <c r="IE294" t="s">
        <v>758</v>
      </c>
      <c r="IF294">
        <v>165375</v>
      </c>
      <c r="IG294" t="s">
        <v>759</v>
      </c>
      <c r="IH294" t="s">
        <v>760</v>
      </c>
      <c r="II294">
        <v>2012</v>
      </c>
      <c r="IJ294" t="s">
        <v>761</v>
      </c>
    </row>
    <row r="295" spans="1:244" x14ac:dyDescent="0.45">
      <c r="A295">
        <v>1056823</v>
      </c>
      <c r="B295">
        <v>125490</v>
      </c>
      <c r="C295">
        <v>7440508</v>
      </c>
      <c r="D295" t="s">
        <v>1063</v>
      </c>
      <c r="F295" t="s">
        <v>327</v>
      </c>
      <c r="G295" t="s">
        <v>246</v>
      </c>
      <c r="N295" t="s">
        <v>1064</v>
      </c>
      <c r="O295" t="s">
        <v>1065</v>
      </c>
      <c r="P295" t="s">
        <v>249</v>
      </c>
      <c r="Q295" t="s">
        <v>250</v>
      </c>
      <c r="R295" t="s">
        <v>251</v>
      </c>
      <c r="T295" t="s">
        <v>252</v>
      </c>
      <c r="U295" t="s">
        <v>253</v>
      </c>
      <c r="V295" t="s">
        <v>304</v>
      </c>
      <c r="W295" t="s">
        <v>1066</v>
      </c>
      <c r="X295" t="s">
        <v>1067</v>
      </c>
      <c r="Z295" t="s">
        <v>284</v>
      </c>
      <c r="AB295">
        <v>6</v>
      </c>
      <c r="AG295" t="s">
        <v>598</v>
      </c>
      <c r="AM295" t="s">
        <v>317</v>
      </c>
      <c r="AN295" t="s">
        <v>259</v>
      </c>
      <c r="AO295" t="s">
        <v>260</v>
      </c>
      <c r="AQ295" t="s">
        <v>261</v>
      </c>
      <c r="AS295">
        <v>380</v>
      </c>
      <c r="AX295" t="s">
        <v>262</v>
      </c>
      <c r="BO295" t="s">
        <v>261</v>
      </c>
      <c r="BQ295">
        <v>0.38</v>
      </c>
      <c r="BV295" t="s">
        <v>263</v>
      </c>
      <c r="CM295" t="s">
        <v>264</v>
      </c>
      <c r="CN295" t="s">
        <v>264</v>
      </c>
      <c r="CP295" t="s">
        <v>265</v>
      </c>
      <c r="DB295">
        <v>2</v>
      </c>
      <c r="DG295" t="s">
        <v>267</v>
      </c>
      <c r="DI295">
        <v>48</v>
      </c>
      <c r="DN295" t="s">
        <v>268</v>
      </c>
      <c r="DR295">
        <v>79674</v>
      </c>
      <c r="DS295">
        <v>648</v>
      </c>
      <c r="EW295" t="s">
        <v>333</v>
      </c>
      <c r="FK295" t="s">
        <v>1068</v>
      </c>
      <c r="FM295">
        <v>26.5</v>
      </c>
      <c r="FR295" t="s">
        <v>295</v>
      </c>
      <c r="GC295">
        <v>80</v>
      </c>
      <c r="GE295">
        <v>85</v>
      </c>
      <c r="GF295" t="s">
        <v>572</v>
      </c>
      <c r="GJ295">
        <v>7</v>
      </c>
      <c r="GL295">
        <v>8</v>
      </c>
      <c r="GM295" t="s">
        <v>356</v>
      </c>
      <c r="GQ295">
        <v>7.5</v>
      </c>
      <c r="GS295">
        <v>8.5</v>
      </c>
      <c r="GU295">
        <v>12</v>
      </c>
      <c r="GZ295" t="s">
        <v>296</v>
      </c>
      <c r="HH295" t="s">
        <v>272</v>
      </c>
      <c r="ID295" t="s">
        <v>1069</v>
      </c>
      <c r="IE295" t="s">
        <v>1070</v>
      </c>
      <c r="IF295">
        <v>4043</v>
      </c>
      <c r="IG295" t="s">
        <v>1071</v>
      </c>
      <c r="IH295" t="s">
        <v>1072</v>
      </c>
      <c r="II295">
        <v>1990</v>
      </c>
      <c r="IJ295" t="s">
        <v>1073</v>
      </c>
    </row>
    <row r="296" spans="1:244" x14ac:dyDescent="0.45">
      <c r="A296">
        <v>1056847</v>
      </c>
      <c r="B296">
        <v>125514</v>
      </c>
      <c r="C296">
        <v>7440508</v>
      </c>
      <c r="D296" t="s">
        <v>1063</v>
      </c>
      <c r="F296" t="s">
        <v>327</v>
      </c>
      <c r="G296" t="s">
        <v>246</v>
      </c>
      <c r="N296" t="s">
        <v>1064</v>
      </c>
      <c r="O296" t="s">
        <v>1065</v>
      </c>
      <c r="P296" t="s">
        <v>249</v>
      </c>
      <c r="Q296" t="s">
        <v>250</v>
      </c>
      <c r="R296" t="s">
        <v>251</v>
      </c>
      <c r="T296" t="s">
        <v>252</v>
      </c>
      <c r="U296" t="s">
        <v>253</v>
      </c>
      <c r="V296" t="s">
        <v>304</v>
      </c>
      <c r="W296" t="s">
        <v>1066</v>
      </c>
      <c r="X296" t="s">
        <v>1067</v>
      </c>
      <c r="Z296" t="s">
        <v>421</v>
      </c>
      <c r="AB296">
        <v>47</v>
      </c>
      <c r="AG296" t="s">
        <v>267</v>
      </c>
      <c r="AM296" t="s">
        <v>317</v>
      </c>
      <c r="AN296" t="s">
        <v>259</v>
      </c>
      <c r="AO296" t="s">
        <v>260</v>
      </c>
      <c r="AQ296" t="s">
        <v>261</v>
      </c>
      <c r="AS296">
        <v>750</v>
      </c>
      <c r="AX296" t="s">
        <v>262</v>
      </c>
      <c r="BO296" t="s">
        <v>261</v>
      </c>
      <c r="BQ296">
        <v>0.75</v>
      </c>
      <c r="BV296" t="s">
        <v>263</v>
      </c>
      <c r="CM296" t="s">
        <v>264</v>
      </c>
      <c r="CN296" t="s">
        <v>264</v>
      </c>
      <c r="CP296" t="s">
        <v>265</v>
      </c>
      <c r="DB296">
        <v>2</v>
      </c>
      <c r="DG296" t="s">
        <v>267</v>
      </c>
      <c r="DI296">
        <v>48</v>
      </c>
      <c r="DN296" t="s">
        <v>268</v>
      </c>
      <c r="DR296">
        <v>79674</v>
      </c>
      <c r="DS296">
        <v>648</v>
      </c>
      <c r="EW296" t="s">
        <v>333</v>
      </c>
      <c r="FK296" t="s">
        <v>1068</v>
      </c>
      <c r="FM296">
        <v>26.5</v>
      </c>
      <c r="FR296" t="s">
        <v>295</v>
      </c>
      <c r="GC296">
        <v>80</v>
      </c>
      <c r="GE296">
        <v>85</v>
      </c>
      <c r="GF296" t="s">
        <v>572</v>
      </c>
      <c r="GJ296">
        <v>7</v>
      </c>
      <c r="GL296">
        <v>8</v>
      </c>
      <c r="GM296" t="s">
        <v>356</v>
      </c>
      <c r="GQ296">
        <v>7.5</v>
      </c>
      <c r="GS296">
        <v>8.5</v>
      </c>
      <c r="GU296">
        <v>12</v>
      </c>
      <c r="GZ296" t="s">
        <v>296</v>
      </c>
      <c r="HH296" t="s">
        <v>272</v>
      </c>
      <c r="ID296" t="s">
        <v>1069</v>
      </c>
      <c r="IE296" t="s">
        <v>1070</v>
      </c>
      <c r="IF296">
        <v>4043</v>
      </c>
      <c r="IG296" t="s">
        <v>1071</v>
      </c>
      <c r="IH296" t="s">
        <v>1072</v>
      </c>
      <c r="II296">
        <v>1990</v>
      </c>
      <c r="IJ296" t="s">
        <v>1073</v>
      </c>
    </row>
    <row r="297" spans="1:244" x14ac:dyDescent="0.45">
      <c r="A297">
        <v>1056840</v>
      </c>
      <c r="B297">
        <v>125507</v>
      </c>
      <c r="C297">
        <v>7440508</v>
      </c>
      <c r="D297" t="s">
        <v>1063</v>
      </c>
      <c r="F297" t="s">
        <v>327</v>
      </c>
      <c r="G297" t="s">
        <v>246</v>
      </c>
      <c r="N297" t="s">
        <v>1064</v>
      </c>
      <c r="O297" t="s">
        <v>1065</v>
      </c>
      <c r="P297" t="s">
        <v>249</v>
      </c>
      <c r="Q297" t="s">
        <v>250</v>
      </c>
      <c r="R297" t="s">
        <v>251</v>
      </c>
      <c r="T297" t="s">
        <v>252</v>
      </c>
      <c r="U297" t="s">
        <v>253</v>
      </c>
      <c r="V297" t="s">
        <v>304</v>
      </c>
      <c r="W297" t="s">
        <v>1066</v>
      </c>
      <c r="X297" t="s">
        <v>1067</v>
      </c>
      <c r="Z297" t="s">
        <v>284</v>
      </c>
      <c r="AB297">
        <v>10</v>
      </c>
      <c r="AG297" t="s">
        <v>598</v>
      </c>
      <c r="AM297" t="s">
        <v>317</v>
      </c>
      <c r="AN297" t="s">
        <v>259</v>
      </c>
      <c r="AO297" t="s">
        <v>260</v>
      </c>
      <c r="AQ297" t="s">
        <v>261</v>
      </c>
      <c r="AS297">
        <v>340</v>
      </c>
      <c r="AX297" t="s">
        <v>262</v>
      </c>
      <c r="BO297" t="s">
        <v>261</v>
      </c>
      <c r="BQ297">
        <v>0.34</v>
      </c>
      <c r="BV297" t="s">
        <v>263</v>
      </c>
      <c r="CM297" t="s">
        <v>264</v>
      </c>
      <c r="CN297" t="s">
        <v>264</v>
      </c>
      <c r="CP297" t="s">
        <v>265</v>
      </c>
      <c r="DB297">
        <v>3</v>
      </c>
      <c r="DG297" t="s">
        <v>267</v>
      </c>
      <c r="DI297">
        <v>72</v>
      </c>
      <c r="DN297" t="s">
        <v>268</v>
      </c>
      <c r="DR297">
        <v>79674</v>
      </c>
      <c r="DS297">
        <v>648</v>
      </c>
      <c r="EW297" t="s">
        <v>333</v>
      </c>
      <c r="FK297" t="s">
        <v>1068</v>
      </c>
      <c r="FM297">
        <v>26.5</v>
      </c>
      <c r="FR297" t="s">
        <v>295</v>
      </c>
      <c r="GC297">
        <v>80</v>
      </c>
      <c r="GE297">
        <v>85</v>
      </c>
      <c r="GF297" t="s">
        <v>572</v>
      </c>
      <c r="GJ297">
        <v>7</v>
      </c>
      <c r="GL297">
        <v>8</v>
      </c>
      <c r="GM297" t="s">
        <v>356</v>
      </c>
      <c r="GQ297">
        <v>7.5</v>
      </c>
      <c r="GS297">
        <v>8.5</v>
      </c>
      <c r="GU297">
        <v>12</v>
      </c>
      <c r="GZ297" t="s">
        <v>296</v>
      </c>
      <c r="HH297" t="s">
        <v>272</v>
      </c>
      <c r="ID297" t="s">
        <v>1069</v>
      </c>
      <c r="IE297" t="s">
        <v>1070</v>
      </c>
      <c r="IF297">
        <v>4043</v>
      </c>
      <c r="IG297" t="s">
        <v>1071</v>
      </c>
      <c r="IH297" t="s">
        <v>1072</v>
      </c>
      <c r="II297">
        <v>1990</v>
      </c>
      <c r="IJ297" t="s">
        <v>1073</v>
      </c>
    </row>
    <row r="298" spans="1:244" x14ac:dyDescent="0.45">
      <c r="A298">
        <v>1296818</v>
      </c>
      <c r="B298">
        <v>752132</v>
      </c>
      <c r="C298">
        <v>7440508</v>
      </c>
      <c r="D298" t="s">
        <v>1063</v>
      </c>
      <c r="F298" t="s">
        <v>245</v>
      </c>
      <c r="G298" t="s">
        <v>246</v>
      </c>
      <c r="N298" t="s">
        <v>958</v>
      </c>
      <c r="O298" t="s">
        <v>959</v>
      </c>
      <c r="P298" t="s">
        <v>249</v>
      </c>
      <c r="Q298" t="s">
        <v>250</v>
      </c>
      <c r="R298" t="s">
        <v>251</v>
      </c>
      <c r="T298" t="s">
        <v>252</v>
      </c>
      <c r="U298" t="s">
        <v>253</v>
      </c>
      <c r="V298" t="s">
        <v>418</v>
      </c>
      <c r="W298" t="s">
        <v>419</v>
      </c>
      <c r="X298" t="s">
        <v>960</v>
      </c>
      <c r="Z298" t="s">
        <v>421</v>
      </c>
      <c r="AL298" t="s">
        <v>961</v>
      </c>
      <c r="AM298" t="s">
        <v>317</v>
      </c>
      <c r="AN298" t="s">
        <v>259</v>
      </c>
      <c r="AO298" t="s">
        <v>260</v>
      </c>
      <c r="AQ298" t="s">
        <v>261</v>
      </c>
      <c r="AS298">
        <v>0.5</v>
      </c>
      <c r="AU298">
        <v>7.0999999999999994E-2</v>
      </c>
      <c r="AW298">
        <v>2.7229999999999999</v>
      </c>
      <c r="AX298" t="s">
        <v>356</v>
      </c>
      <c r="BO298" t="s">
        <v>261</v>
      </c>
      <c r="BQ298">
        <v>0.5</v>
      </c>
      <c r="BS298">
        <v>7.0999999999999994E-2</v>
      </c>
      <c r="BU298">
        <v>2.7229999999999999</v>
      </c>
      <c r="BV298" t="s">
        <v>263</v>
      </c>
      <c r="CM298" t="s">
        <v>264</v>
      </c>
      <c r="CN298" t="s">
        <v>264</v>
      </c>
      <c r="CP298" t="s">
        <v>265</v>
      </c>
      <c r="CQ298" t="s">
        <v>394</v>
      </c>
      <c r="DB298">
        <v>4</v>
      </c>
      <c r="DG298" t="s">
        <v>267</v>
      </c>
      <c r="DI298">
        <v>96</v>
      </c>
      <c r="DN298" t="s">
        <v>268</v>
      </c>
      <c r="DP298" t="s">
        <v>1083</v>
      </c>
      <c r="DR298">
        <v>6687</v>
      </c>
      <c r="DS298">
        <v>252</v>
      </c>
      <c r="EW298" t="s">
        <v>293</v>
      </c>
      <c r="FK298" t="s">
        <v>1086</v>
      </c>
      <c r="FO298">
        <v>27.1</v>
      </c>
      <c r="FQ298">
        <v>28.5</v>
      </c>
      <c r="FR298" t="s">
        <v>295</v>
      </c>
      <c r="GJ298">
        <v>6</v>
      </c>
      <c r="GL298">
        <v>7.3</v>
      </c>
      <c r="GM298" t="s">
        <v>356</v>
      </c>
      <c r="GQ298">
        <v>8.5</v>
      </c>
      <c r="GS298">
        <v>10</v>
      </c>
      <c r="GW298">
        <v>30</v>
      </c>
      <c r="GY298">
        <v>31</v>
      </c>
      <c r="GZ298" t="s">
        <v>296</v>
      </c>
      <c r="HH298" t="s">
        <v>272</v>
      </c>
      <c r="ID298" t="s">
        <v>1087</v>
      </c>
      <c r="IE298" t="s">
        <v>964</v>
      </c>
      <c r="IF298">
        <v>115825</v>
      </c>
      <c r="IG298" t="s">
        <v>965</v>
      </c>
      <c r="IH298" t="s">
        <v>966</v>
      </c>
      <c r="II298">
        <v>1996</v>
      </c>
      <c r="IJ298" t="s">
        <v>967</v>
      </c>
    </row>
    <row r="299" spans="1:244" x14ac:dyDescent="0.45">
      <c r="A299">
        <v>1056803</v>
      </c>
      <c r="B299">
        <v>125470</v>
      </c>
      <c r="C299">
        <v>7440508</v>
      </c>
      <c r="D299" t="s">
        <v>1063</v>
      </c>
      <c r="F299" t="s">
        <v>327</v>
      </c>
      <c r="G299" t="s">
        <v>246</v>
      </c>
      <c r="N299" t="s">
        <v>1064</v>
      </c>
      <c r="O299" t="s">
        <v>1065</v>
      </c>
      <c r="P299" t="s">
        <v>249</v>
      </c>
      <c r="Q299" t="s">
        <v>250</v>
      </c>
      <c r="R299" t="s">
        <v>251</v>
      </c>
      <c r="T299" t="s">
        <v>252</v>
      </c>
      <c r="U299" t="s">
        <v>253</v>
      </c>
      <c r="V299" t="s">
        <v>304</v>
      </c>
      <c r="W299" t="s">
        <v>1066</v>
      </c>
      <c r="X299" t="s">
        <v>1067</v>
      </c>
      <c r="Z299" t="s">
        <v>284</v>
      </c>
      <c r="AB299">
        <v>1</v>
      </c>
      <c r="AG299" t="s">
        <v>598</v>
      </c>
      <c r="AM299" t="s">
        <v>317</v>
      </c>
      <c r="AN299" t="s">
        <v>259</v>
      </c>
      <c r="AO299" t="s">
        <v>260</v>
      </c>
      <c r="AQ299" t="s">
        <v>261</v>
      </c>
      <c r="AS299">
        <v>120</v>
      </c>
      <c r="AX299" t="s">
        <v>262</v>
      </c>
      <c r="BO299" t="s">
        <v>261</v>
      </c>
      <c r="BQ299">
        <v>0.12</v>
      </c>
      <c r="BV299" t="s">
        <v>263</v>
      </c>
      <c r="CM299" t="s">
        <v>264</v>
      </c>
      <c r="CN299" t="s">
        <v>264</v>
      </c>
      <c r="CP299" t="s">
        <v>265</v>
      </c>
      <c r="DB299">
        <v>2</v>
      </c>
      <c r="DG299" t="s">
        <v>267</v>
      </c>
      <c r="DI299">
        <v>48</v>
      </c>
      <c r="DN299" t="s">
        <v>268</v>
      </c>
      <c r="DR299">
        <v>79674</v>
      </c>
      <c r="DS299">
        <v>648</v>
      </c>
      <c r="EW299" t="s">
        <v>333</v>
      </c>
      <c r="FK299" t="s">
        <v>1068</v>
      </c>
      <c r="FM299">
        <v>26.5</v>
      </c>
      <c r="FR299" t="s">
        <v>295</v>
      </c>
      <c r="GC299">
        <v>80</v>
      </c>
      <c r="GE299">
        <v>85</v>
      </c>
      <c r="GF299" t="s">
        <v>572</v>
      </c>
      <c r="GJ299">
        <v>7</v>
      </c>
      <c r="GL299">
        <v>8</v>
      </c>
      <c r="GM299" t="s">
        <v>356</v>
      </c>
      <c r="GQ299">
        <v>7.5</v>
      </c>
      <c r="GS299">
        <v>8.5</v>
      </c>
      <c r="GU299">
        <v>12</v>
      </c>
      <c r="GZ299" t="s">
        <v>296</v>
      </c>
      <c r="HH299" t="s">
        <v>272</v>
      </c>
      <c r="ID299" t="s">
        <v>1069</v>
      </c>
      <c r="IE299" t="s">
        <v>1070</v>
      </c>
      <c r="IF299">
        <v>4043</v>
      </c>
      <c r="IG299" t="s">
        <v>1071</v>
      </c>
      <c r="IH299" t="s">
        <v>1072</v>
      </c>
      <c r="II299">
        <v>1990</v>
      </c>
      <c r="IJ299" t="s">
        <v>1073</v>
      </c>
    </row>
    <row r="300" spans="1:244" x14ac:dyDescent="0.45">
      <c r="A300">
        <v>1056849</v>
      </c>
      <c r="B300">
        <v>125516</v>
      </c>
      <c r="C300">
        <v>7440508</v>
      </c>
      <c r="D300" t="s">
        <v>1063</v>
      </c>
      <c r="F300" t="s">
        <v>327</v>
      </c>
      <c r="G300" t="s">
        <v>246</v>
      </c>
      <c r="N300" t="s">
        <v>1064</v>
      </c>
      <c r="O300" t="s">
        <v>1065</v>
      </c>
      <c r="P300" t="s">
        <v>249</v>
      </c>
      <c r="Q300" t="s">
        <v>250</v>
      </c>
      <c r="R300" t="s">
        <v>251</v>
      </c>
      <c r="T300" t="s">
        <v>252</v>
      </c>
      <c r="U300" t="s">
        <v>253</v>
      </c>
      <c r="V300" t="s">
        <v>304</v>
      </c>
      <c r="W300" t="s">
        <v>1066</v>
      </c>
      <c r="X300" t="s">
        <v>1067</v>
      </c>
      <c r="Z300" t="s">
        <v>421</v>
      </c>
      <c r="AB300">
        <v>47</v>
      </c>
      <c r="AG300" t="s">
        <v>267</v>
      </c>
      <c r="AM300" t="s">
        <v>317</v>
      </c>
      <c r="AN300" t="s">
        <v>259</v>
      </c>
      <c r="AO300" t="s">
        <v>260</v>
      </c>
      <c r="AQ300" t="s">
        <v>261</v>
      </c>
      <c r="AS300">
        <v>320</v>
      </c>
      <c r="AX300" t="s">
        <v>262</v>
      </c>
      <c r="BO300" t="s">
        <v>261</v>
      </c>
      <c r="BQ300">
        <v>0.32</v>
      </c>
      <c r="BV300" t="s">
        <v>263</v>
      </c>
      <c r="CM300" t="s">
        <v>264</v>
      </c>
      <c r="CN300" t="s">
        <v>264</v>
      </c>
      <c r="CP300" t="s">
        <v>265</v>
      </c>
      <c r="DB300">
        <v>4</v>
      </c>
      <c r="DG300" t="s">
        <v>267</v>
      </c>
      <c r="DI300">
        <v>96</v>
      </c>
      <c r="DN300" t="s">
        <v>268</v>
      </c>
      <c r="DR300">
        <v>79674</v>
      </c>
      <c r="DS300">
        <v>648</v>
      </c>
      <c r="EW300" t="s">
        <v>333</v>
      </c>
      <c r="FK300" t="s">
        <v>1068</v>
      </c>
      <c r="FM300">
        <v>26.5</v>
      </c>
      <c r="FR300" t="s">
        <v>295</v>
      </c>
      <c r="GC300">
        <v>80</v>
      </c>
      <c r="GE300">
        <v>85</v>
      </c>
      <c r="GF300" t="s">
        <v>572</v>
      </c>
      <c r="GJ300">
        <v>7</v>
      </c>
      <c r="GL300">
        <v>8</v>
      </c>
      <c r="GM300" t="s">
        <v>356</v>
      </c>
      <c r="GQ300">
        <v>7.5</v>
      </c>
      <c r="GS300">
        <v>8.5</v>
      </c>
      <c r="GU300">
        <v>12</v>
      </c>
      <c r="GZ300" t="s">
        <v>296</v>
      </c>
      <c r="HH300" t="s">
        <v>272</v>
      </c>
      <c r="ID300" t="s">
        <v>1069</v>
      </c>
      <c r="IE300" t="s">
        <v>1070</v>
      </c>
      <c r="IF300">
        <v>4043</v>
      </c>
      <c r="IG300" t="s">
        <v>1071</v>
      </c>
      <c r="IH300" t="s">
        <v>1072</v>
      </c>
      <c r="II300">
        <v>1990</v>
      </c>
      <c r="IJ300" t="s">
        <v>1073</v>
      </c>
    </row>
    <row r="301" spans="1:244" x14ac:dyDescent="0.45">
      <c r="A301">
        <v>1056832</v>
      </c>
      <c r="B301">
        <v>125499</v>
      </c>
      <c r="C301">
        <v>7440508</v>
      </c>
      <c r="D301" t="s">
        <v>1063</v>
      </c>
      <c r="F301" t="s">
        <v>327</v>
      </c>
      <c r="G301" t="s">
        <v>246</v>
      </c>
      <c r="N301" t="s">
        <v>1064</v>
      </c>
      <c r="O301" t="s">
        <v>1065</v>
      </c>
      <c r="P301" t="s">
        <v>249</v>
      </c>
      <c r="Q301" t="s">
        <v>250</v>
      </c>
      <c r="R301" t="s">
        <v>251</v>
      </c>
      <c r="T301" t="s">
        <v>252</v>
      </c>
      <c r="U301" t="s">
        <v>253</v>
      </c>
      <c r="V301" t="s">
        <v>304</v>
      </c>
      <c r="W301" t="s">
        <v>1066</v>
      </c>
      <c r="X301" t="s">
        <v>1067</v>
      </c>
      <c r="Z301" t="s">
        <v>284</v>
      </c>
      <c r="AB301">
        <v>8</v>
      </c>
      <c r="AG301" t="s">
        <v>598</v>
      </c>
      <c r="AM301" t="s">
        <v>317</v>
      </c>
      <c r="AN301" t="s">
        <v>259</v>
      </c>
      <c r="AO301" t="s">
        <v>260</v>
      </c>
      <c r="AQ301" t="s">
        <v>261</v>
      </c>
      <c r="AS301">
        <v>290</v>
      </c>
      <c r="AX301" t="s">
        <v>262</v>
      </c>
      <c r="BO301" t="s">
        <v>261</v>
      </c>
      <c r="BQ301">
        <v>0.28999999999999998</v>
      </c>
      <c r="BV301" t="s">
        <v>263</v>
      </c>
      <c r="CM301" t="s">
        <v>264</v>
      </c>
      <c r="CN301" t="s">
        <v>264</v>
      </c>
      <c r="CP301" t="s">
        <v>265</v>
      </c>
      <c r="DB301">
        <v>3</v>
      </c>
      <c r="DG301" t="s">
        <v>267</v>
      </c>
      <c r="DI301">
        <v>72</v>
      </c>
      <c r="DN301" t="s">
        <v>268</v>
      </c>
      <c r="DR301">
        <v>79674</v>
      </c>
      <c r="DS301">
        <v>648</v>
      </c>
      <c r="EW301" t="s">
        <v>333</v>
      </c>
      <c r="FK301" t="s">
        <v>1068</v>
      </c>
      <c r="FM301">
        <v>26.5</v>
      </c>
      <c r="FR301" t="s">
        <v>295</v>
      </c>
      <c r="GC301">
        <v>80</v>
      </c>
      <c r="GE301">
        <v>85</v>
      </c>
      <c r="GF301" t="s">
        <v>572</v>
      </c>
      <c r="GJ301">
        <v>7</v>
      </c>
      <c r="GL301">
        <v>8</v>
      </c>
      <c r="GM301" t="s">
        <v>356</v>
      </c>
      <c r="GQ301">
        <v>7.5</v>
      </c>
      <c r="GS301">
        <v>8.5</v>
      </c>
      <c r="GU301">
        <v>12</v>
      </c>
      <c r="GZ301" t="s">
        <v>296</v>
      </c>
      <c r="HH301" t="s">
        <v>272</v>
      </c>
      <c r="ID301" t="s">
        <v>1069</v>
      </c>
      <c r="IE301" t="s">
        <v>1070</v>
      </c>
      <c r="IF301">
        <v>4043</v>
      </c>
      <c r="IG301" t="s">
        <v>1071</v>
      </c>
      <c r="IH301" t="s">
        <v>1072</v>
      </c>
      <c r="II301">
        <v>1990</v>
      </c>
      <c r="IJ301" t="s">
        <v>1073</v>
      </c>
    </row>
    <row r="302" spans="1:244" x14ac:dyDescent="0.45">
      <c r="A302">
        <v>1056826</v>
      </c>
      <c r="B302">
        <v>125493</v>
      </c>
      <c r="C302">
        <v>7440508</v>
      </c>
      <c r="D302" t="s">
        <v>1063</v>
      </c>
      <c r="F302" t="s">
        <v>327</v>
      </c>
      <c r="G302" t="s">
        <v>246</v>
      </c>
      <c r="N302" t="s">
        <v>1064</v>
      </c>
      <c r="O302" t="s">
        <v>1065</v>
      </c>
      <c r="P302" t="s">
        <v>249</v>
      </c>
      <c r="Q302" t="s">
        <v>250</v>
      </c>
      <c r="R302" t="s">
        <v>251</v>
      </c>
      <c r="T302" t="s">
        <v>252</v>
      </c>
      <c r="U302" t="s">
        <v>253</v>
      </c>
      <c r="V302" t="s">
        <v>304</v>
      </c>
      <c r="W302" t="s">
        <v>1066</v>
      </c>
      <c r="X302" t="s">
        <v>1067</v>
      </c>
      <c r="Z302" t="s">
        <v>284</v>
      </c>
      <c r="AB302">
        <v>7</v>
      </c>
      <c r="AG302" t="s">
        <v>598</v>
      </c>
      <c r="AM302" t="s">
        <v>317</v>
      </c>
      <c r="AN302" t="s">
        <v>259</v>
      </c>
      <c r="AO302" t="s">
        <v>260</v>
      </c>
      <c r="AQ302" t="s">
        <v>261</v>
      </c>
      <c r="AS302">
        <v>605</v>
      </c>
      <c r="AX302" t="s">
        <v>262</v>
      </c>
      <c r="BO302" t="s">
        <v>261</v>
      </c>
      <c r="BQ302">
        <v>0.60499999999999998</v>
      </c>
      <c r="BV302" t="s">
        <v>263</v>
      </c>
      <c r="CM302" t="s">
        <v>264</v>
      </c>
      <c r="CN302" t="s">
        <v>264</v>
      </c>
      <c r="CP302" t="s">
        <v>265</v>
      </c>
      <c r="DB302">
        <v>1</v>
      </c>
      <c r="DG302" t="s">
        <v>267</v>
      </c>
      <c r="DI302">
        <v>24</v>
      </c>
      <c r="DN302" t="s">
        <v>268</v>
      </c>
      <c r="DR302">
        <v>79674</v>
      </c>
      <c r="DS302">
        <v>648</v>
      </c>
      <c r="EW302" t="s">
        <v>333</v>
      </c>
      <c r="FK302" t="s">
        <v>1068</v>
      </c>
      <c r="FM302">
        <v>26.5</v>
      </c>
      <c r="FR302" t="s">
        <v>295</v>
      </c>
      <c r="GC302">
        <v>80</v>
      </c>
      <c r="GE302">
        <v>85</v>
      </c>
      <c r="GF302" t="s">
        <v>572</v>
      </c>
      <c r="GJ302">
        <v>7</v>
      </c>
      <c r="GL302">
        <v>8</v>
      </c>
      <c r="GM302" t="s">
        <v>356</v>
      </c>
      <c r="GQ302">
        <v>7.5</v>
      </c>
      <c r="GS302">
        <v>8.5</v>
      </c>
      <c r="GU302">
        <v>12</v>
      </c>
      <c r="GZ302" t="s">
        <v>296</v>
      </c>
      <c r="HH302" t="s">
        <v>272</v>
      </c>
      <c r="ID302" t="s">
        <v>1069</v>
      </c>
      <c r="IE302" t="s">
        <v>1070</v>
      </c>
      <c r="IF302">
        <v>4043</v>
      </c>
      <c r="IG302" t="s">
        <v>1071</v>
      </c>
      <c r="IH302" t="s">
        <v>1072</v>
      </c>
      <c r="II302">
        <v>1990</v>
      </c>
      <c r="IJ302" t="s">
        <v>1073</v>
      </c>
    </row>
    <row r="303" spans="1:244" x14ac:dyDescent="0.45">
      <c r="A303">
        <v>1119405</v>
      </c>
      <c r="B303">
        <v>70700</v>
      </c>
      <c r="C303">
        <v>7440508</v>
      </c>
      <c r="D303" t="s">
        <v>1063</v>
      </c>
      <c r="F303" t="s">
        <v>245</v>
      </c>
      <c r="G303" t="s">
        <v>246</v>
      </c>
      <c r="N303" t="s">
        <v>546</v>
      </c>
      <c r="O303" t="s">
        <v>547</v>
      </c>
      <c r="P303" t="s">
        <v>249</v>
      </c>
      <c r="Q303" t="s">
        <v>250</v>
      </c>
      <c r="R303" t="s">
        <v>251</v>
      </c>
      <c r="T303" t="s">
        <v>252</v>
      </c>
      <c r="U303" t="s">
        <v>253</v>
      </c>
      <c r="V303" t="s">
        <v>548</v>
      </c>
      <c r="W303" t="s">
        <v>549</v>
      </c>
      <c r="X303" t="s">
        <v>550</v>
      </c>
      <c r="Z303" t="s">
        <v>284</v>
      </c>
      <c r="AM303" t="s">
        <v>317</v>
      </c>
      <c r="AN303" t="s">
        <v>259</v>
      </c>
      <c r="AO303" t="s">
        <v>260</v>
      </c>
      <c r="AQ303" t="s">
        <v>261</v>
      </c>
      <c r="AU303">
        <v>10000</v>
      </c>
      <c r="AW303">
        <v>33000</v>
      </c>
      <c r="AX303" t="s">
        <v>262</v>
      </c>
      <c r="BO303" t="s">
        <v>261</v>
      </c>
      <c r="BS303">
        <v>10</v>
      </c>
      <c r="BU303">
        <v>33</v>
      </c>
      <c r="BV303" t="s">
        <v>263</v>
      </c>
      <c r="CM303" t="s">
        <v>264</v>
      </c>
      <c r="CN303" t="s">
        <v>264</v>
      </c>
      <c r="CP303" t="s">
        <v>265</v>
      </c>
      <c r="CQ303" t="s">
        <v>394</v>
      </c>
      <c r="DB303">
        <v>2</v>
      </c>
      <c r="DG303" t="s">
        <v>267</v>
      </c>
      <c r="DI303">
        <v>48</v>
      </c>
      <c r="DN303" t="s">
        <v>268</v>
      </c>
      <c r="DR303">
        <v>491138</v>
      </c>
      <c r="DS303">
        <v>11</v>
      </c>
      <c r="EW303" t="s">
        <v>293</v>
      </c>
      <c r="FM303">
        <v>15</v>
      </c>
      <c r="FR303" t="s">
        <v>295</v>
      </c>
      <c r="HH303" t="s">
        <v>272</v>
      </c>
      <c r="IE303" t="s">
        <v>774</v>
      </c>
      <c r="IF303">
        <v>9258</v>
      </c>
      <c r="IG303" t="s">
        <v>786</v>
      </c>
      <c r="IH303" t="s">
        <v>787</v>
      </c>
      <c r="II303">
        <v>1972</v>
      </c>
      <c r="IJ303" t="s">
        <v>788</v>
      </c>
    </row>
    <row r="304" spans="1:244" x14ac:dyDescent="0.45">
      <c r="A304">
        <v>1165665</v>
      </c>
      <c r="B304">
        <v>58998</v>
      </c>
      <c r="C304">
        <v>7440508</v>
      </c>
      <c r="D304" t="s">
        <v>1063</v>
      </c>
      <c r="F304" t="s">
        <v>245</v>
      </c>
      <c r="G304" t="s">
        <v>246</v>
      </c>
      <c r="N304" t="s">
        <v>452</v>
      </c>
      <c r="O304" t="s">
        <v>346</v>
      </c>
      <c r="P304" t="s">
        <v>249</v>
      </c>
      <c r="Q304" t="s">
        <v>250</v>
      </c>
      <c r="R304" t="s">
        <v>251</v>
      </c>
      <c r="T304" t="s">
        <v>347</v>
      </c>
      <c r="U304" t="s">
        <v>348</v>
      </c>
      <c r="V304" t="s">
        <v>349</v>
      </c>
      <c r="W304" t="s">
        <v>350</v>
      </c>
      <c r="X304" t="s">
        <v>453</v>
      </c>
      <c r="AM304" t="s">
        <v>287</v>
      </c>
      <c r="AN304" t="s">
        <v>259</v>
      </c>
      <c r="AO304" t="s">
        <v>260</v>
      </c>
      <c r="AQ304" t="s">
        <v>261</v>
      </c>
      <c r="AS304">
        <v>800</v>
      </c>
      <c r="AX304" t="s">
        <v>262</v>
      </c>
      <c r="BO304" t="s">
        <v>261</v>
      </c>
      <c r="BQ304">
        <v>0.8</v>
      </c>
      <c r="BV304" t="s">
        <v>263</v>
      </c>
      <c r="CM304" t="s">
        <v>264</v>
      </c>
      <c r="CN304" t="s">
        <v>264</v>
      </c>
      <c r="CP304" t="s">
        <v>265</v>
      </c>
      <c r="DB304">
        <v>1</v>
      </c>
      <c r="DG304" t="s">
        <v>267</v>
      </c>
      <c r="DI304">
        <v>24</v>
      </c>
      <c r="DN304" t="s">
        <v>268</v>
      </c>
      <c r="DR304">
        <v>85549</v>
      </c>
      <c r="DS304">
        <v>366</v>
      </c>
      <c r="EW304" t="s">
        <v>272</v>
      </c>
      <c r="HH304" t="s">
        <v>272</v>
      </c>
      <c r="IE304" t="s">
        <v>686</v>
      </c>
      <c r="IF304">
        <v>14577</v>
      </c>
      <c r="IG304" t="s">
        <v>687</v>
      </c>
      <c r="IH304" t="s">
        <v>688</v>
      </c>
      <c r="II304">
        <v>1993</v>
      </c>
      <c r="IJ304" t="s">
        <v>689</v>
      </c>
    </row>
    <row r="305" spans="1:244" x14ac:dyDescent="0.45">
      <c r="A305">
        <v>1056843</v>
      </c>
      <c r="B305">
        <v>125510</v>
      </c>
      <c r="C305">
        <v>7440508</v>
      </c>
      <c r="D305" t="s">
        <v>1063</v>
      </c>
      <c r="F305" t="s">
        <v>327</v>
      </c>
      <c r="G305" t="s">
        <v>246</v>
      </c>
      <c r="N305" t="s">
        <v>1064</v>
      </c>
      <c r="O305" t="s">
        <v>1065</v>
      </c>
      <c r="P305" t="s">
        <v>249</v>
      </c>
      <c r="Q305" t="s">
        <v>250</v>
      </c>
      <c r="R305" t="s">
        <v>251</v>
      </c>
      <c r="T305" t="s">
        <v>252</v>
      </c>
      <c r="U305" t="s">
        <v>253</v>
      </c>
      <c r="V305" t="s">
        <v>304</v>
      </c>
      <c r="W305" t="s">
        <v>1066</v>
      </c>
      <c r="X305" t="s">
        <v>1067</v>
      </c>
      <c r="Z305" t="s">
        <v>284</v>
      </c>
      <c r="AB305">
        <v>11</v>
      </c>
      <c r="AG305" t="s">
        <v>598</v>
      </c>
      <c r="AM305" t="s">
        <v>317</v>
      </c>
      <c r="AN305" t="s">
        <v>259</v>
      </c>
      <c r="AO305" t="s">
        <v>260</v>
      </c>
      <c r="AQ305" t="s">
        <v>261</v>
      </c>
      <c r="AS305">
        <v>325</v>
      </c>
      <c r="AX305" t="s">
        <v>262</v>
      </c>
      <c r="BO305" t="s">
        <v>261</v>
      </c>
      <c r="BQ305">
        <v>0.32500000000000001</v>
      </c>
      <c r="BV305" t="s">
        <v>263</v>
      </c>
      <c r="CM305" t="s">
        <v>264</v>
      </c>
      <c r="CN305" t="s">
        <v>264</v>
      </c>
      <c r="CP305" t="s">
        <v>265</v>
      </c>
      <c r="DB305">
        <v>2</v>
      </c>
      <c r="DG305" t="s">
        <v>267</v>
      </c>
      <c r="DI305">
        <v>48</v>
      </c>
      <c r="DN305" t="s">
        <v>268</v>
      </c>
      <c r="DR305">
        <v>79674</v>
      </c>
      <c r="DS305">
        <v>648</v>
      </c>
      <c r="EW305" t="s">
        <v>333</v>
      </c>
      <c r="FK305" t="s">
        <v>1068</v>
      </c>
      <c r="FM305">
        <v>26.5</v>
      </c>
      <c r="FR305" t="s">
        <v>295</v>
      </c>
      <c r="GC305">
        <v>80</v>
      </c>
      <c r="GE305">
        <v>85</v>
      </c>
      <c r="GF305" t="s">
        <v>572</v>
      </c>
      <c r="GJ305">
        <v>7</v>
      </c>
      <c r="GL305">
        <v>8</v>
      </c>
      <c r="GM305" t="s">
        <v>356</v>
      </c>
      <c r="GQ305">
        <v>7.5</v>
      </c>
      <c r="GS305">
        <v>8.5</v>
      </c>
      <c r="GU305">
        <v>12</v>
      </c>
      <c r="GZ305" t="s">
        <v>296</v>
      </c>
      <c r="HH305" t="s">
        <v>272</v>
      </c>
      <c r="ID305" t="s">
        <v>1069</v>
      </c>
      <c r="IE305" t="s">
        <v>1070</v>
      </c>
      <c r="IF305">
        <v>4043</v>
      </c>
      <c r="IG305" t="s">
        <v>1071</v>
      </c>
      <c r="IH305" t="s">
        <v>1072</v>
      </c>
      <c r="II305">
        <v>1990</v>
      </c>
      <c r="IJ305" t="s">
        <v>1073</v>
      </c>
    </row>
    <row r="306" spans="1:244" x14ac:dyDescent="0.45">
      <c r="A306">
        <v>1056814</v>
      </c>
      <c r="B306">
        <v>125481</v>
      </c>
      <c r="C306">
        <v>7440508</v>
      </c>
      <c r="D306" t="s">
        <v>1063</v>
      </c>
      <c r="F306" t="s">
        <v>327</v>
      </c>
      <c r="G306" t="s">
        <v>246</v>
      </c>
      <c r="N306" t="s">
        <v>1064</v>
      </c>
      <c r="O306" t="s">
        <v>1065</v>
      </c>
      <c r="P306" t="s">
        <v>249</v>
      </c>
      <c r="Q306" t="s">
        <v>250</v>
      </c>
      <c r="R306" t="s">
        <v>251</v>
      </c>
      <c r="T306" t="s">
        <v>252</v>
      </c>
      <c r="U306" t="s">
        <v>253</v>
      </c>
      <c r="V306" t="s">
        <v>304</v>
      </c>
      <c r="W306" t="s">
        <v>1066</v>
      </c>
      <c r="X306" t="s">
        <v>1067</v>
      </c>
      <c r="Z306" t="s">
        <v>284</v>
      </c>
      <c r="AB306">
        <v>4</v>
      </c>
      <c r="AG306" t="s">
        <v>598</v>
      </c>
      <c r="AM306" t="s">
        <v>317</v>
      </c>
      <c r="AN306" t="s">
        <v>259</v>
      </c>
      <c r="AO306" t="s">
        <v>260</v>
      </c>
      <c r="AQ306" t="s">
        <v>261</v>
      </c>
      <c r="AS306">
        <v>475</v>
      </c>
      <c r="AX306" t="s">
        <v>262</v>
      </c>
      <c r="BO306" t="s">
        <v>261</v>
      </c>
      <c r="BQ306">
        <v>0.47499999999999998</v>
      </c>
      <c r="BV306" t="s">
        <v>263</v>
      </c>
      <c r="CM306" t="s">
        <v>264</v>
      </c>
      <c r="CN306" t="s">
        <v>264</v>
      </c>
      <c r="CP306" t="s">
        <v>265</v>
      </c>
      <c r="DB306">
        <v>1</v>
      </c>
      <c r="DG306" t="s">
        <v>267</v>
      </c>
      <c r="DI306">
        <v>24</v>
      </c>
      <c r="DN306" t="s">
        <v>268</v>
      </c>
      <c r="DR306">
        <v>79674</v>
      </c>
      <c r="DS306">
        <v>648</v>
      </c>
      <c r="EW306" t="s">
        <v>333</v>
      </c>
      <c r="FK306" t="s">
        <v>1068</v>
      </c>
      <c r="FM306">
        <v>26.5</v>
      </c>
      <c r="FR306" t="s">
        <v>295</v>
      </c>
      <c r="GC306">
        <v>80</v>
      </c>
      <c r="GE306">
        <v>85</v>
      </c>
      <c r="GF306" t="s">
        <v>572</v>
      </c>
      <c r="GJ306">
        <v>7</v>
      </c>
      <c r="GL306">
        <v>8</v>
      </c>
      <c r="GM306" t="s">
        <v>356</v>
      </c>
      <c r="GQ306">
        <v>7.5</v>
      </c>
      <c r="GS306">
        <v>8.5</v>
      </c>
      <c r="GU306">
        <v>12</v>
      </c>
      <c r="GZ306" t="s">
        <v>296</v>
      </c>
      <c r="HH306" t="s">
        <v>272</v>
      </c>
      <c r="ID306" t="s">
        <v>1069</v>
      </c>
      <c r="IE306" t="s">
        <v>1070</v>
      </c>
      <c r="IF306">
        <v>4043</v>
      </c>
      <c r="IG306" t="s">
        <v>1071</v>
      </c>
      <c r="IH306" t="s">
        <v>1072</v>
      </c>
      <c r="II306">
        <v>1990</v>
      </c>
      <c r="IJ306" t="s">
        <v>1073</v>
      </c>
    </row>
    <row r="307" spans="1:244" x14ac:dyDescent="0.45">
      <c r="A307">
        <v>1056837</v>
      </c>
      <c r="B307">
        <v>125504</v>
      </c>
      <c r="C307">
        <v>7440508</v>
      </c>
      <c r="D307" t="s">
        <v>1063</v>
      </c>
      <c r="F307" t="s">
        <v>327</v>
      </c>
      <c r="G307" t="s">
        <v>246</v>
      </c>
      <c r="N307" t="s">
        <v>1064</v>
      </c>
      <c r="O307" t="s">
        <v>1065</v>
      </c>
      <c r="P307" t="s">
        <v>249</v>
      </c>
      <c r="Q307" t="s">
        <v>250</v>
      </c>
      <c r="R307" t="s">
        <v>251</v>
      </c>
      <c r="T307" t="s">
        <v>252</v>
      </c>
      <c r="U307" t="s">
        <v>253</v>
      </c>
      <c r="V307" t="s">
        <v>304</v>
      </c>
      <c r="W307" t="s">
        <v>1066</v>
      </c>
      <c r="X307" t="s">
        <v>1067</v>
      </c>
      <c r="Z307" t="s">
        <v>284</v>
      </c>
      <c r="AB307">
        <v>9</v>
      </c>
      <c r="AG307" t="s">
        <v>598</v>
      </c>
      <c r="AM307" t="s">
        <v>317</v>
      </c>
      <c r="AN307" t="s">
        <v>259</v>
      </c>
      <c r="AO307" t="s">
        <v>260</v>
      </c>
      <c r="AQ307" t="s">
        <v>261</v>
      </c>
      <c r="AS307">
        <v>205</v>
      </c>
      <c r="AX307" t="s">
        <v>262</v>
      </c>
      <c r="BO307" t="s">
        <v>261</v>
      </c>
      <c r="BQ307">
        <v>0.20499999999999999</v>
      </c>
      <c r="BV307" t="s">
        <v>263</v>
      </c>
      <c r="CM307" t="s">
        <v>264</v>
      </c>
      <c r="CN307" t="s">
        <v>264</v>
      </c>
      <c r="CP307" t="s">
        <v>265</v>
      </c>
      <c r="DB307">
        <v>4</v>
      </c>
      <c r="DG307" t="s">
        <v>267</v>
      </c>
      <c r="DI307">
        <v>96</v>
      </c>
      <c r="DN307" t="s">
        <v>268</v>
      </c>
      <c r="DR307">
        <v>79674</v>
      </c>
      <c r="DS307">
        <v>648</v>
      </c>
      <c r="EW307" t="s">
        <v>333</v>
      </c>
      <c r="FK307" t="s">
        <v>1068</v>
      </c>
      <c r="FM307">
        <v>26.5</v>
      </c>
      <c r="FR307" t="s">
        <v>295</v>
      </c>
      <c r="GC307">
        <v>80</v>
      </c>
      <c r="GE307">
        <v>85</v>
      </c>
      <c r="GF307" t="s">
        <v>572</v>
      </c>
      <c r="GJ307">
        <v>7</v>
      </c>
      <c r="GL307">
        <v>8</v>
      </c>
      <c r="GM307" t="s">
        <v>356</v>
      </c>
      <c r="GQ307">
        <v>7.5</v>
      </c>
      <c r="GS307">
        <v>8.5</v>
      </c>
      <c r="GU307">
        <v>12</v>
      </c>
      <c r="GZ307" t="s">
        <v>296</v>
      </c>
      <c r="HH307" t="s">
        <v>272</v>
      </c>
      <c r="ID307" t="s">
        <v>1069</v>
      </c>
      <c r="IE307" t="s">
        <v>1070</v>
      </c>
      <c r="IF307">
        <v>4043</v>
      </c>
      <c r="IG307" t="s">
        <v>1071</v>
      </c>
      <c r="IH307" t="s">
        <v>1072</v>
      </c>
      <c r="II307">
        <v>1990</v>
      </c>
      <c r="IJ307" t="s">
        <v>1073</v>
      </c>
    </row>
    <row r="308" spans="1:244" x14ac:dyDescent="0.45">
      <c r="A308">
        <v>1056827</v>
      </c>
      <c r="B308">
        <v>125494</v>
      </c>
      <c r="C308">
        <v>7440508</v>
      </c>
      <c r="D308" t="s">
        <v>1063</v>
      </c>
      <c r="F308" t="s">
        <v>327</v>
      </c>
      <c r="G308" t="s">
        <v>246</v>
      </c>
      <c r="N308" t="s">
        <v>1064</v>
      </c>
      <c r="O308" t="s">
        <v>1065</v>
      </c>
      <c r="P308" t="s">
        <v>249</v>
      </c>
      <c r="Q308" t="s">
        <v>250</v>
      </c>
      <c r="R308" t="s">
        <v>251</v>
      </c>
      <c r="T308" t="s">
        <v>252</v>
      </c>
      <c r="U308" t="s">
        <v>253</v>
      </c>
      <c r="V308" t="s">
        <v>304</v>
      </c>
      <c r="W308" t="s">
        <v>1066</v>
      </c>
      <c r="X308" t="s">
        <v>1067</v>
      </c>
      <c r="Z308" t="s">
        <v>284</v>
      </c>
      <c r="AB308">
        <v>7</v>
      </c>
      <c r="AG308" t="s">
        <v>598</v>
      </c>
      <c r="AM308" t="s">
        <v>317</v>
      </c>
      <c r="AN308" t="s">
        <v>259</v>
      </c>
      <c r="AO308" t="s">
        <v>260</v>
      </c>
      <c r="AQ308" t="s">
        <v>261</v>
      </c>
      <c r="AS308">
        <v>435</v>
      </c>
      <c r="AX308" t="s">
        <v>262</v>
      </c>
      <c r="BO308" t="s">
        <v>261</v>
      </c>
      <c r="BQ308">
        <v>0.435</v>
      </c>
      <c r="BV308" t="s">
        <v>263</v>
      </c>
      <c r="CM308" t="s">
        <v>264</v>
      </c>
      <c r="CN308" t="s">
        <v>264</v>
      </c>
      <c r="CP308" t="s">
        <v>265</v>
      </c>
      <c r="DB308">
        <v>2</v>
      </c>
      <c r="DG308" t="s">
        <v>267</v>
      </c>
      <c r="DI308">
        <v>48</v>
      </c>
      <c r="DN308" t="s">
        <v>268</v>
      </c>
      <c r="DR308">
        <v>79674</v>
      </c>
      <c r="DS308">
        <v>648</v>
      </c>
      <c r="EW308" t="s">
        <v>333</v>
      </c>
      <c r="FK308" t="s">
        <v>1068</v>
      </c>
      <c r="FM308">
        <v>26.5</v>
      </c>
      <c r="FR308" t="s">
        <v>295</v>
      </c>
      <c r="GC308">
        <v>80</v>
      </c>
      <c r="GE308">
        <v>85</v>
      </c>
      <c r="GF308" t="s">
        <v>572</v>
      </c>
      <c r="GJ308">
        <v>7</v>
      </c>
      <c r="GL308">
        <v>8</v>
      </c>
      <c r="GM308" t="s">
        <v>356</v>
      </c>
      <c r="GQ308">
        <v>7.5</v>
      </c>
      <c r="GS308">
        <v>8.5</v>
      </c>
      <c r="GU308">
        <v>12</v>
      </c>
      <c r="GZ308" t="s">
        <v>296</v>
      </c>
      <c r="HH308" t="s">
        <v>272</v>
      </c>
      <c r="ID308" t="s">
        <v>1069</v>
      </c>
      <c r="IE308" t="s">
        <v>1070</v>
      </c>
      <c r="IF308">
        <v>4043</v>
      </c>
      <c r="IG308" t="s">
        <v>1071</v>
      </c>
      <c r="IH308" t="s">
        <v>1072</v>
      </c>
      <c r="II308">
        <v>1990</v>
      </c>
      <c r="IJ308" t="s">
        <v>1073</v>
      </c>
    </row>
    <row r="309" spans="1:244" x14ac:dyDescent="0.45">
      <c r="A309">
        <v>1167689</v>
      </c>
      <c r="B309">
        <v>47150</v>
      </c>
      <c r="C309">
        <v>7440508</v>
      </c>
      <c r="D309" t="s">
        <v>1063</v>
      </c>
      <c r="F309" t="s">
        <v>327</v>
      </c>
      <c r="G309" t="s">
        <v>246</v>
      </c>
      <c r="N309" t="s">
        <v>968</v>
      </c>
      <c r="O309" t="s">
        <v>969</v>
      </c>
      <c r="P309" t="s">
        <v>249</v>
      </c>
      <c r="Q309" t="s">
        <v>250</v>
      </c>
      <c r="R309" t="s">
        <v>251</v>
      </c>
      <c r="T309" t="s">
        <v>252</v>
      </c>
      <c r="U309" t="s">
        <v>253</v>
      </c>
      <c r="V309" t="s">
        <v>418</v>
      </c>
      <c r="W309" t="s">
        <v>419</v>
      </c>
      <c r="X309" t="s">
        <v>970</v>
      </c>
      <c r="Z309" t="s">
        <v>649</v>
      </c>
      <c r="AB309">
        <v>4</v>
      </c>
      <c r="AG309" t="s">
        <v>516</v>
      </c>
      <c r="AL309" t="s">
        <v>809</v>
      </c>
      <c r="AM309" t="s">
        <v>258</v>
      </c>
      <c r="AN309" t="s">
        <v>259</v>
      </c>
      <c r="AO309" t="s">
        <v>260</v>
      </c>
      <c r="AQ309" t="s">
        <v>504</v>
      </c>
      <c r="AS309">
        <v>380</v>
      </c>
      <c r="AU309">
        <v>210</v>
      </c>
      <c r="AW309">
        <v>680</v>
      </c>
      <c r="AX309" t="s">
        <v>262</v>
      </c>
      <c r="BO309" t="s">
        <v>504</v>
      </c>
      <c r="BQ309">
        <v>0.38</v>
      </c>
      <c r="BS309">
        <v>0.21</v>
      </c>
      <c r="BU309">
        <v>0.68</v>
      </c>
      <c r="BV309" t="s">
        <v>263</v>
      </c>
      <c r="CM309" t="s">
        <v>264</v>
      </c>
      <c r="CN309" t="s">
        <v>264</v>
      </c>
      <c r="CP309" t="s">
        <v>265</v>
      </c>
      <c r="DB309">
        <v>4</v>
      </c>
      <c r="DG309" t="s">
        <v>267</v>
      </c>
      <c r="DI309">
        <v>96</v>
      </c>
      <c r="DN309" t="s">
        <v>268</v>
      </c>
      <c r="DS309">
        <v>1010</v>
      </c>
      <c r="DT309" t="s">
        <v>1088</v>
      </c>
      <c r="EW309" t="s">
        <v>293</v>
      </c>
      <c r="FM309">
        <v>27</v>
      </c>
      <c r="FR309" t="s">
        <v>295</v>
      </c>
      <c r="GJ309">
        <v>79</v>
      </c>
      <c r="GL309">
        <v>90</v>
      </c>
      <c r="GM309" t="s">
        <v>900</v>
      </c>
      <c r="GU309">
        <v>20</v>
      </c>
      <c r="GZ309" t="s">
        <v>296</v>
      </c>
      <c r="HH309" t="s">
        <v>272</v>
      </c>
      <c r="IE309" t="s">
        <v>1089</v>
      </c>
      <c r="IF309">
        <v>14951</v>
      </c>
      <c r="IG309" t="s">
        <v>1090</v>
      </c>
      <c r="IH309" t="s">
        <v>1091</v>
      </c>
      <c r="II309">
        <v>1995</v>
      </c>
      <c r="IJ309" t="s">
        <v>1092</v>
      </c>
    </row>
    <row r="310" spans="1:244" x14ac:dyDescent="0.45">
      <c r="A310">
        <v>1056825</v>
      </c>
      <c r="B310">
        <v>125492</v>
      </c>
      <c r="C310">
        <v>7440508</v>
      </c>
      <c r="D310" t="s">
        <v>1063</v>
      </c>
      <c r="F310" t="s">
        <v>327</v>
      </c>
      <c r="G310" t="s">
        <v>246</v>
      </c>
      <c r="N310" t="s">
        <v>1064</v>
      </c>
      <c r="O310" t="s">
        <v>1065</v>
      </c>
      <c r="P310" t="s">
        <v>249</v>
      </c>
      <c r="Q310" t="s">
        <v>250</v>
      </c>
      <c r="R310" t="s">
        <v>251</v>
      </c>
      <c r="T310" t="s">
        <v>252</v>
      </c>
      <c r="U310" t="s">
        <v>253</v>
      </c>
      <c r="V310" t="s">
        <v>304</v>
      </c>
      <c r="W310" t="s">
        <v>1066</v>
      </c>
      <c r="X310" t="s">
        <v>1067</v>
      </c>
      <c r="Z310" t="s">
        <v>284</v>
      </c>
      <c r="AB310">
        <v>6</v>
      </c>
      <c r="AG310" t="s">
        <v>598</v>
      </c>
      <c r="AM310" t="s">
        <v>317</v>
      </c>
      <c r="AN310" t="s">
        <v>259</v>
      </c>
      <c r="AO310" t="s">
        <v>260</v>
      </c>
      <c r="AQ310" t="s">
        <v>261</v>
      </c>
      <c r="AS310">
        <v>180</v>
      </c>
      <c r="AX310" t="s">
        <v>262</v>
      </c>
      <c r="BO310" t="s">
        <v>261</v>
      </c>
      <c r="BQ310">
        <v>0.18</v>
      </c>
      <c r="BV310" t="s">
        <v>263</v>
      </c>
      <c r="CM310" t="s">
        <v>264</v>
      </c>
      <c r="CN310" t="s">
        <v>264</v>
      </c>
      <c r="CP310" t="s">
        <v>265</v>
      </c>
      <c r="DB310">
        <v>4</v>
      </c>
      <c r="DG310" t="s">
        <v>267</v>
      </c>
      <c r="DI310">
        <v>96</v>
      </c>
      <c r="DN310" t="s">
        <v>268</v>
      </c>
      <c r="DR310">
        <v>79674</v>
      </c>
      <c r="DS310">
        <v>648</v>
      </c>
      <c r="EW310" t="s">
        <v>333</v>
      </c>
      <c r="FK310" t="s">
        <v>1068</v>
      </c>
      <c r="FM310">
        <v>26.5</v>
      </c>
      <c r="FR310" t="s">
        <v>295</v>
      </c>
      <c r="GC310">
        <v>80</v>
      </c>
      <c r="GE310">
        <v>85</v>
      </c>
      <c r="GF310" t="s">
        <v>572</v>
      </c>
      <c r="GJ310">
        <v>7</v>
      </c>
      <c r="GL310">
        <v>8</v>
      </c>
      <c r="GM310" t="s">
        <v>356</v>
      </c>
      <c r="GQ310">
        <v>7.5</v>
      </c>
      <c r="GS310">
        <v>8.5</v>
      </c>
      <c r="GU310">
        <v>12</v>
      </c>
      <c r="GZ310" t="s">
        <v>296</v>
      </c>
      <c r="HH310" t="s">
        <v>272</v>
      </c>
      <c r="ID310" t="s">
        <v>1069</v>
      </c>
      <c r="IE310" t="s">
        <v>1070</v>
      </c>
      <c r="IF310">
        <v>4043</v>
      </c>
      <c r="IG310" t="s">
        <v>1071</v>
      </c>
      <c r="IH310" t="s">
        <v>1072</v>
      </c>
      <c r="II310">
        <v>1990</v>
      </c>
      <c r="IJ310" t="s">
        <v>1073</v>
      </c>
    </row>
    <row r="311" spans="1:244" x14ac:dyDescent="0.45">
      <c r="A311">
        <v>1056846</v>
      </c>
      <c r="B311">
        <v>125513</v>
      </c>
      <c r="C311">
        <v>7440508</v>
      </c>
      <c r="D311" t="s">
        <v>1063</v>
      </c>
      <c r="F311" t="s">
        <v>327</v>
      </c>
      <c r="G311" t="s">
        <v>246</v>
      </c>
      <c r="N311" t="s">
        <v>1064</v>
      </c>
      <c r="O311" t="s">
        <v>1065</v>
      </c>
      <c r="P311" t="s">
        <v>249</v>
      </c>
      <c r="Q311" t="s">
        <v>250</v>
      </c>
      <c r="R311" t="s">
        <v>251</v>
      </c>
      <c r="T311" t="s">
        <v>252</v>
      </c>
      <c r="U311" t="s">
        <v>253</v>
      </c>
      <c r="V311" t="s">
        <v>304</v>
      </c>
      <c r="W311" t="s">
        <v>1066</v>
      </c>
      <c r="X311" t="s">
        <v>1067</v>
      </c>
      <c r="Z311" t="s">
        <v>421</v>
      </c>
      <c r="AB311">
        <v>47</v>
      </c>
      <c r="AG311" t="s">
        <v>267</v>
      </c>
      <c r="AM311" t="s">
        <v>317</v>
      </c>
      <c r="AN311" t="s">
        <v>259</v>
      </c>
      <c r="AO311" t="s">
        <v>260</v>
      </c>
      <c r="AQ311" t="s">
        <v>261</v>
      </c>
      <c r="AS311">
        <v>1150</v>
      </c>
      <c r="AX311" t="s">
        <v>262</v>
      </c>
      <c r="BO311" t="s">
        <v>261</v>
      </c>
      <c r="BQ311">
        <v>1.1499999999999999</v>
      </c>
      <c r="BV311" t="s">
        <v>263</v>
      </c>
      <c r="CM311" t="s">
        <v>264</v>
      </c>
      <c r="CN311" t="s">
        <v>264</v>
      </c>
      <c r="CP311" t="s">
        <v>265</v>
      </c>
      <c r="DB311">
        <v>1</v>
      </c>
      <c r="DG311" t="s">
        <v>267</v>
      </c>
      <c r="DI311">
        <v>24</v>
      </c>
      <c r="DN311" t="s">
        <v>268</v>
      </c>
      <c r="DR311">
        <v>79674</v>
      </c>
      <c r="DS311">
        <v>648</v>
      </c>
      <c r="EW311" t="s">
        <v>333</v>
      </c>
      <c r="FK311" t="s">
        <v>1068</v>
      </c>
      <c r="FM311">
        <v>26.5</v>
      </c>
      <c r="FR311" t="s">
        <v>295</v>
      </c>
      <c r="GC311">
        <v>80</v>
      </c>
      <c r="GE311">
        <v>85</v>
      </c>
      <c r="GF311" t="s">
        <v>572</v>
      </c>
      <c r="GJ311">
        <v>7</v>
      </c>
      <c r="GL311">
        <v>8</v>
      </c>
      <c r="GM311" t="s">
        <v>356</v>
      </c>
      <c r="GQ311">
        <v>7.5</v>
      </c>
      <c r="GS311">
        <v>8.5</v>
      </c>
      <c r="GU311">
        <v>12</v>
      </c>
      <c r="GZ311" t="s">
        <v>296</v>
      </c>
      <c r="HH311" t="s">
        <v>272</v>
      </c>
      <c r="ID311" t="s">
        <v>1069</v>
      </c>
      <c r="IE311" t="s">
        <v>1070</v>
      </c>
      <c r="IF311">
        <v>4043</v>
      </c>
      <c r="IG311" t="s">
        <v>1071</v>
      </c>
      <c r="IH311" t="s">
        <v>1072</v>
      </c>
      <c r="II311">
        <v>1990</v>
      </c>
      <c r="IJ311" t="s">
        <v>1073</v>
      </c>
    </row>
    <row r="312" spans="1:244" x14ac:dyDescent="0.45">
      <c r="A312">
        <v>1058822</v>
      </c>
      <c r="B312">
        <v>232611</v>
      </c>
      <c r="C312">
        <v>7440508</v>
      </c>
      <c r="D312" t="s">
        <v>1063</v>
      </c>
      <c r="E312" t="s">
        <v>439</v>
      </c>
      <c r="F312" t="s">
        <v>245</v>
      </c>
      <c r="G312" t="s">
        <v>246</v>
      </c>
      <c r="N312" t="s">
        <v>499</v>
      </c>
      <c r="O312" t="s">
        <v>925</v>
      </c>
      <c r="P312" t="s">
        <v>249</v>
      </c>
      <c r="Q312" t="s">
        <v>250</v>
      </c>
      <c r="R312" t="s">
        <v>251</v>
      </c>
      <c r="T312" t="s">
        <v>252</v>
      </c>
      <c r="U312" t="s">
        <v>499</v>
      </c>
      <c r="Z312" t="s">
        <v>315</v>
      </c>
      <c r="AJ312" t="s">
        <v>285</v>
      </c>
      <c r="AL312" t="s">
        <v>926</v>
      </c>
      <c r="AM312" t="s">
        <v>317</v>
      </c>
      <c r="AN312" t="s">
        <v>259</v>
      </c>
      <c r="AO312" t="s">
        <v>260</v>
      </c>
      <c r="AP312">
        <v>6</v>
      </c>
      <c r="AQ312" t="s">
        <v>261</v>
      </c>
      <c r="AS312">
        <v>7.1999999999999995E-2</v>
      </c>
      <c r="AU312">
        <v>5.6000000000000001E-2</v>
      </c>
      <c r="AW312">
        <v>0.33300000000000002</v>
      </c>
      <c r="AX312" t="s">
        <v>262</v>
      </c>
      <c r="BO312" t="s">
        <v>261</v>
      </c>
      <c r="BQ312">
        <v>7.2000000000000002E-5</v>
      </c>
      <c r="BS312">
        <v>5.5999999999999999E-5</v>
      </c>
      <c r="BU312">
        <v>3.3300000000000002E-4</v>
      </c>
      <c r="BV312" t="s">
        <v>263</v>
      </c>
      <c r="CM312" t="s">
        <v>264</v>
      </c>
      <c r="CN312" t="s">
        <v>264</v>
      </c>
      <c r="CP312" t="s">
        <v>265</v>
      </c>
      <c r="CQ312" t="s">
        <v>394</v>
      </c>
      <c r="DB312">
        <v>2</v>
      </c>
      <c r="DG312" t="s">
        <v>267</v>
      </c>
      <c r="DI312">
        <v>48</v>
      </c>
      <c r="DN312" t="s">
        <v>268</v>
      </c>
      <c r="DR312">
        <v>6821</v>
      </c>
      <c r="DS312">
        <v>1044</v>
      </c>
      <c r="DT312" t="s">
        <v>927</v>
      </c>
      <c r="EW312" t="s">
        <v>272</v>
      </c>
      <c r="FK312" t="s">
        <v>1077</v>
      </c>
      <c r="FO312">
        <v>29.5</v>
      </c>
      <c r="FQ312">
        <v>30.5</v>
      </c>
      <c r="FR312" t="s">
        <v>295</v>
      </c>
      <c r="GJ312">
        <v>4.2</v>
      </c>
      <c r="GL312">
        <v>5.2</v>
      </c>
      <c r="GM312" t="s">
        <v>356</v>
      </c>
      <c r="GQ312">
        <v>7.1</v>
      </c>
      <c r="GS312">
        <v>7.8</v>
      </c>
      <c r="GW312">
        <v>29.5</v>
      </c>
      <c r="GY312">
        <v>30.5</v>
      </c>
      <c r="GZ312" t="s">
        <v>296</v>
      </c>
      <c r="HH312" t="s">
        <v>272</v>
      </c>
      <c r="ID312" t="s">
        <v>1078</v>
      </c>
      <c r="IE312" t="s">
        <v>930</v>
      </c>
      <c r="IF312">
        <v>4336</v>
      </c>
      <c r="IG312" t="s">
        <v>931</v>
      </c>
      <c r="IH312" t="s">
        <v>932</v>
      </c>
      <c r="II312">
        <v>1993</v>
      </c>
      <c r="IJ312" t="s">
        <v>933</v>
      </c>
    </row>
    <row r="313" spans="1:244" x14ac:dyDescent="0.45">
      <c r="A313">
        <v>2148494</v>
      </c>
      <c r="B313">
        <v>2283437</v>
      </c>
      <c r="C313">
        <v>7440508</v>
      </c>
      <c r="D313" t="s">
        <v>1063</v>
      </c>
      <c r="F313" t="s">
        <v>245</v>
      </c>
      <c r="G313" t="s">
        <v>272</v>
      </c>
      <c r="N313" t="s">
        <v>704</v>
      </c>
      <c r="O313" t="s">
        <v>705</v>
      </c>
      <c r="P313" t="s">
        <v>249</v>
      </c>
      <c r="Q313" t="s">
        <v>250</v>
      </c>
      <c r="R313" t="s">
        <v>251</v>
      </c>
      <c r="T313" t="s">
        <v>252</v>
      </c>
      <c r="U313" t="s">
        <v>499</v>
      </c>
      <c r="V313" t="s">
        <v>706</v>
      </c>
      <c r="W313" t="s">
        <v>707</v>
      </c>
      <c r="X313" t="s">
        <v>708</v>
      </c>
      <c r="Z313" t="s">
        <v>315</v>
      </c>
      <c r="AI313">
        <v>3</v>
      </c>
      <c r="AJ313" t="s">
        <v>285</v>
      </c>
      <c r="AK313" t="s">
        <v>709</v>
      </c>
      <c r="AM313" t="s">
        <v>258</v>
      </c>
      <c r="AN313" t="s">
        <v>259</v>
      </c>
      <c r="AO313" t="s">
        <v>260</v>
      </c>
      <c r="AP313">
        <v>13</v>
      </c>
      <c r="AQ313" t="s">
        <v>261</v>
      </c>
      <c r="AS313">
        <v>2.83</v>
      </c>
      <c r="AU313">
        <v>2.66</v>
      </c>
      <c r="AW313">
        <v>3</v>
      </c>
      <c r="AX313" t="s">
        <v>710</v>
      </c>
      <c r="BO313" t="s">
        <v>261</v>
      </c>
      <c r="BQ313">
        <v>0.17983518000000001</v>
      </c>
      <c r="BS313">
        <v>0.16903235999999999</v>
      </c>
      <c r="BU313">
        <v>0.190638</v>
      </c>
      <c r="BV313" t="s">
        <v>263</v>
      </c>
      <c r="CM313" t="s">
        <v>264</v>
      </c>
      <c r="CN313" t="s">
        <v>264</v>
      </c>
      <c r="CP313" t="s">
        <v>265</v>
      </c>
      <c r="CQ313" t="s">
        <v>394</v>
      </c>
      <c r="DB313">
        <v>4</v>
      </c>
      <c r="DG313" t="s">
        <v>267</v>
      </c>
      <c r="DI313">
        <v>96</v>
      </c>
      <c r="DN313" t="s">
        <v>268</v>
      </c>
      <c r="DR313">
        <v>587174</v>
      </c>
      <c r="DS313">
        <v>40921</v>
      </c>
      <c r="DV313">
        <v>96</v>
      </c>
      <c r="EA313" t="s">
        <v>268</v>
      </c>
      <c r="EC313">
        <v>4</v>
      </c>
      <c r="EH313" t="s">
        <v>267</v>
      </c>
      <c r="EJ313">
        <v>96</v>
      </c>
      <c r="EO313" t="s">
        <v>268</v>
      </c>
      <c r="EQ313">
        <v>4</v>
      </c>
      <c r="EV313" t="s">
        <v>267</v>
      </c>
      <c r="EW313" t="s">
        <v>293</v>
      </c>
      <c r="EZ313">
        <v>30</v>
      </c>
      <c r="FA313" t="s">
        <v>711</v>
      </c>
      <c r="FM313">
        <v>10</v>
      </c>
      <c r="FR313" t="s">
        <v>295</v>
      </c>
      <c r="GU313">
        <v>33</v>
      </c>
      <c r="GZ313" t="s">
        <v>296</v>
      </c>
      <c r="HH313" t="s">
        <v>272</v>
      </c>
      <c r="ID313" t="s">
        <v>712</v>
      </c>
      <c r="IE313" t="s">
        <v>713</v>
      </c>
      <c r="IF313">
        <v>169928</v>
      </c>
      <c r="IG313" t="s">
        <v>714</v>
      </c>
      <c r="IH313" t="s">
        <v>715</v>
      </c>
      <c r="II313">
        <v>2014</v>
      </c>
      <c r="IJ313" t="s">
        <v>716</v>
      </c>
    </row>
    <row r="314" spans="1:244" x14ac:dyDescent="0.45">
      <c r="A314">
        <v>1056806</v>
      </c>
      <c r="B314">
        <v>125473</v>
      </c>
      <c r="C314">
        <v>7440508</v>
      </c>
      <c r="D314" t="s">
        <v>1063</v>
      </c>
      <c r="F314" t="s">
        <v>327</v>
      </c>
      <c r="G314" t="s">
        <v>246</v>
      </c>
      <c r="N314" t="s">
        <v>1064</v>
      </c>
      <c r="O314" t="s">
        <v>1065</v>
      </c>
      <c r="P314" t="s">
        <v>249</v>
      </c>
      <c r="Q314" t="s">
        <v>250</v>
      </c>
      <c r="R314" t="s">
        <v>251</v>
      </c>
      <c r="T314" t="s">
        <v>252</v>
      </c>
      <c r="U314" t="s">
        <v>253</v>
      </c>
      <c r="V314" t="s">
        <v>304</v>
      </c>
      <c r="W314" t="s">
        <v>1066</v>
      </c>
      <c r="X314" t="s">
        <v>1067</v>
      </c>
      <c r="Z314" t="s">
        <v>284</v>
      </c>
      <c r="AB314">
        <v>2</v>
      </c>
      <c r="AG314" t="s">
        <v>598</v>
      </c>
      <c r="AM314" t="s">
        <v>317</v>
      </c>
      <c r="AN314" t="s">
        <v>259</v>
      </c>
      <c r="AO314" t="s">
        <v>260</v>
      </c>
      <c r="AQ314" t="s">
        <v>261</v>
      </c>
      <c r="AS314">
        <v>275</v>
      </c>
      <c r="AX314" t="s">
        <v>262</v>
      </c>
      <c r="BO314" t="s">
        <v>261</v>
      </c>
      <c r="BQ314">
        <v>0.27500000000000002</v>
      </c>
      <c r="BV314" t="s">
        <v>263</v>
      </c>
      <c r="CM314" t="s">
        <v>264</v>
      </c>
      <c r="CN314" t="s">
        <v>264</v>
      </c>
      <c r="CP314" t="s">
        <v>265</v>
      </c>
      <c r="DB314">
        <v>1</v>
      </c>
      <c r="DG314" t="s">
        <v>267</v>
      </c>
      <c r="DI314">
        <v>24</v>
      </c>
      <c r="DN314" t="s">
        <v>268</v>
      </c>
      <c r="DR314">
        <v>79674</v>
      </c>
      <c r="DS314">
        <v>648</v>
      </c>
      <c r="EW314" t="s">
        <v>333</v>
      </c>
      <c r="FK314" t="s">
        <v>1068</v>
      </c>
      <c r="FM314">
        <v>26.5</v>
      </c>
      <c r="FR314" t="s">
        <v>295</v>
      </c>
      <c r="GC314">
        <v>80</v>
      </c>
      <c r="GE314">
        <v>85</v>
      </c>
      <c r="GF314" t="s">
        <v>572</v>
      </c>
      <c r="GJ314">
        <v>7</v>
      </c>
      <c r="GL314">
        <v>8</v>
      </c>
      <c r="GM314" t="s">
        <v>356</v>
      </c>
      <c r="GQ314">
        <v>7.5</v>
      </c>
      <c r="GS314">
        <v>8.5</v>
      </c>
      <c r="GU314">
        <v>12</v>
      </c>
      <c r="GZ314" t="s">
        <v>296</v>
      </c>
      <c r="HH314" t="s">
        <v>272</v>
      </c>
      <c r="ID314" t="s">
        <v>1069</v>
      </c>
      <c r="IE314" t="s">
        <v>1070</v>
      </c>
      <c r="IF314">
        <v>4043</v>
      </c>
      <c r="IG314" t="s">
        <v>1071</v>
      </c>
      <c r="IH314" t="s">
        <v>1072</v>
      </c>
      <c r="II314">
        <v>1990</v>
      </c>
      <c r="IJ314" t="s">
        <v>1073</v>
      </c>
    </row>
    <row r="315" spans="1:244" x14ac:dyDescent="0.45">
      <c r="A315">
        <v>1297584</v>
      </c>
      <c r="B315">
        <v>752992</v>
      </c>
      <c r="C315">
        <v>7440508</v>
      </c>
      <c r="D315" t="s">
        <v>1063</v>
      </c>
      <c r="F315" t="s">
        <v>245</v>
      </c>
      <c r="G315" t="s">
        <v>246</v>
      </c>
      <c r="N315" t="s">
        <v>958</v>
      </c>
      <c r="O315" t="s">
        <v>959</v>
      </c>
      <c r="P315" t="s">
        <v>249</v>
      </c>
      <c r="Q315" t="s">
        <v>250</v>
      </c>
      <c r="R315" t="s">
        <v>251</v>
      </c>
      <c r="T315" t="s">
        <v>252</v>
      </c>
      <c r="U315" t="s">
        <v>253</v>
      </c>
      <c r="V315" t="s">
        <v>418</v>
      </c>
      <c r="W315" t="s">
        <v>419</v>
      </c>
      <c r="X315" t="s">
        <v>960</v>
      </c>
      <c r="Z315" t="s">
        <v>421</v>
      </c>
      <c r="AL315" t="s">
        <v>1093</v>
      </c>
      <c r="AM315" t="s">
        <v>317</v>
      </c>
      <c r="AN315" t="s">
        <v>259</v>
      </c>
      <c r="AO315" t="s">
        <v>260</v>
      </c>
      <c r="AQ315" t="s">
        <v>261</v>
      </c>
      <c r="AS315">
        <v>1.2</v>
      </c>
      <c r="AU315">
        <v>0.56799999999999995</v>
      </c>
      <c r="AW315">
        <v>2.4289999999999998</v>
      </c>
      <c r="AX315" t="s">
        <v>356</v>
      </c>
      <c r="BO315" t="s">
        <v>261</v>
      </c>
      <c r="BQ315">
        <v>1.2</v>
      </c>
      <c r="BS315">
        <v>0.56799999999999995</v>
      </c>
      <c r="BU315">
        <v>2.4289999999999998</v>
      </c>
      <c r="BV315" t="s">
        <v>263</v>
      </c>
      <c r="CM315" t="s">
        <v>264</v>
      </c>
      <c r="CN315" t="s">
        <v>264</v>
      </c>
      <c r="CP315" t="s">
        <v>265</v>
      </c>
      <c r="CQ315" t="s">
        <v>394</v>
      </c>
      <c r="DB315">
        <v>4</v>
      </c>
      <c r="DG315" t="s">
        <v>267</v>
      </c>
      <c r="DI315">
        <v>96</v>
      </c>
      <c r="DN315" t="s">
        <v>268</v>
      </c>
      <c r="DP315" t="s">
        <v>1083</v>
      </c>
      <c r="DR315">
        <v>6687</v>
      </c>
      <c r="DS315">
        <v>252</v>
      </c>
      <c r="EW315" t="s">
        <v>293</v>
      </c>
      <c r="FK315" t="s">
        <v>1094</v>
      </c>
      <c r="FO315">
        <v>25.3</v>
      </c>
      <c r="FQ315">
        <v>27.8</v>
      </c>
      <c r="FR315" t="s">
        <v>295</v>
      </c>
      <c r="GJ315">
        <v>4.3</v>
      </c>
      <c r="GL315">
        <v>6.9</v>
      </c>
      <c r="GM315" t="s">
        <v>356</v>
      </c>
      <c r="GQ315">
        <v>5.7</v>
      </c>
      <c r="GS315">
        <v>7.2</v>
      </c>
      <c r="GW315">
        <v>28</v>
      </c>
      <c r="GY315">
        <v>30</v>
      </c>
      <c r="GZ315" t="s">
        <v>296</v>
      </c>
      <c r="HH315" t="s">
        <v>272</v>
      </c>
      <c r="ID315" t="s">
        <v>1095</v>
      </c>
      <c r="IE315" t="s">
        <v>964</v>
      </c>
      <c r="IF315">
        <v>115825</v>
      </c>
      <c r="IG315" t="s">
        <v>965</v>
      </c>
      <c r="IH315" t="s">
        <v>966</v>
      </c>
      <c r="II315">
        <v>1996</v>
      </c>
      <c r="IJ315" t="s">
        <v>967</v>
      </c>
    </row>
    <row r="316" spans="1:244" x14ac:dyDescent="0.45">
      <c r="A316">
        <v>1058820</v>
      </c>
      <c r="B316">
        <v>232609</v>
      </c>
      <c r="C316">
        <v>7440508</v>
      </c>
      <c r="D316" t="s">
        <v>1063</v>
      </c>
      <c r="E316" t="s">
        <v>439</v>
      </c>
      <c r="F316" t="s">
        <v>245</v>
      </c>
      <c r="G316" t="s">
        <v>246</v>
      </c>
      <c r="N316" t="s">
        <v>499</v>
      </c>
      <c r="O316" t="s">
        <v>925</v>
      </c>
      <c r="P316" t="s">
        <v>249</v>
      </c>
      <c r="Q316" t="s">
        <v>250</v>
      </c>
      <c r="R316" t="s">
        <v>251</v>
      </c>
      <c r="T316" t="s">
        <v>252</v>
      </c>
      <c r="U316" t="s">
        <v>499</v>
      </c>
      <c r="Z316" t="s">
        <v>315</v>
      </c>
      <c r="AJ316" t="s">
        <v>285</v>
      </c>
      <c r="AL316" t="s">
        <v>926</v>
      </c>
      <c r="AM316" t="s">
        <v>317</v>
      </c>
      <c r="AN316" t="s">
        <v>259</v>
      </c>
      <c r="AO316" t="s">
        <v>260</v>
      </c>
      <c r="AP316">
        <v>6</v>
      </c>
      <c r="AQ316" t="s">
        <v>261</v>
      </c>
      <c r="AS316">
        <v>0.16</v>
      </c>
      <c r="AU316">
        <v>0.14599999999999999</v>
      </c>
      <c r="AW316">
        <v>0.17499999999999999</v>
      </c>
      <c r="AX316" t="s">
        <v>262</v>
      </c>
      <c r="BO316" t="s">
        <v>261</v>
      </c>
      <c r="BQ316">
        <v>1.6000000000000001E-4</v>
      </c>
      <c r="BS316">
        <v>1.46E-4</v>
      </c>
      <c r="BU316">
        <v>1.75E-4</v>
      </c>
      <c r="BV316" t="s">
        <v>263</v>
      </c>
      <c r="CM316" t="s">
        <v>264</v>
      </c>
      <c r="CN316" t="s">
        <v>264</v>
      </c>
      <c r="CP316" t="s">
        <v>265</v>
      </c>
      <c r="CQ316" t="s">
        <v>394</v>
      </c>
      <c r="DB316">
        <v>1.5</v>
      </c>
      <c r="DG316" t="s">
        <v>267</v>
      </c>
      <c r="DI316">
        <v>36</v>
      </c>
      <c r="DN316" t="s">
        <v>268</v>
      </c>
      <c r="DR316">
        <v>6821</v>
      </c>
      <c r="DS316">
        <v>1044</v>
      </c>
      <c r="DT316" t="s">
        <v>927</v>
      </c>
      <c r="EW316" t="s">
        <v>272</v>
      </c>
      <c r="FK316" t="s">
        <v>1077</v>
      </c>
      <c r="FO316">
        <v>29.5</v>
      </c>
      <c r="FQ316">
        <v>30.5</v>
      </c>
      <c r="FR316" t="s">
        <v>295</v>
      </c>
      <c r="GJ316">
        <v>4.2</v>
      </c>
      <c r="GL316">
        <v>5.2</v>
      </c>
      <c r="GM316" t="s">
        <v>356</v>
      </c>
      <c r="GQ316">
        <v>7.1</v>
      </c>
      <c r="GS316">
        <v>7.8</v>
      </c>
      <c r="GW316">
        <v>29.5</v>
      </c>
      <c r="GY316">
        <v>30.5</v>
      </c>
      <c r="GZ316" t="s">
        <v>296</v>
      </c>
      <c r="HH316" t="s">
        <v>272</v>
      </c>
      <c r="ID316" t="s">
        <v>1078</v>
      </c>
      <c r="IE316" t="s">
        <v>930</v>
      </c>
      <c r="IF316">
        <v>4336</v>
      </c>
      <c r="IG316" t="s">
        <v>931</v>
      </c>
      <c r="IH316" t="s">
        <v>932</v>
      </c>
      <c r="II316">
        <v>1993</v>
      </c>
      <c r="IJ316" t="s">
        <v>933</v>
      </c>
    </row>
    <row r="317" spans="1:244" x14ac:dyDescent="0.45">
      <c r="A317">
        <v>2140910</v>
      </c>
      <c r="B317">
        <v>2264441</v>
      </c>
      <c r="C317">
        <v>7440508</v>
      </c>
      <c r="D317" t="s">
        <v>1063</v>
      </c>
      <c r="F317" t="s">
        <v>245</v>
      </c>
      <c r="G317" t="s">
        <v>272</v>
      </c>
      <c r="N317" t="s">
        <v>452</v>
      </c>
      <c r="O317" t="s">
        <v>346</v>
      </c>
      <c r="P317" t="s">
        <v>249</v>
      </c>
      <c r="Q317" t="s">
        <v>250</v>
      </c>
      <c r="R317" t="s">
        <v>251</v>
      </c>
      <c r="T317" t="s">
        <v>347</v>
      </c>
      <c r="U317" t="s">
        <v>348</v>
      </c>
      <c r="V317" t="s">
        <v>349</v>
      </c>
      <c r="W317" t="s">
        <v>350</v>
      </c>
      <c r="X317" t="s">
        <v>453</v>
      </c>
      <c r="Z317" t="s">
        <v>315</v>
      </c>
      <c r="AH317" t="s">
        <v>753</v>
      </c>
      <c r="AJ317" t="s">
        <v>354</v>
      </c>
      <c r="AL317" t="s">
        <v>753</v>
      </c>
      <c r="AM317" t="s">
        <v>287</v>
      </c>
      <c r="AN317" t="s">
        <v>259</v>
      </c>
      <c r="AO317" t="s">
        <v>260</v>
      </c>
      <c r="AP317">
        <v>11</v>
      </c>
      <c r="AQ317" t="s">
        <v>261</v>
      </c>
      <c r="AS317">
        <v>0.28599999999999998</v>
      </c>
      <c r="AU317">
        <v>6.8000000000000005E-2</v>
      </c>
      <c r="AW317">
        <v>0.46200000000000002</v>
      </c>
      <c r="AX317" t="s">
        <v>422</v>
      </c>
      <c r="BO317" t="s">
        <v>261</v>
      </c>
      <c r="BQ317">
        <v>0.28599999999999998</v>
      </c>
      <c r="BS317">
        <v>6.8000000000000005E-2</v>
      </c>
      <c r="BU317">
        <v>0.46200000000000002</v>
      </c>
      <c r="BV317" t="s">
        <v>263</v>
      </c>
      <c r="CM317" t="s">
        <v>264</v>
      </c>
      <c r="CN317" t="s">
        <v>264</v>
      </c>
      <c r="CP317" t="s">
        <v>265</v>
      </c>
      <c r="CQ317" t="s">
        <v>394</v>
      </c>
      <c r="DB317">
        <v>4</v>
      </c>
      <c r="DG317" t="s">
        <v>267</v>
      </c>
      <c r="DI317">
        <v>96</v>
      </c>
      <c r="DN317" t="s">
        <v>268</v>
      </c>
      <c r="DR317">
        <v>85549</v>
      </c>
      <c r="DS317">
        <v>366</v>
      </c>
      <c r="DT317" t="s">
        <v>754</v>
      </c>
      <c r="DV317">
        <v>96</v>
      </c>
      <c r="EA317" t="s">
        <v>268</v>
      </c>
      <c r="EC317">
        <v>4</v>
      </c>
      <c r="EH317" t="s">
        <v>267</v>
      </c>
      <c r="EJ317">
        <v>96</v>
      </c>
      <c r="EO317" t="s">
        <v>268</v>
      </c>
      <c r="EQ317">
        <v>4</v>
      </c>
      <c r="EV317" t="s">
        <v>267</v>
      </c>
      <c r="EW317" t="s">
        <v>293</v>
      </c>
      <c r="EY317" t="s">
        <v>377</v>
      </c>
      <c r="FA317" t="s">
        <v>755</v>
      </c>
      <c r="FM317">
        <v>28</v>
      </c>
      <c r="FR317" t="s">
        <v>295</v>
      </c>
      <c r="GI317" t="s">
        <v>288</v>
      </c>
      <c r="GJ317">
        <v>0</v>
      </c>
      <c r="GK317" t="s">
        <v>289</v>
      </c>
      <c r="GL317">
        <v>10</v>
      </c>
      <c r="GM317" t="s">
        <v>356</v>
      </c>
      <c r="GO317">
        <v>7.5</v>
      </c>
      <c r="GU317">
        <v>60</v>
      </c>
      <c r="GZ317" t="s">
        <v>296</v>
      </c>
      <c r="HH317" t="s">
        <v>272</v>
      </c>
      <c r="IE317" t="s">
        <v>758</v>
      </c>
      <c r="IF317">
        <v>165375</v>
      </c>
      <c r="IG317" t="s">
        <v>759</v>
      </c>
      <c r="IH317" t="s">
        <v>760</v>
      </c>
      <c r="II317">
        <v>2012</v>
      </c>
      <c r="IJ317" t="s">
        <v>761</v>
      </c>
    </row>
    <row r="318" spans="1:244" x14ac:dyDescent="0.45">
      <c r="A318">
        <v>1056817</v>
      </c>
      <c r="B318">
        <v>125484</v>
      </c>
      <c r="C318">
        <v>7440508</v>
      </c>
      <c r="D318" t="s">
        <v>1063</v>
      </c>
      <c r="F318" t="s">
        <v>327</v>
      </c>
      <c r="G318" t="s">
        <v>246</v>
      </c>
      <c r="N318" t="s">
        <v>1064</v>
      </c>
      <c r="O318" t="s">
        <v>1065</v>
      </c>
      <c r="P318" t="s">
        <v>249</v>
      </c>
      <c r="Q318" t="s">
        <v>250</v>
      </c>
      <c r="R318" t="s">
        <v>251</v>
      </c>
      <c r="T318" t="s">
        <v>252</v>
      </c>
      <c r="U318" t="s">
        <v>253</v>
      </c>
      <c r="V318" t="s">
        <v>304</v>
      </c>
      <c r="W318" t="s">
        <v>1066</v>
      </c>
      <c r="X318" t="s">
        <v>1067</v>
      </c>
      <c r="Z318" t="s">
        <v>284</v>
      </c>
      <c r="AB318">
        <v>4</v>
      </c>
      <c r="AG318" t="s">
        <v>598</v>
      </c>
      <c r="AM318" t="s">
        <v>317</v>
      </c>
      <c r="AN318" t="s">
        <v>259</v>
      </c>
      <c r="AO318" t="s">
        <v>260</v>
      </c>
      <c r="AQ318" t="s">
        <v>261</v>
      </c>
      <c r="AS318">
        <v>125</v>
      </c>
      <c r="AX318" t="s">
        <v>262</v>
      </c>
      <c r="BO318" t="s">
        <v>261</v>
      </c>
      <c r="BQ318">
        <v>0.125</v>
      </c>
      <c r="BV318" t="s">
        <v>263</v>
      </c>
      <c r="CM318" t="s">
        <v>264</v>
      </c>
      <c r="CN318" t="s">
        <v>264</v>
      </c>
      <c r="CP318" t="s">
        <v>265</v>
      </c>
      <c r="DB318">
        <v>4</v>
      </c>
      <c r="DG318" t="s">
        <v>267</v>
      </c>
      <c r="DI318">
        <v>96</v>
      </c>
      <c r="DN318" t="s">
        <v>268</v>
      </c>
      <c r="DR318">
        <v>79674</v>
      </c>
      <c r="DS318">
        <v>648</v>
      </c>
      <c r="EW318" t="s">
        <v>333</v>
      </c>
      <c r="FK318" t="s">
        <v>1068</v>
      </c>
      <c r="FM318">
        <v>26.5</v>
      </c>
      <c r="FR318" t="s">
        <v>295</v>
      </c>
      <c r="GC318">
        <v>80</v>
      </c>
      <c r="GE318">
        <v>85</v>
      </c>
      <c r="GF318" t="s">
        <v>572</v>
      </c>
      <c r="GJ318">
        <v>7</v>
      </c>
      <c r="GL318">
        <v>8</v>
      </c>
      <c r="GM318" t="s">
        <v>356</v>
      </c>
      <c r="GQ318">
        <v>7.5</v>
      </c>
      <c r="GS318">
        <v>8.5</v>
      </c>
      <c r="GU318">
        <v>12</v>
      </c>
      <c r="GZ318" t="s">
        <v>296</v>
      </c>
      <c r="HH318" t="s">
        <v>272</v>
      </c>
      <c r="ID318" t="s">
        <v>1069</v>
      </c>
      <c r="IE318" t="s">
        <v>1070</v>
      </c>
      <c r="IF318">
        <v>4043</v>
      </c>
      <c r="IG318" t="s">
        <v>1071</v>
      </c>
      <c r="IH318" t="s">
        <v>1072</v>
      </c>
      <c r="II318">
        <v>1990</v>
      </c>
      <c r="IJ318" t="s">
        <v>1073</v>
      </c>
    </row>
    <row r="319" spans="1:244" x14ac:dyDescent="0.45">
      <c r="A319">
        <v>1185176</v>
      </c>
      <c r="B319">
        <v>42848</v>
      </c>
      <c r="C319">
        <v>7440508</v>
      </c>
      <c r="D319" t="s">
        <v>1063</v>
      </c>
      <c r="F319" t="s">
        <v>245</v>
      </c>
      <c r="G319" t="s">
        <v>246</v>
      </c>
      <c r="N319" t="s">
        <v>527</v>
      </c>
      <c r="O319" t="s">
        <v>461</v>
      </c>
      <c r="P319" t="s">
        <v>249</v>
      </c>
      <c r="Q319" t="s">
        <v>250</v>
      </c>
      <c r="R319" t="s">
        <v>251</v>
      </c>
      <c r="T319" t="s">
        <v>389</v>
      </c>
      <c r="U319" t="s">
        <v>462</v>
      </c>
      <c r="V319" t="s">
        <v>463</v>
      </c>
      <c r="W319" t="s">
        <v>464</v>
      </c>
      <c r="X319" t="s">
        <v>528</v>
      </c>
      <c r="Z319" t="s">
        <v>525</v>
      </c>
      <c r="AB319">
        <v>3</v>
      </c>
      <c r="AG319" t="s">
        <v>268</v>
      </c>
      <c r="AL319" t="s">
        <v>529</v>
      </c>
      <c r="AM319" t="s">
        <v>287</v>
      </c>
      <c r="AN319" t="s">
        <v>259</v>
      </c>
      <c r="AO319" t="s">
        <v>260</v>
      </c>
      <c r="AQ319" t="s">
        <v>261</v>
      </c>
      <c r="AS319">
        <v>100</v>
      </c>
      <c r="AX319" t="s">
        <v>262</v>
      </c>
      <c r="BO319" t="s">
        <v>261</v>
      </c>
      <c r="BQ319">
        <v>0.1</v>
      </c>
      <c r="BV319" t="s">
        <v>263</v>
      </c>
      <c r="CM319" t="s">
        <v>264</v>
      </c>
      <c r="CN319" t="s">
        <v>264</v>
      </c>
      <c r="CP319" t="s">
        <v>265</v>
      </c>
      <c r="DB319">
        <v>4</v>
      </c>
      <c r="DG319" t="s">
        <v>267</v>
      </c>
      <c r="DI319">
        <v>96</v>
      </c>
      <c r="DN319" t="s">
        <v>268</v>
      </c>
      <c r="DR319">
        <v>1220549</v>
      </c>
      <c r="DS319">
        <v>771</v>
      </c>
      <c r="EW319" t="s">
        <v>293</v>
      </c>
      <c r="FO319">
        <v>23</v>
      </c>
      <c r="FQ319">
        <v>25</v>
      </c>
      <c r="FR319" t="s">
        <v>295</v>
      </c>
      <c r="HH319" t="s">
        <v>272</v>
      </c>
      <c r="IE319" t="s">
        <v>530</v>
      </c>
      <c r="IF319">
        <v>16408</v>
      </c>
      <c r="IG319" t="s">
        <v>531</v>
      </c>
      <c r="IH319" t="s">
        <v>532</v>
      </c>
      <c r="II319">
        <v>1993</v>
      </c>
      <c r="IJ319" t="s">
        <v>533</v>
      </c>
    </row>
    <row r="320" spans="1:244" x14ac:dyDescent="0.45">
      <c r="A320">
        <v>2140908</v>
      </c>
      <c r="B320">
        <v>2264439</v>
      </c>
      <c r="C320">
        <v>7440508</v>
      </c>
      <c r="D320" t="s">
        <v>1063</v>
      </c>
      <c r="F320" t="s">
        <v>245</v>
      </c>
      <c r="G320" t="s">
        <v>272</v>
      </c>
      <c r="N320" t="s">
        <v>452</v>
      </c>
      <c r="O320" t="s">
        <v>346</v>
      </c>
      <c r="P320" t="s">
        <v>249</v>
      </c>
      <c r="Q320" t="s">
        <v>250</v>
      </c>
      <c r="R320" t="s">
        <v>251</v>
      </c>
      <c r="T320" t="s">
        <v>347</v>
      </c>
      <c r="U320" t="s">
        <v>348</v>
      </c>
      <c r="V320" t="s">
        <v>349</v>
      </c>
      <c r="W320" t="s">
        <v>350</v>
      </c>
      <c r="X320" t="s">
        <v>453</v>
      </c>
      <c r="Z320" t="s">
        <v>767</v>
      </c>
      <c r="AH320" t="s">
        <v>753</v>
      </c>
      <c r="AJ320" t="s">
        <v>354</v>
      </c>
      <c r="AL320" t="s">
        <v>753</v>
      </c>
      <c r="AM320" t="s">
        <v>287</v>
      </c>
      <c r="AN320" t="s">
        <v>259</v>
      </c>
      <c r="AO320" t="s">
        <v>260</v>
      </c>
      <c r="AP320">
        <v>11</v>
      </c>
      <c r="AQ320" t="s">
        <v>261</v>
      </c>
      <c r="AS320">
        <v>0.27900000000000003</v>
      </c>
      <c r="AU320">
        <v>0.22700000000000001</v>
      </c>
      <c r="AW320">
        <v>0.36199999999999999</v>
      </c>
      <c r="AX320" t="s">
        <v>422</v>
      </c>
      <c r="BO320" t="s">
        <v>261</v>
      </c>
      <c r="BQ320">
        <v>0.27900000000000003</v>
      </c>
      <c r="BS320">
        <v>0.22700000000000001</v>
      </c>
      <c r="BU320">
        <v>0.36199999999999999</v>
      </c>
      <c r="BV320" t="s">
        <v>263</v>
      </c>
      <c r="CM320" t="s">
        <v>264</v>
      </c>
      <c r="CN320" t="s">
        <v>264</v>
      </c>
      <c r="CP320" t="s">
        <v>265</v>
      </c>
      <c r="CQ320" t="s">
        <v>394</v>
      </c>
      <c r="DB320">
        <v>4</v>
      </c>
      <c r="DG320" t="s">
        <v>267</v>
      </c>
      <c r="DI320">
        <v>96</v>
      </c>
      <c r="DN320" t="s">
        <v>268</v>
      </c>
      <c r="DR320">
        <v>85549</v>
      </c>
      <c r="DS320">
        <v>366</v>
      </c>
      <c r="DT320" t="s">
        <v>754</v>
      </c>
      <c r="DV320">
        <v>96</v>
      </c>
      <c r="EA320" t="s">
        <v>268</v>
      </c>
      <c r="EC320">
        <v>4</v>
      </c>
      <c r="EH320" t="s">
        <v>267</v>
      </c>
      <c r="EJ320">
        <v>96</v>
      </c>
      <c r="EO320" t="s">
        <v>268</v>
      </c>
      <c r="EQ320">
        <v>4</v>
      </c>
      <c r="EV320" t="s">
        <v>267</v>
      </c>
      <c r="EW320" t="s">
        <v>293</v>
      </c>
      <c r="EY320" t="s">
        <v>377</v>
      </c>
      <c r="FA320" t="s">
        <v>755</v>
      </c>
      <c r="FK320" t="s">
        <v>756</v>
      </c>
      <c r="FM320">
        <v>28</v>
      </c>
      <c r="FR320" t="s">
        <v>295</v>
      </c>
      <c r="GI320" t="s">
        <v>288</v>
      </c>
      <c r="GJ320">
        <v>0</v>
      </c>
      <c r="GK320" t="s">
        <v>289</v>
      </c>
      <c r="GL320">
        <v>10</v>
      </c>
      <c r="GM320" t="s">
        <v>356</v>
      </c>
      <c r="GO320">
        <v>7.5</v>
      </c>
      <c r="GU320">
        <v>80</v>
      </c>
      <c r="GZ320" t="s">
        <v>296</v>
      </c>
      <c r="HH320" t="s">
        <v>272</v>
      </c>
      <c r="ID320" t="s">
        <v>757</v>
      </c>
      <c r="IE320" t="s">
        <v>758</v>
      </c>
      <c r="IF320">
        <v>165375</v>
      </c>
      <c r="IG320" t="s">
        <v>759</v>
      </c>
      <c r="IH320" t="s">
        <v>760</v>
      </c>
      <c r="II320">
        <v>2012</v>
      </c>
      <c r="IJ320" t="s">
        <v>761</v>
      </c>
    </row>
    <row r="321" spans="1:244" x14ac:dyDescent="0.45">
      <c r="A321">
        <v>1056818</v>
      </c>
      <c r="B321">
        <v>125485</v>
      </c>
      <c r="C321">
        <v>7440508</v>
      </c>
      <c r="D321" t="s">
        <v>1063</v>
      </c>
      <c r="F321" t="s">
        <v>327</v>
      </c>
      <c r="G321" t="s">
        <v>246</v>
      </c>
      <c r="N321" t="s">
        <v>1064</v>
      </c>
      <c r="O321" t="s">
        <v>1065</v>
      </c>
      <c r="P321" t="s">
        <v>249</v>
      </c>
      <c r="Q321" t="s">
        <v>250</v>
      </c>
      <c r="R321" t="s">
        <v>251</v>
      </c>
      <c r="T321" t="s">
        <v>252</v>
      </c>
      <c r="U321" t="s">
        <v>253</v>
      </c>
      <c r="V321" t="s">
        <v>304</v>
      </c>
      <c r="W321" t="s">
        <v>1066</v>
      </c>
      <c r="X321" t="s">
        <v>1067</v>
      </c>
      <c r="Z321" t="s">
        <v>284</v>
      </c>
      <c r="AB321">
        <v>5</v>
      </c>
      <c r="AG321" t="s">
        <v>598</v>
      </c>
      <c r="AM321" t="s">
        <v>317</v>
      </c>
      <c r="AN321" t="s">
        <v>259</v>
      </c>
      <c r="AO321" t="s">
        <v>260</v>
      </c>
      <c r="AQ321" t="s">
        <v>261</v>
      </c>
      <c r="AS321">
        <v>530</v>
      </c>
      <c r="AX321" t="s">
        <v>262</v>
      </c>
      <c r="BO321" t="s">
        <v>261</v>
      </c>
      <c r="BQ321">
        <v>0.53</v>
      </c>
      <c r="BV321" t="s">
        <v>263</v>
      </c>
      <c r="CM321" t="s">
        <v>264</v>
      </c>
      <c r="CN321" t="s">
        <v>264</v>
      </c>
      <c r="CP321" t="s">
        <v>265</v>
      </c>
      <c r="DB321">
        <v>1</v>
      </c>
      <c r="DG321" t="s">
        <v>267</v>
      </c>
      <c r="DI321">
        <v>24</v>
      </c>
      <c r="DN321" t="s">
        <v>268</v>
      </c>
      <c r="DR321">
        <v>79674</v>
      </c>
      <c r="DS321">
        <v>648</v>
      </c>
      <c r="EW321" t="s">
        <v>333</v>
      </c>
      <c r="FK321" t="s">
        <v>1068</v>
      </c>
      <c r="FM321">
        <v>26.5</v>
      </c>
      <c r="FR321" t="s">
        <v>295</v>
      </c>
      <c r="GC321">
        <v>80</v>
      </c>
      <c r="GE321">
        <v>85</v>
      </c>
      <c r="GF321" t="s">
        <v>572</v>
      </c>
      <c r="GJ321">
        <v>7</v>
      </c>
      <c r="GL321">
        <v>8</v>
      </c>
      <c r="GM321" t="s">
        <v>356</v>
      </c>
      <c r="GQ321">
        <v>7.5</v>
      </c>
      <c r="GS321">
        <v>8.5</v>
      </c>
      <c r="GU321">
        <v>12</v>
      </c>
      <c r="GZ321" t="s">
        <v>296</v>
      </c>
      <c r="HH321" t="s">
        <v>272</v>
      </c>
      <c r="ID321" t="s">
        <v>1069</v>
      </c>
      <c r="IE321" t="s">
        <v>1070</v>
      </c>
      <c r="IF321">
        <v>4043</v>
      </c>
      <c r="IG321" t="s">
        <v>1071</v>
      </c>
      <c r="IH321" t="s">
        <v>1072</v>
      </c>
      <c r="II321">
        <v>1990</v>
      </c>
      <c r="IJ321" t="s">
        <v>1073</v>
      </c>
    </row>
    <row r="322" spans="1:244" x14ac:dyDescent="0.45">
      <c r="A322">
        <v>1078811</v>
      </c>
      <c r="B322">
        <v>12518</v>
      </c>
      <c r="C322">
        <v>7440508</v>
      </c>
      <c r="D322" t="s">
        <v>1063</v>
      </c>
      <c r="F322" t="s">
        <v>327</v>
      </c>
      <c r="G322" t="s">
        <v>246</v>
      </c>
      <c r="N322" t="s">
        <v>632</v>
      </c>
      <c r="O322" t="s">
        <v>745</v>
      </c>
      <c r="P322" t="s">
        <v>249</v>
      </c>
      <c r="Q322" t="s">
        <v>250</v>
      </c>
      <c r="R322" t="s">
        <v>251</v>
      </c>
      <c r="T322" t="s">
        <v>389</v>
      </c>
      <c r="U322" t="s">
        <v>632</v>
      </c>
      <c r="AL322" t="s">
        <v>746</v>
      </c>
      <c r="AM322" t="s">
        <v>317</v>
      </c>
      <c r="AN322" t="s">
        <v>259</v>
      </c>
      <c r="AO322" t="s">
        <v>260</v>
      </c>
      <c r="AQ322" t="s">
        <v>261</v>
      </c>
      <c r="AS322">
        <v>105</v>
      </c>
      <c r="AX322" t="s">
        <v>262</v>
      </c>
      <c r="BO322" t="s">
        <v>261</v>
      </c>
      <c r="BQ322">
        <v>0.105</v>
      </c>
      <c r="BV322" t="s">
        <v>263</v>
      </c>
      <c r="CM322" t="s">
        <v>264</v>
      </c>
      <c r="CN322" t="s">
        <v>264</v>
      </c>
      <c r="CP322" t="s">
        <v>265</v>
      </c>
      <c r="CQ322" t="s">
        <v>394</v>
      </c>
      <c r="DB322">
        <v>2</v>
      </c>
      <c r="DG322" t="s">
        <v>267</v>
      </c>
      <c r="DI322">
        <v>48</v>
      </c>
      <c r="DN322" t="s">
        <v>268</v>
      </c>
      <c r="DR322">
        <v>6833</v>
      </c>
      <c r="DS322">
        <v>1138</v>
      </c>
      <c r="EW322" t="s">
        <v>333</v>
      </c>
      <c r="FK322" t="s">
        <v>1096</v>
      </c>
      <c r="FM322">
        <v>9</v>
      </c>
      <c r="FR322" t="s">
        <v>295</v>
      </c>
      <c r="HH322" t="s">
        <v>272</v>
      </c>
      <c r="ID322" t="s">
        <v>1097</v>
      </c>
      <c r="IE322" t="s">
        <v>749</v>
      </c>
      <c r="IF322">
        <v>6079</v>
      </c>
      <c r="IG322" t="s">
        <v>750</v>
      </c>
      <c r="IH322" t="s">
        <v>751</v>
      </c>
      <c r="II322">
        <v>1977</v>
      </c>
      <c r="IJ322" t="s">
        <v>752</v>
      </c>
    </row>
    <row r="323" spans="1:244" x14ac:dyDescent="0.45">
      <c r="A323">
        <v>1185184</v>
      </c>
      <c r="B323">
        <v>103356</v>
      </c>
      <c r="C323">
        <v>7440508</v>
      </c>
      <c r="D323" t="s">
        <v>1063</v>
      </c>
      <c r="F323" t="s">
        <v>245</v>
      </c>
      <c r="G323" t="s">
        <v>246</v>
      </c>
      <c r="N323" t="s">
        <v>527</v>
      </c>
      <c r="O323" t="s">
        <v>461</v>
      </c>
      <c r="P323" t="s">
        <v>249</v>
      </c>
      <c r="Q323" t="s">
        <v>250</v>
      </c>
      <c r="R323" t="s">
        <v>251</v>
      </c>
      <c r="T323" t="s">
        <v>389</v>
      </c>
      <c r="U323" t="s">
        <v>462</v>
      </c>
      <c r="V323" t="s">
        <v>463</v>
      </c>
      <c r="W323" t="s">
        <v>464</v>
      </c>
      <c r="X323" t="s">
        <v>528</v>
      </c>
      <c r="Z323" t="s">
        <v>525</v>
      </c>
      <c r="AB323">
        <v>3</v>
      </c>
      <c r="AG323" t="s">
        <v>268</v>
      </c>
      <c r="AL323" t="s">
        <v>529</v>
      </c>
      <c r="AM323" t="s">
        <v>287</v>
      </c>
      <c r="AN323" t="s">
        <v>259</v>
      </c>
      <c r="AO323" t="s">
        <v>260</v>
      </c>
      <c r="AQ323" t="s">
        <v>261</v>
      </c>
      <c r="AS323">
        <v>110</v>
      </c>
      <c r="AX323" t="s">
        <v>262</v>
      </c>
      <c r="BO323" t="s">
        <v>261</v>
      </c>
      <c r="BQ323">
        <v>0.11</v>
      </c>
      <c r="BV323" t="s">
        <v>263</v>
      </c>
      <c r="CM323" t="s">
        <v>264</v>
      </c>
      <c r="CN323" t="s">
        <v>264</v>
      </c>
      <c r="CP323" t="s">
        <v>265</v>
      </c>
      <c r="DB323">
        <v>1</v>
      </c>
      <c r="DG323" t="s">
        <v>267</v>
      </c>
      <c r="DI323">
        <v>24</v>
      </c>
      <c r="DN323" t="s">
        <v>268</v>
      </c>
      <c r="DR323">
        <v>1220549</v>
      </c>
      <c r="DS323">
        <v>771</v>
      </c>
      <c r="EW323" t="s">
        <v>293</v>
      </c>
      <c r="FO323">
        <v>23</v>
      </c>
      <c r="FQ323">
        <v>25</v>
      </c>
      <c r="FR323" t="s">
        <v>295</v>
      </c>
      <c r="HH323" t="s">
        <v>272</v>
      </c>
      <c r="IE323" t="s">
        <v>530</v>
      </c>
      <c r="IF323">
        <v>16408</v>
      </c>
      <c r="IG323" t="s">
        <v>531</v>
      </c>
      <c r="IH323" t="s">
        <v>532</v>
      </c>
      <c r="II323">
        <v>1993</v>
      </c>
      <c r="IJ323" t="s">
        <v>533</v>
      </c>
    </row>
    <row r="324" spans="1:244" x14ac:dyDescent="0.45">
      <c r="A324">
        <v>1078808</v>
      </c>
      <c r="B324">
        <v>12515</v>
      </c>
      <c r="C324">
        <v>7440508</v>
      </c>
      <c r="D324" t="s">
        <v>1063</v>
      </c>
      <c r="F324" t="s">
        <v>245</v>
      </c>
      <c r="G324" t="s">
        <v>246</v>
      </c>
      <c r="N324" t="s">
        <v>632</v>
      </c>
      <c r="O324" t="s">
        <v>745</v>
      </c>
      <c r="P324" t="s">
        <v>249</v>
      </c>
      <c r="Q324" t="s">
        <v>250</v>
      </c>
      <c r="R324" t="s">
        <v>251</v>
      </c>
      <c r="T324" t="s">
        <v>389</v>
      </c>
      <c r="U324" t="s">
        <v>632</v>
      </c>
      <c r="Z324" t="s">
        <v>649</v>
      </c>
      <c r="AL324" t="s">
        <v>1098</v>
      </c>
      <c r="AM324" t="s">
        <v>317</v>
      </c>
      <c r="AN324" t="s">
        <v>259</v>
      </c>
      <c r="AO324" t="s">
        <v>260</v>
      </c>
      <c r="AQ324" t="s">
        <v>261</v>
      </c>
      <c r="AS324">
        <v>52</v>
      </c>
      <c r="AX324" t="s">
        <v>262</v>
      </c>
      <c r="BO324" t="s">
        <v>261</v>
      </c>
      <c r="BQ324">
        <v>5.1999999999999998E-2</v>
      </c>
      <c r="BV324" t="s">
        <v>263</v>
      </c>
      <c r="CM324" t="s">
        <v>264</v>
      </c>
      <c r="CN324" t="s">
        <v>264</v>
      </c>
      <c r="CP324" t="s">
        <v>265</v>
      </c>
      <c r="CQ324" t="s">
        <v>394</v>
      </c>
      <c r="DB324">
        <v>4</v>
      </c>
      <c r="DG324" t="s">
        <v>267</v>
      </c>
      <c r="DI324">
        <v>96</v>
      </c>
      <c r="DN324" t="s">
        <v>268</v>
      </c>
      <c r="DR324">
        <v>6833</v>
      </c>
      <c r="DS324">
        <v>1138</v>
      </c>
      <c r="EW324" t="s">
        <v>271</v>
      </c>
      <c r="FK324" t="s">
        <v>1099</v>
      </c>
      <c r="FM324">
        <v>9</v>
      </c>
      <c r="FR324" t="s">
        <v>295</v>
      </c>
      <c r="HH324" t="s">
        <v>272</v>
      </c>
      <c r="ID324" t="s">
        <v>1100</v>
      </c>
      <c r="IE324" t="s">
        <v>749</v>
      </c>
      <c r="IF324">
        <v>6079</v>
      </c>
      <c r="IG324" t="s">
        <v>750</v>
      </c>
      <c r="IH324" t="s">
        <v>751</v>
      </c>
      <c r="II324">
        <v>1977</v>
      </c>
      <c r="IJ324" t="s">
        <v>752</v>
      </c>
    </row>
    <row r="325" spans="1:244" x14ac:dyDescent="0.45">
      <c r="A325">
        <v>1205309</v>
      </c>
      <c r="B325">
        <v>203496</v>
      </c>
      <c r="C325">
        <v>7440508</v>
      </c>
      <c r="D325" t="s">
        <v>1063</v>
      </c>
      <c r="F325" t="s">
        <v>245</v>
      </c>
      <c r="G325" t="s">
        <v>246</v>
      </c>
      <c r="N325" t="s">
        <v>690</v>
      </c>
      <c r="O325" t="s">
        <v>691</v>
      </c>
      <c r="P325" t="s">
        <v>249</v>
      </c>
      <c r="Q325" t="s">
        <v>250</v>
      </c>
      <c r="R325" t="s">
        <v>251</v>
      </c>
      <c r="T325" t="s">
        <v>252</v>
      </c>
      <c r="U325" t="s">
        <v>253</v>
      </c>
      <c r="V325" t="s">
        <v>418</v>
      </c>
      <c r="W325" t="s">
        <v>419</v>
      </c>
      <c r="X325" t="s">
        <v>692</v>
      </c>
      <c r="AM325" t="s">
        <v>287</v>
      </c>
      <c r="AN325" t="s">
        <v>259</v>
      </c>
      <c r="AO325" t="s">
        <v>260</v>
      </c>
      <c r="AQ325" t="s">
        <v>261</v>
      </c>
      <c r="AS325">
        <v>178</v>
      </c>
      <c r="AU325">
        <v>120</v>
      </c>
      <c r="AW325">
        <v>263</v>
      </c>
      <c r="AX325" t="s">
        <v>262</v>
      </c>
      <c r="BO325" t="s">
        <v>261</v>
      </c>
      <c r="BQ325">
        <v>0.17799999999999999</v>
      </c>
      <c r="BS325">
        <v>0.12</v>
      </c>
      <c r="BU325">
        <v>0.26300000000000001</v>
      </c>
      <c r="BV325" t="s">
        <v>263</v>
      </c>
      <c r="CM325" t="s">
        <v>264</v>
      </c>
      <c r="CN325" t="s">
        <v>264</v>
      </c>
      <c r="CP325" t="s">
        <v>265</v>
      </c>
      <c r="CQ325" t="s">
        <v>394</v>
      </c>
      <c r="DB325">
        <v>1</v>
      </c>
      <c r="DG325" t="s">
        <v>267</v>
      </c>
      <c r="DI325">
        <v>24</v>
      </c>
      <c r="DN325" t="s">
        <v>268</v>
      </c>
      <c r="DR325">
        <v>139456</v>
      </c>
      <c r="DS325">
        <v>3044</v>
      </c>
      <c r="EW325" t="s">
        <v>272</v>
      </c>
      <c r="HH325" t="s">
        <v>272</v>
      </c>
      <c r="IE325" t="s">
        <v>693</v>
      </c>
      <c r="IF325">
        <v>18730</v>
      </c>
      <c r="IG325" t="s">
        <v>694</v>
      </c>
      <c r="IH325" t="s">
        <v>695</v>
      </c>
      <c r="II325">
        <v>1995</v>
      </c>
      <c r="IJ325" t="s">
        <v>696</v>
      </c>
    </row>
    <row r="326" spans="1:244" x14ac:dyDescent="0.45">
      <c r="A326">
        <v>1056807</v>
      </c>
      <c r="B326">
        <v>125474</v>
      </c>
      <c r="C326">
        <v>7440508</v>
      </c>
      <c r="D326" t="s">
        <v>1063</v>
      </c>
      <c r="F326" t="s">
        <v>327</v>
      </c>
      <c r="G326" t="s">
        <v>246</v>
      </c>
      <c r="N326" t="s">
        <v>1064</v>
      </c>
      <c r="O326" t="s">
        <v>1065</v>
      </c>
      <c r="P326" t="s">
        <v>249</v>
      </c>
      <c r="Q326" t="s">
        <v>250</v>
      </c>
      <c r="R326" t="s">
        <v>251</v>
      </c>
      <c r="T326" t="s">
        <v>252</v>
      </c>
      <c r="U326" t="s">
        <v>253</v>
      </c>
      <c r="V326" t="s">
        <v>304</v>
      </c>
      <c r="W326" t="s">
        <v>1066</v>
      </c>
      <c r="X326" t="s">
        <v>1067</v>
      </c>
      <c r="Z326" t="s">
        <v>284</v>
      </c>
      <c r="AB326">
        <v>2</v>
      </c>
      <c r="AG326" t="s">
        <v>598</v>
      </c>
      <c r="AM326" t="s">
        <v>317</v>
      </c>
      <c r="AN326" t="s">
        <v>259</v>
      </c>
      <c r="AO326" t="s">
        <v>260</v>
      </c>
      <c r="AQ326" t="s">
        <v>261</v>
      </c>
      <c r="AS326">
        <v>195</v>
      </c>
      <c r="AX326" t="s">
        <v>262</v>
      </c>
      <c r="BO326" t="s">
        <v>261</v>
      </c>
      <c r="BQ326">
        <v>0.19500000000000001</v>
      </c>
      <c r="BV326" t="s">
        <v>263</v>
      </c>
      <c r="CM326" t="s">
        <v>264</v>
      </c>
      <c r="CN326" t="s">
        <v>264</v>
      </c>
      <c r="CP326" t="s">
        <v>265</v>
      </c>
      <c r="DB326">
        <v>2</v>
      </c>
      <c r="DG326" t="s">
        <v>267</v>
      </c>
      <c r="DI326">
        <v>48</v>
      </c>
      <c r="DN326" t="s">
        <v>268</v>
      </c>
      <c r="DR326">
        <v>79674</v>
      </c>
      <c r="DS326">
        <v>648</v>
      </c>
      <c r="EW326" t="s">
        <v>333</v>
      </c>
      <c r="FK326" t="s">
        <v>1068</v>
      </c>
      <c r="FM326">
        <v>26.5</v>
      </c>
      <c r="FR326" t="s">
        <v>295</v>
      </c>
      <c r="GC326">
        <v>80</v>
      </c>
      <c r="GE326">
        <v>85</v>
      </c>
      <c r="GF326" t="s">
        <v>572</v>
      </c>
      <c r="GJ326">
        <v>7</v>
      </c>
      <c r="GL326">
        <v>8</v>
      </c>
      <c r="GM326" t="s">
        <v>356</v>
      </c>
      <c r="GQ326">
        <v>7.5</v>
      </c>
      <c r="GS326">
        <v>8.5</v>
      </c>
      <c r="GU326">
        <v>12</v>
      </c>
      <c r="GZ326" t="s">
        <v>296</v>
      </c>
      <c r="HH326" t="s">
        <v>272</v>
      </c>
      <c r="ID326" t="s">
        <v>1069</v>
      </c>
      <c r="IE326" t="s">
        <v>1070</v>
      </c>
      <c r="IF326">
        <v>4043</v>
      </c>
      <c r="IG326" t="s">
        <v>1071</v>
      </c>
      <c r="IH326" t="s">
        <v>1072</v>
      </c>
      <c r="II326">
        <v>1990</v>
      </c>
      <c r="IJ326" t="s">
        <v>1073</v>
      </c>
    </row>
    <row r="327" spans="1:244" x14ac:dyDescent="0.45">
      <c r="A327">
        <v>1306484</v>
      </c>
      <c r="B327">
        <v>763377</v>
      </c>
      <c r="C327">
        <v>7440508</v>
      </c>
      <c r="D327" t="s">
        <v>1063</v>
      </c>
      <c r="F327" t="s">
        <v>327</v>
      </c>
      <c r="G327" t="s">
        <v>246</v>
      </c>
      <c r="N327" t="s">
        <v>606</v>
      </c>
      <c r="O327" t="s">
        <v>607</v>
      </c>
      <c r="P327" t="s">
        <v>249</v>
      </c>
      <c r="Q327" t="s">
        <v>250</v>
      </c>
      <c r="R327" t="s">
        <v>251</v>
      </c>
      <c r="T327" t="s">
        <v>252</v>
      </c>
      <c r="U327" t="s">
        <v>253</v>
      </c>
      <c r="V327" t="s">
        <v>608</v>
      </c>
      <c r="W327" t="s">
        <v>609</v>
      </c>
      <c r="X327" t="s">
        <v>610</v>
      </c>
      <c r="Z327" t="s">
        <v>284</v>
      </c>
      <c r="AL327" t="s">
        <v>907</v>
      </c>
      <c r="AM327" t="s">
        <v>258</v>
      </c>
      <c r="AN327" t="s">
        <v>259</v>
      </c>
      <c r="AO327" t="s">
        <v>260</v>
      </c>
      <c r="AP327">
        <v>7</v>
      </c>
      <c r="AQ327" t="s">
        <v>261</v>
      </c>
      <c r="AS327">
        <v>0.12</v>
      </c>
      <c r="AX327" t="s">
        <v>356</v>
      </c>
      <c r="BO327" t="s">
        <v>261</v>
      </c>
      <c r="BQ327">
        <v>0.12</v>
      </c>
      <c r="BV327" t="s">
        <v>263</v>
      </c>
      <c r="CM327" t="s">
        <v>264</v>
      </c>
      <c r="CN327" t="s">
        <v>264</v>
      </c>
      <c r="CP327" t="s">
        <v>265</v>
      </c>
      <c r="CQ327" t="s">
        <v>394</v>
      </c>
      <c r="DB327">
        <v>2</v>
      </c>
      <c r="DG327" t="s">
        <v>267</v>
      </c>
      <c r="DI327">
        <v>48</v>
      </c>
      <c r="DN327" t="s">
        <v>268</v>
      </c>
      <c r="DP327" t="s">
        <v>1083</v>
      </c>
      <c r="DR327">
        <v>6706</v>
      </c>
      <c r="DS327">
        <v>346</v>
      </c>
      <c r="EW327" t="s">
        <v>293</v>
      </c>
      <c r="FK327" t="s">
        <v>1101</v>
      </c>
      <c r="FM327">
        <v>20</v>
      </c>
      <c r="FR327" t="s">
        <v>295</v>
      </c>
      <c r="HH327" t="s">
        <v>272</v>
      </c>
      <c r="ID327" t="s">
        <v>1102</v>
      </c>
      <c r="IE327" t="s">
        <v>911</v>
      </c>
      <c r="IF327">
        <v>82412</v>
      </c>
      <c r="IG327" t="s">
        <v>912</v>
      </c>
      <c r="IH327" t="s">
        <v>913</v>
      </c>
      <c r="II327">
        <v>1976</v>
      </c>
      <c r="IJ327" t="s">
        <v>914</v>
      </c>
    </row>
    <row r="328" spans="1:244" x14ac:dyDescent="0.45">
      <c r="A328">
        <v>1056828</v>
      </c>
      <c r="B328">
        <v>125495</v>
      </c>
      <c r="C328">
        <v>7440508</v>
      </c>
      <c r="D328" t="s">
        <v>1063</v>
      </c>
      <c r="F328" t="s">
        <v>327</v>
      </c>
      <c r="G328" t="s">
        <v>246</v>
      </c>
      <c r="N328" t="s">
        <v>1064</v>
      </c>
      <c r="O328" t="s">
        <v>1065</v>
      </c>
      <c r="P328" t="s">
        <v>249</v>
      </c>
      <c r="Q328" t="s">
        <v>250</v>
      </c>
      <c r="R328" t="s">
        <v>251</v>
      </c>
      <c r="T328" t="s">
        <v>252</v>
      </c>
      <c r="U328" t="s">
        <v>253</v>
      </c>
      <c r="V328" t="s">
        <v>304</v>
      </c>
      <c r="W328" t="s">
        <v>1066</v>
      </c>
      <c r="X328" t="s">
        <v>1067</v>
      </c>
      <c r="Z328" t="s">
        <v>284</v>
      </c>
      <c r="AB328">
        <v>7</v>
      </c>
      <c r="AG328" t="s">
        <v>598</v>
      </c>
      <c r="AM328" t="s">
        <v>317</v>
      </c>
      <c r="AN328" t="s">
        <v>259</v>
      </c>
      <c r="AO328" t="s">
        <v>260</v>
      </c>
      <c r="AQ328" t="s">
        <v>261</v>
      </c>
      <c r="AS328">
        <v>275</v>
      </c>
      <c r="AX328" t="s">
        <v>262</v>
      </c>
      <c r="BO328" t="s">
        <v>261</v>
      </c>
      <c r="BQ328">
        <v>0.27500000000000002</v>
      </c>
      <c r="BV328" t="s">
        <v>263</v>
      </c>
      <c r="CM328" t="s">
        <v>264</v>
      </c>
      <c r="CN328" t="s">
        <v>264</v>
      </c>
      <c r="CP328" t="s">
        <v>265</v>
      </c>
      <c r="DB328">
        <v>3</v>
      </c>
      <c r="DG328" t="s">
        <v>267</v>
      </c>
      <c r="DI328">
        <v>72</v>
      </c>
      <c r="DN328" t="s">
        <v>268</v>
      </c>
      <c r="DR328">
        <v>79674</v>
      </c>
      <c r="DS328">
        <v>648</v>
      </c>
      <c r="EW328" t="s">
        <v>333</v>
      </c>
      <c r="FK328" t="s">
        <v>1068</v>
      </c>
      <c r="FM328">
        <v>26.5</v>
      </c>
      <c r="FR328" t="s">
        <v>295</v>
      </c>
      <c r="GC328">
        <v>80</v>
      </c>
      <c r="GE328">
        <v>85</v>
      </c>
      <c r="GF328" t="s">
        <v>572</v>
      </c>
      <c r="GJ328">
        <v>7</v>
      </c>
      <c r="GL328">
        <v>8</v>
      </c>
      <c r="GM328" t="s">
        <v>356</v>
      </c>
      <c r="GQ328">
        <v>7.5</v>
      </c>
      <c r="GS328">
        <v>8.5</v>
      </c>
      <c r="GU328">
        <v>12</v>
      </c>
      <c r="GZ328" t="s">
        <v>296</v>
      </c>
      <c r="HH328" t="s">
        <v>272</v>
      </c>
      <c r="ID328" t="s">
        <v>1069</v>
      </c>
      <c r="IE328" t="s">
        <v>1070</v>
      </c>
      <c r="IF328">
        <v>4043</v>
      </c>
      <c r="IG328" t="s">
        <v>1071</v>
      </c>
      <c r="IH328" t="s">
        <v>1072</v>
      </c>
      <c r="II328">
        <v>1990</v>
      </c>
      <c r="IJ328" t="s">
        <v>1073</v>
      </c>
    </row>
    <row r="329" spans="1:244" x14ac:dyDescent="0.45">
      <c r="A329">
        <v>1056842</v>
      </c>
      <c r="B329">
        <v>125509</v>
      </c>
      <c r="C329">
        <v>7440508</v>
      </c>
      <c r="D329" t="s">
        <v>1063</v>
      </c>
      <c r="F329" t="s">
        <v>327</v>
      </c>
      <c r="G329" t="s">
        <v>246</v>
      </c>
      <c r="N329" t="s">
        <v>1064</v>
      </c>
      <c r="O329" t="s">
        <v>1065</v>
      </c>
      <c r="P329" t="s">
        <v>249</v>
      </c>
      <c r="Q329" t="s">
        <v>250</v>
      </c>
      <c r="R329" t="s">
        <v>251</v>
      </c>
      <c r="T329" t="s">
        <v>252</v>
      </c>
      <c r="U329" t="s">
        <v>253</v>
      </c>
      <c r="V329" t="s">
        <v>304</v>
      </c>
      <c r="W329" t="s">
        <v>1066</v>
      </c>
      <c r="X329" t="s">
        <v>1067</v>
      </c>
      <c r="Z329" t="s">
        <v>284</v>
      </c>
      <c r="AB329">
        <v>11</v>
      </c>
      <c r="AG329" t="s">
        <v>598</v>
      </c>
      <c r="AM329" t="s">
        <v>317</v>
      </c>
      <c r="AN329" t="s">
        <v>259</v>
      </c>
      <c r="AO329" t="s">
        <v>260</v>
      </c>
      <c r="AQ329" t="s">
        <v>261</v>
      </c>
      <c r="AS329">
        <v>550</v>
      </c>
      <c r="AX329" t="s">
        <v>262</v>
      </c>
      <c r="BO329" t="s">
        <v>261</v>
      </c>
      <c r="BQ329">
        <v>0.55000000000000004</v>
      </c>
      <c r="BV329" t="s">
        <v>263</v>
      </c>
      <c r="CM329" t="s">
        <v>264</v>
      </c>
      <c r="CN329" t="s">
        <v>264</v>
      </c>
      <c r="CP329" t="s">
        <v>265</v>
      </c>
      <c r="DB329">
        <v>1</v>
      </c>
      <c r="DG329" t="s">
        <v>267</v>
      </c>
      <c r="DI329">
        <v>24</v>
      </c>
      <c r="DN329" t="s">
        <v>268</v>
      </c>
      <c r="DR329">
        <v>79674</v>
      </c>
      <c r="DS329">
        <v>648</v>
      </c>
      <c r="EW329" t="s">
        <v>333</v>
      </c>
      <c r="FK329" t="s">
        <v>1068</v>
      </c>
      <c r="FM329">
        <v>26.5</v>
      </c>
      <c r="FR329" t="s">
        <v>295</v>
      </c>
      <c r="GC329">
        <v>80</v>
      </c>
      <c r="GE329">
        <v>85</v>
      </c>
      <c r="GF329" t="s">
        <v>572</v>
      </c>
      <c r="GJ329">
        <v>7</v>
      </c>
      <c r="GL329">
        <v>8</v>
      </c>
      <c r="GM329" t="s">
        <v>356</v>
      </c>
      <c r="GQ329">
        <v>7.5</v>
      </c>
      <c r="GS329">
        <v>8.5</v>
      </c>
      <c r="GU329">
        <v>12</v>
      </c>
      <c r="GZ329" t="s">
        <v>296</v>
      </c>
      <c r="HH329" t="s">
        <v>272</v>
      </c>
      <c r="ID329" t="s">
        <v>1069</v>
      </c>
      <c r="IE329" t="s">
        <v>1070</v>
      </c>
      <c r="IF329">
        <v>4043</v>
      </c>
      <c r="IG329" t="s">
        <v>1071</v>
      </c>
      <c r="IH329" t="s">
        <v>1072</v>
      </c>
      <c r="II329">
        <v>1990</v>
      </c>
      <c r="IJ329" t="s">
        <v>1073</v>
      </c>
    </row>
    <row r="330" spans="1:244" x14ac:dyDescent="0.45">
      <c r="A330">
        <v>1056820</v>
      </c>
      <c r="B330">
        <v>125487</v>
      </c>
      <c r="C330">
        <v>7440508</v>
      </c>
      <c r="D330" t="s">
        <v>1063</v>
      </c>
      <c r="F330" t="s">
        <v>327</v>
      </c>
      <c r="G330" t="s">
        <v>246</v>
      </c>
      <c r="N330" t="s">
        <v>1064</v>
      </c>
      <c r="O330" t="s">
        <v>1065</v>
      </c>
      <c r="P330" t="s">
        <v>249</v>
      </c>
      <c r="Q330" t="s">
        <v>250</v>
      </c>
      <c r="R330" t="s">
        <v>251</v>
      </c>
      <c r="T330" t="s">
        <v>252</v>
      </c>
      <c r="U330" t="s">
        <v>253</v>
      </c>
      <c r="V330" t="s">
        <v>304</v>
      </c>
      <c r="W330" t="s">
        <v>1066</v>
      </c>
      <c r="X330" t="s">
        <v>1067</v>
      </c>
      <c r="Z330" t="s">
        <v>284</v>
      </c>
      <c r="AB330">
        <v>5</v>
      </c>
      <c r="AG330" t="s">
        <v>598</v>
      </c>
      <c r="AM330" t="s">
        <v>317</v>
      </c>
      <c r="AN330" t="s">
        <v>259</v>
      </c>
      <c r="AO330" t="s">
        <v>260</v>
      </c>
      <c r="AQ330" t="s">
        <v>261</v>
      </c>
      <c r="AS330">
        <v>135</v>
      </c>
      <c r="AX330" t="s">
        <v>262</v>
      </c>
      <c r="BO330" t="s">
        <v>261</v>
      </c>
      <c r="BQ330">
        <v>0.13500000000000001</v>
      </c>
      <c r="BV330" t="s">
        <v>263</v>
      </c>
      <c r="CM330" t="s">
        <v>264</v>
      </c>
      <c r="CN330" t="s">
        <v>264</v>
      </c>
      <c r="CP330" t="s">
        <v>265</v>
      </c>
      <c r="DB330">
        <v>3</v>
      </c>
      <c r="DG330" t="s">
        <v>267</v>
      </c>
      <c r="DI330">
        <v>72</v>
      </c>
      <c r="DN330" t="s">
        <v>268</v>
      </c>
      <c r="DR330">
        <v>79674</v>
      </c>
      <c r="DS330">
        <v>648</v>
      </c>
      <c r="EW330" t="s">
        <v>333</v>
      </c>
      <c r="FK330" t="s">
        <v>1068</v>
      </c>
      <c r="FM330">
        <v>26.5</v>
      </c>
      <c r="FR330" t="s">
        <v>295</v>
      </c>
      <c r="GC330">
        <v>80</v>
      </c>
      <c r="GE330">
        <v>85</v>
      </c>
      <c r="GF330" t="s">
        <v>572</v>
      </c>
      <c r="GJ330">
        <v>7</v>
      </c>
      <c r="GL330">
        <v>8</v>
      </c>
      <c r="GM330" t="s">
        <v>356</v>
      </c>
      <c r="GQ330">
        <v>7.5</v>
      </c>
      <c r="GS330">
        <v>8.5</v>
      </c>
      <c r="GU330">
        <v>12</v>
      </c>
      <c r="GZ330" t="s">
        <v>296</v>
      </c>
      <c r="HH330" t="s">
        <v>272</v>
      </c>
      <c r="ID330" t="s">
        <v>1069</v>
      </c>
      <c r="IE330" t="s">
        <v>1070</v>
      </c>
      <c r="IF330">
        <v>4043</v>
      </c>
      <c r="IG330" t="s">
        <v>1071</v>
      </c>
      <c r="IH330" t="s">
        <v>1072</v>
      </c>
      <c r="II330">
        <v>1990</v>
      </c>
      <c r="IJ330" t="s">
        <v>1073</v>
      </c>
    </row>
    <row r="331" spans="1:244" x14ac:dyDescent="0.45">
      <c r="A331">
        <v>1185175</v>
      </c>
      <c r="B331">
        <v>42842</v>
      </c>
      <c r="C331">
        <v>7440508</v>
      </c>
      <c r="D331" t="s">
        <v>1063</v>
      </c>
      <c r="F331" t="s">
        <v>245</v>
      </c>
      <c r="G331" t="s">
        <v>246</v>
      </c>
      <c r="N331" t="s">
        <v>527</v>
      </c>
      <c r="O331" t="s">
        <v>461</v>
      </c>
      <c r="P331" t="s">
        <v>249</v>
      </c>
      <c r="Q331" t="s">
        <v>250</v>
      </c>
      <c r="R331" t="s">
        <v>251</v>
      </c>
      <c r="T331" t="s">
        <v>389</v>
      </c>
      <c r="U331" t="s">
        <v>462</v>
      </c>
      <c r="V331" t="s">
        <v>463</v>
      </c>
      <c r="W331" t="s">
        <v>464</v>
      </c>
      <c r="X331" t="s">
        <v>528</v>
      </c>
      <c r="Z331" t="s">
        <v>525</v>
      </c>
      <c r="AB331">
        <v>3</v>
      </c>
      <c r="AG331" t="s">
        <v>268</v>
      </c>
      <c r="AL331" t="s">
        <v>529</v>
      </c>
      <c r="AM331" t="s">
        <v>287</v>
      </c>
      <c r="AN331" t="s">
        <v>259</v>
      </c>
      <c r="AO331" t="s">
        <v>260</v>
      </c>
      <c r="AQ331" t="s">
        <v>261</v>
      </c>
      <c r="AS331">
        <v>100</v>
      </c>
      <c r="AX331" t="s">
        <v>262</v>
      </c>
      <c r="BO331" t="s">
        <v>261</v>
      </c>
      <c r="BQ331">
        <v>0.1</v>
      </c>
      <c r="BV331" t="s">
        <v>263</v>
      </c>
      <c r="CM331" t="s">
        <v>264</v>
      </c>
      <c r="CN331" t="s">
        <v>264</v>
      </c>
      <c r="CP331" t="s">
        <v>265</v>
      </c>
      <c r="DB331">
        <v>3</v>
      </c>
      <c r="DG331" t="s">
        <v>267</v>
      </c>
      <c r="DI331">
        <v>72</v>
      </c>
      <c r="DN331" t="s">
        <v>268</v>
      </c>
      <c r="DR331">
        <v>1220549</v>
      </c>
      <c r="DS331">
        <v>771</v>
      </c>
      <c r="EW331" t="s">
        <v>293</v>
      </c>
      <c r="FO331">
        <v>23</v>
      </c>
      <c r="FQ331">
        <v>25</v>
      </c>
      <c r="FR331" t="s">
        <v>295</v>
      </c>
      <c r="HH331" t="s">
        <v>272</v>
      </c>
      <c r="IE331" t="s">
        <v>530</v>
      </c>
      <c r="IF331">
        <v>16408</v>
      </c>
      <c r="IG331" t="s">
        <v>531</v>
      </c>
      <c r="IH331" t="s">
        <v>532</v>
      </c>
      <c r="II331">
        <v>1993</v>
      </c>
      <c r="IJ331" t="s">
        <v>533</v>
      </c>
    </row>
    <row r="332" spans="1:244" x14ac:dyDescent="0.45">
      <c r="A332">
        <v>1056810</v>
      </c>
      <c r="B332">
        <v>125477</v>
      </c>
      <c r="C332">
        <v>7440508</v>
      </c>
      <c r="D332" t="s">
        <v>1063</v>
      </c>
      <c r="F332" t="s">
        <v>327</v>
      </c>
      <c r="G332" t="s">
        <v>246</v>
      </c>
      <c r="N332" t="s">
        <v>1064</v>
      </c>
      <c r="O332" t="s">
        <v>1065</v>
      </c>
      <c r="P332" t="s">
        <v>249</v>
      </c>
      <c r="Q332" t="s">
        <v>250</v>
      </c>
      <c r="R332" t="s">
        <v>251</v>
      </c>
      <c r="T332" t="s">
        <v>252</v>
      </c>
      <c r="U332" t="s">
        <v>253</v>
      </c>
      <c r="V332" t="s">
        <v>304</v>
      </c>
      <c r="W332" t="s">
        <v>1066</v>
      </c>
      <c r="X332" t="s">
        <v>1067</v>
      </c>
      <c r="Z332" t="s">
        <v>284</v>
      </c>
      <c r="AB332">
        <v>3</v>
      </c>
      <c r="AG332" t="s">
        <v>598</v>
      </c>
      <c r="AM332" t="s">
        <v>317</v>
      </c>
      <c r="AN332" t="s">
        <v>259</v>
      </c>
      <c r="AO332" t="s">
        <v>260</v>
      </c>
      <c r="AQ332" t="s">
        <v>261</v>
      </c>
      <c r="AS332">
        <v>365</v>
      </c>
      <c r="AX332" t="s">
        <v>262</v>
      </c>
      <c r="BO332" t="s">
        <v>261</v>
      </c>
      <c r="BQ332">
        <v>0.36499999999999999</v>
      </c>
      <c r="BV332" t="s">
        <v>263</v>
      </c>
      <c r="CM332" t="s">
        <v>264</v>
      </c>
      <c r="CN332" t="s">
        <v>264</v>
      </c>
      <c r="CP332" t="s">
        <v>265</v>
      </c>
      <c r="DB332">
        <v>1</v>
      </c>
      <c r="DG332" t="s">
        <v>267</v>
      </c>
      <c r="DI332">
        <v>24</v>
      </c>
      <c r="DN332" t="s">
        <v>268</v>
      </c>
      <c r="DR332">
        <v>79674</v>
      </c>
      <c r="DS332">
        <v>648</v>
      </c>
      <c r="EW332" t="s">
        <v>333</v>
      </c>
      <c r="FK332" t="s">
        <v>1068</v>
      </c>
      <c r="FM332">
        <v>26.5</v>
      </c>
      <c r="FR332" t="s">
        <v>295</v>
      </c>
      <c r="GC332">
        <v>80</v>
      </c>
      <c r="GE332">
        <v>85</v>
      </c>
      <c r="GF332" t="s">
        <v>572</v>
      </c>
      <c r="GJ332">
        <v>7</v>
      </c>
      <c r="GL332">
        <v>8</v>
      </c>
      <c r="GM332" t="s">
        <v>356</v>
      </c>
      <c r="GQ332">
        <v>7.5</v>
      </c>
      <c r="GS332">
        <v>8.5</v>
      </c>
      <c r="GU332">
        <v>12</v>
      </c>
      <c r="GZ332" t="s">
        <v>296</v>
      </c>
      <c r="HH332" t="s">
        <v>272</v>
      </c>
      <c r="ID332" t="s">
        <v>1069</v>
      </c>
      <c r="IE332" t="s">
        <v>1070</v>
      </c>
      <c r="IF332">
        <v>4043</v>
      </c>
      <c r="IG332" t="s">
        <v>1071</v>
      </c>
      <c r="IH332" t="s">
        <v>1072</v>
      </c>
      <c r="II332">
        <v>1990</v>
      </c>
      <c r="IJ332" t="s">
        <v>1073</v>
      </c>
    </row>
    <row r="333" spans="1:244" x14ac:dyDescent="0.45">
      <c r="A333">
        <v>1306483</v>
      </c>
      <c r="B333">
        <v>763376</v>
      </c>
      <c r="C333">
        <v>7440508</v>
      </c>
      <c r="D333" t="s">
        <v>1063</v>
      </c>
      <c r="F333" t="s">
        <v>327</v>
      </c>
      <c r="G333" t="s">
        <v>246</v>
      </c>
      <c r="N333" t="s">
        <v>606</v>
      </c>
      <c r="O333" t="s">
        <v>607</v>
      </c>
      <c r="P333" t="s">
        <v>249</v>
      </c>
      <c r="Q333" t="s">
        <v>250</v>
      </c>
      <c r="R333" t="s">
        <v>251</v>
      </c>
      <c r="T333" t="s">
        <v>252</v>
      </c>
      <c r="U333" t="s">
        <v>253</v>
      </c>
      <c r="V333" t="s">
        <v>608</v>
      </c>
      <c r="W333" t="s">
        <v>609</v>
      </c>
      <c r="X333" t="s">
        <v>610</v>
      </c>
      <c r="Z333" t="s">
        <v>284</v>
      </c>
      <c r="AL333" t="s">
        <v>907</v>
      </c>
      <c r="AM333" t="s">
        <v>258</v>
      </c>
      <c r="AN333" t="s">
        <v>259</v>
      </c>
      <c r="AO333" t="s">
        <v>260</v>
      </c>
      <c r="AP333">
        <v>7</v>
      </c>
      <c r="AQ333" t="s">
        <v>261</v>
      </c>
      <c r="AS333">
        <v>8.5000000000000006E-2</v>
      </c>
      <c r="AX333" t="s">
        <v>356</v>
      </c>
      <c r="BO333" t="s">
        <v>261</v>
      </c>
      <c r="BQ333">
        <v>8.5000000000000006E-2</v>
      </c>
      <c r="BV333" t="s">
        <v>263</v>
      </c>
      <c r="CM333" t="s">
        <v>264</v>
      </c>
      <c r="CN333" t="s">
        <v>264</v>
      </c>
      <c r="CP333" t="s">
        <v>265</v>
      </c>
      <c r="CQ333" t="s">
        <v>394</v>
      </c>
      <c r="DB333">
        <v>4</v>
      </c>
      <c r="DG333" t="s">
        <v>267</v>
      </c>
      <c r="DI333">
        <v>96</v>
      </c>
      <c r="DN333" t="s">
        <v>268</v>
      </c>
      <c r="DP333" t="s">
        <v>1083</v>
      </c>
      <c r="DR333">
        <v>6706</v>
      </c>
      <c r="DS333">
        <v>346</v>
      </c>
      <c r="EW333" t="s">
        <v>293</v>
      </c>
      <c r="FK333" t="s">
        <v>1101</v>
      </c>
      <c r="FM333">
        <v>20</v>
      </c>
      <c r="FR333" t="s">
        <v>295</v>
      </c>
      <c r="HH333" t="s">
        <v>272</v>
      </c>
      <c r="ID333" t="s">
        <v>1102</v>
      </c>
      <c r="IE333" t="s">
        <v>911</v>
      </c>
      <c r="IF333">
        <v>82412</v>
      </c>
      <c r="IG333" t="s">
        <v>912</v>
      </c>
      <c r="IH333" t="s">
        <v>913</v>
      </c>
      <c r="II333">
        <v>1976</v>
      </c>
      <c r="IJ333" t="s">
        <v>914</v>
      </c>
    </row>
    <row r="334" spans="1:244" x14ac:dyDescent="0.45">
      <c r="A334">
        <v>1205312</v>
      </c>
      <c r="B334">
        <v>203499</v>
      </c>
      <c r="C334">
        <v>7440508</v>
      </c>
      <c r="D334" t="s">
        <v>1063</v>
      </c>
      <c r="F334" t="s">
        <v>245</v>
      </c>
      <c r="G334" t="s">
        <v>246</v>
      </c>
      <c r="N334" t="s">
        <v>690</v>
      </c>
      <c r="O334" t="s">
        <v>691</v>
      </c>
      <c r="P334" t="s">
        <v>249</v>
      </c>
      <c r="Q334" t="s">
        <v>250</v>
      </c>
      <c r="R334" t="s">
        <v>251</v>
      </c>
      <c r="T334" t="s">
        <v>252</v>
      </c>
      <c r="U334" t="s">
        <v>253</v>
      </c>
      <c r="V334" t="s">
        <v>418</v>
      </c>
      <c r="W334" t="s">
        <v>419</v>
      </c>
      <c r="X334" t="s">
        <v>692</v>
      </c>
      <c r="AM334" t="s">
        <v>287</v>
      </c>
      <c r="AN334" t="s">
        <v>259</v>
      </c>
      <c r="AO334" t="s">
        <v>260</v>
      </c>
      <c r="AQ334" t="s">
        <v>261</v>
      </c>
      <c r="AS334">
        <v>18</v>
      </c>
      <c r="AU334">
        <v>12</v>
      </c>
      <c r="AW334">
        <v>27</v>
      </c>
      <c r="AX334" t="s">
        <v>262</v>
      </c>
      <c r="BO334" t="s">
        <v>261</v>
      </c>
      <c r="BQ334">
        <v>1.7999999999999999E-2</v>
      </c>
      <c r="BS334">
        <v>1.2E-2</v>
      </c>
      <c r="BU334">
        <v>2.7E-2</v>
      </c>
      <c r="BV334" t="s">
        <v>263</v>
      </c>
      <c r="CM334" t="s">
        <v>264</v>
      </c>
      <c r="CN334" t="s">
        <v>264</v>
      </c>
      <c r="CP334" t="s">
        <v>265</v>
      </c>
      <c r="CQ334" t="s">
        <v>394</v>
      </c>
      <c r="DB334">
        <v>4</v>
      </c>
      <c r="DG334" t="s">
        <v>267</v>
      </c>
      <c r="DI334">
        <v>96</v>
      </c>
      <c r="DN334" t="s">
        <v>268</v>
      </c>
      <c r="DR334">
        <v>139456</v>
      </c>
      <c r="DS334">
        <v>3044</v>
      </c>
      <c r="EW334" t="s">
        <v>272</v>
      </c>
      <c r="HH334" t="s">
        <v>272</v>
      </c>
      <c r="IE334" t="s">
        <v>693</v>
      </c>
      <c r="IF334">
        <v>18730</v>
      </c>
      <c r="IG334" t="s">
        <v>694</v>
      </c>
      <c r="IH334" t="s">
        <v>695</v>
      </c>
      <c r="II334">
        <v>1995</v>
      </c>
      <c r="IJ334" t="s">
        <v>696</v>
      </c>
    </row>
    <row r="335" spans="1:244" x14ac:dyDescent="0.45">
      <c r="A335">
        <v>1058821</v>
      </c>
      <c r="B335">
        <v>232610</v>
      </c>
      <c r="C335">
        <v>7440508</v>
      </c>
      <c r="D335" t="s">
        <v>1063</v>
      </c>
      <c r="E335" t="s">
        <v>439</v>
      </c>
      <c r="F335" t="s">
        <v>245</v>
      </c>
      <c r="G335" t="s">
        <v>246</v>
      </c>
      <c r="N335" t="s">
        <v>499</v>
      </c>
      <c r="O335" t="s">
        <v>925</v>
      </c>
      <c r="P335" t="s">
        <v>249</v>
      </c>
      <c r="Q335" t="s">
        <v>250</v>
      </c>
      <c r="R335" t="s">
        <v>251</v>
      </c>
      <c r="T335" t="s">
        <v>252</v>
      </c>
      <c r="U335" t="s">
        <v>499</v>
      </c>
      <c r="Z335" t="s">
        <v>315</v>
      </c>
      <c r="AJ335" t="s">
        <v>285</v>
      </c>
      <c r="AL335" t="s">
        <v>926</v>
      </c>
      <c r="AM335" t="s">
        <v>317</v>
      </c>
      <c r="AN335" t="s">
        <v>259</v>
      </c>
      <c r="AO335" t="s">
        <v>260</v>
      </c>
      <c r="AP335">
        <v>6</v>
      </c>
      <c r="AQ335" t="s">
        <v>261</v>
      </c>
      <c r="AS335">
        <v>7.1999999999999995E-2</v>
      </c>
      <c r="AU335">
        <v>5.6000000000000001E-2</v>
      </c>
      <c r="AW335">
        <v>0.33300000000000002</v>
      </c>
      <c r="AX335" t="s">
        <v>262</v>
      </c>
      <c r="BO335" t="s">
        <v>261</v>
      </c>
      <c r="BQ335">
        <v>7.2000000000000002E-5</v>
      </c>
      <c r="BS335">
        <v>5.5999999999999999E-5</v>
      </c>
      <c r="BU335">
        <v>3.3300000000000002E-4</v>
      </c>
      <c r="BV335" t="s">
        <v>263</v>
      </c>
      <c r="CM335" t="s">
        <v>264</v>
      </c>
      <c r="CN335" t="s">
        <v>264</v>
      </c>
      <c r="CP335" t="s">
        <v>265</v>
      </c>
      <c r="CQ335" t="s">
        <v>394</v>
      </c>
      <c r="DB335">
        <v>1.75</v>
      </c>
      <c r="DG335" t="s">
        <v>267</v>
      </c>
      <c r="DI335">
        <v>42</v>
      </c>
      <c r="DN335" t="s">
        <v>268</v>
      </c>
      <c r="DR335">
        <v>6821</v>
      </c>
      <c r="DS335">
        <v>1044</v>
      </c>
      <c r="DT335" t="s">
        <v>927</v>
      </c>
      <c r="EW335" t="s">
        <v>272</v>
      </c>
      <c r="FK335" t="s">
        <v>1077</v>
      </c>
      <c r="FO335">
        <v>29.5</v>
      </c>
      <c r="FQ335">
        <v>30.5</v>
      </c>
      <c r="FR335" t="s">
        <v>295</v>
      </c>
      <c r="GJ335">
        <v>4.2</v>
      </c>
      <c r="GL335">
        <v>5.2</v>
      </c>
      <c r="GM335" t="s">
        <v>356</v>
      </c>
      <c r="GQ335">
        <v>7.1</v>
      </c>
      <c r="GS335">
        <v>7.8</v>
      </c>
      <c r="GW335">
        <v>29.5</v>
      </c>
      <c r="GY335">
        <v>30.5</v>
      </c>
      <c r="GZ335" t="s">
        <v>296</v>
      </c>
      <c r="HH335" t="s">
        <v>272</v>
      </c>
      <c r="ID335" t="s">
        <v>1078</v>
      </c>
      <c r="IE335" t="s">
        <v>930</v>
      </c>
      <c r="IF335">
        <v>4336</v>
      </c>
      <c r="IG335" t="s">
        <v>931</v>
      </c>
      <c r="IH335" t="s">
        <v>932</v>
      </c>
      <c r="II335">
        <v>1993</v>
      </c>
      <c r="IJ335" t="s">
        <v>933</v>
      </c>
    </row>
    <row r="336" spans="1:244" x14ac:dyDescent="0.45">
      <c r="A336">
        <v>1056812</v>
      </c>
      <c r="B336">
        <v>125479</v>
      </c>
      <c r="C336">
        <v>7440508</v>
      </c>
      <c r="D336" t="s">
        <v>1063</v>
      </c>
      <c r="F336" t="s">
        <v>327</v>
      </c>
      <c r="G336" t="s">
        <v>246</v>
      </c>
      <c r="N336" t="s">
        <v>1064</v>
      </c>
      <c r="O336" t="s">
        <v>1065</v>
      </c>
      <c r="P336" t="s">
        <v>249</v>
      </c>
      <c r="Q336" t="s">
        <v>250</v>
      </c>
      <c r="R336" t="s">
        <v>251</v>
      </c>
      <c r="T336" t="s">
        <v>252</v>
      </c>
      <c r="U336" t="s">
        <v>253</v>
      </c>
      <c r="V336" t="s">
        <v>304</v>
      </c>
      <c r="W336" t="s">
        <v>1066</v>
      </c>
      <c r="X336" t="s">
        <v>1067</v>
      </c>
      <c r="Z336" t="s">
        <v>284</v>
      </c>
      <c r="AB336">
        <v>3</v>
      </c>
      <c r="AG336" t="s">
        <v>598</v>
      </c>
      <c r="AM336" t="s">
        <v>317</v>
      </c>
      <c r="AN336" t="s">
        <v>259</v>
      </c>
      <c r="AO336" t="s">
        <v>260</v>
      </c>
      <c r="AQ336" t="s">
        <v>261</v>
      </c>
      <c r="AS336">
        <v>165</v>
      </c>
      <c r="AX336" t="s">
        <v>262</v>
      </c>
      <c r="BO336" t="s">
        <v>261</v>
      </c>
      <c r="BQ336">
        <v>0.16500000000000001</v>
      </c>
      <c r="BV336" t="s">
        <v>263</v>
      </c>
      <c r="CM336" t="s">
        <v>264</v>
      </c>
      <c r="CN336" t="s">
        <v>264</v>
      </c>
      <c r="CP336" t="s">
        <v>265</v>
      </c>
      <c r="DB336">
        <v>3</v>
      </c>
      <c r="DG336" t="s">
        <v>267</v>
      </c>
      <c r="DI336">
        <v>72</v>
      </c>
      <c r="DN336" t="s">
        <v>268</v>
      </c>
      <c r="DR336">
        <v>79674</v>
      </c>
      <c r="DS336">
        <v>648</v>
      </c>
      <c r="EW336" t="s">
        <v>333</v>
      </c>
      <c r="FK336" t="s">
        <v>1068</v>
      </c>
      <c r="FM336">
        <v>26.5</v>
      </c>
      <c r="FR336" t="s">
        <v>295</v>
      </c>
      <c r="GC336">
        <v>80</v>
      </c>
      <c r="GE336">
        <v>85</v>
      </c>
      <c r="GF336" t="s">
        <v>572</v>
      </c>
      <c r="GJ336">
        <v>7</v>
      </c>
      <c r="GL336">
        <v>8</v>
      </c>
      <c r="GM336" t="s">
        <v>356</v>
      </c>
      <c r="GQ336">
        <v>7.5</v>
      </c>
      <c r="GS336">
        <v>8.5</v>
      </c>
      <c r="GU336">
        <v>12</v>
      </c>
      <c r="GZ336" t="s">
        <v>296</v>
      </c>
      <c r="HH336" t="s">
        <v>272</v>
      </c>
      <c r="ID336" t="s">
        <v>1069</v>
      </c>
      <c r="IE336" t="s">
        <v>1070</v>
      </c>
      <c r="IF336">
        <v>4043</v>
      </c>
      <c r="IG336" t="s">
        <v>1071</v>
      </c>
      <c r="IH336" t="s">
        <v>1072</v>
      </c>
      <c r="II336">
        <v>1990</v>
      </c>
      <c r="IJ336" t="s">
        <v>1073</v>
      </c>
    </row>
    <row r="337" spans="1:244" x14ac:dyDescent="0.45">
      <c r="A337">
        <v>1056829</v>
      </c>
      <c r="B337">
        <v>125496</v>
      </c>
      <c r="C337">
        <v>7440508</v>
      </c>
      <c r="D337" t="s">
        <v>1063</v>
      </c>
      <c r="F337" t="s">
        <v>327</v>
      </c>
      <c r="G337" t="s">
        <v>246</v>
      </c>
      <c r="N337" t="s">
        <v>1064</v>
      </c>
      <c r="O337" t="s">
        <v>1065</v>
      </c>
      <c r="P337" t="s">
        <v>249</v>
      </c>
      <c r="Q337" t="s">
        <v>250</v>
      </c>
      <c r="R337" t="s">
        <v>251</v>
      </c>
      <c r="T337" t="s">
        <v>252</v>
      </c>
      <c r="U337" t="s">
        <v>253</v>
      </c>
      <c r="V337" t="s">
        <v>304</v>
      </c>
      <c r="W337" t="s">
        <v>1066</v>
      </c>
      <c r="X337" t="s">
        <v>1067</v>
      </c>
      <c r="Z337" t="s">
        <v>284</v>
      </c>
      <c r="AB337">
        <v>7</v>
      </c>
      <c r="AG337" t="s">
        <v>598</v>
      </c>
      <c r="AM337" t="s">
        <v>317</v>
      </c>
      <c r="AN337" t="s">
        <v>259</v>
      </c>
      <c r="AO337" t="s">
        <v>260</v>
      </c>
      <c r="AQ337" t="s">
        <v>261</v>
      </c>
      <c r="AS337">
        <v>187</v>
      </c>
      <c r="AX337" t="s">
        <v>262</v>
      </c>
      <c r="BO337" t="s">
        <v>261</v>
      </c>
      <c r="BQ337">
        <v>0.187</v>
      </c>
      <c r="BV337" t="s">
        <v>263</v>
      </c>
      <c r="CM337" t="s">
        <v>264</v>
      </c>
      <c r="CN337" t="s">
        <v>264</v>
      </c>
      <c r="CP337" t="s">
        <v>265</v>
      </c>
      <c r="DB337">
        <v>4</v>
      </c>
      <c r="DG337" t="s">
        <v>267</v>
      </c>
      <c r="DI337">
        <v>96</v>
      </c>
      <c r="DN337" t="s">
        <v>268</v>
      </c>
      <c r="DR337">
        <v>79674</v>
      </c>
      <c r="DS337">
        <v>648</v>
      </c>
      <c r="EW337" t="s">
        <v>333</v>
      </c>
      <c r="FK337" t="s">
        <v>1068</v>
      </c>
      <c r="FM337">
        <v>26.5</v>
      </c>
      <c r="FR337" t="s">
        <v>295</v>
      </c>
      <c r="GC337">
        <v>80</v>
      </c>
      <c r="GE337">
        <v>85</v>
      </c>
      <c r="GF337" t="s">
        <v>572</v>
      </c>
      <c r="GJ337">
        <v>7</v>
      </c>
      <c r="GL337">
        <v>8</v>
      </c>
      <c r="GM337" t="s">
        <v>356</v>
      </c>
      <c r="GQ337">
        <v>7.5</v>
      </c>
      <c r="GS337">
        <v>8.5</v>
      </c>
      <c r="GU337">
        <v>12</v>
      </c>
      <c r="GZ337" t="s">
        <v>296</v>
      </c>
      <c r="HH337" t="s">
        <v>272</v>
      </c>
      <c r="ID337" t="s">
        <v>1069</v>
      </c>
      <c r="IE337" t="s">
        <v>1070</v>
      </c>
      <c r="IF337">
        <v>4043</v>
      </c>
      <c r="IG337" t="s">
        <v>1071</v>
      </c>
      <c r="IH337" t="s">
        <v>1072</v>
      </c>
      <c r="II337">
        <v>1990</v>
      </c>
      <c r="IJ337" t="s">
        <v>1073</v>
      </c>
    </row>
    <row r="338" spans="1:244" x14ac:dyDescent="0.45">
      <c r="A338">
        <v>2140906</v>
      </c>
      <c r="B338">
        <v>2264437</v>
      </c>
      <c r="C338">
        <v>7440508</v>
      </c>
      <c r="D338" t="s">
        <v>1063</v>
      </c>
      <c r="F338" t="s">
        <v>245</v>
      </c>
      <c r="G338" t="s">
        <v>272</v>
      </c>
      <c r="N338" t="s">
        <v>452</v>
      </c>
      <c r="O338" t="s">
        <v>346</v>
      </c>
      <c r="P338" t="s">
        <v>249</v>
      </c>
      <c r="Q338" t="s">
        <v>250</v>
      </c>
      <c r="R338" t="s">
        <v>251</v>
      </c>
      <c r="T338" t="s">
        <v>347</v>
      </c>
      <c r="U338" t="s">
        <v>348</v>
      </c>
      <c r="V338" t="s">
        <v>349</v>
      </c>
      <c r="W338" t="s">
        <v>350</v>
      </c>
      <c r="X338" t="s">
        <v>453</v>
      </c>
      <c r="Z338" t="s">
        <v>767</v>
      </c>
      <c r="AH338" t="s">
        <v>753</v>
      </c>
      <c r="AJ338" t="s">
        <v>354</v>
      </c>
      <c r="AL338" t="s">
        <v>753</v>
      </c>
      <c r="AM338" t="s">
        <v>287</v>
      </c>
      <c r="AN338" t="s">
        <v>259</v>
      </c>
      <c r="AO338" t="s">
        <v>260</v>
      </c>
      <c r="AP338">
        <v>11</v>
      </c>
      <c r="AQ338" t="s">
        <v>261</v>
      </c>
      <c r="AS338">
        <v>0.13200000000000001</v>
      </c>
      <c r="AU338">
        <v>0.10100000000000001</v>
      </c>
      <c r="AW338">
        <v>0.182</v>
      </c>
      <c r="AX338" t="s">
        <v>422</v>
      </c>
      <c r="BO338" t="s">
        <v>261</v>
      </c>
      <c r="BQ338">
        <v>0.13200000000000001</v>
      </c>
      <c r="BS338">
        <v>0.10100000000000001</v>
      </c>
      <c r="BU338">
        <v>0.182</v>
      </c>
      <c r="BV338" t="s">
        <v>263</v>
      </c>
      <c r="CM338" t="s">
        <v>264</v>
      </c>
      <c r="CN338" t="s">
        <v>264</v>
      </c>
      <c r="CP338" t="s">
        <v>265</v>
      </c>
      <c r="CQ338" t="s">
        <v>394</v>
      </c>
      <c r="DB338">
        <v>4</v>
      </c>
      <c r="DG338" t="s">
        <v>267</v>
      </c>
      <c r="DI338">
        <v>96</v>
      </c>
      <c r="DN338" t="s">
        <v>268</v>
      </c>
      <c r="DR338">
        <v>85549</v>
      </c>
      <c r="DS338">
        <v>366</v>
      </c>
      <c r="DT338" t="s">
        <v>754</v>
      </c>
      <c r="DV338">
        <v>96</v>
      </c>
      <c r="EA338" t="s">
        <v>268</v>
      </c>
      <c r="EC338">
        <v>4</v>
      </c>
      <c r="EH338" t="s">
        <v>267</v>
      </c>
      <c r="EJ338">
        <v>96</v>
      </c>
      <c r="EO338" t="s">
        <v>268</v>
      </c>
      <c r="EQ338">
        <v>4</v>
      </c>
      <c r="EV338" t="s">
        <v>267</v>
      </c>
      <c r="EW338" t="s">
        <v>293</v>
      </c>
      <c r="EY338" t="s">
        <v>377</v>
      </c>
      <c r="FA338" t="s">
        <v>755</v>
      </c>
      <c r="FK338" t="s">
        <v>756</v>
      </c>
      <c r="FM338">
        <v>28</v>
      </c>
      <c r="FR338" t="s">
        <v>295</v>
      </c>
      <c r="GI338" t="s">
        <v>288</v>
      </c>
      <c r="GJ338">
        <v>0</v>
      </c>
      <c r="GK338" t="s">
        <v>289</v>
      </c>
      <c r="GL338">
        <v>10</v>
      </c>
      <c r="GM338" t="s">
        <v>356</v>
      </c>
      <c r="GO338">
        <v>7.5</v>
      </c>
      <c r="GU338">
        <v>40</v>
      </c>
      <c r="GZ338" t="s">
        <v>296</v>
      </c>
      <c r="HH338" t="s">
        <v>272</v>
      </c>
      <c r="ID338" t="s">
        <v>757</v>
      </c>
      <c r="IE338" t="s">
        <v>758</v>
      </c>
      <c r="IF338">
        <v>165375</v>
      </c>
      <c r="IG338" t="s">
        <v>759</v>
      </c>
      <c r="IH338" t="s">
        <v>760</v>
      </c>
      <c r="II338">
        <v>2012</v>
      </c>
      <c r="IJ338" t="s">
        <v>761</v>
      </c>
    </row>
    <row r="339" spans="1:244" x14ac:dyDescent="0.45">
      <c r="A339">
        <v>1056804</v>
      </c>
      <c r="B339">
        <v>125471</v>
      </c>
      <c r="C339">
        <v>7440508</v>
      </c>
      <c r="D339" t="s">
        <v>1063</v>
      </c>
      <c r="F339" t="s">
        <v>327</v>
      </c>
      <c r="G339" t="s">
        <v>246</v>
      </c>
      <c r="N339" t="s">
        <v>1064</v>
      </c>
      <c r="O339" t="s">
        <v>1065</v>
      </c>
      <c r="P339" t="s">
        <v>249</v>
      </c>
      <c r="Q339" t="s">
        <v>250</v>
      </c>
      <c r="R339" t="s">
        <v>251</v>
      </c>
      <c r="T339" t="s">
        <v>252</v>
      </c>
      <c r="U339" t="s">
        <v>253</v>
      </c>
      <c r="V339" t="s">
        <v>304</v>
      </c>
      <c r="W339" t="s">
        <v>1066</v>
      </c>
      <c r="X339" t="s">
        <v>1067</v>
      </c>
      <c r="Z339" t="s">
        <v>284</v>
      </c>
      <c r="AB339">
        <v>1</v>
      </c>
      <c r="AG339" t="s">
        <v>598</v>
      </c>
      <c r="AM339" t="s">
        <v>317</v>
      </c>
      <c r="AN339" t="s">
        <v>259</v>
      </c>
      <c r="AO339" t="s">
        <v>260</v>
      </c>
      <c r="AQ339" t="s">
        <v>261</v>
      </c>
      <c r="AS339">
        <v>78</v>
      </c>
      <c r="AX339" t="s">
        <v>262</v>
      </c>
      <c r="BO339" t="s">
        <v>261</v>
      </c>
      <c r="BQ339">
        <v>7.8E-2</v>
      </c>
      <c r="BV339" t="s">
        <v>263</v>
      </c>
      <c r="CM339" t="s">
        <v>264</v>
      </c>
      <c r="CN339" t="s">
        <v>264</v>
      </c>
      <c r="CP339" t="s">
        <v>265</v>
      </c>
      <c r="DB339">
        <v>3</v>
      </c>
      <c r="DG339" t="s">
        <v>267</v>
      </c>
      <c r="DI339">
        <v>72</v>
      </c>
      <c r="DN339" t="s">
        <v>268</v>
      </c>
      <c r="DR339">
        <v>79674</v>
      </c>
      <c r="DS339">
        <v>648</v>
      </c>
      <c r="EW339" t="s">
        <v>333</v>
      </c>
      <c r="FK339" t="s">
        <v>1068</v>
      </c>
      <c r="FM339">
        <v>26.5</v>
      </c>
      <c r="FR339" t="s">
        <v>295</v>
      </c>
      <c r="GC339">
        <v>80</v>
      </c>
      <c r="GE339">
        <v>85</v>
      </c>
      <c r="GF339" t="s">
        <v>572</v>
      </c>
      <c r="GJ339">
        <v>7</v>
      </c>
      <c r="GL339">
        <v>8</v>
      </c>
      <c r="GM339" t="s">
        <v>356</v>
      </c>
      <c r="GQ339">
        <v>7.5</v>
      </c>
      <c r="GS339">
        <v>8.5</v>
      </c>
      <c r="GU339">
        <v>12</v>
      </c>
      <c r="GZ339" t="s">
        <v>296</v>
      </c>
      <c r="HH339" t="s">
        <v>272</v>
      </c>
      <c r="ID339" t="s">
        <v>1069</v>
      </c>
      <c r="IE339" t="s">
        <v>1070</v>
      </c>
      <c r="IF339">
        <v>4043</v>
      </c>
      <c r="IG339" t="s">
        <v>1071</v>
      </c>
      <c r="IH339" t="s">
        <v>1072</v>
      </c>
      <c r="II339">
        <v>1990</v>
      </c>
      <c r="IJ339" t="s">
        <v>1073</v>
      </c>
    </row>
    <row r="340" spans="1:244" x14ac:dyDescent="0.45">
      <c r="A340">
        <v>1056831</v>
      </c>
      <c r="B340">
        <v>125498</v>
      </c>
      <c r="C340">
        <v>7440508</v>
      </c>
      <c r="D340" t="s">
        <v>1063</v>
      </c>
      <c r="F340" t="s">
        <v>327</v>
      </c>
      <c r="G340" t="s">
        <v>246</v>
      </c>
      <c r="N340" t="s">
        <v>1064</v>
      </c>
      <c r="O340" t="s">
        <v>1065</v>
      </c>
      <c r="P340" t="s">
        <v>249</v>
      </c>
      <c r="Q340" t="s">
        <v>250</v>
      </c>
      <c r="R340" t="s">
        <v>251</v>
      </c>
      <c r="T340" t="s">
        <v>252</v>
      </c>
      <c r="U340" t="s">
        <v>253</v>
      </c>
      <c r="V340" t="s">
        <v>304</v>
      </c>
      <c r="W340" t="s">
        <v>1066</v>
      </c>
      <c r="X340" t="s">
        <v>1067</v>
      </c>
      <c r="Z340" t="s">
        <v>284</v>
      </c>
      <c r="AB340">
        <v>8</v>
      </c>
      <c r="AG340" t="s">
        <v>598</v>
      </c>
      <c r="AM340" t="s">
        <v>317</v>
      </c>
      <c r="AN340" t="s">
        <v>259</v>
      </c>
      <c r="AO340" t="s">
        <v>260</v>
      </c>
      <c r="AQ340" t="s">
        <v>261</v>
      </c>
      <c r="AS340">
        <v>420</v>
      </c>
      <c r="AX340" t="s">
        <v>262</v>
      </c>
      <c r="BO340" t="s">
        <v>261</v>
      </c>
      <c r="BQ340">
        <v>0.42</v>
      </c>
      <c r="BV340" t="s">
        <v>263</v>
      </c>
      <c r="CM340" t="s">
        <v>264</v>
      </c>
      <c r="CN340" t="s">
        <v>264</v>
      </c>
      <c r="CP340" t="s">
        <v>265</v>
      </c>
      <c r="DB340">
        <v>2</v>
      </c>
      <c r="DG340" t="s">
        <v>267</v>
      </c>
      <c r="DI340">
        <v>48</v>
      </c>
      <c r="DN340" t="s">
        <v>268</v>
      </c>
      <c r="DR340">
        <v>79674</v>
      </c>
      <c r="DS340">
        <v>648</v>
      </c>
      <c r="EW340" t="s">
        <v>333</v>
      </c>
      <c r="FK340" t="s">
        <v>1068</v>
      </c>
      <c r="FM340">
        <v>26.5</v>
      </c>
      <c r="FR340" t="s">
        <v>295</v>
      </c>
      <c r="GC340">
        <v>80</v>
      </c>
      <c r="GE340">
        <v>85</v>
      </c>
      <c r="GF340" t="s">
        <v>572</v>
      </c>
      <c r="GJ340">
        <v>7</v>
      </c>
      <c r="GL340">
        <v>8</v>
      </c>
      <c r="GM340" t="s">
        <v>356</v>
      </c>
      <c r="GQ340">
        <v>7.5</v>
      </c>
      <c r="GS340">
        <v>8.5</v>
      </c>
      <c r="GU340">
        <v>12</v>
      </c>
      <c r="GZ340" t="s">
        <v>296</v>
      </c>
      <c r="HH340" t="s">
        <v>272</v>
      </c>
      <c r="ID340" t="s">
        <v>1069</v>
      </c>
      <c r="IE340" t="s">
        <v>1070</v>
      </c>
      <c r="IF340">
        <v>4043</v>
      </c>
      <c r="IG340" t="s">
        <v>1071</v>
      </c>
      <c r="IH340" t="s">
        <v>1072</v>
      </c>
      <c r="II340">
        <v>1990</v>
      </c>
      <c r="IJ340" t="s">
        <v>1073</v>
      </c>
    </row>
    <row r="341" spans="1:244" x14ac:dyDescent="0.45">
      <c r="A341">
        <v>1056824</v>
      </c>
      <c r="B341">
        <v>125491</v>
      </c>
      <c r="C341">
        <v>7440508</v>
      </c>
      <c r="D341" t="s">
        <v>1063</v>
      </c>
      <c r="F341" t="s">
        <v>327</v>
      </c>
      <c r="G341" t="s">
        <v>246</v>
      </c>
      <c r="N341" t="s">
        <v>1064</v>
      </c>
      <c r="O341" t="s">
        <v>1065</v>
      </c>
      <c r="P341" t="s">
        <v>249</v>
      </c>
      <c r="Q341" t="s">
        <v>250</v>
      </c>
      <c r="R341" t="s">
        <v>251</v>
      </c>
      <c r="T341" t="s">
        <v>252</v>
      </c>
      <c r="U341" t="s">
        <v>253</v>
      </c>
      <c r="V341" t="s">
        <v>304</v>
      </c>
      <c r="W341" t="s">
        <v>1066</v>
      </c>
      <c r="X341" t="s">
        <v>1067</v>
      </c>
      <c r="Z341" t="s">
        <v>284</v>
      </c>
      <c r="AB341">
        <v>6</v>
      </c>
      <c r="AG341" t="s">
        <v>598</v>
      </c>
      <c r="AM341" t="s">
        <v>317</v>
      </c>
      <c r="AN341" t="s">
        <v>259</v>
      </c>
      <c r="AO341" t="s">
        <v>260</v>
      </c>
      <c r="AQ341" t="s">
        <v>261</v>
      </c>
      <c r="AS341">
        <v>260</v>
      </c>
      <c r="AX341" t="s">
        <v>262</v>
      </c>
      <c r="BO341" t="s">
        <v>261</v>
      </c>
      <c r="BQ341">
        <v>0.26</v>
      </c>
      <c r="BV341" t="s">
        <v>263</v>
      </c>
      <c r="CM341" t="s">
        <v>264</v>
      </c>
      <c r="CN341" t="s">
        <v>264</v>
      </c>
      <c r="CP341" t="s">
        <v>265</v>
      </c>
      <c r="DB341">
        <v>3</v>
      </c>
      <c r="DG341" t="s">
        <v>267</v>
      </c>
      <c r="DI341">
        <v>72</v>
      </c>
      <c r="DN341" t="s">
        <v>268</v>
      </c>
      <c r="DR341">
        <v>79674</v>
      </c>
      <c r="DS341">
        <v>648</v>
      </c>
      <c r="EW341" t="s">
        <v>333</v>
      </c>
      <c r="FK341" t="s">
        <v>1068</v>
      </c>
      <c r="FM341">
        <v>26.5</v>
      </c>
      <c r="FR341" t="s">
        <v>295</v>
      </c>
      <c r="GC341">
        <v>80</v>
      </c>
      <c r="GE341">
        <v>85</v>
      </c>
      <c r="GF341" t="s">
        <v>572</v>
      </c>
      <c r="GJ341">
        <v>7</v>
      </c>
      <c r="GL341">
        <v>8</v>
      </c>
      <c r="GM341" t="s">
        <v>356</v>
      </c>
      <c r="GQ341">
        <v>7.5</v>
      </c>
      <c r="GS341">
        <v>8.5</v>
      </c>
      <c r="GU341">
        <v>12</v>
      </c>
      <c r="GZ341" t="s">
        <v>296</v>
      </c>
      <c r="HH341" t="s">
        <v>272</v>
      </c>
      <c r="ID341" t="s">
        <v>1069</v>
      </c>
      <c r="IE341" t="s">
        <v>1070</v>
      </c>
      <c r="IF341">
        <v>4043</v>
      </c>
      <c r="IG341" t="s">
        <v>1071</v>
      </c>
      <c r="IH341" t="s">
        <v>1072</v>
      </c>
      <c r="II341">
        <v>1990</v>
      </c>
      <c r="IJ341" t="s">
        <v>1073</v>
      </c>
    </row>
    <row r="342" spans="1:244" x14ac:dyDescent="0.45">
      <c r="A342">
        <v>1296819</v>
      </c>
      <c r="B342">
        <v>752133</v>
      </c>
      <c r="C342">
        <v>7440508</v>
      </c>
      <c r="D342" t="s">
        <v>1063</v>
      </c>
      <c r="F342" t="s">
        <v>245</v>
      </c>
      <c r="G342" t="s">
        <v>246</v>
      </c>
      <c r="N342" t="s">
        <v>968</v>
      </c>
      <c r="O342" t="s">
        <v>969</v>
      </c>
      <c r="P342" t="s">
        <v>249</v>
      </c>
      <c r="Q342" t="s">
        <v>250</v>
      </c>
      <c r="R342" t="s">
        <v>251</v>
      </c>
      <c r="T342" t="s">
        <v>252</v>
      </c>
      <c r="U342" t="s">
        <v>253</v>
      </c>
      <c r="V342" t="s">
        <v>418</v>
      </c>
      <c r="W342" t="s">
        <v>419</v>
      </c>
      <c r="X342" t="s">
        <v>970</v>
      </c>
      <c r="Z342" t="s">
        <v>421</v>
      </c>
      <c r="AL342" t="s">
        <v>971</v>
      </c>
      <c r="AM342" t="s">
        <v>317</v>
      </c>
      <c r="AN342" t="s">
        <v>259</v>
      </c>
      <c r="AO342" t="s">
        <v>260</v>
      </c>
      <c r="AQ342" t="s">
        <v>261</v>
      </c>
      <c r="AS342">
        <v>0.6</v>
      </c>
      <c r="AU342">
        <v>0.41799999999999998</v>
      </c>
      <c r="AW342">
        <v>0.73699999999999999</v>
      </c>
      <c r="AX342" t="s">
        <v>356</v>
      </c>
      <c r="BO342" t="s">
        <v>261</v>
      </c>
      <c r="BQ342">
        <v>0.6</v>
      </c>
      <c r="BS342">
        <v>0.41799999999999998</v>
      </c>
      <c r="BU342">
        <v>0.73699999999999999</v>
      </c>
      <c r="BV342" t="s">
        <v>263</v>
      </c>
      <c r="CM342" t="s">
        <v>264</v>
      </c>
      <c r="CN342" t="s">
        <v>264</v>
      </c>
      <c r="CP342" t="s">
        <v>265</v>
      </c>
      <c r="CQ342" t="s">
        <v>394</v>
      </c>
      <c r="DB342">
        <v>2</v>
      </c>
      <c r="DG342" t="s">
        <v>267</v>
      </c>
      <c r="DI342">
        <v>48</v>
      </c>
      <c r="DN342" t="s">
        <v>268</v>
      </c>
      <c r="DP342" t="s">
        <v>1083</v>
      </c>
      <c r="DS342">
        <v>1010</v>
      </c>
      <c r="EW342" t="s">
        <v>293</v>
      </c>
      <c r="FK342" t="s">
        <v>1103</v>
      </c>
      <c r="FO342">
        <v>20.9</v>
      </c>
      <c r="FQ342">
        <v>23.7</v>
      </c>
      <c r="FR342" t="s">
        <v>295</v>
      </c>
      <c r="GJ342">
        <v>6.1</v>
      </c>
      <c r="GL342">
        <v>7.9</v>
      </c>
      <c r="GM342" t="s">
        <v>356</v>
      </c>
      <c r="GQ342">
        <v>6.7</v>
      </c>
      <c r="GS342">
        <v>7.7</v>
      </c>
      <c r="GW342">
        <v>31</v>
      </c>
      <c r="GY342">
        <v>32</v>
      </c>
      <c r="GZ342" t="s">
        <v>296</v>
      </c>
      <c r="HH342" t="s">
        <v>272</v>
      </c>
      <c r="ID342" t="s">
        <v>1104</v>
      </c>
      <c r="IE342" t="s">
        <v>964</v>
      </c>
      <c r="IF342">
        <v>115825</v>
      </c>
      <c r="IG342" t="s">
        <v>965</v>
      </c>
      <c r="IH342" t="s">
        <v>966</v>
      </c>
      <c r="II342">
        <v>1996</v>
      </c>
      <c r="IJ342" t="s">
        <v>967</v>
      </c>
    </row>
    <row r="343" spans="1:244" x14ac:dyDescent="0.45">
      <c r="A343">
        <v>1056845</v>
      </c>
      <c r="B343">
        <v>125512</v>
      </c>
      <c r="C343">
        <v>7440508</v>
      </c>
      <c r="D343" t="s">
        <v>1063</v>
      </c>
      <c r="F343" t="s">
        <v>327</v>
      </c>
      <c r="G343" t="s">
        <v>246</v>
      </c>
      <c r="N343" t="s">
        <v>1064</v>
      </c>
      <c r="O343" t="s">
        <v>1065</v>
      </c>
      <c r="P343" t="s">
        <v>249</v>
      </c>
      <c r="Q343" t="s">
        <v>250</v>
      </c>
      <c r="R343" t="s">
        <v>251</v>
      </c>
      <c r="T343" t="s">
        <v>252</v>
      </c>
      <c r="U343" t="s">
        <v>253</v>
      </c>
      <c r="V343" t="s">
        <v>304</v>
      </c>
      <c r="W343" t="s">
        <v>1066</v>
      </c>
      <c r="X343" t="s">
        <v>1067</v>
      </c>
      <c r="Z343" t="s">
        <v>284</v>
      </c>
      <c r="AB343">
        <v>11</v>
      </c>
      <c r="AG343" t="s">
        <v>598</v>
      </c>
      <c r="AM343" t="s">
        <v>317</v>
      </c>
      <c r="AN343" t="s">
        <v>259</v>
      </c>
      <c r="AO343" t="s">
        <v>260</v>
      </c>
      <c r="AQ343" t="s">
        <v>261</v>
      </c>
      <c r="AS343">
        <v>150</v>
      </c>
      <c r="AX343" t="s">
        <v>262</v>
      </c>
      <c r="BO343" t="s">
        <v>261</v>
      </c>
      <c r="BQ343">
        <v>0.15</v>
      </c>
      <c r="BV343" t="s">
        <v>263</v>
      </c>
      <c r="CM343" t="s">
        <v>264</v>
      </c>
      <c r="CN343" t="s">
        <v>264</v>
      </c>
      <c r="CP343" t="s">
        <v>265</v>
      </c>
      <c r="DB343">
        <v>4</v>
      </c>
      <c r="DG343" t="s">
        <v>267</v>
      </c>
      <c r="DI343">
        <v>96</v>
      </c>
      <c r="DN343" t="s">
        <v>268</v>
      </c>
      <c r="DR343">
        <v>79674</v>
      </c>
      <c r="DS343">
        <v>648</v>
      </c>
      <c r="EW343" t="s">
        <v>333</v>
      </c>
      <c r="FK343" t="s">
        <v>1068</v>
      </c>
      <c r="FM343">
        <v>26.5</v>
      </c>
      <c r="FR343" t="s">
        <v>295</v>
      </c>
      <c r="GC343">
        <v>80</v>
      </c>
      <c r="GE343">
        <v>85</v>
      </c>
      <c r="GF343" t="s">
        <v>572</v>
      </c>
      <c r="GJ343">
        <v>7</v>
      </c>
      <c r="GL343">
        <v>8</v>
      </c>
      <c r="GM343" t="s">
        <v>356</v>
      </c>
      <c r="GQ343">
        <v>7.5</v>
      </c>
      <c r="GS343">
        <v>8.5</v>
      </c>
      <c r="GU343">
        <v>12</v>
      </c>
      <c r="GZ343" t="s">
        <v>296</v>
      </c>
      <c r="HH343" t="s">
        <v>272</v>
      </c>
      <c r="ID343" t="s">
        <v>1069</v>
      </c>
      <c r="IE343" t="s">
        <v>1070</v>
      </c>
      <c r="IF343">
        <v>4043</v>
      </c>
      <c r="IG343" t="s">
        <v>1071</v>
      </c>
      <c r="IH343" t="s">
        <v>1072</v>
      </c>
      <c r="II343">
        <v>1990</v>
      </c>
      <c r="IJ343" t="s">
        <v>1073</v>
      </c>
    </row>
    <row r="344" spans="1:244" x14ac:dyDescent="0.45">
      <c r="A344">
        <v>1056808</v>
      </c>
      <c r="B344">
        <v>125475</v>
      </c>
      <c r="C344">
        <v>7440508</v>
      </c>
      <c r="D344" t="s">
        <v>1063</v>
      </c>
      <c r="F344" t="s">
        <v>327</v>
      </c>
      <c r="G344" t="s">
        <v>246</v>
      </c>
      <c r="N344" t="s">
        <v>1064</v>
      </c>
      <c r="O344" t="s">
        <v>1065</v>
      </c>
      <c r="P344" t="s">
        <v>249</v>
      </c>
      <c r="Q344" t="s">
        <v>250</v>
      </c>
      <c r="R344" t="s">
        <v>251</v>
      </c>
      <c r="T344" t="s">
        <v>252</v>
      </c>
      <c r="U344" t="s">
        <v>253</v>
      </c>
      <c r="V344" t="s">
        <v>304</v>
      </c>
      <c r="W344" t="s">
        <v>1066</v>
      </c>
      <c r="X344" t="s">
        <v>1067</v>
      </c>
      <c r="Z344" t="s">
        <v>284</v>
      </c>
      <c r="AB344">
        <v>2</v>
      </c>
      <c r="AG344" t="s">
        <v>598</v>
      </c>
      <c r="AM344" t="s">
        <v>317</v>
      </c>
      <c r="AN344" t="s">
        <v>259</v>
      </c>
      <c r="AO344" t="s">
        <v>260</v>
      </c>
      <c r="AQ344" t="s">
        <v>261</v>
      </c>
      <c r="AS344">
        <v>145</v>
      </c>
      <c r="AX344" t="s">
        <v>262</v>
      </c>
      <c r="BO344" t="s">
        <v>261</v>
      </c>
      <c r="BQ344">
        <v>0.14499999999999999</v>
      </c>
      <c r="BV344" t="s">
        <v>263</v>
      </c>
      <c r="CM344" t="s">
        <v>264</v>
      </c>
      <c r="CN344" t="s">
        <v>264</v>
      </c>
      <c r="CP344" t="s">
        <v>265</v>
      </c>
      <c r="DB344">
        <v>3</v>
      </c>
      <c r="DG344" t="s">
        <v>267</v>
      </c>
      <c r="DI344">
        <v>72</v>
      </c>
      <c r="DN344" t="s">
        <v>268</v>
      </c>
      <c r="DR344">
        <v>79674</v>
      </c>
      <c r="DS344">
        <v>648</v>
      </c>
      <c r="EW344" t="s">
        <v>333</v>
      </c>
      <c r="FK344" t="s">
        <v>1068</v>
      </c>
      <c r="FM344">
        <v>26.5</v>
      </c>
      <c r="FR344" t="s">
        <v>295</v>
      </c>
      <c r="GC344">
        <v>80</v>
      </c>
      <c r="GE344">
        <v>85</v>
      </c>
      <c r="GF344" t="s">
        <v>572</v>
      </c>
      <c r="GJ344">
        <v>7</v>
      </c>
      <c r="GL344">
        <v>8</v>
      </c>
      <c r="GM344" t="s">
        <v>356</v>
      </c>
      <c r="GQ344">
        <v>7.5</v>
      </c>
      <c r="GS344">
        <v>8.5</v>
      </c>
      <c r="GU344">
        <v>12</v>
      </c>
      <c r="GZ344" t="s">
        <v>296</v>
      </c>
      <c r="HH344" t="s">
        <v>272</v>
      </c>
      <c r="ID344" t="s">
        <v>1069</v>
      </c>
      <c r="IE344" t="s">
        <v>1070</v>
      </c>
      <c r="IF344">
        <v>4043</v>
      </c>
      <c r="IG344" t="s">
        <v>1071</v>
      </c>
      <c r="IH344" t="s">
        <v>1072</v>
      </c>
      <c r="II344">
        <v>1990</v>
      </c>
      <c r="IJ344" t="s">
        <v>1073</v>
      </c>
    </row>
    <row r="345" spans="1:244" x14ac:dyDescent="0.45">
      <c r="A345">
        <v>1185186</v>
      </c>
      <c r="B345">
        <v>117819</v>
      </c>
      <c r="C345">
        <v>7440508</v>
      </c>
      <c r="D345" t="s">
        <v>1063</v>
      </c>
      <c r="F345" t="s">
        <v>245</v>
      </c>
      <c r="G345" t="s">
        <v>246</v>
      </c>
      <c r="N345" t="s">
        <v>527</v>
      </c>
      <c r="O345" t="s">
        <v>461</v>
      </c>
      <c r="P345" t="s">
        <v>249</v>
      </c>
      <c r="Q345" t="s">
        <v>250</v>
      </c>
      <c r="R345" t="s">
        <v>251</v>
      </c>
      <c r="T345" t="s">
        <v>389</v>
      </c>
      <c r="U345" t="s">
        <v>462</v>
      </c>
      <c r="V345" t="s">
        <v>463</v>
      </c>
      <c r="W345" t="s">
        <v>464</v>
      </c>
      <c r="X345" t="s">
        <v>528</v>
      </c>
      <c r="Z345" t="s">
        <v>525</v>
      </c>
      <c r="AB345">
        <v>3</v>
      </c>
      <c r="AG345" t="s">
        <v>268</v>
      </c>
      <c r="AL345" t="s">
        <v>529</v>
      </c>
      <c r="AM345" t="s">
        <v>287</v>
      </c>
      <c r="AN345" t="s">
        <v>259</v>
      </c>
      <c r="AO345" t="s">
        <v>260</v>
      </c>
      <c r="AQ345" t="s">
        <v>261</v>
      </c>
      <c r="AS345">
        <v>100</v>
      </c>
      <c r="AX345" t="s">
        <v>262</v>
      </c>
      <c r="BO345" t="s">
        <v>261</v>
      </c>
      <c r="BQ345">
        <v>0.1</v>
      </c>
      <c r="BV345" t="s">
        <v>263</v>
      </c>
      <c r="CM345" t="s">
        <v>264</v>
      </c>
      <c r="CN345" t="s">
        <v>264</v>
      </c>
      <c r="CP345" t="s">
        <v>265</v>
      </c>
      <c r="DB345">
        <v>2</v>
      </c>
      <c r="DG345" t="s">
        <v>267</v>
      </c>
      <c r="DI345">
        <v>48</v>
      </c>
      <c r="DN345" t="s">
        <v>268</v>
      </c>
      <c r="DR345">
        <v>1220549</v>
      </c>
      <c r="DS345">
        <v>771</v>
      </c>
      <c r="EW345" t="s">
        <v>293</v>
      </c>
      <c r="FO345">
        <v>23</v>
      </c>
      <c r="FQ345">
        <v>25</v>
      </c>
      <c r="FR345" t="s">
        <v>295</v>
      </c>
      <c r="HH345" t="s">
        <v>272</v>
      </c>
      <c r="IE345" t="s">
        <v>530</v>
      </c>
      <c r="IF345">
        <v>16408</v>
      </c>
      <c r="IG345" t="s">
        <v>531</v>
      </c>
      <c r="IH345" t="s">
        <v>532</v>
      </c>
      <c r="II345">
        <v>1993</v>
      </c>
      <c r="IJ345" t="s">
        <v>533</v>
      </c>
    </row>
    <row r="346" spans="1:244" x14ac:dyDescent="0.45">
      <c r="A346">
        <v>1056816</v>
      </c>
      <c r="B346">
        <v>125483</v>
      </c>
      <c r="C346">
        <v>7440508</v>
      </c>
      <c r="D346" t="s">
        <v>1063</v>
      </c>
      <c r="F346" t="s">
        <v>327</v>
      </c>
      <c r="G346" t="s">
        <v>246</v>
      </c>
      <c r="N346" t="s">
        <v>1064</v>
      </c>
      <c r="O346" t="s">
        <v>1065</v>
      </c>
      <c r="P346" t="s">
        <v>249</v>
      </c>
      <c r="Q346" t="s">
        <v>250</v>
      </c>
      <c r="R346" t="s">
        <v>251</v>
      </c>
      <c r="T346" t="s">
        <v>252</v>
      </c>
      <c r="U346" t="s">
        <v>253</v>
      </c>
      <c r="V346" t="s">
        <v>304</v>
      </c>
      <c r="W346" t="s">
        <v>1066</v>
      </c>
      <c r="X346" t="s">
        <v>1067</v>
      </c>
      <c r="Z346" t="s">
        <v>284</v>
      </c>
      <c r="AB346">
        <v>4</v>
      </c>
      <c r="AG346" t="s">
        <v>598</v>
      </c>
      <c r="AM346" t="s">
        <v>317</v>
      </c>
      <c r="AN346" t="s">
        <v>259</v>
      </c>
      <c r="AO346" t="s">
        <v>260</v>
      </c>
      <c r="AQ346" t="s">
        <v>261</v>
      </c>
      <c r="AS346">
        <v>180</v>
      </c>
      <c r="AX346" t="s">
        <v>262</v>
      </c>
      <c r="BO346" t="s">
        <v>261</v>
      </c>
      <c r="BQ346">
        <v>0.18</v>
      </c>
      <c r="BV346" t="s">
        <v>263</v>
      </c>
      <c r="CM346" t="s">
        <v>264</v>
      </c>
      <c r="CN346" t="s">
        <v>264</v>
      </c>
      <c r="CP346" t="s">
        <v>265</v>
      </c>
      <c r="DB346">
        <v>3</v>
      </c>
      <c r="DG346" t="s">
        <v>267</v>
      </c>
      <c r="DI346">
        <v>72</v>
      </c>
      <c r="DN346" t="s">
        <v>268</v>
      </c>
      <c r="DR346">
        <v>79674</v>
      </c>
      <c r="DS346">
        <v>648</v>
      </c>
      <c r="EW346" t="s">
        <v>333</v>
      </c>
      <c r="FK346" t="s">
        <v>1068</v>
      </c>
      <c r="FM346">
        <v>26.5</v>
      </c>
      <c r="FR346" t="s">
        <v>295</v>
      </c>
      <c r="GC346">
        <v>80</v>
      </c>
      <c r="GE346">
        <v>85</v>
      </c>
      <c r="GF346" t="s">
        <v>572</v>
      </c>
      <c r="GJ346">
        <v>7</v>
      </c>
      <c r="GL346">
        <v>8</v>
      </c>
      <c r="GM346" t="s">
        <v>356</v>
      </c>
      <c r="GQ346">
        <v>7.5</v>
      </c>
      <c r="GS346">
        <v>8.5</v>
      </c>
      <c r="GU346">
        <v>12</v>
      </c>
      <c r="GZ346" t="s">
        <v>296</v>
      </c>
      <c r="HH346" t="s">
        <v>272</v>
      </c>
      <c r="ID346" t="s">
        <v>1069</v>
      </c>
      <c r="IE346" t="s">
        <v>1070</v>
      </c>
      <c r="IF346">
        <v>4043</v>
      </c>
      <c r="IG346" t="s">
        <v>1071</v>
      </c>
      <c r="IH346" t="s">
        <v>1072</v>
      </c>
      <c r="II346">
        <v>1990</v>
      </c>
      <c r="IJ346" t="s">
        <v>1073</v>
      </c>
    </row>
    <row r="347" spans="1:244" x14ac:dyDescent="0.45">
      <c r="A347">
        <v>1056822</v>
      </c>
      <c r="B347">
        <v>125489</v>
      </c>
      <c r="C347">
        <v>7440508</v>
      </c>
      <c r="D347" t="s">
        <v>1063</v>
      </c>
      <c r="F347" t="s">
        <v>327</v>
      </c>
      <c r="G347" t="s">
        <v>246</v>
      </c>
      <c r="N347" t="s">
        <v>1064</v>
      </c>
      <c r="O347" t="s">
        <v>1065</v>
      </c>
      <c r="P347" t="s">
        <v>249</v>
      </c>
      <c r="Q347" t="s">
        <v>250</v>
      </c>
      <c r="R347" t="s">
        <v>251</v>
      </c>
      <c r="T347" t="s">
        <v>252</v>
      </c>
      <c r="U347" t="s">
        <v>253</v>
      </c>
      <c r="V347" t="s">
        <v>304</v>
      </c>
      <c r="W347" t="s">
        <v>1066</v>
      </c>
      <c r="X347" t="s">
        <v>1067</v>
      </c>
      <c r="Z347" t="s">
        <v>284</v>
      </c>
      <c r="AB347">
        <v>6</v>
      </c>
      <c r="AG347" t="s">
        <v>598</v>
      </c>
      <c r="AM347" t="s">
        <v>317</v>
      </c>
      <c r="AN347" t="s">
        <v>259</v>
      </c>
      <c r="AO347" t="s">
        <v>260</v>
      </c>
      <c r="AQ347" t="s">
        <v>261</v>
      </c>
      <c r="AS347">
        <v>615</v>
      </c>
      <c r="AX347" t="s">
        <v>262</v>
      </c>
      <c r="BO347" t="s">
        <v>261</v>
      </c>
      <c r="BQ347">
        <v>0.61499999999999999</v>
      </c>
      <c r="BV347" t="s">
        <v>263</v>
      </c>
      <c r="CM347" t="s">
        <v>264</v>
      </c>
      <c r="CN347" t="s">
        <v>264</v>
      </c>
      <c r="CP347" t="s">
        <v>265</v>
      </c>
      <c r="DB347">
        <v>1</v>
      </c>
      <c r="DG347" t="s">
        <v>267</v>
      </c>
      <c r="DI347">
        <v>24</v>
      </c>
      <c r="DN347" t="s">
        <v>268</v>
      </c>
      <c r="DR347">
        <v>79674</v>
      </c>
      <c r="DS347">
        <v>648</v>
      </c>
      <c r="EW347" t="s">
        <v>333</v>
      </c>
      <c r="FK347" t="s">
        <v>1068</v>
      </c>
      <c r="FM347">
        <v>26.5</v>
      </c>
      <c r="FR347" t="s">
        <v>295</v>
      </c>
      <c r="GC347">
        <v>80</v>
      </c>
      <c r="GE347">
        <v>85</v>
      </c>
      <c r="GF347" t="s">
        <v>572</v>
      </c>
      <c r="GJ347">
        <v>7</v>
      </c>
      <c r="GL347">
        <v>8</v>
      </c>
      <c r="GM347" t="s">
        <v>356</v>
      </c>
      <c r="GQ347">
        <v>7.5</v>
      </c>
      <c r="GS347">
        <v>8.5</v>
      </c>
      <c r="GU347">
        <v>12</v>
      </c>
      <c r="GZ347" t="s">
        <v>296</v>
      </c>
      <c r="HH347" t="s">
        <v>272</v>
      </c>
      <c r="ID347" t="s">
        <v>1069</v>
      </c>
      <c r="IE347" t="s">
        <v>1070</v>
      </c>
      <c r="IF347">
        <v>4043</v>
      </c>
      <c r="IG347" t="s">
        <v>1071</v>
      </c>
      <c r="IH347" t="s">
        <v>1072</v>
      </c>
      <c r="II347">
        <v>1990</v>
      </c>
      <c r="IJ347" t="s">
        <v>1073</v>
      </c>
    </row>
    <row r="348" spans="1:244" x14ac:dyDescent="0.45">
      <c r="A348">
        <v>1111945</v>
      </c>
      <c r="B348">
        <v>23785</v>
      </c>
      <c r="C348">
        <v>7440508</v>
      </c>
      <c r="D348" t="s">
        <v>1063</v>
      </c>
      <c r="F348" t="s">
        <v>245</v>
      </c>
      <c r="G348" t="s">
        <v>246</v>
      </c>
      <c r="N348" t="s">
        <v>630</v>
      </c>
      <c r="O348" t="s">
        <v>631</v>
      </c>
      <c r="P348" t="s">
        <v>249</v>
      </c>
      <c r="Q348" t="s">
        <v>250</v>
      </c>
      <c r="R348" t="s">
        <v>251</v>
      </c>
      <c r="T348" t="s">
        <v>389</v>
      </c>
      <c r="U348" t="s">
        <v>632</v>
      </c>
      <c r="V348" t="s">
        <v>633</v>
      </c>
      <c r="W348" t="s">
        <v>634</v>
      </c>
      <c r="X348" t="s">
        <v>635</v>
      </c>
      <c r="Z348" t="s">
        <v>315</v>
      </c>
      <c r="AM348" t="s">
        <v>317</v>
      </c>
      <c r="AN348" t="s">
        <v>259</v>
      </c>
      <c r="AO348" t="s">
        <v>260</v>
      </c>
      <c r="AQ348" t="s">
        <v>261</v>
      </c>
      <c r="AS348">
        <v>17</v>
      </c>
      <c r="AU348">
        <v>9</v>
      </c>
      <c r="AW348">
        <v>29</v>
      </c>
      <c r="AX348" t="s">
        <v>262</v>
      </c>
      <c r="BO348" t="s">
        <v>261</v>
      </c>
      <c r="BQ348">
        <v>1.7000000000000001E-2</v>
      </c>
      <c r="BS348">
        <v>8.9999999999999993E-3</v>
      </c>
      <c r="BU348">
        <v>2.9000000000000001E-2</v>
      </c>
      <c r="BV348" t="s">
        <v>263</v>
      </c>
      <c r="CM348" t="s">
        <v>264</v>
      </c>
      <c r="CN348" t="s">
        <v>264</v>
      </c>
      <c r="CP348" t="s">
        <v>265</v>
      </c>
      <c r="CQ348" t="s">
        <v>394</v>
      </c>
      <c r="DB348">
        <v>4</v>
      </c>
      <c r="DG348" t="s">
        <v>267</v>
      </c>
      <c r="DI348">
        <v>96</v>
      </c>
      <c r="DN348" t="s">
        <v>268</v>
      </c>
      <c r="DP348" t="s">
        <v>823</v>
      </c>
      <c r="DR348">
        <v>136180</v>
      </c>
      <c r="DS348">
        <v>376</v>
      </c>
      <c r="DT348" t="s">
        <v>814</v>
      </c>
      <c r="EW348" t="s">
        <v>271</v>
      </c>
      <c r="FK348" t="s">
        <v>1002</v>
      </c>
      <c r="FM348">
        <v>20</v>
      </c>
      <c r="FR348" t="s">
        <v>295</v>
      </c>
      <c r="GU348">
        <v>30</v>
      </c>
      <c r="GZ348" t="s">
        <v>296</v>
      </c>
      <c r="HH348" t="s">
        <v>272</v>
      </c>
      <c r="ID348" t="s">
        <v>1003</v>
      </c>
      <c r="IE348" t="s">
        <v>816</v>
      </c>
      <c r="IF348">
        <v>8445</v>
      </c>
      <c r="IG348" t="s">
        <v>817</v>
      </c>
      <c r="IH348" t="s">
        <v>818</v>
      </c>
      <c r="II348">
        <v>1978</v>
      </c>
      <c r="IJ348" t="s">
        <v>819</v>
      </c>
    </row>
    <row r="349" spans="1:244" x14ac:dyDescent="0.45">
      <c r="A349">
        <v>1047099</v>
      </c>
      <c r="B349">
        <v>115192</v>
      </c>
      <c r="C349">
        <v>7440508</v>
      </c>
      <c r="D349" t="s">
        <v>1063</v>
      </c>
      <c r="F349" t="s">
        <v>245</v>
      </c>
      <c r="G349" t="s">
        <v>246</v>
      </c>
      <c r="N349" t="s">
        <v>1105</v>
      </c>
      <c r="O349" t="s">
        <v>388</v>
      </c>
      <c r="P349" t="s">
        <v>249</v>
      </c>
      <c r="Q349" t="s">
        <v>250</v>
      </c>
      <c r="R349" t="s">
        <v>251</v>
      </c>
      <c r="T349" t="s">
        <v>389</v>
      </c>
      <c r="U349" t="s">
        <v>390</v>
      </c>
      <c r="V349" t="s">
        <v>391</v>
      </c>
      <c r="W349" t="s">
        <v>392</v>
      </c>
      <c r="X349" t="s">
        <v>1106</v>
      </c>
      <c r="Z349" t="s">
        <v>525</v>
      </c>
      <c r="AB349">
        <v>3</v>
      </c>
      <c r="AG349" t="s">
        <v>598</v>
      </c>
      <c r="AM349" t="s">
        <v>258</v>
      </c>
      <c r="AN349" t="s">
        <v>259</v>
      </c>
      <c r="AO349" t="s">
        <v>260</v>
      </c>
      <c r="AQ349" t="s">
        <v>261</v>
      </c>
      <c r="AS349">
        <v>2.5</v>
      </c>
      <c r="AU349">
        <v>0.9</v>
      </c>
      <c r="AW349">
        <v>3.9</v>
      </c>
      <c r="AX349" t="s">
        <v>1107</v>
      </c>
      <c r="BO349" t="s">
        <v>261</v>
      </c>
      <c r="BQ349">
        <v>0.15886500000000001</v>
      </c>
      <c r="BS349">
        <v>5.7191400000000003E-2</v>
      </c>
      <c r="BU349">
        <v>0.24782940000000001</v>
      </c>
      <c r="BV349" t="s">
        <v>263</v>
      </c>
      <c r="CM349" t="s">
        <v>264</v>
      </c>
      <c r="CN349" t="s">
        <v>264</v>
      </c>
      <c r="CP349" t="s">
        <v>265</v>
      </c>
      <c r="DB349">
        <v>4</v>
      </c>
      <c r="DG349" t="s">
        <v>267</v>
      </c>
      <c r="DI349">
        <v>96</v>
      </c>
      <c r="DN349" t="s">
        <v>268</v>
      </c>
      <c r="DR349">
        <v>6832</v>
      </c>
      <c r="DS349">
        <v>983</v>
      </c>
      <c r="DT349" t="s">
        <v>1108</v>
      </c>
      <c r="EW349" t="s">
        <v>271</v>
      </c>
      <c r="GU349">
        <v>35</v>
      </c>
      <c r="GZ349" t="s">
        <v>296</v>
      </c>
      <c r="HH349" t="s">
        <v>272</v>
      </c>
      <c r="IE349" t="s">
        <v>1109</v>
      </c>
      <c r="IF349">
        <v>2977</v>
      </c>
      <c r="IG349" t="s">
        <v>1110</v>
      </c>
      <c r="IH349" t="s">
        <v>1111</v>
      </c>
      <c r="II349">
        <v>1988</v>
      </c>
      <c r="IJ349" t="s">
        <v>1112</v>
      </c>
    </row>
    <row r="350" spans="1:244" x14ac:dyDescent="0.45">
      <c r="A350">
        <v>1252479</v>
      </c>
      <c r="B350">
        <v>700796</v>
      </c>
      <c r="C350">
        <v>7440508</v>
      </c>
      <c r="D350" t="s">
        <v>1063</v>
      </c>
      <c r="F350" t="s">
        <v>327</v>
      </c>
      <c r="G350" t="s">
        <v>246</v>
      </c>
      <c r="N350" t="s">
        <v>1009</v>
      </c>
      <c r="O350" t="s">
        <v>388</v>
      </c>
      <c r="P350" t="s">
        <v>249</v>
      </c>
      <c r="Q350" t="s">
        <v>250</v>
      </c>
      <c r="R350" t="s">
        <v>251</v>
      </c>
      <c r="T350" t="s">
        <v>389</v>
      </c>
      <c r="U350" t="s">
        <v>390</v>
      </c>
      <c r="V350" t="s">
        <v>1010</v>
      </c>
      <c r="W350" t="s">
        <v>1011</v>
      </c>
      <c r="X350" t="s">
        <v>1012</v>
      </c>
      <c r="AL350" t="s">
        <v>1113</v>
      </c>
      <c r="AM350" t="s">
        <v>317</v>
      </c>
      <c r="AN350" t="s">
        <v>259</v>
      </c>
      <c r="AO350" t="s">
        <v>260</v>
      </c>
      <c r="AP350">
        <v>6</v>
      </c>
      <c r="AQ350" t="s">
        <v>261</v>
      </c>
      <c r="AS350">
        <v>124.6</v>
      </c>
      <c r="AX350" t="s">
        <v>262</v>
      </c>
      <c r="BO350" t="s">
        <v>261</v>
      </c>
      <c r="BQ350">
        <v>0.1246</v>
      </c>
      <c r="BV350" t="s">
        <v>263</v>
      </c>
      <c r="CM350" t="s">
        <v>264</v>
      </c>
      <c r="CN350" t="s">
        <v>264</v>
      </c>
      <c r="CP350" t="s">
        <v>265</v>
      </c>
      <c r="CQ350" t="s">
        <v>394</v>
      </c>
      <c r="DB350">
        <v>4</v>
      </c>
      <c r="DG350" t="s">
        <v>267</v>
      </c>
      <c r="DI350">
        <v>96</v>
      </c>
      <c r="DN350" t="s">
        <v>268</v>
      </c>
      <c r="DP350" t="s">
        <v>1083</v>
      </c>
      <c r="DR350">
        <v>1042268</v>
      </c>
      <c r="DS350">
        <v>4612</v>
      </c>
      <c r="DT350" t="s">
        <v>1114</v>
      </c>
      <c r="EW350" t="s">
        <v>293</v>
      </c>
      <c r="FK350" t="s">
        <v>1115</v>
      </c>
      <c r="FM350">
        <v>20</v>
      </c>
      <c r="FR350" t="s">
        <v>295</v>
      </c>
      <c r="GO350">
        <v>7.9</v>
      </c>
      <c r="GU350">
        <v>30</v>
      </c>
      <c r="GZ350" t="s">
        <v>296</v>
      </c>
      <c r="HH350" t="s">
        <v>272</v>
      </c>
      <c r="ID350" t="s">
        <v>1116</v>
      </c>
      <c r="IE350" t="s">
        <v>1117</v>
      </c>
      <c r="IF350">
        <v>59877</v>
      </c>
      <c r="IG350" t="s">
        <v>1118</v>
      </c>
      <c r="IH350" t="s">
        <v>1119</v>
      </c>
      <c r="II350">
        <v>2001</v>
      </c>
      <c r="IJ350" t="s">
        <v>1120</v>
      </c>
    </row>
    <row r="351" spans="1:244" x14ac:dyDescent="0.45">
      <c r="A351">
        <v>1047101</v>
      </c>
      <c r="B351">
        <v>115194</v>
      </c>
      <c r="C351">
        <v>7440508</v>
      </c>
      <c r="D351" t="s">
        <v>1063</v>
      </c>
      <c r="F351" t="s">
        <v>245</v>
      </c>
      <c r="G351" t="s">
        <v>246</v>
      </c>
      <c r="N351" t="s">
        <v>1105</v>
      </c>
      <c r="O351" t="s">
        <v>388</v>
      </c>
      <c r="P351" t="s">
        <v>249</v>
      </c>
      <c r="Q351" t="s">
        <v>250</v>
      </c>
      <c r="R351" t="s">
        <v>251</v>
      </c>
      <c r="T351" t="s">
        <v>389</v>
      </c>
      <c r="U351" t="s">
        <v>390</v>
      </c>
      <c r="V351" t="s">
        <v>391</v>
      </c>
      <c r="W351" t="s">
        <v>392</v>
      </c>
      <c r="X351" t="s">
        <v>1106</v>
      </c>
      <c r="Z351" t="s">
        <v>525</v>
      </c>
      <c r="AB351">
        <v>5</v>
      </c>
      <c r="AG351" t="s">
        <v>598</v>
      </c>
      <c r="AM351" t="s">
        <v>258</v>
      </c>
      <c r="AN351" t="s">
        <v>259</v>
      </c>
      <c r="AO351" t="s">
        <v>260</v>
      </c>
      <c r="AQ351" t="s">
        <v>261</v>
      </c>
      <c r="AS351">
        <v>4.0999999999999996</v>
      </c>
      <c r="AU351">
        <v>3.3</v>
      </c>
      <c r="AW351">
        <v>5</v>
      </c>
      <c r="AX351" t="s">
        <v>1107</v>
      </c>
      <c r="BO351" t="s">
        <v>261</v>
      </c>
      <c r="BQ351">
        <v>0.26053860000000001</v>
      </c>
      <c r="BS351">
        <v>0.20970179999999999</v>
      </c>
      <c r="BU351">
        <v>0.31773000000000001</v>
      </c>
      <c r="BV351" t="s">
        <v>263</v>
      </c>
      <c r="CM351" t="s">
        <v>264</v>
      </c>
      <c r="CN351" t="s">
        <v>264</v>
      </c>
      <c r="CP351" t="s">
        <v>265</v>
      </c>
      <c r="DB351">
        <v>4</v>
      </c>
      <c r="DG351" t="s">
        <v>267</v>
      </c>
      <c r="DI351">
        <v>96</v>
      </c>
      <c r="DN351" t="s">
        <v>268</v>
      </c>
      <c r="DR351">
        <v>6832</v>
      </c>
      <c r="DS351">
        <v>983</v>
      </c>
      <c r="DT351" t="s">
        <v>1108</v>
      </c>
      <c r="EW351" t="s">
        <v>271</v>
      </c>
      <c r="GU351">
        <v>35</v>
      </c>
      <c r="GZ351" t="s">
        <v>296</v>
      </c>
      <c r="HH351" t="s">
        <v>272</v>
      </c>
      <c r="IE351" t="s">
        <v>1109</v>
      </c>
      <c r="IF351">
        <v>2977</v>
      </c>
      <c r="IG351" t="s">
        <v>1110</v>
      </c>
      <c r="IH351" t="s">
        <v>1111</v>
      </c>
      <c r="II351">
        <v>1988</v>
      </c>
      <c r="IJ351" t="s">
        <v>1112</v>
      </c>
    </row>
    <row r="352" spans="1:244" x14ac:dyDescent="0.45">
      <c r="A352">
        <v>1047097</v>
      </c>
      <c r="B352">
        <v>115190</v>
      </c>
      <c r="C352">
        <v>7440508</v>
      </c>
      <c r="D352" t="s">
        <v>1063</v>
      </c>
      <c r="F352" t="s">
        <v>245</v>
      </c>
      <c r="G352" t="s">
        <v>246</v>
      </c>
      <c r="N352" t="s">
        <v>1105</v>
      </c>
      <c r="O352" t="s">
        <v>388</v>
      </c>
      <c r="P352" t="s">
        <v>249</v>
      </c>
      <c r="Q352" t="s">
        <v>250</v>
      </c>
      <c r="R352" t="s">
        <v>251</v>
      </c>
      <c r="T352" t="s">
        <v>389</v>
      </c>
      <c r="U352" t="s">
        <v>390</v>
      </c>
      <c r="V352" t="s">
        <v>391</v>
      </c>
      <c r="W352" t="s">
        <v>392</v>
      </c>
      <c r="X352" t="s">
        <v>1106</v>
      </c>
      <c r="Z352" t="s">
        <v>525</v>
      </c>
      <c r="AB352">
        <v>1</v>
      </c>
      <c r="AG352" t="s">
        <v>598</v>
      </c>
      <c r="AM352" t="s">
        <v>258</v>
      </c>
      <c r="AN352" t="s">
        <v>259</v>
      </c>
      <c r="AO352" t="s">
        <v>260</v>
      </c>
      <c r="AQ352" t="s">
        <v>261</v>
      </c>
      <c r="AS352">
        <v>1.2</v>
      </c>
      <c r="AU352">
        <v>0.6</v>
      </c>
      <c r="AW352">
        <v>1.6</v>
      </c>
      <c r="AX352" t="s">
        <v>1107</v>
      </c>
      <c r="BO352" t="s">
        <v>261</v>
      </c>
      <c r="BQ352">
        <v>7.6255199999999995E-2</v>
      </c>
      <c r="BS352">
        <v>3.8127599999999998E-2</v>
      </c>
      <c r="BU352">
        <v>0.1016736</v>
      </c>
      <c r="BV352" t="s">
        <v>263</v>
      </c>
      <c r="CM352" t="s">
        <v>264</v>
      </c>
      <c r="CN352" t="s">
        <v>264</v>
      </c>
      <c r="CP352" t="s">
        <v>265</v>
      </c>
      <c r="DB352">
        <v>4</v>
      </c>
      <c r="DG352" t="s">
        <v>267</v>
      </c>
      <c r="DI352">
        <v>96</v>
      </c>
      <c r="DN352" t="s">
        <v>268</v>
      </c>
      <c r="DR352">
        <v>6832</v>
      </c>
      <c r="DS352">
        <v>983</v>
      </c>
      <c r="DT352" t="s">
        <v>1108</v>
      </c>
      <c r="EW352" t="s">
        <v>271</v>
      </c>
      <c r="GU352">
        <v>35</v>
      </c>
      <c r="GZ352" t="s">
        <v>296</v>
      </c>
      <c r="HH352" t="s">
        <v>272</v>
      </c>
      <c r="IE352" t="s">
        <v>1109</v>
      </c>
      <c r="IF352">
        <v>2977</v>
      </c>
      <c r="IG352" t="s">
        <v>1110</v>
      </c>
      <c r="IH352" t="s">
        <v>1111</v>
      </c>
      <c r="II352">
        <v>1988</v>
      </c>
      <c r="IJ352" t="s">
        <v>1112</v>
      </c>
    </row>
    <row r="353" spans="1:244" x14ac:dyDescent="0.45">
      <c r="A353">
        <v>1134112</v>
      </c>
      <c r="B353">
        <v>107408</v>
      </c>
      <c r="C353">
        <v>7440508</v>
      </c>
      <c r="D353" t="s">
        <v>1063</v>
      </c>
      <c r="F353" t="s">
        <v>327</v>
      </c>
      <c r="G353" t="s">
        <v>246</v>
      </c>
      <c r="N353" t="s">
        <v>829</v>
      </c>
      <c r="O353" t="s">
        <v>631</v>
      </c>
      <c r="P353" t="s">
        <v>249</v>
      </c>
      <c r="Q353" t="s">
        <v>250</v>
      </c>
      <c r="R353" t="s">
        <v>251</v>
      </c>
      <c r="T353" t="s">
        <v>389</v>
      </c>
      <c r="U353" t="s">
        <v>632</v>
      </c>
      <c r="V353" t="s">
        <v>830</v>
      </c>
      <c r="W353" t="s">
        <v>831</v>
      </c>
      <c r="X353" t="s">
        <v>832</v>
      </c>
      <c r="Z353" t="s">
        <v>1034</v>
      </c>
      <c r="AL353" t="s">
        <v>1035</v>
      </c>
      <c r="AM353" t="s">
        <v>317</v>
      </c>
      <c r="AN353" t="s">
        <v>259</v>
      </c>
      <c r="AO353" t="s">
        <v>260</v>
      </c>
      <c r="AQ353" t="s">
        <v>261</v>
      </c>
      <c r="AS353">
        <v>31.1</v>
      </c>
      <c r="AX353" t="s">
        <v>262</v>
      </c>
      <c r="BO353" t="s">
        <v>261</v>
      </c>
      <c r="BQ353">
        <v>3.1099999999999999E-2</v>
      </c>
      <c r="BV353" t="s">
        <v>263</v>
      </c>
      <c r="CM353" t="s">
        <v>264</v>
      </c>
      <c r="CN353" t="s">
        <v>264</v>
      </c>
      <c r="CP353" t="s">
        <v>265</v>
      </c>
      <c r="DB353">
        <v>4</v>
      </c>
      <c r="DG353" t="s">
        <v>267</v>
      </c>
      <c r="DI353">
        <v>96</v>
      </c>
      <c r="DN353" t="s">
        <v>268</v>
      </c>
      <c r="DQ353" t="s">
        <v>1036</v>
      </c>
      <c r="DR353">
        <v>88015</v>
      </c>
      <c r="DS353">
        <v>649</v>
      </c>
      <c r="DT353" t="s">
        <v>1037</v>
      </c>
      <c r="EW353" t="s">
        <v>271</v>
      </c>
      <c r="FM353">
        <v>15</v>
      </c>
      <c r="FR353" t="s">
        <v>295</v>
      </c>
      <c r="GU353">
        <v>10</v>
      </c>
      <c r="GZ353" t="s">
        <v>296</v>
      </c>
      <c r="HH353" t="s">
        <v>272</v>
      </c>
      <c r="IE353" t="s">
        <v>1038</v>
      </c>
      <c r="IF353">
        <v>10900</v>
      </c>
      <c r="IG353" t="s">
        <v>1039</v>
      </c>
      <c r="IH353" t="s">
        <v>1040</v>
      </c>
      <c r="II353">
        <v>1983</v>
      </c>
      <c r="IJ353" t="s">
        <v>1041</v>
      </c>
    </row>
    <row r="354" spans="1:244" x14ac:dyDescent="0.45">
      <c r="A354">
        <v>1047100</v>
      </c>
      <c r="B354">
        <v>115193</v>
      </c>
      <c r="C354">
        <v>7440508</v>
      </c>
      <c r="D354" t="s">
        <v>1063</v>
      </c>
      <c r="F354" t="s">
        <v>245</v>
      </c>
      <c r="G354" t="s">
        <v>246</v>
      </c>
      <c r="N354" t="s">
        <v>1105</v>
      </c>
      <c r="O354" t="s">
        <v>388</v>
      </c>
      <c r="P354" t="s">
        <v>249</v>
      </c>
      <c r="Q354" t="s">
        <v>250</v>
      </c>
      <c r="R354" t="s">
        <v>251</v>
      </c>
      <c r="T354" t="s">
        <v>389</v>
      </c>
      <c r="U354" t="s">
        <v>390</v>
      </c>
      <c r="V354" t="s">
        <v>391</v>
      </c>
      <c r="W354" t="s">
        <v>392</v>
      </c>
      <c r="X354" t="s">
        <v>1106</v>
      </c>
      <c r="Z354" t="s">
        <v>525</v>
      </c>
      <c r="AB354">
        <v>4</v>
      </c>
      <c r="AG354" t="s">
        <v>598</v>
      </c>
      <c r="AM354" t="s">
        <v>258</v>
      </c>
      <c r="AN354" t="s">
        <v>259</v>
      </c>
      <c r="AO354" t="s">
        <v>260</v>
      </c>
      <c r="AQ354" t="s">
        <v>261</v>
      </c>
      <c r="AS354">
        <v>2.9</v>
      </c>
      <c r="AU354">
        <v>1.5</v>
      </c>
      <c r="AW354">
        <v>4.2</v>
      </c>
      <c r="AX354" t="s">
        <v>1107</v>
      </c>
      <c r="BO354" t="s">
        <v>261</v>
      </c>
      <c r="BQ354">
        <v>0.18428340000000001</v>
      </c>
      <c r="BS354">
        <v>9.5319000000000001E-2</v>
      </c>
      <c r="BU354">
        <v>0.2668932</v>
      </c>
      <c r="BV354" t="s">
        <v>263</v>
      </c>
      <c r="CM354" t="s">
        <v>264</v>
      </c>
      <c r="CN354" t="s">
        <v>264</v>
      </c>
      <c r="CP354" t="s">
        <v>265</v>
      </c>
      <c r="DB354">
        <v>4</v>
      </c>
      <c r="DG354" t="s">
        <v>267</v>
      </c>
      <c r="DI354">
        <v>96</v>
      </c>
      <c r="DN354" t="s">
        <v>268</v>
      </c>
      <c r="DR354">
        <v>6832</v>
      </c>
      <c r="DS354">
        <v>983</v>
      </c>
      <c r="DT354" t="s">
        <v>1108</v>
      </c>
      <c r="EW354" t="s">
        <v>271</v>
      </c>
      <c r="GU354">
        <v>35</v>
      </c>
      <c r="GZ354" t="s">
        <v>296</v>
      </c>
      <c r="HH354" t="s">
        <v>272</v>
      </c>
      <c r="IE354" t="s">
        <v>1109</v>
      </c>
      <c r="IF354">
        <v>2977</v>
      </c>
      <c r="IG354" t="s">
        <v>1110</v>
      </c>
      <c r="IH354" t="s">
        <v>1111</v>
      </c>
      <c r="II354">
        <v>1988</v>
      </c>
      <c r="IJ354" t="s">
        <v>1112</v>
      </c>
    </row>
    <row r="355" spans="1:244" x14ac:dyDescent="0.45">
      <c r="A355">
        <v>1134111</v>
      </c>
      <c r="B355">
        <v>107407</v>
      </c>
      <c r="C355">
        <v>7440508</v>
      </c>
      <c r="D355" t="s">
        <v>1063</v>
      </c>
      <c r="F355" t="s">
        <v>327</v>
      </c>
      <c r="G355" t="s">
        <v>246</v>
      </c>
      <c r="N355" t="s">
        <v>829</v>
      </c>
      <c r="O355" t="s">
        <v>631</v>
      </c>
      <c r="P355" t="s">
        <v>249</v>
      </c>
      <c r="Q355" t="s">
        <v>250</v>
      </c>
      <c r="R355" t="s">
        <v>251</v>
      </c>
      <c r="T355" t="s">
        <v>389</v>
      </c>
      <c r="U355" t="s">
        <v>632</v>
      </c>
      <c r="V355" t="s">
        <v>830</v>
      </c>
      <c r="W355" t="s">
        <v>831</v>
      </c>
      <c r="X355" t="s">
        <v>832</v>
      </c>
      <c r="Z355" t="s">
        <v>1034</v>
      </c>
      <c r="AL355" t="s">
        <v>1035</v>
      </c>
      <c r="AM355" t="s">
        <v>317</v>
      </c>
      <c r="AN355" t="s">
        <v>259</v>
      </c>
      <c r="AO355" t="s">
        <v>260</v>
      </c>
      <c r="AQ355" t="s">
        <v>261</v>
      </c>
      <c r="AS355">
        <v>30.6</v>
      </c>
      <c r="AX355" t="s">
        <v>262</v>
      </c>
      <c r="BO355" t="s">
        <v>261</v>
      </c>
      <c r="BQ355">
        <v>3.0599999999999999E-2</v>
      </c>
      <c r="BV355" t="s">
        <v>263</v>
      </c>
      <c r="CM355" t="s">
        <v>264</v>
      </c>
      <c r="CN355" t="s">
        <v>264</v>
      </c>
      <c r="CP355" t="s">
        <v>265</v>
      </c>
      <c r="DB355">
        <v>4</v>
      </c>
      <c r="DG355" t="s">
        <v>267</v>
      </c>
      <c r="DI355">
        <v>96</v>
      </c>
      <c r="DN355" t="s">
        <v>268</v>
      </c>
      <c r="DQ355" t="s">
        <v>1121</v>
      </c>
      <c r="DR355">
        <v>88015</v>
      </c>
      <c r="DS355">
        <v>649</v>
      </c>
      <c r="DT355" t="s">
        <v>1037</v>
      </c>
      <c r="EW355" t="s">
        <v>271</v>
      </c>
      <c r="FM355">
        <v>15</v>
      </c>
      <c r="FR355" t="s">
        <v>295</v>
      </c>
      <c r="GU355">
        <v>10</v>
      </c>
      <c r="GZ355" t="s">
        <v>296</v>
      </c>
      <c r="HH355" t="s">
        <v>272</v>
      </c>
      <c r="IE355" t="s">
        <v>1038</v>
      </c>
      <c r="IF355">
        <v>10900</v>
      </c>
      <c r="IG355" t="s">
        <v>1039</v>
      </c>
      <c r="IH355" t="s">
        <v>1040</v>
      </c>
      <c r="II355">
        <v>1983</v>
      </c>
      <c r="IJ355" t="s">
        <v>1041</v>
      </c>
    </row>
    <row r="356" spans="1:244" x14ac:dyDescent="0.45">
      <c r="A356">
        <v>1134115</v>
      </c>
      <c r="B356">
        <v>107411</v>
      </c>
      <c r="C356">
        <v>7440508</v>
      </c>
      <c r="D356" t="s">
        <v>1063</v>
      </c>
      <c r="F356" t="s">
        <v>327</v>
      </c>
      <c r="G356" t="s">
        <v>246</v>
      </c>
      <c r="N356" t="s">
        <v>829</v>
      </c>
      <c r="O356" t="s">
        <v>631</v>
      </c>
      <c r="P356" t="s">
        <v>249</v>
      </c>
      <c r="Q356" t="s">
        <v>250</v>
      </c>
      <c r="R356" t="s">
        <v>251</v>
      </c>
      <c r="T356" t="s">
        <v>389</v>
      </c>
      <c r="U356" t="s">
        <v>632</v>
      </c>
      <c r="V356" t="s">
        <v>830</v>
      </c>
      <c r="W356" t="s">
        <v>831</v>
      </c>
      <c r="X356" t="s">
        <v>832</v>
      </c>
      <c r="Z356" t="s">
        <v>1034</v>
      </c>
      <c r="AL356" t="s">
        <v>1035</v>
      </c>
      <c r="AM356" t="s">
        <v>317</v>
      </c>
      <c r="AN356" t="s">
        <v>259</v>
      </c>
      <c r="AO356" t="s">
        <v>260</v>
      </c>
      <c r="AQ356" t="s">
        <v>261</v>
      </c>
      <c r="AS356">
        <v>33.700000000000003</v>
      </c>
      <c r="AU356">
        <v>24</v>
      </c>
      <c r="AW356">
        <v>46</v>
      </c>
      <c r="AX356" t="s">
        <v>262</v>
      </c>
      <c r="BO356" t="s">
        <v>261</v>
      </c>
      <c r="BQ356">
        <v>3.3700000000000001E-2</v>
      </c>
      <c r="BS356">
        <v>2.4E-2</v>
      </c>
      <c r="BU356">
        <v>4.5999999999999999E-2</v>
      </c>
      <c r="BV356" t="s">
        <v>263</v>
      </c>
      <c r="CM356" t="s">
        <v>264</v>
      </c>
      <c r="CN356" t="s">
        <v>264</v>
      </c>
      <c r="CP356" t="s">
        <v>265</v>
      </c>
      <c r="DB356">
        <v>4</v>
      </c>
      <c r="DG356" t="s">
        <v>267</v>
      </c>
      <c r="DI356">
        <v>96</v>
      </c>
      <c r="DN356" t="s">
        <v>268</v>
      </c>
      <c r="DQ356" t="s">
        <v>1036</v>
      </c>
      <c r="DR356">
        <v>88015</v>
      </c>
      <c r="DS356">
        <v>649</v>
      </c>
      <c r="DT356" t="s">
        <v>1037</v>
      </c>
      <c r="EW356" t="s">
        <v>271</v>
      </c>
      <c r="FM356">
        <v>15</v>
      </c>
      <c r="FR356" t="s">
        <v>295</v>
      </c>
      <c r="GU356">
        <v>10</v>
      </c>
      <c r="GZ356" t="s">
        <v>296</v>
      </c>
      <c r="HH356" t="s">
        <v>272</v>
      </c>
      <c r="IE356" t="s">
        <v>1038</v>
      </c>
      <c r="IF356">
        <v>10900</v>
      </c>
      <c r="IG356" t="s">
        <v>1039</v>
      </c>
      <c r="IH356" t="s">
        <v>1040</v>
      </c>
      <c r="II356">
        <v>1983</v>
      </c>
      <c r="IJ356" t="s">
        <v>1041</v>
      </c>
    </row>
    <row r="357" spans="1:244" x14ac:dyDescent="0.45">
      <c r="A357">
        <v>1134113</v>
      </c>
      <c r="B357">
        <v>107409</v>
      </c>
      <c r="C357">
        <v>7440508</v>
      </c>
      <c r="D357" t="s">
        <v>1063</v>
      </c>
      <c r="F357" t="s">
        <v>327</v>
      </c>
      <c r="G357" t="s">
        <v>246</v>
      </c>
      <c r="N357" t="s">
        <v>829</v>
      </c>
      <c r="O357" t="s">
        <v>631</v>
      </c>
      <c r="P357" t="s">
        <v>249</v>
      </c>
      <c r="Q357" t="s">
        <v>250</v>
      </c>
      <c r="R357" t="s">
        <v>251</v>
      </c>
      <c r="T357" t="s">
        <v>389</v>
      </c>
      <c r="U357" t="s">
        <v>632</v>
      </c>
      <c r="V357" t="s">
        <v>830</v>
      </c>
      <c r="W357" t="s">
        <v>831</v>
      </c>
      <c r="X357" t="s">
        <v>832</v>
      </c>
      <c r="Z357" t="s">
        <v>1034</v>
      </c>
      <c r="AL357" t="s">
        <v>1035</v>
      </c>
      <c r="AM357" t="s">
        <v>317</v>
      </c>
      <c r="AN357" t="s">
        <v>259</v>
      </c>
      <c r="AO357" t="s">
        <v>260</v>
      </c>
      <c r="AQ357" t="s">
        <v>261</v>
      </c>
      <c r="AS357">
        <v>28.7</v>
      </c>
      <c r="AX357" t="s">
        <v>262</v>
      </c>
      <c r="BO357" t="s">
        <v>261</v>
      </c>
      <c r="BQ357">
        <v>2.87E-2</v>
      </c>
      <c r="BV357" t="s">
        <v>263</v>
      </c>
      <c r="CM357" t="s">
        <v>264</v>
      </c>
      <c r="CN357" t="s">
        <v>264</v>
      </c>
      <c r="CP357" t="s">
        <v>265</v>
      </c>
      <c r="DB357">
        <v>4</v>
      </c>
      <c r="DG357" t="s">
        <v>267</v>
      </c>
      <c r="DI357">
        <v>96</v>
      </c>
      <c r="DN357" t="s">
        <v>268</v>
      </c>
      <c r="DQ357" t="s">
        <v>1036</v>
      </c>
      <c r="DR357">
        <v>88015</v>
      </c>
      <c r="DS357">
        <v>649</v>
      </c>
      <c r="DT357" t="s">
        <v>1037</v>
      </c>
      <c r="EW357" t="s">
        <v>271</v>
      </c>
      <c r="FM357">
        <v>15</v>
      </c>
      <c r="FR357" t="s">
        <v>295</v>
      </c>
      <c r="GU357">
        <v>10</v>
      </c>
      <c r="GZ357" t="s">
        <v>296</v>
      </c>
      <c r="HH357" t="s">
        <v>272</v>
      </c>
      <c r="IE357" t="s">
        <v>1038</v>
      </c>
      <c r="IF357">
        <v>10900</v>
      </c>
      <c r="IG357" t="s">
        <v>1039</v>
      </c>
      <c r="IH357" t="s">
        <v>1040</v>
      </c>
      <c r="II357">
        <v>1983</v>
      </c>
      <c r="IJ357" t="s">
        <v>1041</v>
      </c>
    </row>
    <row r="358" spans="1:244" x14ac:dyDescent="0.45">
      <c r="A358">
        <v>1047096</v>
      </c>
      <c r="B358">
        <v>115189</v>
      </c>
      <c r="C358">
        <v>7440508</v>
      </c>
      <c r="D358" t="s">
        <v>1063</v>
      </c>
      <c r="F358" t="s">
        <v>245</v>
      </c>
      <c r="G358" t="s">
        <v>246</v>
      </c>
      <c r="N358" t="s">
        <v>1105</v>
      </c>
      <c r="O358" t="s">
        <v>388</v>
      </c>
      <c r="P358" t="s">
        <v>249</v>
      </c>
      <c r="Q358" t="s">
        <v>250</v>
      </c>
      <c r="R358" t="s">
        <v>251</v>
      </c>
      <c r="T358" t="s">
        <v>389</v>
      </c>
      <c r="U358" t="s">
        <v>390</v>
      </c>
      <c r="V358" t="s">
        <v>391</v>
      </c>
      <c r="W358" t="s">
        <v>392</v>
      </c>
      <c r="X358" t="s">
        <v>1106</v>
      </c>
      <c r="Z358" t="s">
        <v>1122</v>
      </c>
      <c r="AM358" t="s">
        <v>258</v>
      </c>
      <c r="AN358" t="s">
        <v>259</v>
      </c>
      <c r="AO358" t="s">
        <v>260</v>
      </c>
      <c r="AQ358" t="s">
        <v>261</v>
      </c>
      <c r="AS358">
        <v>3.6</v>
      </c>
      <c r="AU358">
        <v>1.2</v>
      </c>
      <c r="AW358">
        <v>6.2</v>
      </c>
      <c r="AX358" t="s">
        <v>1107</v>
      </c>
      <c r="BO358" t="s">
        <v>261</v>
      </c>
      <c r="BQ358">
        <v>0.22876560000000001</v>
      </c>
      <c r="BS358">
        <v>7.6255199999999995E-2</v>
      </c>
      <c r="BU358">
        <v>0.39398519999999998</v>
      </c>
      <c r="BV358" t="s">
        <v>263</v>
      </c>
      <c r="CM358" t="s">
        <v>264</v>
      </c>
      <c r="CN358" t="s">
        <v>264</v>
      </c>
      <c r="CP358" t="s">
        <v>265</v>
      </c>
      <c r="DB358">
        <v>4</v>
      </c>
      <c r="DG358" t="s">
        <v>267</v>
      </c>
      <c r="DI358">
        <v>96</v>
      </c>
      <c r="DN358" t="s">
        <v>268</v>
      </c>
      <c r="DR358">
        <v>6832</v>
      </c>
      <c r="DS358">
        <v>983</v>
      </c>
      <c r="DT358" t="s">
        <v>1108</v>
      </c>
      <c r="EW358" t="s">
        <v>271</v>
      </c>
      <c r="GU358">
        <v>35</v>
      </c>
      <c r="GZ358" t="s">
        <v>296</v>
      </c>
      <c r="HH358" t="s">
        <v>272</v>
      </c>
      <c r="IE358" t="s">
        <v>1109</v>
      </c>
      <c r="IF358">
        <v>2977</v>
      </c>
      <c r="IG358" t="s">
        <v>1110</v>
      </c>
      <c r="IH358" t="s">
        <v>1111</v>
      </c>
      <c r="II358">
        <v>1988</v>
      </c>
      <c r="IJ358" t="s">
        <v>1112</v>
      </c>
    </row>
    <row r="359" spans="1:244" x14ac:dyDescent="0.45">
      <c r="A359">
        <v>1111944</v>
      </c>
      <c r="B359">
        <v>23784</v>
      </c>
      <c r="C359">
        <v>7440508</v>
      </c>
      <c r="D359" t="s">
        <v>1063</v>
      </c>
      <c r="F359" t="s">
        <v>245</v>
      </c>
      <c r="G359" t="s">
        <v>246</v>
      </c>
      <c r="N359" t="s">
        <v>630</v>
      </c>
      <c r="O359" t="s">
        <v>631</v>
      </c>
      <c r="P359" t="s">
        <v>249</v>
      </c>
      <c r="Q359" t="s">
        <v>250</v>
      </c>
      <c r="R359" t="s">
        <v>251</v>
      </c>
      <c r="T359" t="s">
        <v>389</v>
      </c>
      <c r="U359" t="s">
        <v>632</v>
      </c>
      <c r="V359" t="s">
        <v>633</v>
      </c>
      <c r="W359" t="s">
        <v>634</v>
      </c>
      <c r="X359" t="s">
        <v>635</v>
      </c>
      <c r="Z359" t="s">
        <v>820</v>
      </c>
      <c r="AB359" t="s">
        <v>821</v>
      </c>
      <c r="AG359" t="s">
        <v>813</v>
      </c>
      <c r="AL359" t="s">
        <v>822</v>
      </c>
      <c r="AM359" t="s">
        <v>317</v>
      </c>
      <c r="AN359" t="s">
        <v>259</v>
      </c>
      <c r="AO359" t="s">
        <v>260</v>
      </c>
      <c r="AQ359" t="s">
        <v>261</v>
      </c>
      <c r="AS359">
        <v>55</v>
      </c>
      <c r="AU359">
        <v>36</v>
      </c>
      <c r="AW359">
        <v>76</v>
      </c>
      <c r="AX359" t="s">
        <v>262</v>
      </c>
      <c r="BO359" t="s">
        <v>261</v>
      </c>
      <c r="BQ359">
        <v>5.5E-2</v>
      </c>
      <c r="BS359">
        <v>3.5999999999999997E-2</v>
      </c>
      <c r="BU359">
        <v>7.5999999999999998E-2</v>
      </c>
      <c r="BV359" t="s">
        <v>263</v>
      </c>
      <c r="CM359" t="s">
        <v>264</v>
      </c>
      <c r="CN359" t="s">
        <v>264</v>
      </c>
      <c r="CP359" t="s">
        <v>265</v>
      </c>
      <c r="CQ359" t="s">
        <v>394</v>
      </c>
      <c r="DB359">
        <v>4</v>
      </c>
      <c r="DG359" t="s">
        <v>267</v>
      </c>
      <c r="DI359">
        <v>96</v>
      </c>
      <c r="DN359" t="s">
        <v>268</v>
      </c>
      <c r="DP359" t="s">
        <v>823</v>
      </c>
      <c r="DR359">
        <v>136180</v>
      </c>
      <c r="DS359">
        <v>376</v>
      </c>
      <c r="DT359" t="s">
        <v>814</v>
      </c>
      <c r="EW359" t="s">
        <v>271</v>
      </c>
      <c r="FK359" t="s">
        <v>1000</v>
      </c>
      <c r="FM359">
        <v>20</v>
      </c>
      <c r="FR359" t="s">
        <v>295</v>
      </c>
      <c r="GU359">
        <v>10</v>
      </c>
      <c r="GZ359" t="s">
        <v>296</v>
      </c>
      <c r="HH359" t="s">
        <v>272</v>
      </c>
      <c r="ID359" t="s">
        <v>1001</v>
      </c>
      <c r="IE359" t="s">
        <v>816</v>
      </c>
      <c r="IF359">
        <v>8445</v>
      </c>
      <c r="IG359" t="s">
        <v>817</v>
      </c>
      <c r="IH359" t="s">
        <v>818</v>
      </c>
      <c r="II359">
        <v>1978</v>
      </c>
      <c r="IJ359" t="s">
        <v>819</v>
      </c>
    </row>
    <row r="360" spans="1:244" x14ac:dyDescent="0.45">
      <c r="A360">
        <v>1047106</v>
      </c>
      <c r="B360">
        <v>115199</v>
      </c>
      <c r="C360">
        <v>7440508</v>
      </c>
      <c r="D360" t="s">
        <v>1063</v>
      </c>
      <c r="F360" t="s">
        <v>245</v>
      </c>
      <c r="G360" t="s">
        <v>246</v>
      </c>
      <c r="N360" t="s">
        <v>1105</v>
      </c>
      <c r="O360" t="s">
        <v>388</v>
      </c>
      <c r="P360" t="s">
        <v>249</v>
      </c>
      <c r="Q360" t="s">
        <v>250</v>
      </c>
      <c r="R360" t="s">
        <v>251</v>
      </c>
      <c r="T360" t="s">
        <v>389</v>
      </c>
      <c r="U360" t="s">
        <v>390</v>
      </c>
      <c r="V360" t="s">
        <v>391</v>
      </c>
      <c r="W360" t="s">
        <v>392</v>
      </c>
      <c r="X360" t="s">
        <v>1106</v>
      </c>
      <c r="Z360" t="s">
        <v>1123</v>
      </c>
      <c r="AB360">
        <v>4</v>
      </c>
      <c r="AG360" t="s">
        <v>598</v>
      </c>
      <c r="AM360" t="s">
        <v>258</v>
      </c>
      <c r="AN360" t="s">
        <v>259</v>
      </c>
      <c r="AO360" t="s">
        <v>260</v>
      </c>
      <c r="AQ360" t="s">
        <v>261</v>
      </c>
      <c r="AS360">
        <v>6.2</v>
      </c>
      <c r="AU360">
        <v>3.9</v>
      </c>
      <c r="AW360">
        <v>7.9</v>
      </c>
      <c r="AX360" t="s">
        <v>1107</v>
      </c>
      <c r="BO360" t="s">
        <v>261</v>
      </c>
      <c r="BQ360">
        <v>0.39398519999999998</v>
      </c>
      <c r="BS360">
        <v>0.24782940000000001</v>
      </c>
      <c r="BU360">
        <v>0.50201340000000005</v>
      </c>
      <c r="BV360" t="s">
        <v>263</v>
      </c>
      <c r="CM360" t="s">
        <v>264</v>
      </c>
      <c r="CN360" t="s">
        <v>264</v>
      </c>
      <c r="CP360" t="s">
        <v>265</v>
      </c>
      <c r="DB360">
        <v>4</v>
      </c>
      <c r="DG360" t="s">
        <v>267</v>
      </c>
      <c r="DI360">
        <v>96</v>
      </c>
      <c r="DN360" t="s">
        <v>268</v>
      </c>
      <c r="DR360">
        <v>6832</v>
      </c>
      <c r="DS360">
        <v>983</v>
      </c>
      <c r="DT360" t="s">
        <v>1108</v>
      </c>
      <c r="EW360" t="s">
        <v>271</v>
      </c>
      <c r="GU360">
        <v>35</v>
      </c>
      <c r="GZ360" t="s">
        <v>296</v>
      </c>
      <c r="HH360" t="s">
        <v>272</v>
      </c>
      <c r="IE360" t="s">
        <v>1109</v>
      </c>
      <c r="IF360">
        <v>2977</v>
      </c>
      <c r="IG360" t="s">
        <v>1110</v>
      </c>
      <c r="IH360" t="s">
        <v>1111</v>
      </c>
      <c r="II360">
        <v>1988</v>
      </c>
      <c r="IJ360" t="s">
        <v>1112</v>
      </c>
    </row>
    <row r="361" spans="1:244" x14ac:dyDescent="0.45">
      <c r="A361">
        <v>1047104</v>
      </c>
      <c r="B361">
        <v>115197</v>
      </c>
      <c r="C361">
        <v>7440508</v>
      </c>
      <c r="D361" t="s">
        <v>1063</v>
      </c>
      <c r="F361" t="s">
        <v>245</v>
      </c>
      <c r="G361" t="s">
        <v>246</v>
      </c>
      <c r="N361" t="s">
        <v>1105</v>
      </c>
      <c r="O361" t="s">
        <v>388</v>
      </c>
      <c r="P361" t="s">
        <v>249</v>
      </c>
      <c r="Q361" t="s">
        <v>250</v>
      </c>
      <c r="R361" t="s">
        <v>251</v>
      </c>
      <c r="T361" t="s">
        <v>389</v>
      </c>
      <c r="U361" t="s">
        <v>390</v>
      </c>
      <c r="V361" t="s">
        <v>391</v>
      </c>
      <c r="W361" t="s">
        <v>392</v>
      </c>
      <c r="X361" t="s">
        <v>1106</v>
      </c>
      <c r="Z361" t="s">
        <v>1123</v>
      </c>
      <c r="AB361">
        <v>2</v>
      </c>
      <c r="AG361" t="s">
        <v>598</v>
      </c>
      <c r="AM361" t="s">
        <v>258</v>
      </c>
      <c r="AN361" t="s">
        <v>259</v>
      </c>
      <c r="AO361" t="s">
        <v>260</v>
      </c>
      <c r="AQ361" t="s">
        <v>261</v>
      </c>
      <c r="AS361">
        <v>7.8</v>
      </c>
      <c r="AU361">
        <v>4.5</v>
      </c>
      <c r="AW361">
        <v>11.5</v>
      </c>
      <c r="AX361" t="s">
        <v>1107</v>
      </c>
      <c r="BO361" t="s">
        <v>261</v>
      </c>
      <c r="BQ361">
        <v>0.49565880000000001</v>
      </c>
      <c r="BS361">
        <v>0.28595700000000002</v>
      </c>
      <c r="BU361">
        <v>0.73077899999999996</v>
      </c>
      <c r="BV361" t="s">
        <v>263</v>
      </c>
      <c r="CM361" t="s">
        <v>264</v>
      </c>
      <c r="CN361" t="s">
        <v>264</v>
      </c>
      <c r="CP361" t="s">
        <v>265</v>
      </c>
      <c r="DB361">
        <v>4</v>
      </c>
      <c r="DG361" t="s">
        <v>267</v>
      </c>
      <c r="DI361">
        <v>96</v>
      </c>
      <c r="DN361" t="s">
        <v>268</v>
      </c>
      <c r="DR361">
        <v>6832</v>
      </c>
      <c r="DS361">
        <v>983</v>
      </c>
      <c r="DT361" t="s">
        <v>1108</v>
      </c>
      <c r="EW361" t="s">
        <v>271</v>
      </c>
      <c r="GU361">
        <v>35</v>
      </c>
      <c r="GZ361" t="s">
        <v>296</v>
      </c>
      <c r="HH361" t="s">
        <v>272</v>
      </c>
      <c r="IE361" t="s">
        <v>1109</v>
      </c>
      <c r="IF361">
        <v>2977</v>
      </c>
      <c r="IG361" t="s">
        <v>1110</v>
      </c>
      <c r="IH361" t="s">
        <v>1111</v>
      </c>
      <c r="II361">
        <v>1988</v>
      </c>
      <c r="IJ361" t="s">
        <v>1112</v>
      </c>
    </row>
    <row r="362" spans="1:244" x14ac:dyDescent="0.45">
      <c r="A362">
        <v>1047102</v>
      </c>
      <c r="B362">
        <v>115195</v>
      </c>
      <c r="C362">
        <v>7440508</v>
      </c>
      <c r="D362" t="s">
        <v>1063</v>
      </c>
      <c r="F362" t="s">
        <v>245</v>
      </c>
      <c r="G362" t="s">
        <v>246</v>
      </c>
      <c r="N362" t="s">
        <v>1105</v>
      </c>
      <c r="O362" t="s">
        <v>388</v>
      </c>
      <c r="P362" t="s">
        <v>249</v>
      </c>
      <c r="Q362" t="s">
        <v>250</v>
      </c>
      <c r="R362" t="s">
        <v>251</v>
      </c>
      <c r="T362" t="s">
        <v>389</v>
      </c>
      <c r="U362" t="s">
        <v>390</v>
      </c>
      <c r="V362" t="s">
        <v>391</v>
      </c>
      <c r="W362" t="s">
        <v>392</v>
      </c>
      <c r="X362" t="s">
        <v>1106</v>
      </c>
      <c r="Z362" t="s">
        <v>525</v>
      </c>
      <c r="AB362">
        <v>6</v>
      </c>
      <c r="AG362" t="s">
        <v>598</v>
      </c>
      <c r="AM362" t="s">
        <v>258</v>
      </c>
      <c r="AN362" t="s">
        <v>259</v>
      </c>
      <c r="AO362" t="s">
        <v>260</v>
      </c>
      <c r="AQ362" t="s">
        <v>261</v>
      </c>
      <c r="AS362">
        <v>4.8</v>
      </c>
      <c r="AU362">
        <v>3.5</v>
      </c>
      <c r="AW362">
        <v>6.1</v>
      </c>
      <c r="AX362" t="s">
        <v>1107</v>
      </c>
      <c r="BO362" t="s">
        <v>261</v>
      </c>
      <c r="BQ362">
        <v>0.30502079999999998</v>
      </c>
      <c r="BS362">
        <v>0.222411</v>
      </c>
      <c r="BU362">
        <v>0.38763059999999999</v>
      </c>
      <c r="BV362" t="s">
        <v>263</v>
      </c>
      <c r="CM362" t="s">
        <v>264</v>
      </c>
      <c r="CN362" t="s">
        <v>264</v>
      </c>
      <c r="CP362" t="s">
        <v>265</v>
      </c>
      <c r="DB362">
        <v>4</v>
      </c>
      <c r="DG362" t="s">
        <v>267</v>
      </c>
      <c r="DI362">
        <v>96</v>
      </c>
      <c r="DN362" t="s">
        <v>268</v>
      </c>
      <c r="DR362">
        <v>6832</v>
      </c>
      <c r="DS362">
        <v>983</v>
      </c>
      <c r="DT362" t="s">
        <v>1108</v>
      </c>
      <c r="EW362" t="s">
        <v>271</v>
      </c>
      <c r="GU362">
        <v>35</v>
      </c>
      <c r="GZ362" t="s">
        <v>296</v>
      </c>
      <c r="HH362" t="s">
        <v>272</v>
      </c>
      <c r="IE362" t="s">
        <v>1109</v>
      </c>
      <c r="IF362">
        <v>2977</v>
      </c>
      <c r="IG362" t="s">
        <v>1110</v>
      </c>
      <c r="IH362" t="s">
        <v>1111</v>
      </c>
      <c r="II362">
        <v>1988</v>
      </c>
      <c r="IJ362" t="s">
        <v>1112</v>
      </c>
    </row>
    <row r="363" spans="1:244" x14ac:dyDescent="0.45">
      <c r="A363">
        <v>1111943</v>
      </c>
      <c r="B363">
        <v>23783</v>
      </c>
      <c r="C363">
        <v>7440508</v>
      </c>
      <c r="D363" t="s">
        <v>1063</v>
      </c>
      <c r="E363" t="s">
        <v>811</v>
      </c>
      <c r="F363" t="s">
        <v>245</v>
      </c>
      <c r="G363" t="s">
        <v>246</v>
      </c>
      <c r="N363" t="s">
        <v>630</v>
      </c>
      <c r="O363" t="s">
        <v>631</v>
      </c>
      <c r="P363" t="s">
        <v>249</v>
      </c>
      <c r="Q363" t="s">
        <v>250</v>
      </c>
      <c r="R363" t="s">
        <v>251</v>
      </c>
      <c r="T363" t="s">
        <v>389</v>
      </c>
      <c r="U363" t="s">
        <v>632</v>
      </c>
      <c r="V363" t="s">
        <v>633</v>
      </c>
      <c r="W363" t="s">
        <v>634</v>
      </c>
      <c r="X363" t="s">
        <v>635</v>
      </c>
      <c r="AB363" t="s">
        <v>812</v>
      </c>
      <c r="AG363" t="s">
        <v>813</v>
      </c>
      <c r="AM363" t="s">
        <v>317</v>
      </c>
      <c r="AN363" t="s">
        <v>259</v>
      </c>
      <c r="AO363" t="s">
        <v>260</v>
      </c>
      <c r="AQ363" t="s">
        <v>261</v>
      </c>
      <c r="AS363">
        <v>31</v>
      </c>
      <c r="AU363">
        <v>21</v>
      </c>
      <c r="AW363">
        <v>44</v>
      </c>
      <c r="AX363" t="s">
        <v>262</v>
      </c>
      <c r="BO363" t="s">
        <v>261</v>
      </c>
      <c r="BQ363">
        <v>3.1E-2</v>
      </c>
      <c r="BS363">
        <v>2.1000000000000001E-2</v>
      </c>
      <c r="BU363">
        <v>4.3999999999999997E-2</v>
      </c>
      <c r="BV363" t="s">
        <v>263</v>
      </c>
      <c r="CM363" t="s">
        <v>264</v>
      </c>
      <c r="CN363" t="s">
        <v>264</v>
      </c>
      <c r="CP363" t="s">
        <v>265</v>
      </c>
      <c r="CQ363" t="s">
        <v>394</v>
      </c>
      <c r="DB363">
        <v>4</v>
      </c>
      <c r="DG363" t="s">
        <v>267</v>
      </c>
      <c r="DI363">
        <v>96</v>
      </c>
      <c r="DN363" t="s">
        <v>268</v>
      </c>
      <c r="DR363">
        <v>136180</v>
      </c>
      <c r="DS363">
        <v>376</v>
      </c>
      <c r="DT363" t="s">
        <v>814</v>
      </c>
      <c r="EW363" t="s">
        <v>271</v>
      </c>
      <c r="FA363" t="s">
        <v>815</v>
      </c>
      <c r="FM363">
        <v>20</v>
      </c>
      <c r="FR363" t="s">
        <v>295</v>
      </c>
      <c r="GU363">
        <v>10</v>
      </c>
      <c r="GZ363" t="s">
        <v>296</v>
      </c>
      <c r="HH363" t="s">
        <v>272</v>
      </c>
      <c r="IE363" t="s">
        <v>816</v>
      </c>
      <c r="IF363">
        <v>8445</v>
      </c>
      <c r="IG363" t="s">
        <v>817</v>
      </c>
      <c r="IH363" t="s">
        <v>818</v>
      </c>
      <c r="II363">
        <v>1978</v>
      </c>
      <c r="IJ363" t="s">
        <v>819</v>
      </c>
    </row>
    <row r="364" spans="1:244" x14ac:dyDescent="0.45">
      <c r="A364">
        <v>1111946</v>
      </c>
      <c r="B364">
        <v>23786</v>
      </c>
      <c r="C364">
        <v>7440508</v>
      </c>
      <c r="D364" t="s">
        <v>1063</v>
      </c>
      <c r="F364" t="s">
        <v>245</v>
      </c>
      <c r="G364" t="s">
        <v>246</v>
      </c>
      <c r="N364" t="s">
        <v>630</v>
      </c>
      <c r="O364" t="s">
        <v>631</v>
      </c>
      <c r="P364" t="s">
        <v>249</v>
      </c>
      <c r="Q364" t="s">
        <v>250</v>
      </c>
      <c r="R364" t="s">
        <v>251</v>
      </c>
      <c r="T364" t="s">
        <v>389</v>
      </c>
      <c r="U364" t="s">
        <v>632</v>
      </c>
      <c r="V364" t="s">
        <v>633</v>
      </c>
      <c r="W364" t="s">
        <v>634</v>
      </c>
      <c r="X364" t="s">
        <v>635</v>
      </c>
      <c r="Z364" t="s">
        <v>826</v>
      </c>
      <c r="AM364" t="s">
        <v>317</v>
      </c>
      <c r="AN364" t="s">
        <v>259</v>
      </c>
      <c r="AO364" t="s">
        <v>260</v>
      </c>
      <c r="AQ364" t="s">
        <v>261</v>
      </c>
      <c r="AS364">
        <v>64</v>
      </c>
      <c r="AX364" t="s">
        <v>262</v>
      </c>
      <c r="BO364" t="s">
        <v>261</v>
      </c>
      <c r="BQ364">
        <v>6.4000000000000001E-2</v>
      </c>
      <c r="BV364" t="s">
        <v>263</v>
      </c>
      <c r="CM364" t="s">
        <v>264</v>
      </c>
      <c r="CN364" t="s">
        <v>264</v>
      </c>
      <c r="CP364" t="s">
        <v>265</v>
      </c>
      <c r="CQ364" t="s">
        <v>394</v>
      </c>
      <c r="DB364">
        <v>4</v>
      </c>
      <c r="DG364" t="s">
        <v>267</v>
      </c>
      <c r="DI364">
        <v>96</v>
      </c>
      <c r="DN364" t="s">
        <v>268</v>
      </c>
      <c r="DP364" t="s">
        <v>823</v>
      </c>
      <c r="DR364">
        <v>136180</v>
      </c>
      <c r="DS364">
        <v>376</v>
      </c>
      <c r="DT364" t="s">
        <v>814</v>
      </c>
      <c r="EW364" t="s">
        <v>271</v>
      </c>
      <c r="FK364" t="s">
        <v>1000</v>
      </c>
      <c r="FM364">
        <v>20</v>
      </c>
      <c r="FR364" t="s">
        <v>295</v>
      </c>
      <c r="GU364">
        <v>10</v>
      </c>
      <c r="GZ364" t="s">
        <v>296</v>
      </c>
      <c r="HH364" t="s">
        <v>272</v>
      </c>
      <c r="ID364" t="s">
        <v>1001</v>
      </c>
      <c r="IE364" t="s">
        <v>816</v>
      </c>
      <c r="IF364">
        <v>8445</v>
      </c>
      <c r="IG364" t="s">
        <v>817</v>
      </c>
      <c r="IH364" t="s">
        <v>818</v>
      </c>
      <c r="II364">
        <v>1978</v>
      </c>
      <c r="IJ364" t="s">
        <v>819</v>
      </c>
    </row>
    <row r="365" spans="1:244" x14ac:dyDescent="0.45">
      <c r="A365">
        <v>1047098</v>
      </c>
      <c r="B365">
        <v>115191</v>
      </c>
      <c r="C365">
        <v>7440508</v>
      </c>
      <c r="D365" t="s">
        <v>1063</v>
      </c>
      <c r="F365" t="s">
        <v>245</v>
      </c>
      <c r="G365" t="s">
        <v>246</v>
      </c>
      <c r="N365" t="s">
        <v>1105</v>
      </c>
      <c r="O365" t="s">
        <v>388</v>
      </c>
      <c r="P365" t="s">
        <v>249</v>
      </c>
      <c r="Q365" t="s">
        <v>250</v>
      </c>
      <c r="R365" t="s">
        <v>251</v>
      </c>
      <c r="T365" t="s">
        <v>389</v>
      </c>
      <c r="U365" t="s">
        <v>390</v>
      </c>
      <c r="V365" t="s">
        <v>391</v>
      </c>
      <c r="W365" t="s">
        <v>392</v>
      </c>
      <c r="X365" t="s">
        <v>1106</v>
      </c>
      <c r="Z365" t="s">
        <v>525</v>
      </c>
      <c r="AB365">
        <v>2</v>
      </c>
      <c r="AG365" t="s">
        <v>598</v>
      </c>
      <c r="AM365" t="s">
        <v>258</v>
      </c>
      <c r="AN365" t="s">
        <v>259</v>
      </c>
      <c r="AO365" t="s">
        <v>260</v>
      </c>
      <c r="AQ365" t="s">
        <v>261</v>
      </c>
      <c r="AS365">
        <v>0.3</v>
      </c>
      <c r="AU365">
        <v>0.02</v>
      </c>
      <c r="AW365">
        <v>2</v>
      </c>
      <c r="AX365" t="s">
        <v>1107</v>
      </c>
      <c r="BO365" t="s">
        <v>261</v>
      </c>
      <c r="BQ365">
        <v>1.9063799999999999E-2</v>
      </c>
      <c r="BS365">
        <v>1.27092E-3</v>
      </c>
      <c r="BU365">
        <v>0.12709200000000001</v>
      </c>
      <c r="BV365" t="s">
        <v>263</v>
      </c>
      <c r="CM365" t="s">
        <v>264</v>
      </c>
      <c r="CN365" t="s">
        <v>264</v>
      </c>
      <c r="CP365" t="s">
        <v>265</v>
      </c>
      <c r="DB365">
        <v>4</v>
      </c>
      <c r="DG365" t="s">
        <v>267</v>
      </c>
      <c r="DI365">
        <v>96</v>
      </c>
      <c r="DN365" t="s">
        <v>268</v>
      </c>
      <c r="DR365">
        <v>6832</v>
      </c>
      <c r="DS365">
        <v>983</v>
      </c>
      <c r="DT365" t="s">
        <v>1108</v>
      </c>
      <c r="EW365" t="s">
        <v>271</v>
      </c>
      <c r="GU365">
        <v>35</v>
      </c>
      <c r="GZ365" t="s">
        <v>296</v>
      </c>
      <c r="HH365" t="s">
        <v>272</v>
      </c>
      <c r="IE365" t="s">
        <v>1109</v>
      </c>
      <c r="IF365">
        <v>2977</v>
      </c>
      <c r="IG365" t="s">
        <v>1110</v>
      </c>
      <c r="IH365" t="s">
        <v>1111</v>
      </c>
      <c r="II365">
        <v>1988</v>
      </c>
      <c r="IJ365" t="s">
        <v>1112</v>
      </c>
    </row>
    <row r="366" spans="1:244" x14ac:dyDescent="0.45">
      <c r="A366">
        <v>1047103</v>
      </c>
      <c r="B366">
        <v>115196</v>
      </c>
      <c r="C366">
        <v>7440508</v>
      </c>
      <c r="D366" t="s">
        <v>1063</v>
      </c>
      <c r="F366" t="s">
        <v>245</v>
      </c>
      <c r="G366" t="s">
        <v>246</v>
      </c>
      <c r="N366" t="s">
        <v>1105</v>
      </c>
      <c r="O366" t="s">
        <v>388</v>
      </c>
      <c r="P366" t="s">
        <v>249</v>
      </c>
      <c r="Q366" t="s">
        <v>250</v>
      </c>
      <c r="R366" t="s">
        <v>251</v>
      </c>
      <c r="T366" t="s">
        <v>389</v>
      </c>
      <c r="U366" t="s">
        <v>390</v>
      </c>
      <c r="V366" t="s">
        <v>391</v>
      </c>
      <c r="W366" t="s">
        <v>392</v>
      </c>
      <c r="X366" t="s">
        <v>1106</v>
      </c>
      <c r="Z366" t="s">
        <v>1123</v>
      </c>
      <c r="AB366">
        <v>1</v>
      </c>
      <c r="AG366" t="s">
        <v>598</v>
      </c>
      <c r="AM366" t="s">
        <v>258</v>
      </c>
      <c r="AN366" t="s">
        <v>259</v>
      </c>
      <c r="AO366" t="s">
        <v>260</v>
      </c>
      <c r="AQ366" t="s">
        <v>261</v>
      </c>
      <c r="AS366">
        <v>5.9</v>
      </c>
      <c r="AU366">
        <v>4.5999999999999996</v>
      </c>
      <c r="AW366">
        <v>7.2</v>
      </c>
      <c r="AX366" t="s">
        <v>1107</v>
      </c>
      <c r="BO366" t="s">
        <v>261</v>
      </c>
      <c r="BQ366">
        <v>0.37492140000000002</v>
      </c>
      <c r="BS366">
        <v>0.2923116</v>
      </c>
      <c r="BU366">
        <v>0.45753120000000003</v>
      </c>
      <c r="BV366" t="s">
        <v>263</v>
      </c>
      <c r="CM366" t="s">
        <v>264</v>
      </c>
      <c r="CN366" t="s">
        <v>264</v>
      </c>
      <c r="CP366" t="s">
        <v>265</v>
      </c>
      <c r="DB366">
        <v>4</v>
      </c>
      <c r="DG366" t="s">
        <v>267</v>
      </c>
      <c r="DI366">
        <v>96</v>
      </c>
      <c r="DN366" t="s">
        <v>268</v>
      </c>
      <c r="DR366">
        <v>6832</v>
      </c>
      <c r="DS366">
        <v>983</v>
      </c>
      <c r="DT366" t="s">
        <v>1108</v>
      </c>
      <c r="EW366" t="s">
        <v>271</v>
      </c>
      <c r="GU366">
        <v>35</v>
      </c>
      <c r="GZ366" t="s">
        <v>296</v>
      </c>
      <c r="HH366" t="s">
        <v>272</v>
      </c>
      <c r="IE366" t="s">
        <v>1109</v>
      </c>
      <c r="IF366">
        <v>2977</v>
      </c>
      <c r="IG366" t="s">
        <v>1110</v>
      </c>
      <c r="IH366" t="s">
        <v>1111</v>
      </c>
      <c r="II366">
        <v>1988</v>
      </c>
      <c r="IJ366" t="s">
        <v>1112</v>
      </c>
    </row>
    <row r="367" spans="1:244" x14ac:dyDescent="0.45">
      <c r="A367">
        <v>1047105</v>
      </c>
      <c r="B367">
        <v>115198</v>
      </c>
      <c r="C367">
        <v>7440508</v>
      </c>
      <c r="D367" t="s">
        <v>1063</v>
      </c>
      <c r="F367" t="s">
        <v>245</v>
      </c>
      <c r="G367" t="s">
        <v>246</v>
      </c>
      <c r="N367" t="s">
        <v>1105</v>
      </c>
      <c r="O367" t="s">
        <v>388</v>
      </c>
      <c r="P367" t="s">
        <v>249</v>
      </c>
      <c r="Q367" t="s">
        <v>250</v>
      </c>
      <c r="R367" t="s">
        <v>251</v>
      </c>
      <c r="T367" t="s">
        <v>389</v>
      </c>
      <c r="U367" t="s">
        <v>390</v>
      </c>
      <c r="V367" t="s">
        <v>391</v>
      </c>
      <c r="W367" t="s">
        <v>392</v>
      </c>
      <c r="X367" t="s">
        <v>1106</v>
      </c>
      <c r="Z367" t="s">
        <v>1123</v>
      </c>
      <c r="AB367">
        <v>3</v>
      </c>
      <c r="AG367" t="s">
        <v>598</v>
      </c>
      <c r="AM367" t="s">
        <v>258</v>
      </c>
      <c r="AN367" t="s">
        <v>259</v>
      </c>
      <c r="AO367" t="s">
        <v>260</v>
      </c>
      <c r="AQ367" t="s">
        <v>261</v>
      </c>
      <c r="AS367">
        <v>6.5</v>
      </c>
      <c r="AU367">
        <v>5</v>
      </c>
      <c r="AW367">
        <v>8.1999999999999993</v>
      </c>
      <c r="AX367" t="s">
        <v>1107</v>
      </c>
      <c r="BO367" t="s">
        <v>261</v>
      </c>
      <c r="BQ367">
        <v>0.413049</v>
      </c>
      <c r="BS367">
        <v>0.31773000000000001</v>
      </c>
      <c r="BU367">
        <v>0.52107720000000002</v>
      </c>
      <c r="BV367" t="s">
        <v>263</v>
      </c>
      <c r="CM367" t="s">
        <v>264</v>
      </c>
      <c r="CN367" t="s">
        <v>264</v>
      </c>
      <c r="CP367" t="s">
        <v>265</v>
      </c>
      <c r="DB367">
        <v>4</v>
      </c>
      <c r="DG367" t="s">
        <v>267</v>
      </c>
      <c r="DI367">
        <v>96</v>
      </c>
      <c r="DN367" t="s">
        <v>268</v>
      </c>
      <c r="DR367">
        <v>6832</v>
      </c>
      <c r="DS367">
        <v>983</v>
      </c>
      <c r="DT367" t="s">
        <v>1108</v>
      </c>
      <c r="EW367" t="s">
        <v>271</v>
      </c>
      <c r="GU367">
        <v>35</v>
      </c>
      <c r="GZ367" t="s">
        <v>296</v>
      </c>
      <c r="HH367" t="s">
        <v>272</v>
      </c>
      <c r="IE367" t="s">
        <v>1109</v>
      </c>
      <c r="IF367">
        <v>2977</v>
      </c>
      <c r="IG367" t="s">
        <v>1110</v>
      </c>
      <c r="IH367" t="s">
        <v>1111</v>
      </c>
      <c r="II367">
        <v>1988</v>
      </c>
      <c r="IJ367" t="s">
        <v>1112</v>
      </c>
    </row>
    <row r="368" spans="1:244" x14ac:dyDescent="0.45">
      <c r="A368">
        <v>1047107</v>
      </c>
      <c r="B368">
        <v>115200</v>
      </c>
      <c r="C368">
        <v>7440508</v>
      </c>
      <c r="D368" t="s">
        <v>1063</v>
      </c>
      <c r="F368" t="s">
        <v>245</v>
      </c>
      <c r="G368" t="s">
        <v>246</v>
      </c>
      <c r="N368" t="s">
        <v>1105</v>
      </c>
      <c r="O368" t="s">
        <v>388</v>
      </c>
      <c r="P368" t="s">
        <v>249</v>
      </c>
      <c r="Q368" t="s">
        <v>250</v>
      </c>
      <c r="R368" t="s">
        <v>251</v>
      </c>
      <c r="T368" t="s">
        <v>389</v>
      </c>
      <c r="U368" t="s">
        <v>390</v>
      </c>
      <c r="V368" t="s">
        <v>391</v>
      </c>
      <c r="W368" t="s">
        <v>392</v>
      </c>
      <c r="X368" t="s">
        <v>1106</v>
      </c>
      <c r="Z368" t="s">
        <v>1123</v>
      </c>
      <c r="AB368">
        <v>5</v>
      </c>
      <c r="AG368" t="s">
        <v>598</v>
      </c>
      <c r="AM368" t="s">
        <v>258</v>
      </c>
      <c r="AN368" t="s">
        <v>259</v>
      </c>
      <c r="AO368" t="s">
        <v>260</v>
      </c>
      <c r="AQ368" t="s">
        <v>261</v>
      </c>
      <c r="AS368">
        <v>6.2</v>
      </c>
      <c r="AU368">
        <v>4.5</v>
      </c>
      <c r="AW368">
        <v>7.9</v>
      </c>
      <c r="AX368" t="s">
        <v>1107</v>
      </c>
      <c r="BO368" t="s">
        <v>261</v>
      </c>
      <c r="BQ368">
        <v>0.39398519999999998</v>
      </c>
      <c r="BS368">
        <v>0.28595700000000002</v>
      </c>
      <c r="BU368">
        <v>0.50201340000000005</v>
      </c>
      <c r="BV368" t="s">
        <v>263</v>
      </c>
      <c r="CM368" t="s">
        <v>264</v>
      </c>
      <c r="CN368" t="s">
        <v>264</v>
      </c>
      <c r="CP368" t="s">
        <v>265</v>
      </c>
      <c r="DB368">
        <v>4</v>
      </c>
      <c r="DG368" t="s">
        <v>267</v>
      </c>
      <c r="DI368">
        <v>96</v>
      </c>
      <c r="DN368" t="s">
        <v>268</v>
      </c>
      <c r="DR368">
        <v>6832</v>
      </c>
      <c r="DS368">
        <v>983</v>
      </c>
      <c r="DT368" t="s">
        <v>1108</v>
      </c>
      <c r="EW368" t="s">
        <v>271</v>
      </c>
      <c r="GU368">
        <v>35</v>
      </c>
      <c r="GZ368" t="s">
        <v>296</v>
      </c>
      <c r="HH368" t="s">
        <v>272</v>
      </c>
      <c r="IE368" t="s">
        <v>1109</v>
      </c>
      <c r="IF368">
        <v>2977</v>
      </c>
      <c r="IG368" t="s">
        <v>1110</v>
      </c>
      <c r="IH368" t="s">
        <v>1111</v>
      </c>
      <c r="II368">
        <v>1988</v>
      </c>
      <c r="IJ368" t="s">
        <v>1112</v>
      </c>
    </row>
    <row r="369" spans="1:244" x14ac:dyDescent="0.45">
      <c r="A369">
        <v>1134114</v>
      </c>
      <c r="B369">
        <v>107410</v>
      </c>
      <c r="C369">
        <v>7440508</v>
      </c>
      <c r="D369" t="s">
        <v>1063</v>
      </c>
      <c r="F369" t="s">
        <v>327</v>
      </c>
      <c r="G369" t="s">
        <v>246</v>
      </c>
      <c r="N369" t="s">
        <v>829</v>
      </c>
      <c r="O369" t="s">
        <v>631</v>
      </c>
      <c r="P369" t="s">
        <v>249</v>
      </c>
      <c r="Q369" t="s">
        <v>250</v>
      </c>
      <c r="R369" t="s">
        <v>251</v>
      </c>
      <c r="T369" t="s">
        <v>389</v>
      </c>
      <c r="U369" t="s">
        <v>632</v>
      </c>
      <c r="V369" t="s">
        <v>830</v>
      </c>
      <c r="W369" t="s">
        <v>831</v>
      </c>
      <c r="X369" t="s">
        <v>832</v>
      </c>
      <c r="Z369" t="s">
        <v>1034</v>
      </c>
      <c r="AL369" t="s">
        <v>1035</v>
      </c>
      <c r="AM369" t="s">
        <v>317</v>
      </c>
      <c r="AN369" t="s">
        <v>259</v>
      </c>
      <c r="AO369" t="s">
        <v>260</v>
      </c>
      <c r="AQ369" t="s">
        <v>261</v>
      </c>
      <c r="AS369">
        <v>7.5</v>
      </c>
      <c r="AU369">
        <v>1.5</v>
      </c>
      <c r="AW369">
        <v>44.7</v>
      </c>
      <c r="AX369" t="s">
        <v>262</v>
      </c>
      <c r="BO369" t="s">
        <v>261</v>
      </c>
      <c r="BQ369">
        <v>7.4999999999999997E-3</v>
      </c>
      <c r="BS369">
        <v>1.5E-3</v>
      </c>
      <c r="BU369">
        <v>4.4699999999999997E-2</v>
      </c>
      <c r="BV369" t="s">
        <v>263</v>
      </c>
      <c r="CM369" t="s">
        <v>264</v>
      </c>
      <c r="CN369" t="s">
        <v>264</v>
      </c>
      <c r="CP369" t="s">
        <v>265</v>
      </c>
      <c r="DB369">
        <v>4</v>
      </c>
      <c r="DG369" t="s">
        <v>267</v>
      </c>
      <c r="DI369">
        <v>96</v>
      </c>
      <c r="DN369" t="s">
        <v>268</v>
      </c>
      <c r="DQ369" t="s">
        <v>1036</v>
      </c>
      <c r="DR369">
        <v>88015</v>
      </c>
      <c r="DS369">
        <v>649</v>
      </c>
      <c r="DT369" t="s">
        <v>1037</v>
      </c>
      <c r="EW369" t="s">
        <v>271</v>
      </c>
      <c r="FM369">
        <v>15</v>
      </c>
      <c r="FR369" t="s">
        <v>295</v>
      </c>
      <c r="GU369">
        <v>10</v>
      </c>
      <c r="GZ369" t="s">
        <v>296</v>
      </c>
      <c r="HH369" t="s">
        <v>272</v>
      </c>
      <c r="IE369" t="s">
        <v>1038</v>
      </c>
      <c r="IF369">
        <v>10900</v>
      </c>
      <c r="IG369" t="s">
        <v>1039</v>
      </c>
      <c r="IH369" t="s">
        <v>1040</v>
      </c>
      <c r="II369">
        <v>1983</v>
      </c>
      <c r="IJ369" t="s">
        <v>1041</v>
      </c>
    </row>
    <row r="370" spans="1:244" x14ac:dyDescent="0.45">
      <c r="A370">
        <v>1047108</v>
      </c>
      <c r="B370">
        <v>115201</v>
      </c>
      <c r="C370">
        <v>7440508</v>
      </c>
      <c r="D370" t="s">
        <v>1063</v>
      </c>
      <c r="F370" t="s">
        <v>245</v>
      </c>
      <c r="G370" t="s">
        <v>246</v>
      </c>
      <c r="N370" t="s">
        <v>1105</v>
      </c>
      <c r="O370" t="s">
        <v>388</v>
      </c>
      <c r="P370" t="s">
        <v>249</v>
      </c>
      <c r="Q370" t="s">
        <v>250</v>
      </c>
      <c r="R370" t="s">
        <v>251</v>
      </c>
      <c r="T370" t="s">
        <v>389</v>
      </c>
      <c r="U370" t="s">
        <v>390</v>
      </c>
      <c r="V370" t="s">
        <v>391</v>
      </c>
      <c r="W370" t="s">
        <v>392</v>
      </c>
      <c r="X370" t="s">
        <v>1106</v>
      </c>
      <c r="Z370" t="s">
        <v>1123</v>
      </c>
      <c r="AB370">
        <v>6</v>
      </c>
      <c r="AG370" t="s">
        <v>598</v>
      </c>
      <c r="AM370" t="s">
        <v>258</v>
      </c>
      <c r="AN370" t="s">
        <v>259</v>
      </c>
      <c r="AO370" t="s">
        <v>260</v>
      </c>
      <c r="AQ370" t="s">
        <v>261</v>
      </c>
      <c r="AS370">
        <v>12</v>
      </c>
      <c r="AU370">
        <v>10</v>
      </c>
      <c r="AW370">
        <v>14</v>
      </c>
      <c r="AX370" t="s">
        <v>1107</v>
      </c>
      <c r="BO370" t="s">
        <v>261</v>
      </c>
      <c r="BQ370">
        <v>0.76255200000000001</v>
      </c>
      <c r="BS370">
        <v>0.63546000000000002</v>
      </c>
      <c r="BU370">
        <v>0.88964399999999999</v>
      </c>
      <c r="BV370" t="s">
        <v>263</v>
      </c>
      <c r="CM370" t="s">
        <v>264</v>
      </c>
      <c r="CN370" t="s">
        <v>264</v>
      </c>
      <c r="CP370" t="s">
        <v>265</v>
      </c>
      <c r="DB370">
        <v>4</v>
      </c>
      <c r="DG370" t="s">
        <v>267</v>
      </c>
      <c r="DI370">
        <v>96</v>
      </c>
      <c r="DN370" t="s">
        <v>268</v>
      </c>
      <c r="DR370">
        <v>6832</v>
      </c>
      <c r="DS370">
        <v>983</v>
      </c>
      <c r="DT370" t="s">
        <v>1108</v>
      </c>
      <c r="EW370" t="s">
        <v>271</v>
      </c>
      <c r="GU370">
        <v>35</v>
      </c>
      <c r="GZ370" t="s">
        <v>296</v>
      </c>
      <c r="HH370" t="s">
        <v>272</v>
      </c>
      <c r="IE370" t="s">
        <v>1109</v>
      </c>
      <c r="IF370">
        <v>2977</v>
      </c>
      <c r="IG370" t="s">
        <v>1110</v>
      </c>
      <c r="IH370" t="s">
        <v>1111</v>
      </c>
      <c r="II370">
        <v>1988</v>
      </c>
      <c r="IJ370" t="s">
        <v>1112</v>
      </c>
    </row>
    <row r="371" spans="1:244" x14ac:dyDescent="0.45">
      <c r="A371">
        <v>1274191</v>
      </c>
      <c r="B371">
        <v>725514</v>
      </c>
      <c r="C371">
        <v>7440666</v>
      </c>
      <c r="D371" t="s">
        <v>1124</v>
      </c>
      <c r="F371" t="s">
        <v>245</v>
      </c>
      <c r="G371" t="s">
        <v>246</v>
      </c>
      <c r="N371" t="s">
        <v>944</v>
      </c>
      <c r="O371" t="s">
        <v>945</v>
      </c>
      <c r="P371" t="s">
        <v>249</v>
      </c>
      <c r="Q371" t="s">
        <v>250</v>
      </c>
      <c r="R371" t="s">
        <v>251</v>
      </c>
      <c r="T371" t="s">
        <v>252</v>
      </c>
      <c r="U371" t="s">
        <v>253</v>
      </c>
      <c r="V371" t="s">
        <v>418</v>
      </c>
      <c r="W371" t="s">
        <v>946</v>
      </c>
      <c r="X371" t="s">
        <v>947</v>
      </c>
      <c r="Z371" t="s">
        <v>421</v>
      </c>
      <c r="AL371" t="s">
        <v>948</v>
      </c>
      <c r="AM371" t="s">
        <v>258</v>
      </c>
      <c r="AN371" t="s">
        <v>259</v>
      </c>
      <c r="AO371" t="s">
        <v>260</v>
      </c>
      <c r="AP371">
        <v>6</v>
      </c>
      <c r="AQ371" t="s">
        <v>261</v>
      </c>
      <c r="AS371">
        <v>1.75</v>
      </c>
      <c r="AU371">
        <v>1.49</v>
      </c>
      <c r="AW371">
        <v>2.0499999999999998</v>
      </c>
      <c r="AX371" t="s">
        <v>356</v>
      </c>
      <c r="BO371" t="s">
        <v>261</v>
      </c>
      <c r="BQ371">
        <v>1.75</v>
      </c>
      <c r="BS371">
        <v>1.49</v>
      </c>
      <c r="BU371">
        <v>2.0499999999999998</v>
      </c>
      <c r="BV371" t="s">
        <v>263</v>
      </c>
      <c r="CM371" t="s">
        <v>264</v>
      </c>
      <c r="CN371" t="s">
        <v>264</v>
      </c>
      <c r="CP371" t="s">
        <v>265</v>
      </c>
      <c r="CQ371" t="s">
        <v>518</v>
      </c>
      <c r="DB371">
        <v>3</v>
      </c>
      <c r="DG371" t="s">
        <v>267</v>
      </c>
      <c r="DI371">
        <v>72</v>
      </c>
      <c r="DN371" t="s">
        <v>268</v>
      </c>
      <c r="DP371" t="s">
        <v>1125</v>
      </c>
      <c r="DR371">
        <v>6689</v>
      </c>
      <c r="DS371">
        <v>11779</v>
      </c>
      <c r="DT371" t="s">
        <v>949</v>
      </c>
      <c r="EW371" t="s">
        <v>293</v>
      </c>
      <c r="FA371" t="s">
        <v>950</v>
      </c>
      <c r="FK371" t="s">
        <v>1126</v>
      </c>
      <c r="FM371">
        <v>25</v>
      </c>
      <c r="FR371" t="s">
        <v>295</v>
      </c>
      <c r="GJ371">
        <v>5.8</v>
      </c>
      <c r="GL371">
        <v>6.5</v>
      </c>
      <c r="GM371" t="s">
        <v>356</v>
      </c>
      <c r="GQ371">
        <v>7.15</v>
      </c>
      <c r="GS371">
        <v>7.87</v>
      </c>
      <c r="GU371">
        <v>15</v>
      </c>
      <c r="GZ371" t="s">
        <v>362</v>
      </c>
      <c r="HD371">
        <v>32</v>
      </c>
      <c r="HF371">
        <v>152</v>
      </c>
      <c r="HG371" t="s">
        <v>952</v>
      </c>
      <c r="HH371" t="s">
        <v>272</v>
      </c>
      <c r="ID371" t="s">
        <v>1127</v>
      </c>
      <c r="IE371" t="s">
        <v>954</v>
      </c>
      <c r="IF371">
        <v>76280</v>
      </c>
      <c r="IG371" t="s">
        <v>955</v>
      </c>
      <c r="IH371" t="s">
        <v>956</v>
      </c>
      <c r="II371">
        <v>2004</v>
      </c>
      <c r="IJ371" t="s">
        <v>957</v>
      </c>
    </row>
    <row r="372" spans="1:244" x14ac:dyDescent="0.45">
      <c r="A372">
        <v>1270048</v>
      </c>
      <c r="B372">
        <v>721346</v>
      </c>
      <c r="C372">
        <v>7440666</v>
      </c>
      <c r="D372" t="s">
        <v>1124</v>
      </c>
      <c r="F372" t="s">
        <v>245</v>
      </c>
      <c r="G372" t="s">
        <v>246</v>
      </c>
      <c r="N372" t="s">
        <v>671</v>
      </c>
      <c r="O372" t="s">
        <v>672</v>
      </c>
      <c r="P372" t="s">
        <v>249</v>
      </c>
      <c r="Q372" t="s">
        <v>250</v>
      </c>
      <c r="R372" t="s">
        <v>251</v>
      </c>
      <c r="T372" t="s">
        <v>252</v>
      </c>
      <c r="U372" t="s">
        <v>253</v>
      </c>
      <c r="V372" t="s">
        <v>673</v>
      </c>
      <c r="W372" t="s">
        <v>674</v>
      </c>
      <c r="X372" t="s">
        <v>675</v>
      </c>
      <c r="Z372" t="s">
        <v>284</v>
      </c>
      <c r="AM372" t="s">
        <v>258</v>
      </c>
      <c r="AN372" t="s">
        <v>259</v>
      </c>
      <c r="AO372" t="s">
        <v>260</v>
      </c>
      <c r="AP372">
        <v>7</v>
      </c>
      <c r="AQ372" t="s">
        <v>261</v>
      </c>
      <c r="AS372">
        <v>4.9000000000000002E-2</v>
      </c>
      <c r="AX372" t="s">
        <v>356</v>
      </c>
      <c r="BO372" t="s">
        <v>261</v>
      </c>
      <c r="BQ372">
        <v>4.9000000000000002E-2</v>
      </c>
      <c r="BV372" t="s">
        <v>263</v>
      </c>
      <c r="CM372" t="s">
        <v>264</v>
      </c>
      <c r="CN372" t="s">
        <v>264</v>
      </c>
      <c r="CP372" t="s">
        <v>265</v>
      </c>
      <c r="DB372">
        <v>4</v>
      </c>
      <c r="DG372" t="s">
        <v>267</v>
      </c>
      <c r="DI372">
        <v>96</v>
      </c>
      <c r="DN372" t="s">
        <v>268</v>
      </c>
      <c r="DP372" t="s">
        <v>1125</v>
      </c>
      <c r="DR372">
        <v>607701</v>
      </c>
      <c r="DS372">
        <v>18409</v>
      </c>
      <c r="DT372" t="s">
        <v>677</v>
      </c>
      <c r="EW372" t="s">
        <v>293</v>
      </c>
      <c r="FK372" t="s">
        <v>1128</v>
      </c>
      <c r="FM372">
        <v>20</v>
      </c>
      <c r="FR372" t="s">
        <v>295</v>
      </c>
      <c r="GU372">
        <v>24</v>
      </c>
      <c r="GZ372" t="s">
        <v>296</v>
      </c>
      <c r="HH372" t="s">
        <v>272</v>
      </c>
      <c r="ID372" t="s">
        <v>1129</v>
      </c>
      <c r="IE372" t="s">
        <v>680</v>
      </c>
      <c r="IF372">
        <v>84127</v>
      </c>
      <c r="IG372" t="s">
        <v>681</v>
      </c>
      <c r="IH372" t="s">
        <v>682</v>
      </c>
      <c r="II372">
        <v>2005</v>
      </c>
      <c r="IJ372" t="s">
        <v>683</v>
      </c>
    </row>
    <row r="373" spans="1:244" x14ac:dyDescent="0.45">
      <c r="A373">
        <v>1165652</v>
      </c>
      <c r="B373">
        <v>48444</v>
      </c>
      <c r="C373">
        <v>7440666</v>
      </c>
      <c r="D373" t="s">
        <v>1124</v>
      </c>
      <c r="F373" t="s">
        <v>245</v>
      </c>
      <c r="G373" t="s">
        <v>246</v>
      </c>
      <c r="N373" t="s">
        <v>416</v>
      </c>
      <c r="O373" t="s">
        <v>417</v>
      </c>
      <c r="P373" t="s">
        <v>249</v>
      </c>
      <c r="Q373" t="s">
        <v>250</v>
      </c>
      <c r="R373" t="s">
        <v>251</v>
      </c>
      <c r="T373" t="s">
        <v>252</v>
      </c>
      <c r="U373" t="s">
        <v>253</v>
      </c>
      <c r="V373" t="s">
        <v>418</v>
      </c>
      <c r="W373" t="s">
        <v>419</v>
      </c>
      <c r="X373" t="s">
        <v>420</v>
      </c>
      <c r="AL373" t="s">
        <v>697</v>
      </c>
      <c r="AM373" t="s">
        <v>287</v>
      </c>
      <c r="AN373" t="s">
        <v>259</v>
      </c>
      <c r="AO373" t="s">
        <v>260</v>
      </c>
      <c r="AQ373" t="s">
        <v>261</v>
      </c>
      <c r="AS373">
        <v>3940</v>
      </c>
      <c r="AX373" t="s">
        <v>262</v>
      </c>
      <c r="BO373" t="s">
        <v>261</v>
      </c>
      <c r="BQ373">
        <v>3.94</v>
      </c>
      <c r="BV373" t="s">
        <v>263</v>
      </c>
      <c r="CM373" t="s">
        <v>264</v>
      </c>
      <c r="CN373" t="s">
        <v>264</v>
      </c>
      <c r="CP373" t="s">
        <v>265</v>
      </c>
      <c r="DB373">
        <v>1</v>
      </c>
      <c r="DG373" t="s">
        <v>267</v>
      </c>
      <c r="DI373">
        <v>24</v>
      </c>
      <c r="DN373" t="s">
        <v>268</v>
      </c>
      <c r="DS373">
        <v>1009</v>
      </c>
      <c r="EW373" t="s">
        <v>272</v>
      </c>
      <c r="HH373" t="s">
        <v>272</v>
      </c>
      <c r="IE373" t="s">
        <v>686</v>
      </c>
      <c r="IF373">
        <v>14577</v>
      </c>
      <c r="IG373" t="s">
        <v>687</v>
      </c>
      <c r="IH373" t="s">
        <v>688</v>
      </c>
      <c r="II373">
        <v>1993</v>
      </c>
      <c r="IJ373" t="s">
        <v>689</v>
      </c>
    </row>
    <row r="374" spans="1:244" x14ac:dyDescent="0.45">
      <c r="A374">
        <v>1270044</v>
      </c>
      <c r="B374">
        <v>721342</v>
      </c>
      <c r="C374">
        <v>7440666</v>
      </c>
      <c r="D374" t="s">
        <v>1124</v>
      </c>
      <c r="F374" t="s">
        <v>245</v>
      </c>
      <c r="G374" t="s">
        <v>246</v>
      </c>
      <c r="N374" t="s">
        <v>671</v>
      </c>
      <c r="O374" t="s">
        <v>672</v>
      </c>
      <c r="P374" t="s">
        <v>249</v>
      </c>
      <c r="Q374" t="s">
        <v>250</v>
      </c>
      <c r="R374" t="s">
        <v>251</v>
      </c>
      <c r="T374" t="s">
        <v>252</v>
      </c>
      <c r="U374" t="s">
        <v>253</v>
      </c>
      <c r="V374" t="s">
        <v>673</v>
      </c>
      <c r="W374" t="s">
        <v>674</v>
      </c>
      <c r="X374" t="s">
        <v>675</v>
      </c>
      <c r="Z374" t="s">
        <v>558</v>
      </c>
      <c r="AM374" t="s">
        <v>258</v>
      </c>
      <c r="AN374" t="s">
        <v>259</v>
      </c>
      <c r="AO374" t="s">
        <v>260</v>
      </c>
      <c r="AP374">
        <v>7</v>
      </c>
      <c r="AQ374" t="s">
        <v>261</v>
      </c>
      <c r="AS374">
        <v>3.5000000000000003E-2</v>
      </c>
      <c r="AX374" t="s">
        <v>356</v>
      </c>
      <c r="BO374" t="s">
        <v>261</v>
      </c>
      <c r="BQ374">
        <v>3.5000000000000003E-2</v>
      </c>
      <c r="BV374" t="s">
        <v>263</v>
      </c>
      <c r="CM374" t="s">
        <v>264</v>
      </c>
      <c r="CN374" t="s">
        <v>264</v>
      </c>
      <c r="CP374" t="s">
        <v>265</v>
      </c>
      <c r="DB374">
        <v>4</v>
      </c>
      <c r="DG374" t="s">
        <v>267</v>
      </c>
      <c r="DI374">
        <v>96</v>
      </c>
      <c r="DN374" t="s">
        <v>268</v>
      </c>
      <c r="DP374" t="s">
        <v>1125</v>
      </c>
      <c r="DR374">
        <v>607701</v>
      </c>
      <c r="DS374">
        <v>18409</v>
      </c>
      <c r="DT374" t="s">
        <v>677</v>
      </c>
      <c r="EW374" t="s">
        <v>293</v>
      </c>
      <c r="FK374" t="s">
        <v>1130</v>
      </c>
      <c r="FM374">
        <v>20</v>
      </c>
      <c r="FR374" t="s">
        <v>295</v>
      </c>
      <c r="GU374">
        <v>24</v>
      </c>
      <c r="GZ374" t="s">
        <v>296</v>
      </c>
      <c r="HH374" t="s">
        <v>272</v>
      </c>
      <c r="ID374" t="s">
        <v>1131</v>
      </c>
      <c r="IE374" t="s">
        <v>680</v>
      </c>
      <c r="IF374">
        <v>84127</v>
      </c>
      <c r="IG374" t="s">
        <v>681</v>
      </c>
      <c r="IH374" t="s">
        <v>682</v>
      </c>
      <c r="II374">
        <v>2005</v>
      </c>
      <c r="IJ374" t="s">
        <v>683</v>
      </c>
    </row>
    <row r="375" spans="1:244" x14ac:dyDescent="0.45">
      <c r="A375">
        <v>1270043</v>
      </c>
      <c r="B375">
        <v>721341</v>
      </c>
      <c r="C375">
        <v>7440666</v>
      </c>
      <c r="D375" t="s">
        <v>1124</v>
      </c>
      <c r="F375" t="s">
        <v>245</v>
      </c>
      <c r="G375" t="s">
        <v>246</v>
      </c>
      <c r="N375" t="s">
        <v>671</v>
      </c>
      <c r="O375" t="s">
        <v>672</v>
      </c>
      <c r="P375" t="s">
        <v>249</v>
      </c>
      <c r="Q375" t="s">
        <v>250</v>
      </c>
      <c r="R375" t="s">
        <v>251</v>
      </c>
      <c r="T375" t="s">
        <v>252</v>
      </c>
      <c r="U375" t="s">
        <v>253</v>
      </c>
      <c r="V375" t="s">
        <v>673</v>
      </c>
      <c r="W375" t="s">
        <v>674</v>
      </c>
      <c r="X375" t="s">
        <v>675</v>
      </c>
      <c r="Z375" t="s">
        <v>558</v>
      </c>
      <c r="AM375" t="s">
        <v>258</v>
      </c>
      <c r="AN375" t="s">
        <v>259</v>
      </c>
      <c r="AO375" t="s">
        <v>260</v>
      </c>
      <c r="AP375">
        <v>7</v>
      </c>
      <c r="AQ375" t="s">
        <v>261</v>
      </c>
      <c r="AS375">
        <v>3.1E-2</v>
      </c>
      <c r="AX375" t="s">
        <v>356</v>
      </c>
      <c r="BO375" t="s">
        <v>261</v>
      </c>
      <c r="BQ375">
        <v>3.1E-2</v>
      </c>
      <c r="BV375" t="s">
        <v>263</v>
      </c>
      <c r="CM375" t="s">
        <v>264</v>
      </c>
      <c r="CN375" t="s">
        <v>264</v>
      </c>
      <c r="CP375" t="s">
        <v>265</v>
      </c>
      <c r="DB375">
        <v>4</v>
      </c>
      <c r="DG375" t="s">
        <v>267</v>
      </c>
      <c r="DI375">
        <v>96</v>
      </c>
      <c r="DN375" t="s">
        <v>268</v>
      </c>
      <c r="DP375" t="s">
        <v>1125</v>
      </c>
      <c r="DR375">
        <v>607701</v>
      </c>
      <c r="DS375">
        <v>18409</v>
      </c>
      <c r="DT375" t="s">
        <v>677</v>
      </c>
      <c r="EW375" t="s">
        <v>293</v>
      </c>
      <c r="FK375" t="s">
        <v>1132</v>
      </c>
      <c r="FM375">
        <v>20</v>
      </c>
      <c r="FR375" t="s">
        <v>295</v>
      </c>
      <c r="GU375">
        <v>20</v>
      </c>
      <c r="GZ375" t="s">
        <v>296</v>
      </c>
      <c r="HH375" t="s">
        <v>272</v>
      </c>
      <c r="ID375" t="s">
        <v>1133</v>
      </c>
      <c r="IE375" t="s">
        <v>680</v>
      </c>
      <c r="IF375">
        <v>84127</v>
      </c>
      <c r="IG375" t="s">
        <v>681</v>
      </c>
      <c r="IH375" t="s">
        <v>682</v>
      </c>
      <c r="II375">
        <v>2005</v>
      </c>
      <c r="IJ375" t="s">
        <v>683</v>
      </c>
    </row>
    <row r="376" spans="1:244" x14ac:dyDescent="0.45">
      <c r="A376">
        <v>1165658</v>
      </c>
      <c r="B376">
        <v>58991</v>
      </c>
      <c r="C376">
        <v>7440666</v>
      </c>
      <c r="D376" t="s">
        <v>1124</v>
      </c>
      <c r="F376" t="s">
        <v>245</v>
      </c>
      <c r="G376" t="s">
        <v>246</v>
      </c>
      <c r="N376" t="s">
        <v>452</v>
      </c>
      <c r="O376" t="s">
        <v>346</v>
      </c>
      <c r="P376" t="s">
        <v>249</v>
      </c>
      <c r="Q376" t="s">
        <v>250</v>
      </c>
      <c r="R376" t="s">
        <v>251</v>
      </c>
      <c r="T376" t="s">
        <v>347</v>
      </c>
      <c r="U376" t="s">
        <v>348</v>
      </c>
      <c r="V376" t="s">
        <v>349</v>
      </c>
      <c r="W376" t="s">
        <v>350</v>
      </c>
      <c r="X376" t="s">
        <v>453</v>
      </c>
      <c r="AM376" t="s">
        <v>287</v>
      </c>
      <c r="AN376" t="s">
        <v>259</v>
      </c>
      <c r="AO376" t="s">
        <v>260</v>
      </c>
      <c r="AQ376" t="s">
        <v>261</v>
      </c>
      <c r="AS376">
        <v>4460</v>
      </c>
      <c r="AX376" t="s">
        <v>262</v>
      </c>
      <c r="BO376" t="s">
        <v>261</v>
      </c>
      <c r="BQ376">
        <v>4.46</v>
      </c>
      <c r="BV376" t="s">
        <v>263</v>
      </c>
      <c r="CM376" t="s">
        <v>264</v>
      </c>
      <c r="CN376" t="s">
        <v>264</v>
      </c>
      <c r="CP376" t="s">
        <v>265</v>
      </c>
      <c r="DB376">
        <v>1</v>
      </c>
      <c r="DG376" t="s">
        <v>267</v>
      </c>
      <c r="DI376">
        <v>24</v>
      </c>
      <c r="DN376" t="s">
        <v>268</v>
      </c>
      <c r="DR376">
        <v>85549</v>
      </c>
      <c r="DS376">
        <v>366</v>
      </c>
      <c r="EW376" t="s">
        <v>272</v>
      </c>
      <c r="HH376" t="s">
        <v>272</v>
      </c>
      <c r="IE376" t="s">
        <v>686</v>
      </c>
      <c r="IF376">
        <v>14577</v>
      </c>
      <c r="IG376" t="s">
        <v>687</v>
      </c>
      <c r="IH376" t="s">
        <v>688</v>
      </c>
      <c r="II376">
        <v>1993</v>
      </c>
      <c r="IJ376" t="s">
        <v>689</v>
      </c>
    </row>
    <row r="377" spans="1:244" x14ac:dyDescent="0.45">
      <c r="A377">
        <v>1119391</v>
      </c>
      <c r="B377">
        <v>70685</v>
      </c>
      <c r="C377">
        <v>7440666</v>
      </c>
      <c r="D377" t="s">
        <v>1124</v>
      </c>
      <c r="F377" t="s">
        <v>245</v>
      </c>
      <c r="G377" t="s">
        <v>246</v>
      </c>
      <c r="N377" t="s">
        <v>546</v>
      </c>
      <c r="O377" t="s">
        <v>547</v>
      </c>
      <c r="P377" t="s">
        <v>249</v>
      </c>
      <c r="Q377" t="s">
        <v>250</v>
      </c>
      <c r="R377" t="s">
        <v>251</v>
      </c>
      <c r="T377" t="s">
        <v>252</v>
      </c>
      <c r="U377" t="s">
        <v>253</v>
      </c>
      <c r="V377" t="s">
        <v>548</v>
      </c>
      <c r="W377" t="s">
        <v>549</v>
      </c>
      <c r="X377" t="s">
        <v>550</v>
      </c>
      <c r="AM377" t="s">
        <v>317</v>
      </c>
      <c r="AN377" t="s">
        <v>259</v>
      </c>
      <c r="AO377" t="s">
        <v>260</v>
      </c>
      <c r="AQ377" t="s">
        <v>261</v>
      </c>
      <c r="AU377">
        <v>100000</v>
      </c>
      <c r="AW377">
        <v>330000</v>
      </c>
      <c r="AX377" t="s">
        <v>262</v>
      </c>
      <c r="BO377" t="s">
        <v>261</v>
      </c>
      <c r="BS377">
        <v>100</v>
      </c>
      <c r="BU377">
        <v>330</v>
      </c>
      <c r="BV377" t="s">
        <v>263</v>
      </c>
      <c r="CM377" t="s">
        <v>264</v>
      </c>
      <c r="CN377" t="s">
        <v>264</v>
      </c>
      <c r="CP377" t="s">
        <v>265</v>
      </c>
      <c r="CQ377" t="s">
        <v>518</v>
      </c>
      <c r="DB377">
        <v>2</v>
      </c>
      <c r="DG377" t="s">
        <v>267</v>
      </c>
      <c r="DI377">
        <v>48</v>
      </c>
      <c r="DN377" t="s">
        <v>268</v>
      </c>
      <c r="DR377">
        <v>491138</v>
      </c>
      <c r="DS377">
        <v>11</v>
      </c>
      <c r="EW377" t="s">
        <v>293</v>
      </c>
      <c r="FM377">
        <v>15</v>
      </c>
      <c r="FR377" t="s">
        <v>295</v>
      </c>
      <c r="HH377" t="s">
        <v>272</v>
      </c>
      <c r="IE377" t="s">
        <v>774</v>
      </c>
      <c r="IF377">
        <v>9258</v>
      </c>
      <c r="IG377" t="s">
        <v>786</v>
      </c>
      <c r="IH377" t="s">
        <v>787</v>
      </c>
      <c r="II377">
        <v>1972</v>
      </c>
      <c r="IJ377" t="s">
        <v>788</v>
      </c>
    </row>
    <row r="378" spans="1:244" x14ac:dyDescent="0.45">
      <c r="A378">
        <v>1274190</v>
      </c>
      <c r="B378">
        <v>725513</v>
      </c>
      <c r="C378">
        <v>7440666</v>
      </c>
      <c r="D378" t="s">
        <v>1124</v>
      </c>
      <c r="F378" t="s">
        <v>245</v>
      </c>
      <c r="G378" t="s">
        <v>246</v>
      </c>
      <c r="N378" t="s">
        <v>944</v>
      </c>
      <c r="O378" t="s">
        <v>945</v>
      </c>
      <c r="P378" t="s">
        <v>249</v>
      </c>
      <c r="Q378" t="s">
        <v>250</v>
      </c>
      <c r="R378" t="s">
        <v>251</v>
      </c>
      <c r="T378" t="s">
        <v>252</v>
      </c>
      <c r="U378" t="s">
        <v>253</v>
      </c>
      <c r="V378" t="s">
        <v>418</v>
      </c>
      <c r="W378" t="s">
        <v>946</v>
      </c>
      <c r="X378" t="s">
        <v>947</v>
      </c>
      <c r="Z378" t="s">
        <v>421</v>
      </c>
      <c r="AL378" t="s">
        <v>948</v>
      </c>
      <c r="AM378" t="s">
        <v>258</v>
      </c>
      <c r="AN378" t="s">
        <v>259</v>
      </c>
      <c r="AO378" t="s">
        <v>260</v>
      </c>
      <c r="AP378">
        <v>6</v>
      </c>
      <c r="AQ378" t="s">
        <v>261</v>
      </c>
      <c r="AS378">
        <v>2.14</v>
      </c>
      <c r="AU378">
        <v>1.85</v>
      </c>
      <c r="AW378">
        <v>2.4700000000000002</v>
      </c>
      <c r="AX378" t="s">
        <v>356</v>
      </c>
      <c r="BO378" t="s">
        <v>261</v>
      </c>
      <c r="BQ378">
        <v>2.14</v>
      </c>
      <c r="BS378">
        <v>1.85</v>
      </c>
      <c r="BU378">
        <v>2.4700000000000002</v>
      </c>
      <c r="BV378" t="s">
        <v>263</v>
      </c>
      <c r="CM378" t="s">
        <v>264</v>
      </c>
      <c r="CN378" t="s">
        <v>264</v>
      </c>
      <c r="CP378" t="s">
        <v>265</v>
      </c>
      <c r="CQ378" t="s">
        <v>518</v>
      </c>
      <c r="DB378">
        <v>2</v>
      </c>
      <c r="DG378" t="s">
        <v>267</v>
      </c>
      <c r="DI378">
        <v>48</v>
      </c>
      <c r="DN378" t="s">
        <v>268</v>
      </c>
      <c r="DP378" t="s">
        <v>1125</v>
      </c>
      <c r="DR378">
        <v>6689</v>
      </c>
      <c r="DS378">
        <v>11779</v>
      </c>
      <c r="DT378" t="s">
        <v>949</v>
      </c>
      <c r="EW378" t="s">
        <v>293</v>
      </c>
      <c r="FA378" t="s">
        <v>950</v>
      </c>
      <c r="FK378" t="s">
        <v>1126</v>
      </c>
      <c r="FM378">
        <v>25</v>
      </c>
      <c r="FR378" t="s">
        <v>295</v>
      </c>
      <c r="GJ378">
        <v>5.8</v>
      </c>
      <c r="GL378">
        <v>6.5</v>
      </c>
      <c r="GM378" t="s">
        <v>356</v>
      </c>
      <c r="GQ378">
        <v>7.15</v>
      </c>
      <c r="GS378">
        <v>7.87</v>
      </c>
      <c r="GU378">
        <v>15</v>
      </c>
      <c r="GZ378" t="s">
        <v>362</v>
      </c>
      <c r="HD378">
        <v>32</v>
      </c>
      <c r="HF378">
        <v>152</v>
      </c>
      <c r="HG378" t="s">
        <v>952</v>
      </c>
      <c r="HH378" t="s">
        <v>272</v>
      </c>
      <c r="ID378" t="s">
        <v>1127</v>
      </c>
      <c r="IE378" t="s">
        <v>954</v>
      </c>
      <c r="IF378">
        <v>76280</v>
      </c>
      <c r="IG378" t="s">
        <v>955</v>
      </c>
      <c r="IH378" t="s">
        <v>956</v>
      </c>
      <c r="II378">
        <v>2004</v>
      </c>
      <c r="IJ378" t="s">
        <v>957</v>
      </c>
    </row>
    <row r="379" spans="1:244" x14ac:dyDescent="0.45">
      <c r="A379">
        <v>1278854</v>
      </c>
      <c r="B379">
        <v>732144</v>
      </c>
      <c r="C379">
        <v>7440666</v>
      </c>
      <c r="D379" t="s">
        <v>1124</v>
      </c>
      <c r="F379" t="s">
        <v>327</v>
      </c>
      <c r="G379" t="s">
        <v>246</v>
      </c>
      <c r="N379" t="s">
        <v>606</v>
      </c>
      <c r="O379" t="s">
        <v>607</v>
      </c>
      <c r="P379" t="s">
        <v>249</v>
      </c>
      <c r="Q379" t="s">
        <v>250</v>
      </c>
      <c r="R379" t="s">
        <v>251</v>
      </c>
      <c r="T379" t="s">
        <v>252</v>
      </c>
      <c r="U379" t="s">
        <v>253</v>
      </c>
      <c r="V379" t="s">
        <v>608</v>
      </c>
      <c r="W379" t="s">
        <v>609</v>
      </c>
      <c r="X379" t="s">
        <v>610</v>
      </c>
      <c r="Z379" t="s">
        <v>284</v>
      </c>
      <c r="AL379" t="s">
        <v>907</v>
      </c>
      <c r="AM379" t="s">
        <v>258</v>
      </c>
      <c r="AN379" t="s">
        <v>259</v>
      </c>
      <c r="AO379" t="s">
        <v>260</v>
      </c>
      <c r="AP379">
        <v>9</v>
      </c>
      <c r="AQ379" t="s">
        <v>261</v>
      </c>
      <c r="AS379">
        <v>0.5</v>
      </c>
      <c r="AX379" t="s">
        <v>356</v>
      </c>
      <c r="BO379" t="s">
        <v>261</v>
      </c>
      <c r="BQ379">
        <v>0.5</v>
      </c>
      <c r="BV379" t="s">
        <v>263</v>
      </c>
      <c r="CM379" t="s">
        <v>264</v>
      </c>
      <c r="CN379" t="s">
        <v>264</v>
      </c>
      <c r="CP379" t="s">
        <v>265</v>
      </c>
      <c r="CQ379" t="s">
        <v>518</v>
      </c>
      <c r="DB379">
        <v>4</v>
      </c>
      <c r="DG379" t="s">
        <v>267</v>
      </c>
      <c r="DI379">
        <v>96</v>
      </c>
      <c r="DN379" t="s">
        <v>268</v>
      </c>
      <c r="DP379" t="s">
        <v>1125</v>
      </c>
      <c r="DR379">
        <v>6706</v>
      </c>
      <c r="DS379">
        <v>346</v>
      </c>
      <c r="EW379" t="s">
        <v>293</v>
      </c>
      <c r="FK379" t="s">
        <v>1134</v>
      </c>
      <c r="FM379">
        <v>20</v>
      </c>
      <c r="FR379" t="s">
        <v>295</v>
      </c>
      <c r="HH379" t="s">
        <v>272</v>
      </c>
      <c r="ID379" t="s">
        <v>1135</v>
      </c>
      <c r="IE379" t="s">
        <v>911</v>
      </c>
      <c r="IF379">
        <v>82412</v>
      </c>
      <c r="IG379" t="s">
        <v>912</v>
      </c>
      <c r="IH379" t="s">
        <v>913</v>
      </c>
      <c r="II379">
        <v>1976</v>
      </c>
      <c r="IJ379" t="s">
        <v>914</v>
      </c>
    </row>
    <row r="380" spans="1:244" x14ac:dyDescent="0.45">
      <c r="A380">
        <v>1270049</v>
      </c>
      <c r="B380">
        <v>721347</v>
      </c>
      <c r="C380">
        <v>7440666</v>
      </c>
      <c r="D380" t="s">
        <v>1124</v>
      </c>
      <c r="F380" t="s">
        <v>245</v>
      </c>
      <c r="G380" t="s">
        <v>246</v>
      </c>
      <c r="N380" t="s">
        <v>671</v>
      </c>
      <c r="O380" t="s">
        <v>672</v>
      </c>
      <c r="P380" t="s">
        <v>249</v>
      </c>
      <c r="Q380" t="s">
        <v>250</v>
      </c>
      <c r="R380" t="s">
        <v>251</v>
      </c>
      <c r="T380" t="s">
        <v>252</v>
      </c>
      <c r="U380" t="s">
        <v>253</v>
      </c>
      <c r="V380" t="s">
        <v>673</v>
      </c>
      <c r="W380" t="s">
        <v>674</v>
      </c>
      <c r="X380" t="s">
        <v>675</v>
      </c>
      <c r="Z380" t="s">
        <v>284</v>
      </c>
      <c r="AM380" t="s">
        <v>258</v>
      </c>
      <c r="AN380" t="s">
        <v>259</v>
      </c>
      <c r="AO380" t="s">
        <v>260</v>
      </c>
      <c r="AP380">
        <v>7</v>
      </c>
      <c r="AQ380" t="s">
        <v>261</v>
      </c>
      <c r="AS380">
        <v>7.4999999999999997E-2</v>
      </c>
      <c r="AX380" t="s">
        <v>356</v>
      </c>
      <c r="BO380" t="s">
        <v>261</v>
      </c>
      <c r="BQ380">
        <v>7.4999999999999997E-2</v>
      </c>
      <c r="BV380" t="s">
        <v>263</v>
      </c>
      <c r="CM380" t="s">
        <v>264</v>
      </c>
      <c r="CN380" t="s">
        <v>264</v>
      </c>
      <c r="CP380" t="s">
        <v>265</v>
      </c>
      <c r="DB380">
        <v>4</v>
      </c>
      <c r="DG380" t="s">
        <v>267</v>
      </c>
      <c r="DI380">
        <v>96</v>
      </c>
      <c r="DN380" t="s">
        <v>268</v>
      </c>
      <c r="DP380" t="s">
        <v>1125</v>
      </c>
      <c r="DR380">
        <v>607701</v>
      </c>
      <c r="DS380">
        <v>18409</v>
      </c>
      <c r="DT380" t="s">
        <v>677</v>
      </c>
      <c r="EW380" t="s">
        <v>293</v>
      </c>
      <c r="FK380" t="s">
        <v>1136</v>
      </c>
      <c r="FM380">
        <v>20</v>
      </c>
      <c r="FR380" t="s">
        <v>295</v>
      </c>
      <c r="GU380">
        <v>30</v>
      </c>
      <c r="GZ380" t="s">
        <v>296</v>
      </c>
      <c r="HH380" t="s">
        <v>272</v>
      </c>
      <c r="ID380" t="s">
        <v>1137</v>
      </c>
      <c r="IE380" t="s">
        <v>680</v>
      </c>
      <c r="IF380">
        <v>84127</v>
      </c>
      <c r="IG380" t="s">
        <v>681</v>
      </c>
      <c r="IH380" t="s">
        <v>682</v>
      </c>
      <c r="II380">
        <v>2005</v>
      </c>
      <c r="IJ380" t="s">
        <v>683</v>
      </c>
    </row>
    <row r="381" spans="1:244" x14ac:dyDescent="0.45">
      <c r="A381">
        <v>1270045</v>
      </c>
      <c r="B381">
        <v>721343</v>
      </c>
      <c r="C381">
        <v>7440666</v>
      </c>
      <c r="D381" t="s">
        <v>1124</v>
      </c>
      <c r="F381" t="s">
        <v>245</v>
      </c>
      <c r="G381" t="s">
        <v>246</v>
      </c>
      <c r="N381" t="s">
        <v>671</v>
      </c>
      <c r="O381" t="s">
        <v>672</v>
      </c>
      <c r="P381" t="s">
        <v>249</v>
      </c>
      <c r="Q381" t="s">
        <v>250</v>
      </c>
      <c r="R381" t="s">
        <v>251</v>
      </c>
      <c r="T381" t="s">
        <v>252</v>
      </c>
      <c r="U381" t="s">
        <v>253</v>
      </c>
      <c r="V381" t="s">
        <v>673</v>
      </c>
      <c r="W381" t="s">
        <v>674</v>
      </c>
      <c r="X381" t="s">
        <v>675</v>
      </c>
      <c r="Z381" t="s">
        <v>558</v>
      </c>
      <c r="AM381" t="s">
        <v>258</v>
      </c>
      <c r="AN381" t="s">
        <v>259</v>
      </c>
      <c r="AO381" t="s">
        <v>260</v>
      </c>
      <c r="AP381">
        <v>7</v>
      </c>
      <c r="AQ381" t="s">
        <v>261</v>
      </c>
      <c r="AS381">
        <v>5.3999999999999999E-2</v>
      </c>
      <c r="AX381" t="s">
        <v>356</v>
      </c>
      <c r="BO381" t="s">
        <v>261</v>
      </c>
      <c r="BQ381">
        <v>5.3999999999999999E-2</v>
      </c>
      <c r="BV381" t="s">
        <v>263</v>
      </c>
      <c r="CM381" t="s">
        <v>264</v>
      </c>
      <c r="CN381" t="s">
        <v>264</v>
      </c>
      <c r="CP381" t="s">
        <v>265</v>
      </c>
      <c r="DB381">
        <v>4</v>
      </c>
      <c r="DG381" t="s">
        <v>267</v>
      </c>
      <c r="DI381">
        <v>96</v>
      </c>
      <c r="DN381" t="s">
        <v>268</v>
      </c>
      <c r="DP381" t="s">
        <v>1125</v>
      </c>
      <c r="DR381">
        <v>607701</v>
      </c>
      <c r="DS381">
        <v>18409</v>
      </c>
      <c r="DT381" t="s">
        <v>677</v>
      </c>
      <c r="EW381" t="s">
        <v>293</v>
      </c>
      <c r="FK381" t="s">
        <v>1138</v>
      </c>
      <c r="FM381">
        <v>20</v>
      </c>
      <c r="FR381" t="s">
        <v>295</v>
      </c>
      <c r="GU381">
        <v>30</v>
      </c>
      <c r="GZ381" t="s">
        <v>296</v>
      </c>
      <c r="HH381" t="s">
        <v>272</v>
      </c>
      <c r="ID381" t="s">
        <v>1139</v>
      </c>
      <c r="IE381" t="s">
        <v>680</v>
      </c>
      <c r="IF381">
        <v>84127</v>
      </c>
      <c r="IG381" t="s">
        <v>681</v>
      </c>
      <c r="IH381" t="s">
        <v>682</v>
      </c>
      <c r="II381">
        <v>2005</v>
      </c>
      <c r="IJ381" t="s">
        <v>683</v>
      </c>
    </row>
    <row r="382" spans="1:244" x14ac:dyDescent="0.45">
      <c r="A382">
        <v>1306480</v>
      </c>
      <c r="B382">
        <v>763373</v>
      </c>
      <c r="C382">
        <v>7440666</v>
      </c>
      <c r="D382" t="s">
        <v>1124</v>
      </c>
      <c r="F382" t="s">
        <v>327</v>
      </c>
      <c r="G382" t="s">
        <v>246</v>
      </c>
      <c r="N382" t="s">
        <v>606</v>
      </c>
      <c r="O382" t="s">
        <v>607</v>
      </c>
      <c r="P382" t="s">
        <v>249</v>
      </c>
      <c r="Q382" t="s">
        <v>250</v>
      </c>
      <c r="R382" t="s">
        <v>251</v>
      </c>
      <c r="T382" t="s">
        <v>252</v>
      </c>
      <c r="U382" t="s">
        <v>253</v>
      </c>
      <c r="V382" t="s">
        <v>608</v>
      </c>
      <c r="W382" t="s">
        <v>609</v>
      </c>
      <c r="X382" t="s">
        <v>610</v>
      </c>
      <c r="Z382" t="s">
        <v>284</v>
      </c>
      <c r="AL382" t="s">
        <v>907</v>
      </c>
      <c r="AM382" t="s">
        <v>258</v>
      </c>
      <c r="AN382" t="s">
        <v>259</v>
      </c>
      <c r="AO382" t="s">
        <v>260</v>
      </c>
      <c r="AP382">
        <v>9</v>
      </c>
      <c r="AQ382" t="s">
        <v>261</v>
      </c>
      <c r="AS382">
        <v>1</v>
      </c>
      <c r="AX382" t="s">
        <v>356</v>
      </c>
      <c r="BO382" t="s">
        <v>261</v>
      </c>
      <c r="BQ382">
        <v>1</v>
      </c>
      <c r="BV382" t="s">
        <v>263</v>
      </c>
      <c r="CM382" t="s">
        <v>264</v>
      </c>
      <c r="CN382" t="s">
        <v>264</v>
      </c>
      <c r="CP382" t="s">
        <v>265</v>
      </c>
      <c r="CQ382" t="s">
        <v>518</v>
      </c>
      <c r="DB382">
        <v>2</v>
      </c>
      <c r="DG382" t="s">
        <v>267</v>
      </c>
      <c r="DI382">
        <v>48</v>
      </c>
      <c r="DN382" t="s">
        <v>268</v>
      </c>
      <c r="DP382" t="s">
        <v>1125</v>
      </c>
      <c r="DR382">
        <v>6706</v>
      </c>
      <c r="DS382">
        <v>346</v>
      </c>
      <c r="EW382" t="s">
        <v>293</v>
      </c>
      <c r="FK382" t="s">
        <v>1140</v>
      </c>
      <c r="FM382">
        <v>20</v>
      </c>
      <c r="FR382" t="s">
        <v>295</v>
      </c>
      <c r="HH382" t="s">
        <v>272</v>
      </c>
      <c r="ID382" t="s">
        <v>1141</v>
      </c>
      <c r="IE382" t="s">
        <v>911</v>
      </c>
      <c r="IF382">
        <v>82412</v>
      </c>
      <c r="IG382" t="s">
        <v>912</v>
      </c>
      <c r="IH382" t="s">
        <v>913</v>
      </c>
      <c r="II382">
        <v>1976</v>
      </c>
      <c r="IJ382" t="s">
        <v>914</v>
      </c>
    </row>
    <row r="383" spans="1:244" x14ac:dyDescent="0.45">
      <c r="A383">
        <v>1165653</v>
      </c>
      <c r="B383">
        <v>48445</v>
      </c>
      <c r="C383">
        <v>7440666</v>
      </c>
      <c r="D383" t="s">
        <v>1124</v>
      </c>
      <c r="F383" t="s">
        <v>245</v>
      </c>
      <c r="G383" t="s">
        <v>246</v>
      </c>
      <c r="N383" t="s">
        <v>416</v>
      </c>
      <c r="O383" t="s">
        <v>417</v>
      </c>
      <c r="P383" t="s">
        <v>249</v>
      </c>
      <c r="Q383" t="s">
        <v>250</v>
      </c>
      <c r="R383" t="s">
        <v>251</v>
      </c>
      <c r="T383" t="s">
        <v>252</v>
      </c>
      <c r="U383" t="s">
        <v>253</v>
      </c>
      <c r="V383" t="s">
        <v>418</v>
      </c>
      <c r="W383" t="s">
        <v>419</v>
      </c>
      <c r="X383" t="s">
        <v>420</v>
      </c>
      <c r="AL383" t="s">
        <v>697</v>
      </c>
      <c r="AM383" t="s">
        <v>287</v>
      </c>
      <c r="AN383" t="s">
        <v>259</v>
      </c>
      <c r="AO383" t="s">
        <v>260</v>
      </c>
      <c r="AQ383" t="s">
        <v>261</v>
      </c>
      <c r="AS383">
        <v>1990</v>
      </c>
      <c r="AX383" t="s">
        <v>262</v>
      </c>
      <c r="BO383" t="s">
        <v>261</v>
      </c>
      <c r="BQ383">
        <v>1.99</v>
      </c>
      <c r="BV383" t="s">
        <v>263</v>
      </c>
      <c r="CM383" t="s">
        <v>264</v>
      </c>
      <c r="CN383" t="s">
        <v>264</v>
      </c>
      <c r="CP383" t="s">
        <v>265</v>
      </c>
      <c r="DB383">
        <v>2</v>
      </c>
      <c r="DG383" t="s">
        <v>267</v>
      </c>
      <c r="DI383">
        <v>48</v>
      </c>
      <c r="DN383" t="s">
        <v>268</v>
      </c>
      <c r="DS383">
        <v>1009</v>
      </c>
      <c r="EW383" t="s">
        <v>272</v>
      </c>
      <c r="HH383" t="s">
        <v>272</v>
      </c>
      <c r="IE383" t="s">
        <v>686</v>
      </c>
      <c r="IF383">
        <v>14577</v>
      </c>
      <c r="IG383" t="s">
        <v>687</v>
      </c>
      <c r="IH383" t="s">
        <v>688</v>
      </c>
      <c r="II383">
        <v>1993</v>
      </c>
      <c r="IJ383" t="s">
        <v>689</v>
      </c>
    </row>
    <row r="384" spans="1:244" x14ac:dyDescent="0.45">
      <c r="A384">
        <v>2101324</v>
      </c>
      <c r="B384">
        <v>2185870</v>
      </c>
      <c r="C384">
        <v>7440666</v>
      </c>
      <c r="D384" t="s">
        <v>1124</v>
      </c>
      <c r="F384" t="s">
        <v>245</v>
      </c>
      <c r="G384" t="s">
        <v>344</v>
      </c>
      <c r="I384">
        <v>99.9</v>
      </c>
      <c r="N384" t="s">
        <v>452</v>
      </c>
      <c r="O384" t="s">
        <v>346</v>
      </c>
      <c r="P384" t="s">
        <v>249</v>
      </c>
      <c r="Q384" t="s">
        <v>250</v>
      </c>
      <c r="R384" t="s">
        <v>251</v>
      </c>
      <c r="T384" t="s">
        <v>347</v>
      </c>
      <c r="U384" t="s">
        <v>348</v>
      </c>
      <c r="V384" t="s">
        <v>349</v>
      </c>
      <c r="W384" t="s">
        <v>350</v>
      </c>
      <c r="X384" t="s">
        <v>453</v>
      </c>
      <c r="Z384" t="s">
        <v>284</v>
      </c>
      <c r="AI384">
        <v>3</v>
      </c>
      <c r="AM384" t="s">
        <v>317</v>
      </c>
      <c r="AN384" t="s">
        <v>259</v>
      </c>
      <c r="AO384" t="s">
        <v>260</v>
      </c>
      <c r="AP384">
        <v>4</v>
      </c>
      <c r="AQ384" t="s">
        <v>261</v>
      </c>
      <c r="AR384" t="s">
        <v>288</v>
      </c>
      <c r="AS384">
        <v>100</v>
      </c>
      <c r="AX384" t="s">
        <v>356</v>
      </c>
      <c r="BO384" t="s">
        <v>261</v>
      </c>
      <c r="BP384" t="s">
        <v>288</v>
      </c>
      <c r="BQ384">
        <v>100</v>
      </c>
      <c r="BV384" t="s">
        <v>263</v>
      </c>
      <c r="CM384" t="s">
        <v>264</v>
      </c>
      <c r="CN384" t="s">
        <v>264</v>
      </c>
      <c r="CP384" t="s">
        <v>265</v>
      </c>
      <c r="CQ384" t="s">
        <v>518</v>
      </c>
      <c r="DB384">
        <v>1</v>
      </c>
      <c r="DG384" t="s">
        <v>267</v>
      </c>
      <c r="DI384">
        <v>24</v>
      </c>
      <c r="DN384" t="s">
        <v>268</v>
      </c>
      <c r="DO384" t="s">
        <v>291</v>
      </c>
      <c r="DP384" t="s">
        <v>1142</v>
      </c>
      <c r="DR384">
        <v>85549</v>
      </c>
      <c r="DS384">
        <v>366</v>
      </c>
      <c r="DT384" t="s">
        <v>488</v>
      </c>
      <c r="DV384">
        <v>24</v>
      </c>
      <c r="EA384" t="s">
        <v>268</v>
      </c>
      <c r="EC384">
        <v>1</v>
      </c>
      <c r="EH384" t="s">
        <v>267</v>
      </c>
      <c r="EJ384">
        <v>24</v>
      </c>
      <c r="EO384" t="s">
        <v>268</v>
      </c>
      <c r="EQ384">
        <v>1</v>
      </c>
      <c r="EV384" t="s">
        <v>267</v>
      </c>
      <c r="EW384" t="s">
        <v>293</v>
      </c>
      <c r="EY384" t="s">
        <v>377</v>
      </c>
      <c r="EZ384" t="s">
        <v>1143</v>
      </c>
      <c r="FA384" t="s">
        <v>490</v>
      </c>
      <c r="FM384">
        <v>24</v>
      </c>
      <c r="FR384" t="s">
        <v>295</v>
      </c>
      <c r="GQ384">
        <v>8.1</v>
      </c>
      <c r="GS384">
        <v>8.8000000000000007</v>
      </c>
      <c r="HH384" t="s">
        <v>272</v>
      </c>
      <c r="IE384" t="s">
        <v>491</v>
      </c>
      <c r="IF384">
        <v>164307</v>
      </c>
      <c r="IG384" t="s">
        <v>492</v>
      </c>
      <c r="IH384" t="s">
        <v>493</v>
      </c>
      <c r="II384">
        <v>2013</v>
      </c>
      <c r="IJ384" t="s">
        <v>494</v>
      </c>
    </row>
    <row r="385" spans="1:244" x14ac:dyDescent="0.45">
      <c r="A385">
        <v>1165659</v>
      </c>
      <c r="B385">
        <v>58992</v>
      </c>
      <c r="C385">
        <v>7440666</v>
      </c>
      <c r="D385" t="s">
        <v>1124</v>
      </c>
      <c r="F385" t="s">
        <v>245</v>
      </c>
      <c r="G385" t="s">
        <v>246</v>
      </c>
      <c r="N385" t="s">
        <v>452</v>
      </c>
      <c r="O385" t="s">
        <v>346</v>
      </c>
      <c r="P385" t="s">
        <v>249</v>
      </c>
      <c r="Q385" t="s">
        <v>250</v>
      </c>
      <c r="R385" t="s">
        <v>251</v>
      </c>
      <c r="T385" t="s">
        <v>347</v>
      </c>
      <c r="U385" t="s">
        <v>348</v>
      </c>
      <c r="V385" t="s">
        <v>349</v>
      </c>
      <c r="W385" t="s">
        <v>350</v>
      </c>
      <c r="X385" t="s">
        <v>453</v>
      </c>
      <c r="AM385" t="s">
        <v>287</v>
      </c>
      <c r="AN385" t="s">
        <v>259</v>
      </c>
      <c r="AO385" t="s">
        <v>260</v>
      </c>
      <c r="AQ385" t="s">
        <v>261</v>
      </c>
      <c r="AS385">
        <v>1700</v>
      </c>
      <c r="AX385" t="s">
        <v>262</v>
      </c>
      <c r="BO385" t="s">
        <v>261</v>
      </c>
      <c r="BQ385">
        <v>1.7</v>
      </c>
      <c r="BV385" t="s">
        <v>263</v>
      </c>
      <c r="CM385" t="s">
        <v>264</v>
      </c>
      <c r="CN385" t="s">
        <v>264</v>
      </c>
      <c r="CP385" t="s">
        <v>265</v>
      </c>
      <c r="DB385">
        <v>2</v>
      </c>
      <c r="DG385" t="s">
        <v>267</v>
      </c>
      <c r="DI385">
        <v>48</v>
      </c>
      <c r="DN385" t="s">
        <v>268</v>
      </c>
      <c r="DR385">
        <v>85549</v>
      </c>
      <c r="DS385">
        <v>366</v>
      </c>
      <c r="EW385" t="s">
        <v>272</v>
      </c>
      <c r="HH385" t="s">
        <v>272</v>
      </c>
      <c r="IE385" t="s">
        <v>686</v>
      </c>
      <c r="IF385">
        <v>14577</v>
      </c>
      <c r="IG385" t="s">
        <v>687</v>
      </c>
      <c r="IH385" t="s">
        <v>688</v>
      </c>
      <c r="II385">
        <v>1993</v>
      </c>
      <c r="IJ385" t="s">
        <v>689</v>
      </c>
    </row>
    <row r="386" spans="1:244" x14ac:dyDescent="0.45">
      <c r="A386">
        <v>1306531</v>
      </c>
      <c r="B386">
        <v>763426</v>
      </c>
      <c r="C386">
        <v>7440666</v>
      </c>
      <c r="D386" t="s">
        <v>1124</v>
      </c>
      <c r="F386" t="s">
        <v>245</v>
      </c>
      <c r="G386" t="s">
        <v>246</v>
      </c>
      <c r="N386" t="s">
        <v>606</v>
      </c>
      <c r="O386" t="s">
        <v>607</v>
      </c>
      <c r="P386" t="s">
        <v>249</v>
      </c>
      <c r="Q386" t="s">
        <v>250</v>
      </c>
      <c r="R386" t="s">
        <v>251</v>
      </c>
      <c r="T386" t="s">
        <v>252</v>
      </c>
      <c r="U386" t="s">
        <v>253</v>
      </c>
      <c r="V386" t="s">
        <v>608</v>
      </c>
      <c r="W386" t="s">
        <v>609</v>
      </c>
      <c r="X386" t="s">
        <v>610</v>
      </c>
      <c r="Z386" t="s">
        <v>315</v>
      </c>
      <c r="AL386" t="s">
        <v>907</v>
      </c>
      <c r="AM386" t="s">
        <v>307</v>
      </c>
      <c r="AN386" t="s">
        <v>259</v>
      </c>
      <c r="AO386" t="s">
        <v>260</v>
      </c>
      <c r="AP386">
        <v>8</v>
      </c>
      <c r="AQ386" t="s">
        <v>261</v>
      </c>
      <c r="AS386">
        <v>35</v>
      </c>
      <c r="AX386" t="s">
        <v>356</v>
      </c>
      <c r="BO386" t="s">
        <v>261</v>
      </c>
      <c r="BQ386">
        <v>35</v>
      </c>
      <c r="BV386" t="s">
        <v>263</v>
      </c>
      <c r="CM386" t="s">
        <v>264</v>
      </c>
      <c r="CN386" t="s">
        <v>264</v>
      </c>
      <c r="CP386" t="s">
        <v>265</v>
      </c>
      <c r="CQ386" t="s">
        <v>518</v>
      </c>
      <c r="DB386">
        <v>2</v>
      </c>
      <c r="DG386" t="s">
        <v>267</v>
      </c>
      <c r="DI386">
        <v>48</v>
      </c>
      <c r="DN386" t="s">
        <v>268</v>
      </c>
      <c r="DP386" t="s">
        <v>1125</v>
      </c>
      <c r="DR386">
        <v>6706</v>
      </c>
      <c r="DS386">
        <v>346</v>
      </c>
      <c r="EW386" t="s">
        <v>293</v>
      </c>
      <c r="FK386" t="s">
        <v>1144</v>
      </c>
      <c r="FM386">
        <v>15</v>
      </c>
      <c r="FR386" t="s">
        <v>295</v>
      </c>
      <c r="HH386" t="s">
        <v>272</v>
      </c>
      <c r="ID386" t="s">
        <v>1145</v>
      </c>
      <c r="IE386" t="s">
        <v>911</v>
      </c>
      <c r="IF386">
        <v>82412</v>
      </c>
      <c r="IG386" t="s">
        <v>912</v>
      </c>
      <c r="IH386" t="s">
        <v>913</v>
      </c>
      <c r="II386">
        <v>1976</v>
      </c>
      <c r="IJ386" t="s">
        <v>914</v>
      </c>
    </row>
    <row r="387" spans="1:244" x14ac:dyDescent="0.45">
      <c r="A387">
        <v>1205317</v>
      </c>
      <c r="B387">
        <v>203504</v>
      </c>
      <c r="C387">
        <v>7440666</v>
      </c>
      <c r="D387" t="s">
        <v>1124</v>
      </c>
      <c r="F387" t="s">
        <v>245</v>
      </c>
      <c r="G387" t="s">
        <v>246</v>
      </c>
      <c r="N387" t="s">
        <v>690</v>
      </c>
      <c r="O387" t="s">
        <v>691</v>
      </c>
      <c r="P387" t="s">
        <v>249</v>
      </c>
      <c r="Q387" t="s">
        <v>250</v>
      </c>
      <c r="R387" t="s">
        <v>251</v>
      </c>
      <c r="T387" t="s">
        <v>252</v>
      </c>
      <c r="U387" t="s">
        <v>253</v>
      </c>
      <c r="V387" t="s">
        <v>418</v>
      </c>
      <c r="W387" t="s">
        <v>419</v>
      </c>
      <c r="X387" t="s">
        <v>692</v>
      </c>
      <c r="AM387" t="s">
        <v>287</v>
      </c>
      <c r="AN387" t="s">
        <v>259</v>
      </c>
      <c r="AO387" t="s">
        <v>260</v>
      </c>
      <c r="AQ387" t="s">
        <v>261</v>
      </c>
      <c r="AS387">
        <v>48</v>
      </c>
      <c r="AU387">
        <v>33</v>
      </c>
      <c r="AW387">
        <v>68</v>
      </c>
      <c r="AX387" t="s">
        <v>262</v>
      </c>
      <c r="BO387" t="s">
        <v>261</v>
      </c>
      <c r="BQ387">
        <v>4.8000000000000001E-2</v>
      </c>
      <c r="BS387">
        <v>3.3000000000000002E-2</v>
      </c>
      <c r="BU387">
        <v>6.8000000000000005E-2</v>
      </c>
      <c r="BV387" t="s">
        <v>263</v>
      </c>
      <c r="CM387" t="s">
        <v>264</v>
      </c>
      <c r="CN387" t="s">
        <v>264</v>
      </c>
      <c r="CP387" t="s">
        <v>265</v>
      </c>
      <c r="CQ387" t="s">
        <v>518</v>
      </c>
      <c r="DB387">
        <v>4</v>
      </c>
      <c r="DG387" t="s">
        <v>267</v>
      </c>
      <c r="DI387">
        <v>96</v>
      </c>
      <c r="DN387" t="s">
        <v>268</v>
      </c>
      <c r="DR387">
        <v>139456</v>
      </c>
      <c r="DS387">
        <v>3044</v>
      </c>
      <c r="EW387" t="s">
        <v>272</v>
      </c>
      <c r="HH387" t="s">
        <v>272</v>
      </c>
      <c r="IE387" t="s">
        <v>693</v>
      </c>
      <c r="IF387">
        <v>18730</v>
      </c>
      <c r="IG387" t="s">
        <v>694</v>
      </c>
      <c r="IH387" t="s">
        <v>695</v>
      </c>
      <c r="II387">
        <v>1995</v>
      </c>
      <c r="IJ387" t="s">
        <v>696</v>
      </c>
    </row>
    <row r="388" spans="1:244" x14ac:dyDescent="0.45">
      <c r="A388">
        <v>1205316</v>
      </c>
      <c r="B388">
        <v>203503</v>
      </c>
      <c r="C388">
        <v>7440666</v>
      </c>
      <c r="D388" t="s">
        <v>1124</v>
      </c>
      <c r="F388" t="s">
        <v>245</v>
      </c>
      <c r="G388" t="s">
        <v>246</v>
      </c>
      <c r="N388" t="s">
        <v>690</v>
      </c>
      <c r="O388" t="s">
        <v>691</v>
      </c>
      <c r="P388" t="s">
        <v>249</v>
      </c>
      <c r="Q388" t="s">
        <v>250</v>
      </c>
      <c r="R388" t="s">
        <v>251</v>
      </c>
      <c r="T388" t="s">
        <v>252</v>
      </c>
      <c r="U388" t="s">
        <v>253</v>
      </c>
      <c r="V388" t="s">
        <v>418</v>
      </c>
      <c r="W388" t="s">
        <v>419</v>
      </c>
      <c r="X388" t="s">
        <v>692</v>
      </c>
      <c r="AM388" t="s">
        <v>287</v>
      </c>
      <c r="AN388" t="s">
        <v>259</v>
      </c>
      <c r="AO388" t="s">
        <v>260</v>
      </c>
      <c r="AQ388" t="s">
        <v>261</v>
      </c>
      <c r="AS388">
        <v>87</v>
      </c>
      <c r="AU388">
        <v>57</v>
      </c>
      <c r="AW388">
        <v>132</v>
      </c>
      <c r="AX388" t="s">
        <v>262</v>
      </c>
      <c r="BO388" t="s">
        <v>261</v>
      </c>
      <c r="BQ388">
        <v>8.6999999999999994E-2</v>
      </c>
      <c r="BS388">
        <v>5.7000000000000002E-2</v>
      </c>
      <c r="BU388">
        <v>0.13200000000000001</v>
      </c>
      <c r="BV388" t="s">
        <v>263</v>
      </c>
      <c r="CM388" t="s">
        <v>264</v>
      </c>
      <c r="CN388" t="s">
        <v>264</v>
      </c>
      <c r="CP388" t="s">
        <v>265</v>
      </c>
      <c r="CQ388" t="s">
        <v>518</v>
      </c>
      <c r="DB388">
        <v>3</v>
      </c>
      <c r="DG388" t="s">
        <v>267</v>
      </c>
      <c r="DI388">
        <v>72</v>
      </c>
      <c r="DN388" t="s">
        <v>268</v>
      </c>
      <c r="DR388">
        <v>139456</v>
      </c>
      <c r="DS388">
        <v>3044</v>
      </c>
      <c r="EW388" t="s">
        <v>272</v>
      </c>
      <c r="HH388" t="s">
        <v>272</v>
      </c>
      <c r="IE388" t="s">
        <v>693</v>
      </c>
      <c r="IF388">
        <v>18730</v>
      </c>
      <c r="IG388" t="s">
        <v>694</v>
      </c>
      <c r="IH388" t="s">
        <v>695</v>
      </c>
      <c r="II388">
        <v>1995</v>
      </c>
      <c r="IJ388" t="s">
        <v>696</v>
      </c>
    </row>
    <row r="389" spans="1:244" x14ac:dyDescent="0.45">
      <c r="A389">
        <v>2148504</v>
      </c>
      <c r="B389">
        <v>2283444</v>
      </c>
      <c r="C389">
        <v>7440666</v>
      </c>
      <c r="D389" t="s">
        <v>1124</v>
      </c>
      <c r="F389" t="s">
        <v>245</v>
      </c>
      <c r="G389" t="s">
        <v>272</v>
      </c>
      <c r="N389" t="s">
        <v>704</v>
      </c>
      <c r="O389" t="s">
        <v>705</v>
      </c>
      <c r="P389" t="s">
        <v>249</v>
      </c>
      <c r="Q389" t="s">
        <v>250</v>
      </c>
      <c r="R389" t="s">
        <v>251</v>
      </c>
      <c r="T389" t="s">
        <v>252</v>
      </c>
      <c r="U389" t="s">
        <v>499</v>
      </c>
      <c r="V389" t="s">
        <v>706</v>
      </c>
      <c r="W389" t="s">
        <v>707</v>
      </c>
      <c r="X389" t="s">
        <v>708</v>
      </c>
      <c r="Z389" t="s">
        <v>315</v>
      </c>
      <c r="AI389">
        <v>3</v>
      </c>
      <c r="AJ389" t="s">
        <v>285</v>
      </c>
      <c r="AK389" t="s">
        <v>709</v>
      </c>
      <c r="AM389" t="s">
        <v>258</v>
      </c>
      <c r="AN389" t="s">
        <v>259</v>
      </c>
      <c r="AO389" t="s">
        <v>260</v>
      </c>
      <c r="AP389">
        <v>13</v>
      </c>
      <c r="AQ389" t="s">
        <v>261</v>
      </c>
      <c r="AS389">
        <v>21.36</v>
      </c>
      <c r="AU389">
        <v>20</v>
      </c>
      <c r="AW389">
        <v>22.83</v>
      </c>
      <c r="AX389" t="s">
        <v>710</v>
      </c>
      <c r="BO389" t="s">
        <v>261</v>
      </c>
      <c r="BQ389">
        <v>1.3965167999999999</v>
      </c>
      <c r="BS389">
        <v>1.3076000000000001</v>
      </c>
      <c r="BU389">
        <v>1.4926254000000001</v>
      </c>
      <c r="BV389" t="s">
        <v>263</v>
      </c>
      <c r="CM389" t="s">
        <v>264</v>
      </c>
      <c r="CN389" t="s">
        <v>264</v>
      </c>
      <c r="CP389" t="s">
        <v>265</v>
      </c>
      <c r="CQ389" t="s">
        <v>518</v>
      </c>
      <c r="DB389">
        <v>4</v>
      </c>
      <c r="DG389" t="s">
        <v>267</v>
      </c>
      <c r="DI389">
        <v>96</v>
      </c>
      <c r="DN389" t="s">
        <v>268</v>
      </c>
      <c r="DR389">
        <v>587174</v>
      </c>
      <c r="DS389">
        <v>40921</v>
      </c>
      <c r="DV389">
        <v>96</v>
      </c>
      <c r="EA389" t="s">
        <v>268</v>
      </c>
      <c r="EC389">
        <v>4</v>
      </c>
      <c r="EH389" t="s">
        <v>267</v>
      </c>
      <c r="EJ389">
        <v>96</v>
      </c>
      <c r="EO389" t="s">
        <v>268</v>
      </c>
      <c r="EQ389">
        <v>4</v>
      </c>
      <c r="EV389" t="s">
        <v>267</v>
      </c>
      <c r="EW389" t="s">
        <v>293</v>
      </c>
      <c r="EZ389">
        <v>30</v>
      </c>
      <c r="FA389" t="s">
        <v>711</v>
      </c>
      <c r="FM389">
        <v>10</v>
      </c>
      <c r="FR389" t="s">
        <v>295</v>
      </c>
      <c r="GU389">
        <v>33</v>
      </c>
      <c r="GZ389" t="s">
        <v>296</v>
      </c>
      <c r="HH389" t="s">
        <v>272</v>
      </c>
      <c r="ID389" t="s">
        <v>712</v>
      </c>
      <c r="IE389" t="s">
        <v>713</v>
      </c>
      <c r="IF389">
        <v>169928</v>
      </c>
      <c r="IG389" t="s">
        <v>714</v>
      </c>
      <c r="IH389" t="s">
        <v>715</v>
      </c>
      <c r="II389">
        <v>2014</v>
      </c>
      <c r="IJ389" t="s">
        <v>716</v>
      </c>
    </row>
    <row r="390" spans="1:244" x14ac:dyDescent="0.45">
      <c r="A390">
        <v>1205314</v>
      </c>
      <c r="B390">
        <v>203501</v>
      </c>
      <c r="C390">
        <v>7440666</v>
      </c>
      <c r="D390" t="s">
        <v>1124</v>
      </c>
      <c r="F390" t="s">
        <v>245</v>
      </c>
      <c r="G390" t="s">
        <v>246</v>
      </c>
      <c r="N390" t="s">
        <v>690</v>
      </c>
      <c r="O390" t="s">
        <v>691</v>
      </c>
      <c r="P390" t="s">
        <v>249</v>
      </c>
      <c r="Q390" t="s">
        <v>250</v>
      </c>
      <c r="R390" t="s">
        <v>251</v>
      </c>
      <c r="T390" t="s">
        <v>252</v>
      </c>
      <c r="U390" t="s">
        <v>253</v>
      </c>
      <c r="V390" t="s">
        <v>418</v>
      </c>
      <c r="W390" t="s">
        <v>419</v>
      </c>
      <c r="X390" t="s">
        <v>692</v>
      </c>
      <c r="AM390" t="s">
        <v>287</v>
      </c>
      <c r="AN390" t="s">
        <v>259</v>
      </c>
      <c r="AO390" t="s">
        <v>260</v>
      </c>
      <c r="AQ390" t="s">
        <v>261</v>
      </c>
      <c r="AS390">
        <v>870</v>
      </c>
      <c r="AU390">
        <v>579</v>
      </c>
      <c r="AW390">
        <v>1310</v>
      </c>
      <c r="AX390" t="s">
        <v>262</v>
      </c>
      <c r="BO390" t="s">
        <v>261</v>
      </c>
      <c r="BQ390">
        <v>0.87</v>
      </c>
      <c r="BS390">
        <v>0.57899999999999996</v>
      </c>
      <c r="BU390">
        <v>1.31</v>
      </c>
      <c r="BV390" t="s">
        <v>263</v>
      </c>
      <c r="CM390" t="s">
        <v>264</v>
      </c>
      <c r="CN390" t="s">
        <v>264</v>
      </c>
      <c r="CP390" t="s">
        <v>265</v>
      </c>
      <c r="CQ390" t="s">
        <v>518</v>
      </c>
      <c r="DB390">
        <v>1</v>
      </c>
      <c r="DG390" t="s">
        <v>267</v>
      </c>
      <c r="DI390">
        <v>24</v>
      </c>
      <c r="DN390" t="s">
        <v>268</v>
      </c>
      <c r="DR390">
        <v>139456</v>
      </c>
      <c r="DS390">
        <v>3044</v>
      </c>
      <c r="EW390" t="s">
        <v>272</v>
      </c>
      <c r="HH390" t="s">
        <v>272</v>
      </c>
      <c r="IE390" t="s">
        <v>693</v>
      </c>
      <c r="IF390">
        <v>18730</v>
      </c>
      <c r="IG390" t="s">
        <v>694</v>
      </c>
      <c r="IH390" t="s">
        <v>695</v>
      </c>
      <c r="II390">
        <v>1995</v>
      </c>
      <c r="IJ390" t="s">
        <v>696</v>
      </c>
    </row>
    <row r="391" spans="1:244" x14ac:dyDescent="0.45">
      <c r="A391">
        <v>1270046</v>
      </c>
      <c r="B391">
        <v>721344</v>
      </c>
      <c r="C391">
        <v>7440666</v>
      </c>
      <c r="D391" t="s">
        <v>1124</v>
      </c>
      <c r="F391" t="s">
        <v>245</v>
      </c>
      <c r="G391" t="s">
        <v>246</v>
      </c>
      <c r="N391" t="s">
        <v>671</v>
      </c>
      <c r="O391" t="s">
        <v>672</v>
      </c>
      <c r="P391" t="s">
        <v>249</v>
      </c>
      <c r="Q391" t="s">
        <v>250</v>
      </c>
      <c r="R391" t="s">
        <v>251</v>
      </c>
      <c r="T391" t="s">
        <v>252</v>
      </c>
      <c r="U391" t="s">
        <v>253</v>
      </c>
      <c r="V391" t="s">
        <v>673</v>
      </c>
      <c r="W391" t="s">
        <v>674</v>
      </c>
      <c r="X391" t="s">
        <v>675</v>
      </c>
      <c r="Z391" t="s">
        <v>558</v>
      </c>
      <c r="AM391" t="s">
        <v>258</v>
      </c>
      <c r="AN391" t="s">
        <v>259</v>
      </c>
      <c r="AO391" t="s">
        <v>260</v>
      </c>
      <c r="AP391">
        <v>7</v>
      </c>
      <c r="AQ391" t="s">
        <v>261</v>
      </c>
      <c r="AS391">
        <v>6.6000000000000003E-2</v>
      </c>
      <c r="AX391" t="s">
        <v>356</v>
      </c>
      <c r="BO391" t="s">
        <v>261</v>
      </c>
      <c r="BQ391">
        <v>6.6000000000000003E-2</v>
      </c>
      <c r="BV391" t="s">
        <v>263</v>
      </c>
      <c r="CM391" t="s">
        <v>264</v>
      </c>
      <c r="CN391" t="s">
        <v>264</v>
      </c>
      <c r="CP391" t="s">
        <v>265</v>
      </c>
      <c r="DB391">
        <v>4</v>
      </c>
      <c r="DG391" t="s">
        <v>267</v>
      </c>
      <c r="DI391">
        <v>96</v>
      </c>
      <c r="DN391" t="s">
        <v>268</v>
      </c>
      <c r="DP391" t="s">
        <v>1125</v>
      </c>
      <c r="DR391">
        <v>607701</v>
      </c>
      <c r="DS391">
        <v>18409</v>
      </c>
      <c r="DT391" t="s">
        <v>677</v>
      </c>
      <c r="EW391" t="s">
        <v>293</v>
      </c>
      <c r="FK391" t="s">
        <v>1146</v>
      </c>
      <c r="FM391">
        <v>20</v>
      </c>
      <c r="FR391" t="s">
        <v>295</v>
      </c>
      <c r="GU391">
        <v>35</v>
      </c>
      <c r="GZ391" t="s">
        <v>296</v>
      </c>
      <c r="HH391" t="s">
        <v>272</v>
      </c>
      <c r="ID391" t="s">
        <v>1147</v>
      </c>
      <c r="IE391" t="s">
        <v>680</v>
      </c>
      <c r="IF391">
        <v>84127</v>
      </c>
      <c r="IG391" t="s">
        <v>681</v>
      </c>
      <c r="IH391" t="s">
        <v>682</v>
      </c>
      <c r="II391">
        <v>2005</v>
      </c>
      <c r="IJ391" t="s">
        <v>683</v>
      </c>
    </row>
    <row r="392" spans="1:244" x14ac:dyDescent="0.45">
      <c r="A392">
        <v>1053485</v>
      </c>
      <c r="B392">
        <v>129448</v>
      </c>
      <c r="C392">
        <v>7440666</v>
      </c>
      <c r="D392" t="s">
        <v>1124</v>
      </c>
      <c r="F392" t="s">
        <v>245</v>
      </c>
      <c r="G392" t="s">
        <v>246</v>
      </c>
      <c r="N392" t="s">
        <v>798</v>
      </c>
      <c r="O392" t="s">
        <v>631</v>
      </c>
      <c r="P392" t="s">
        <v>249</v>
      </c>
      <c r="Q392" t="s">
        <v>250</v>
      </c>
      <c r="R392" t="s">
        <v>251</v>
      </c>
      <c r="T392" t="s">
        <v>389</v>
      </c>
      <c r="U392" t="s">
        <v>632</v>
      </c>
      <c r="V392" t="s">
        <v>799</v>
      </c>
      <c r="W392" t="s">
        <v>800</v>
      </c>
      <c r="X392" t="s">
        <v>801</v>
      </c>
      <c r="AM392" t="s">
        <v>317</v>
      </c>
      <c r="AN392" t="s">
        <v>259</v>
      </c>
      <c r="AO392" t="s">
        <v>260</v>
      </c>
      <c r="AQ392" t="s">
        <v>261</v>
      </c>
      <c r="AS392">
        <v>1783</v>
      </c>
      <c r="AU392">
        <v>1490</v>
      </c>
      <c r="AW392">
        <v>2090</v>
      </c>
      <c r="AX392" t="s">
        <v>262</v>
      </c>
      <c r="BO392" t="s">
        <v>261</v>
      </c>
      <c r="BQ392">
        <v>1.7829999999999999</v>
      </c>
      <c r="BS392">
        <v>1.49</v>
      </c>
      <c r="BU392">
        <v>2.09</v>
      </c>
      <c r="BV392" t="s">
        <v>263</v>
      </c>
      <c r="CM392" t="s">
        <v>264</v>
      </c>
      <c r="CN392" t="s">
        <v>264</v>
      </c>
      <c r="CO392" t="s">
        <v>802</v>
      </c>
      <c r="CP392" t="s">
        <v>265</v>
      </c>
      <c r="DB392">
        <v>4</v>
      </c>
      <c r="DG392" t="s">
        <v>267</v>
      </c>
      <c r="DI392">
        <v>96</v>
      </c>
      <c r="DN392" t="s">
        <v>268</v>
      </c>
      <c r="DR392">
        <v>163476</v>
      </c>
      <c r="DS392">
        <v>740</v>
      </c>
      <c r="EW392" t="s">
        <v>333</v>
      </c>
      <c r="FA392" t="s">
        <v>803</v>
      </c>
      <c r="FM392">
        <v>20</v>
      </c>
      <c r="FR392" t="s">
        <v>295</v>
      </c>
      <c r="GU392">
        <v>30</v>
      </c>
      <c r="GZ392" t="s">
        <v>296</v>
      </c>
      <c r="HH392" t="s">
        <v>272</v>
      </c>
      <c r="IE392" t="s">
        <v>804</v>
      </c>
      <c r="IF392">
        <v>3734</v>
      </c>
      <c r="IG392" t="s">
        <v>741</v>
      </c>
      <c r="IH392" t="s">
        <v>805</v>
      </c>
      <c r="II392">
        <v>1982</v>
      </c>
      <c r="IJ392" t="s">
        <v>806</v>
      </c>
    </row>
    <row r="393" spans="1:244" x14ac:dyDescent="0.45">
      <c r="A393">
        <v>1205315</v>
      </c>
      <c r="B393">
        <v>203502</v>
      </c>
      <c r="C393">
        <v>7440666</v>
      </c>
      <c r="D393" t="s">
        <v>1124</v>
      </c>
      <c r="F393" t="s">
        <v>245</v>
      </c>
      <c r="G393" t="s">
        <v>246</v>
      </c>
      <c r="N393" t="s">
        <v>690</v>
      </c>
      <c r="O393" t="s">
        <v>691</v>
      </c>
      <c r="P393" t="s">
        <v>249</v>
      </c>
      <c r="Q393" t="s">
        <v>250</v>
      </c>
      <c r="R393" t="s">
        <v>251</v>
      </c>
      <c r="T393" t="s">
        <v>252</v>
      </c>
      <c r="U393" t="s">
        <v>253</v>
      </c>
      <c r="V393" t="s">
        <v>418</v>
      </c>
      <c r="W393" t="s">
        <v>419</v>
      </c>
      <c r="X393" t="s">
        <v>692</v>
      </c>
      <c r="AM393" t="s">
        <v>287</v>
      </c>
      <c r="AN393" t="s">
        <v>259</v>
      </c>
      <c r="AO393" t="s">
        <v>260</v>
      </c>
      <c r="AQ393" t="s">
        <v>261</v>
      </c>
      <c r="AS393">
        <v>645</v>
      </c>
      <c r="AU393">
        <v>416</v>
      </c>
      <c r="AW393">
        <v>1000</v>
      </c>
      <c r="AX393" t="s">
        <v>262</v>
      </c>
      <c r="BO393" t="s">
        <v>261</v>
      </c>
      <c r="BQ393">
        <v>0.64500000000000002</v>
      </c>
      <c r="BS393">
        <v>0.41599999999999998</v>
      </c>
      <c r="BU393">
        <v>1</v>
      </c>
      <c r="BV393" t="s">
        <v>263</v>
      </c>
      <c r="CM393" t="s">
        <v>264</v>
      </c>
      <c r="CN393" t="s">
        <v>264</v>
      </c>
      <c r="CP393" t="s">
        <v>265</v>
      </c>
      <c r="CQ393" t="s">
        <v>518</v>
      </c>
      <c r="DB393">
        <v>2</v>
      </c>
      <c r="DG393" t="s">
        <v>267</v>
      </c>
      <c r="DI393">
        <v>48</v>
      </c>
      <c r="DN393" t="s">
        <v>268</v>
      </c>
      <c r="DR393">
        <v>139456</v>
      </c>
      <c r="DS393">
        <v>3044</v>
      </c>
      <c r="EW393" t="s">
        <v>272</v>
      </c>
      <c r="HH393" t="s">
        <v>272</v>
      </c>
      <c r="IE393" t="s">
        <v>693</v>
      </c>
      <c r="IF393">
        <v>18730</v>
      </c>
      <c r="IG393" t="s">
        <v>694</v>
      </c>
      <c r="IH393" t="s">
        <v>695</v>
      </c>
      <c r="II393">
        <v>1995</v>
      </c>
      <c r="IJ393" t="s">
        <v>696</v>
      </c>
    </row>
    <row r="394" spans="1:244" x14ac:dyDescent="0.45">
      <c r="A394">
        <v>1270047</v>
      </c>
      <c r="B394">
        <v>721345</v>
      </c>
      <c r="C394">
        <v>7440666</v>
      </c>
      <c r="D394" t="s">
        <v>1124</v>
      </c>
      <c r="F394" t="s">
        <v>245</v>
      </c>
      <c r="G394" t="s">
        <v>246</v>
      </c>
      <c r="N394" t="s">
        <v>671</v>
      </c>
      <c r="O394" t="s">
        <v>672</v>
      </c>
      <c r="P394" t="s">
        <v>249</v>
      </c>
      <c r="Q394" t="s">
        <v>250</v>
      </c>
      <c r="R394" t="s">
        <v>251</v>
      </c>
      <c r="T394" t="s">
        <v>252</v>
      </c>
      <c r="U394" t="s">
        <v>253</v>
      </c>
      <c r="V394" t="s">
        <v>673</v>
      </c>
      <c r="W394" t="s">
        <v>674</v>
      </c>
      <c r="X394" t="s">
        <v>675</v>
      </c>
      <c r="Z394" t="s">
        <v>284</v>
      </c>
      <c r="AM394" t="s">
        <v>258</v>
      </c>
      <c r="AN394" t="s">
        <v>259</v>
      </c>
      <c r="AO394" t="s">
        <v>260</v>
      </c>
      <c r="AP394">
        <v>7</v>
      </c>
      <c r="AQ394" t="s">
        <v>261</v>
      </c>
      <c r="AS394">
        <v>4.7E-2</v>
      </c>
      <c r="AX394" t="s">
        <v>356</v>
      </c>
      <c r="BO394" t="s">
        <v>261</v>
      </c>
      <c r="BQ394">
        <v>4.7E-2</v>
      </c>
      <c r="BV394" t="s">
        <v>263</v>
      </c>
      <c r="CM394" t="s">
        <v>264</v>
      </c>
      <c r="CN394" t="s">
        <v>264</v>
      </c>
      <c r="CP394" t="s">
        <v>265</v>
      </c>
      <c r="DB394">
        <v>4</v>
      </c>
      <c r="DG394" t="s">
        <v>267</v>
      </c>
      <c r="DI394">
        <v>96</v>
      </c>
      <c r="DN394" t="s">
        <v>268</v>
      </c>
      <c r="DP394" t="s">
        <v>1125</v>
      </c>
      <c r="DR394">
        <v>607701</v>
      </c>
      <c r="DS394">
        <v>18409</v>
      </c>
      <c r="DT394" t="s">
        <v>677</v>
      </c>
      <c r="EW394" t="s">
        <v>293</v>
      </c>
      <c r="FK394" t="s">
        <v>1148</v>
      </c>
      <c r="FM394">
        <v>20</v>
      </c>
      <c r="FR394" t="s">
        <v>295</v>
      </c>
      <c r="GU394">
        <v>20</v>
      </c>
      <c r="GZ394" t="s">
        <v>296</v>
      </c>
      <c r="HH394" t="s">
        <v>272</v>
      </c>
      <c r="ID394" t="s">
        <v>1149</v>
      </c>
      <c r="IE394" t="s">
        <v>680</v>
      </c>
      <c r="IF394">
        <v>84127</v>
      </c>
      <c r="IG394" t="s">
        <v>681</v>
      </c>
      <c r="IH394" t="s">
        <v>682</v>
      </c>
      <c r="II394">
        <v>2005</v>
      </c>
      <c r="IJ394" t="s">
        <v>683</v>
      </c>
    </row>
    <row r="395" spans="1:244" x14ac:dyDescent="0.45">
      <c r="A395">
        <v>1274192</v>
      </c>
      <c r="B395">
        <v>725515</v>
      </c>
      <c r="C395">
        <v>7440666</v>
      </c>
      <c r="D395" t="s">
        <v>1124</v>
      </c>
      <c r="F395" t="s">
        <v>245</v>
      </c>
      <c r="G395" t="s">
        <v>246</v>
      </c>
      <c r="N395" t="s">
        <v>944</v>
      </c>
      <c r="O395" t="s">
        <v>945</v>
      </c>
      <c r="P395" t="s">
        <v>249</v>
      </c>
      <c r="Q395" t="s">
        <v>250</v>
      </c>
      <c r="R395" t="s">
        <v>251</v>
      </c>
      <c r="T395" t="s">
        <v>252</v>
      </c>
      <c r="U395" t="s">
        <v>253</v>
      </c>
      <c r="V395" t="s">
        <v>418</v>
      </c>
      <c r="W395" t="s">
        <v>946</v>
      </c>
      <c r="X395" t="s">
        <v>947</v>
      </c>
      <c r="Z395" t="s">
        <v>421</v>
      </c>
      <c r="AL395" t="s">
        <v>948</v>
      </c>
      <c r="AM395" t="s">
        <v>258</v>
      </c>
      <c r="AN395" t="s">
        <v>259</v>
      </c>
      <c r="AO395" t="s">
        <v>260</v>
      </c>
      <c r="AP395">
        <v>6</v>
      </c>
      <c r="AQ395" t="s">
        <v>261</v>
      </c>
      <c r="AS395">
        <v>1.35</v>
      </c>
      <c r="AU395">
        <v>1.1200000000000001</v>
      </c>
      <c r="AW395">
        <v>1.62</v>
      </c>
      <c r="AX395" t="s">
        <v>356</v>
      </c>
      <c r="BO395" t="s">
        <v>261</v>
      </c>
      <c r="BQ395">
        <v>1.35</v>
      </c>
      <c r="BS395">
        <v>1.1200000000000001</v>
      </c>
      <c r="BU395">
        <v>1.62</v>
      </c>
      <c r="BV395" t="s">
        <v>263</v>
      </c>
      <c r="CM395" t="s">
        <v>264</v>
      </c>
      <c r="CN395" t="s">
        <v>264</v>
      </c>
      <c r="CP395" t="s">
        <v>265</v>
      </c>
      <c r="CQ395" t="s">
        <v>518</v>
      </c>
      <c r="DB395">
        <v>4</v>
      </c>
      <c r="DG395" t="s">
        <v>267</v>
      </c>
      <c r="DI395">
        <v>96</v>
      </c>
      <c r="DN395" t="s">
        <v>268</v>
      </c>
      <c r="DP395" t="s">
        <v>1125</v>
      </c>
      <c r="DR395">
        <v>6689</v>
      </c>
      <c r="DS395">
        <v>11779</v>
      </c>
      <c r="DT395" t="s">
        <v>949</v>
      </c>
      <c r="EW395" t="s">
        <v>293</v>
      </c>
      <c r="FA395" t="s">
        <v>950</v>
      </c>
      <c r="FK395" t="s">
        <v>1126</v>
      </c>
      <c r="FM395">
        <v>25</v>
      </c>
      <c r="FR395" t="s">
        <v>295</v>
      </c>
      <c r="GJ395">
        <v>5.8</v>
      </c>
      <c r="GL395">
        <v>6.5</v>
      </c>
      <c r="GM395" t="s">
        <v>356</v>
      </c>
      <c r="GQ395">
        <v>7.15</v>
      </c>
      <c r="GS395">
        <v>7.87</v>
      </c>
      <c r="GU395">
        <v>15</v>
      </c>
      <c r="GZ395" t="s">
        <v>362</v>
      </c>
      <c r="HD395">
        <v>32</v>
      </c>
      <c r="HF395">
        <v>152</v>
      </c>
      <c r="HG395" t="s">
        <v>952</v>
      </c>
      <c r="HH395" t="s">
        <v>272</v>
      </c>
      <c r="ID395" t="s">
        <v>1127</v>
      </c>
      <c r="IE395" t="s">
        <v>954</v>
      </c>
      <c r="IF395">
        <v>76280</v>
      </c>
      <c r="IG395" t="s">
        <v>955</v>
      </c>
      <c r="IH395" t="s">
        <v>956</v>
      </c>
      <c r="II395">
        <v>2004</v>
      </c>
      <c r="IJ395" t="s">
        <v>957</v>
      </c>
    </row>
    <row r="396" spans="1:244" x14ac:dyDescent="0.45">
      <c r="A396">
        <v>2101328</v>
      </c>
      <c r="B396">
        <v>2185881</v>
      </c>
      <c r="C396">
        <v>7440666</v>
      </c>
      <c r="D396" t="s">
        <v>1124</v>
      </c>
      <c r="F396" t="s">
        <v>245</v>
      </c>
      <c r="G396" t="s">
        <v>344</v>
      </c>
      <c r="I396">
        <v>99.9</v>
      </c>
      <c r="N396" t="s">
        <v>452</v>
      </c>
      <c r="O396" t="s">
        <v>346</v>
      </c>
      <c r="P396" t="s">
        <v>249</v>
      </c>
      <c r="Q396" t="s">
        <v>250</v>
      </c>
      <c r="R396" t="s">
        <v>251</v>
      </c>
      <c r="T396" t="s">
        <v>347</v>
      </c>
      <c r="U396" t="s">
        <v>348</v>
      </c>
      <c r="V396" t="s">
        <v>349</v>
      </c>
      <c r="W396" t="s">
        <v>350</v>
      </c>
      <c r="X396" t="s">
        <v>453</v>
      </c>
      <c r="Z396" t="s">
        <v>284</v>
      </c>
      <c r="AI396">
        <v>3</v>
      </c>
      <c r="AM396" t="s">
        <v>317</v>
      </c>
      <c r="AN396" t="s">
        <v>259</v>
      </c>
      <c r="AO396" t="s">
        <v>260</v>
      </c>
      <c r="AP396">
        <v>4</v>
      </c>
      <c r="AQ396" t="s">
        <v>261</v>
      </c>
      <c r="AR396" t="s">
        <v>288</v>
      </c>
      <c r="AS396">
        <v>100</v>
      </c>
      <c r="AX396" t="s">
        <v>356</v>
      </c>
      <c r="BO396" t="s">
        <v>261</v>
      </c>
      <c r="BP396" t="s">
        <v>288</v>
      </c>
      <c r="BQ396">
        <v>100</v>
      </c>
      <c r="BV396" t="s">
        <v>263</v>
      </c>
      <c r="CM396" t="s">
        <v>264</v>
      </c>
      <c r="CN396" t="s">
        <v>264</v>
      </c>
      <c r="CP396" t="s">
        <v>265</v>
      </c>
      <c r="CQ396" t="s">
        <v>518</v>
      </c>
      <c r="DB396">
        <v>4</v>
      </c>
      <c r="DG396" t="s">
        <v>267</v>
      </c>
      <c r="DI396">
        <v>96</v>
      </c>
      <c r="DN396" t="s">
        <v>268</v>
      </c>
      <c r="DO396" t="s">
        <v>291</v>
      </c>
      <c r="DP396" t="s">
        <v>1150</v>
      </c>
      <c r="DR396">
        <v>85549</v>
      </c>
      <c r="DS396">
        <v>366</v>
      </c>
      <c r="DT396" t="s">
        <v>488</v>
      </c>
      <c r="DV396">
        <v>96</v>
      </c>
      <c r="EA396" t="s">
        <v>268</v>
      </c>
      <c r="EC396">
        <v>4</v>
      </c>
      <c r="EH396" t="s">
        <v>267</v>
      </c>
      <c r="EJ396">
        <v>96</v>
      </c>
      <c r="EO396" t="s">
        <v>268</v>
      </c>
      <c r="EQ396">
        <v>4</v>
      </c>
      <c r="EV396" t="s">
        <v>267</v>
      </c>
      <c r="EW396" t="s">
        <v>293</v>
      </c>
      <c r="EY396" t="s">
        <v>377</v>
      </c>
      <c r="EZ396" t="s">
        <v>1151</v>
      </c>
      <c r="FA396" t="s">
        <v>490</v>
      </c>
      <c r="FM396">
        <v>24</v>
      </c>
      <c r="FR396" t="s">
        <v>295</v>
      </c>
      <c r="GQ396">
        <v>8.1999999999999993</v>
      </c>
      <c r="GS396">
        <v>8.8000000000000007</v>
      </c>
      <c r="HH396" t="s">
        <v>272</v>
      </c>
      <c r="IE396" t="s">
        <v>491</v>
      </c>
      <c r="IF396">
        <v>164307</v>
      </c>
      <c r="IG396" t="s">
        <v>492</v>
      </c>
      <c r="IH396" t="s">
        <v>493</v>
      </c>
      <c r="II396">
        <v>2013</v>
      </c>
      <c r="IJ396" t="s">
        <v>494</v>
      </c>
    </row>
    <row r="397" spans="1:244" x14ac:dyDescent="0.45">
      <c r="A397">
        <v>1278855</v>
      </c>
      <c r="B397">
        <v>732145</v>
      </c>
      <c r="C397">
        <v>7440666</v>
      </c>
      <c r="D397" t="s">
        <v>1124</v>
      </c>
      <c r="F397" t="s">
        <v>245</v>
      </c>
      <c r="G397" t="s">
        <v>246</v>
      </c>
      <c r="N397" t="s">
        <v>606</v>
      </c>
      <c r="O397" t="s">
        <v>607</v>
      </c>
      <c r="P397" t="s">
        <v>249</v>
      </c>
      <c r="Q397" t="s">
        <v>250</v>
      </c>
      <c r="R397" t="s">
        <v>251</v>
      </c>
      <c r="T397" t="s">
        <v>252</v>
      </c>
      <c r="U397" t="s">
        <v>253</v>
      </c>
      <c r="V397" t="s">
        <v>608</v>
      </c>
      <c r="W397" t="s">
        <v>609</v>
      </c>
      <c r="X397" t="s">
        <v>610</v>
      </c>
      <c r="Z397" t="s">
        <v>315</v>
      </c>
      <c r="AL397" t="s">
        <v>907</v>
      </c>
      <c r="AM397" t="s">
        <v>307</v>
      </c>
      <c r="AN397" t="s">
        <v>259</v>
      </c>
      <c r="AO397" t="s">
        <v>260</v>
      </c>
      <c r="AP397">
        <v>8</v>
      </c>
      <c r="AQ397" t="s">
        <v>261</v>
      </c>
      <c r="AS397">
        <v>17</v>
      </c>
      <c r="AX397" t="s">
        <v>356</v>
      </c>
      <c r="BO397" t="s">
        <v>261</v>
      </c>
      <c r="BQ397">
        <v>17</v>
      </c>
      <c r="BV397" t="s">
        <v>263</v>
      </c>
      <c r="CM397" t="s">
        <v>264</v>
      </c>
      <c r="CN397" t="s">
        <v>264</v>
      </c>
      <c r="CP397" t="s">
        <v>265</v>
      </c>
      <c r="CQ397" t="s">
        <v>518</v>
      </c>
      <c r="DB397">
        <v>4</v>
      </c>
      <c r="DG397" t="s">
        <v>267</v>
      </c>
      <c r="DI397">
        <v>96</v>
      </c>
      <c r="DN397" t="s">
        <v>268</v>
      </c>
      <c r="DP397" t="s">
        <v>1125</v>
      </c>
      <c r="DR397">
        <v>6706</v>
      </c>
      <c r="DS397">
        <v>346</v>
      </c>
      <c r="EW397" t="s">
        <v>293</v>
      </c>
      <c r="FK397" t="s">
        <v>1152</v>
      </c>
      <c r="FM397">
        <v>15</v>
      </c>
      <c r="FR397" t="s">
        <v>295</v>
      </c>
      <c r="HH397" t="s">
        <v>272</v>
      </c>
      <c r="ID397" t="s">
        <v>1153</v>
      </c>
      <c r="IE397" t="s">
        <v>911</v>
      </c>
      <c r="IF397">
        <v>82412</v>
      </c>
      <c r="IG397" t="s">
        <v>912</v>
      </c>
      <c r="IH397" t="s">
        <v>913</v>
      </c>
      <c r="II397">
        <v>1976</v>
      </c>
      <c r="IJ397" t="s">
        <v>914</v>
      </c>
    </row>
    <row r="398" spans="1:244" x14ac:dyDescent="0.45">
      <c r="A398">
        <v>1274189</v>
      </c>
      <c r="B398">
        <v>725512</v>
      </c>
      <c r="C398">
        <v>7440666</v>
      </c>
      <c r="D398" t="s">
        <v>1124</v>
      </c>
      <c r="F398" t="s">
        <v>245</v>
      </c>
      <c r="G398" t="s">
        <v>246</v>
      </c>
      <c r="N398" t="s">
        <v>944</v>
      </c>
      <c r="O398" t="s">
        <v>945</v>
      </c>
      <c r="P398" t="s">
        <v>249</v>
      </c>
      <c r="Q398" t="s">
        <v>250</v>
      </c>
      <c r="R398" t="s">
        <v>251</v>
      </c>
      <c r="T398" t="s">
        <v>252</v>
      </c>
      <c r="U398" t="s">
        <v>253</v>
      </c>
      <c r="V398" t="s">
        <v>418</v>
      </c>
      <c r="W398" t="s">
        <v>946</v>
      </c>
      <c r="X398" t="s">
        <v>947</v>
      </c>
      <c r="Z398" t="s">
        <v>421</v>
      </c>
      <c r="AL398" t="s">
        <v>948</v>
      </c>
      <c r="AM398" t="s">
        <v>258</v>
      </c>
      <c r="AN398" t="s">
        <v>259</v>
      </c>
      <c r="AO398" t="s">
        <v>260</v>
      </c>
      <c r="AP398">
        <v>6</v>
      </c>
      <c r="AQ398" t="s">
        <v>261</v>
      </c>
      <c r="AS398">
        <v>3.98</v>
      </c>
      <c r="AU398">
        <v>3.32</v>
      </c>
      <c r="AW398">
        <v>4.76</v>
      </c>
      <c r="AX398" t="s">
        <v>356</v>
      </c>
      <c r="BO398" t="s">
        <v>261</v>
      </c>
      <c r="BQ398">
        <v>3.98</v>
      </c>
      <c r="BS398">
        <v>3.32</v>
      </c>
      <c r="BU398">
        <v>4.76</v>
      </c>
      <c r="BV398" t="s">
        <v>263</v>
      </c>
      <c r="CM398" t="s">
        <v>264</v>
      </c>
      <c r="CN398" t="s">
        <v>264</v>
      </c>
      <c r="CP398" t="s">
        <v>265</v>
      </c>
      <c r="CQ398" t="s">
        <v>518</v>
      </c>
      <c r="DB398">
        <v>1</v>
      </c>
      <c r="DG398" t="s">
        <v>267</v>
      </c>
      <c r="DI398">
        <v>24</v>
      </c>
      <c r="DN398" t="s">
        <v>268</v>
      </c>
      <c r="DP398" t="s">
        <v>1125</v>
      </c>
      <c r="DR398">
        <v>6689</v>
      </c>
      <c r="DS398">
        <v>11779</v>
      </c>
      <c r="DT398" t="s">
        <v>949</v>
      </c>
      <c r="EW398" t="s">
        <v>293</v>
      </c>
      <c r="FA398" t="s">
        <v>950</v>
      </c>
      <c r="FK398" t="s">
        <v>1126</v>
      </c>
      <c r="FM398">
        <v>25</v>
      </c>
      <c r="FR398" t="s">
        <v>295</v>
      </c>
      <c r="GJ398">
        <v>5.8</v>
      </c>
      <c r="GL398">
        <v>6.5</v>
      </c>
      <c r="GM398" t="s">
        <v>356</v>
      </c>
      <c r="GQ398">
        <v>7.15</v>
      </c>
      <c r="GS398">
        <v>7.87</v>
      </c>
      <c r="GU398">
        <v>15</v>
      </c>
      <c r="GZ398" t="s">
        <v>362</v>
      </c>
      <c r="HD398">
        <v>32</v>
      </c>
      <c r="HF398">
        <v>152</v>
      </c>
      <c r="HG398" t="s">
        <v>952</v>
      </c>
      <c r="HH398" t="s">
        <v>272</v>
      </c>
      <c r="ID398" t="s">
        <v>1127</v>
      </c>
      <c r="IE398" t="s">
        <v>954</v>
      </c>
      <c r="IF398">
        <v>76280</v>
      </c>
      <c r="IG398" t="s">
        <v>955</v>
      </c>
      <c r="IH398" t="s">
        <v>956</v>
      </c>
      <c r="II398">
        <v>2004</v>
      </c>
      <c r="IJ398" t="s">
        <v>957</v>
      </c>
    </row>
    <row r="399" spans="1:244" x14ac:dyDescent="0.45">
      <c r="A399">
        <v>1270050</v>
      </c>
      <c r="B399">
        <v>721348</v>
      </c>
      <c r="C399">
        <v>7440666</v>
      </c>
      <c r="D399" t="s">
        <v>1124</v>
      </c>
      <c r="F399" t="s">
        <v>245</v>
      </c>
      <c r="G399" t="s">
        <v>246</v>
      </c>
      <c r="N399" t="s">
        <v>671</v>
      </c>
      <c r="O399" t="s">
        <v>672</v>
      </c>
      <c r="P399" t="s">
        <v>249</v>
      </c>
      <c r="Q399" t="s">
        <v>250</v>
      </c>
      <c r="R399" t="s">
        <v>251</v>
      </c>
      <c r="T399" t="s">
        <v>252</v>
      </c>
      <c r="U399" t="s">
        <v>253</v>
      </c>
      <c r="V399" t="s">
        <v>673</v>
      </c>
      <c r="W399" t="s">
        <v>674</v>
      </c>
      <c r="X399" t="s">
        <v>675</v>
      </c>
      <c r="Z399" t="s">
        <v>284</v>
      </c>
      <c r="AM399" t="s">
        <v>258</v>
      </c>
      <c r="AN399" t="s">
        <v>259</v>
      </c>
      <c r="AO399" t="s">
        <v>260</v>
      </c>
      <c r="AP399">
        <v>7</v>
      </c>
      <c r="AQ399" t="s">
        <v>261</v>
      </c>
      <c r="AS399">
        <v>8.6999999999999994E-2</v>
      </c>
      <c r="AX399" t="s">
        <v>356</v>
      </c>
      <c r="BO399" t="s">
        <v>261</v>
      </c>
      <c r="BQ399">
        <v>8.6999999999999994E-2</v>
      </c>
      <c r="BV399" t="s">
        <v>263</v>
      </c>
      <c r="CM399" t="s">
        <v>264</v>
      </c>
      <c r="CN399" t="s">
        <v>264</v>
      </c>
      <c r="CP399" t="s">
        <v>265</v>
      </c>
      <c r="DB399">
        <v>4</v>
      </c>
      <c r="DG399" t="s">
        <v>267</v>
      </c>
      <c r="DI399">
        <v>96</v>
      </c>
      <c r="DN399" t="s">
        <v>268</v>
      </c>
      <c r="DP399" t="s">
        <v>1125</v>
      </c>
      <c r="DR399">
        <v>607701</v>
      </c>
      <c r="DS399">
        <v>18409</v>
      </c>
      <c r="DT399" t="s">
        <v>677</v>
      </c>
      <c r="EW399" t="s">
        <v>293</v>
      </c>
      <c r="FK399" t="s">
        <v>1154</v>
      </c>
      <c r="FM399">
        <v>20</v>
      </c>
      <c r="FR399" t="s">
        <v>295</v>
      </c>
      <c r="GU399">
        <v>35</v>
      </c>
      <c r="GZ399" t="s">
        <v>296</v>
      </c>
      <c r="HH399" t="s">
        <v>272</v>
      </c>
      <c r="ID399" t="s">
        <v>1155</v>
      </c>
      <c r="IE399" t="s">
        <v>680</v>
      </c>
      <c r="IF399">
        <v>84127</v>
      </c>
      <c r="IG399" t="s">
        <v>681</v>
      </c>
      <c r="IH399" t="s">
        <v>682</v>
      </c>
      <c r="II399">
        <v>2005</v>
      </c>
      <c r="IJ399" t="s">
        <v>683</v>
      </c>
    </row>
    <row r="400" spans="1:244" x14ac:dyDescent="0.45">
      <c r="A400">
        <v>2101326</v>
      </c>
      <c r="B400">
        <v>2185876</v>
      </c>
      <c r="C400">
        <v>7440666</v>
      </c>
      <c r="D400" t="s">
        <v>1124</v>
      </c>
      <c r="F400" t="s">
        <v>245</v>
      </c>
      <c r="G400" t="s">
        <v>344</v>
      </c>
      <c r="I400">
        <v>99.9</v>
      </c>
      <c r="N400" t="s">
        <v>452</v>
      </c>
      <c r="O400" t="s">
        <v>346</v>
      </c>
      <c r="P400" t="s">
        <v>249</v>
      </c>
      <c r="Q400" t="s">
        <v>250</v>
      </c>
      <c r="R400" t="s">
        <v>251</v>
      </c>
      <c r="T400" t="s">
        <v>347</v>
      </c>
      <c r="U400" t="s">
        <v>348</v>
      </c>
      <c r="V400" t="s">
        <v>349</v>
      </c>
      <c r="W400" t="s">
        <v>350</v>
      </c>
      <c r="X400" t="s">
        <v>453</v>
      </c>
      <c r="Z400" t="s">
        <v>284</v>
      </c>
      <c r="AI400">
        <v>3</v>
      </c>
      <c r="AM400" t="s">
        <v>317</v>
      </c>
      <c r="AN400" t="s">
        <v>259</v>
      </c>
      <c r="AO400" t="s">
        <v>260</v>
      </c>
      <c r="AP400">
        <v>4</v>
      </c>
      <c r="AQ400" t="s">
        <v>261</v>
      </c>
      <c r="AR400" t="s">
        <v>288</v>
      </c>
      <c r="AS400">
        <v>100</v>
      </c>
      <c r="AX400" t="s">
        <v>356</v>
      </c>
      <c r="BO400" t="s">
        <v>261</v>
      </c>
      <c r="BP400" t="s">
        <v>288</v>
      </c>
      <c r="BQ400">
        <v>100</v>
      </c>
      <c r="BV400" t="s">
        <v>263</v>
      </c>
      <c r="CM400" t="s">
        <v>264</v>
      </c>
      <c r="CN400" t="s">
        <v>264</v>
      </c>
      <c r="CP400" t="s">
        <v>265</v>
      </c>
      <c r="CQ400" t="s">
        <v>518</v>
      </c>
      <c r="DB400">
        <v>1</v>
      </c>
      <c r="DG400" t="s">
        <v>267</v>
      </c>
      <c r="DI400">
        <v>24</v>
      </c>
      <c r="DN400" t="s">
        <v>268</v>
      </c>
      <c r="DO400" t="s">
        <v>291</v>
      </c>
      <c r="DP400" t="s">
        <v>1150</v>
      </c>
      <c r="DR400">
        <v>85549</v>
      </c>
      <c r="DS400">
        <v>366</v>
      </c>
      <c r="DT400" t="s">
        <v>488</v>
      </c>
      <c r="DV400">
        <v>24</v>
      </c>
      <c r="EA400" t="s">
        <v>268</v>
      </c>
      <c r="EC400">
        <v>1</v>
      </c>
      <c r="EH400" t="s">
        <v>267</v>
      </c>
      <c r="EJ400">
        <v>24</v>
      </c>
      <c r="EO400" t="s">
        <v>268</v>
      </c>
      <c r="EQ400">
        <v>1</v>
      </c>
      <c r="EV400" t="s">
        <v>267</v>
      </c>
      <c r="EW400" t="s">
        <v>293</v>
      </c>
      <c r="EY400" t="s">
        <v>377</v>
      </c>
      <c r="EZ400" t="s">
        <v>1156</v>
      </c>
      <c r="FA400" t="s">
        <v>490</v>
      </c>
      <c r="FM400">
        <v>24</v>
      </c>
      <c r="FR400" t="s">
        <v>295</v>
      </c>
      <c r="GQ400">
        <v>8.1</v>
      </c>
      <c r="GS400">
        <v>8.8000000000000007</v>
      </c>
      <c r="HH400" t="s">
        <v>272</v>
      </c>
      <c r="IE400" t="s">
        <v>491</v>
      </c>
      <c r="IF400">
        <v>164307</v>
      </c>
      <c r="IG400" t="s">
        <v>492</v>
      </c>
      <c r="IH400" t="s">
        <v>493</v>
      </c>
      <c r="II400">
        <v>2013</v>
      </c>
      <c r="IJ400" t="s">
        <v>494</v>
      </c>
    </row>
    <row r="401" spans="1:244" x14ac:dyDescent="0.45">
      <c r="A401">
        <v>2101325</v>
      </c>
      <c r="B401">
        <v>2185873</v>
      </c>
      <c r="C401">
        <v>7440666</v>
      </c>
      <c r="D401" t="s">
        <v>1124</v>
      </c>
      <c r="F401" t="s">
        <v>245</v>
      </c>
      <c r="G401" t="s">
        <v>344</v>
      </c>
      <c r="I401">
        <v>99.9</v>
      </c>
      <c r="N401" t="s">
        <v>452</v>
      </c>
      <c r="O401" t="s">
        <v>346</v>
      </c>
      <c r="P401" t="s">
        <v>249</v>
      </c>
      <c r="Q401" t="s">
        <v>250</v>
      </c>
      <c r="R401" t="s">
        <v>251</v>
      </c>
      <c r="T401" t="s">
        <v>347</v>
      </c>
      <c r="U401" t="s">
        <v>348</v>
      </c>
      <c r="V401" t="s">
        <v>349</v>
      </c>
      <c r="W401" t="s">
        <v>350</v>
      </c>
      <c r="X401" t="s">
        <v>453</v>
      </c>
      <c r="Z401" t="s">
        <v>284</v>
      </c>
      <c r="AI401">
        <v>3</v>
      </c>
      <c r="AM401" t="s">
        <v>317</v>
      </c>
      <c r="AN401" t="s">
        <v>259</v>
      </c>
      <c r="AO401" t="s">
        <v>260</v>
      </c>
      <c r="AP401">
        <v>4</v>
      </c>
      <c r="AQ401" t="s">
        <v>261</v>
      </c>
      <c r="AR401" t="s">
        <v>288</v>
      </c>
      <c r="AS401">
        <v>100</v>
      </c>
      <c r="AX401" t="s">
        <v>356</v>
      </c>
      <c r="BO401" t="s">
        <v>261</v>
      </c>
      <c r="BP401" t="s">
        <v>288</v>
      </c>
      <c r="BQ401">
        <v>100</v>
      </c>
      <c r="BV401" t="s">
        <v>263</v>
      </c>
      <c r="CM401" t="s">
        <v>264</v>
      </c>
      <c r="CN401" t="s">
        <v>264</v>
      </c>
      <c r="CP401" t="s">
        <v>265</v>
      </c>
      <c r="CQ401" t="s">
        <v>518</v>
      </c>
      <c r="DB401">
        <v>4</v>
      </c>
      <c r="DG401" t="s">
        <v>267</v>
      </c>
      <c r="DI401">
        <v>96</v>
      </c>
      <c r="DN401" t="s">
        <v>268</v>
      </c>
      <c r="DO401" t="s">
        <v>291</v>
      </c>
      <c r="DP401" t="s">
        <v>1142</v>
      </c>
      <c r="DR401">
        <v>85549</v>
      </c>
      <c r="DS401">
        <v>366</v>
      </c>
      <c r="DT401" t="s">
        <v>488</v>
      </c>
      <c r="DV401">
        <v>96</v>
      </c>
      <c r="EA401" t="s">
        <v>268</v>
      </c>
      <c r="EC401">
        <v>4</v>
      </c>
      <c r="EH401" t="s">
        <v>267</v>
      </c>
      <c r="EJ401">
        <v>96</v>
      </c>
      <c r="EO401" t="s">
        <v>268</v>
      </c>
      <c r="EQ401">
        <v>4</v>
      </c>
      <c r="EV401" t="s">
        <v>267</v>
      </c>
      <c r="EW401" t="s">
        <v>293</v>
      </c>
      <c r="EY401" t="s">
        <v>377</v>
      </c>
      <c r="EZ401" t="s">
        <v>1157</v>
      </c>
      <c r="FA401" t="s">
        <v>490</v>
      </c>
      <c r="FM401">
        <v>24</v>
      </c>
      <c r="FR401" t="s">
        <v>295</v>
      </c>
      <c r="GQ401">
        <v>8.1999999999999993</v>
      </c>
      <c r="GS401">
        <v>8.8000000000000007</v>
      </c>
      <c r="HH401" t="s">
        <v>272</v>
      </c>
      <c r="IE401" t="s">
        <v>491</v>
      </c>
      <c r="IF401">
        <v>164307</v>
      </c>
      <c r="IG401" t="s">
        <v>492</v>
      </c>
      <c r="IH401" t="s">
        <v>493</v>
      </c>
      <c r="II401">
        <v>2013</v>
      </c>
      <c r="IJ401" t="s">
        <v>494</v>
      </c>
    </row>
    <row r="402" spans="1:244" x14ac:dyDescent="0.45">
      <c r="A402">
        <v>1282495</v>
      </c>
      <c r="B402">
        <v>736155</v>
      </c>
      <c r="C402">
        <v>7440666</v>
      </c>
      <c r="D402" t="s">
        <v>1124</v>
      </c>
      <c r="F402" t="s">
        <v>327</v>
      </c>
      <c r="G402" t="s">
        <v>246</v>
      </c>
      <c r="N402" t="s">
        <v>1009</v>
      </c>
      <c r="O402" t="s">
        <v>388</v>
      </c>
      <c r="P402" t="s">
        <v>249</v>
      </c>
      <c r="Q402" t="s">
        <v>250</v>
      </c>
      <c r="R402" t="s">
        <v>251</v>
      </c>
      <c r="T402" t="s">
        <v>389</v>
      </c>
      <c r="U402" t="s">
        <v>390</v>
      </c>
      <c r="V402" t="s">
        <v>1010</v>
      </c>
      <c r="W402" t="s">
        <v>1011</v>
      </c>
      <c r="X402" t="s">
        <v>1012</v>
      </c>
      <c r="Z402" t="s">
        <v>315</v>
      </c>
      <c r="AL402" t="s">
        <v>1113</v>
      </c>
      <c r="AM402" t="s">
        <v>1158</v>
      </c>
      <c r="AN402" t="s">
        <v>259</v>
      </c>
      <c r="AO402" t="s">
        <v>260</v>
      </c>
      <c r="AP402">
        <v>6</v>
      </c>
      <c r="AQ402" t="s">
        <v>261</v>
      </c>
      <c r="AS402">
        <v>375.8</v>
      </c>
      <c r="AU402">
        <v>346.1</v>
      </c>
      <c r="AW402">
        <v>408</v>
      </c>
      <c r="AX402" t="s">
        <v>262</v>
      </c>
      <c r="BO402" t="s">
        <v>261</v>
      </c>
      <c r="BQ402">
        <v>0.37580000000000002</v>
      </c>
      <c r="BS402">
        <v>0.34610000000000002</v>
      </c>
      <c r="BU402">
        <v>0.40799999999999997</v>
      </c>
      <c r="BV402" t="s">
        <v>263</v>
      </c>
      <c r="CM402" t="s">
        <v>264</v>
      </c>
      <c r="CN402" t="s">
        <v>264</v>
      </c>
      <c r="CP402" t="s">
        <v>265</v>
      </c>
      <c r="CQ402" t="s">
        <v>518</v>
      </c>
      <c r="DB402">
        <v>4</v>
      </c>
      <c r="DG402" t="s">
        <v>267</v>
      </c>
      <c r="DI402">
        <v>96</v>
      </c>
      <c r="DN402" t="s">
        <v>268</v>
      </c>
      <c r="DP402" t="s">
        <v>1125</v>
      </c>
      <c r="DR402">
        <v>1042268</v>
      </c>
      <c r="DS402">
        <v>4612</v>
      </c>
      <c r="DT402" t="s">
        <v>1114</v>
      </c>
      <c r="EW402" t="s">
        <v>293</v>
      </c>
      <c r="FA402" t="s">
        <v>1159</v>
      </c>
      <c r="FK402" t="s">
        <v>1160</v>
      </c>
      <c r="FM402">
        <v>20</v>
      </c>
      <c r="FR402" t="s">
        <v>295</v>
      </c>
      <c r="GH402">
        <v>8.1999999999999993</v>
      </c>
      <c r="GM402" t="s">
        <v>356</v>
      </c>
      <c r="GO402">
        <v>8</v>
      </c>
      <c r="GU402">
        <v>31</v>
      </c>
      <c r="GZ402" t="s">
        <v>296</v>
      </c>
      <c r="HH402" t="s">
        <v>872</v>
      </c>
      <c r="HJ402">
        <v>34</v>
      </c>
      <c r="HO402" t="s">
        <v>356</v>
      </c>
      <c r="ID402" t="s">
        <v>1161</v>
      </c>
      <c r="IE402" t="s">
        <v>1117</v>
      </c>
      <c r="IF402">
        <v>59877</v>
      </c>
      <c r="IG402" t="s">
        <v>1118</v>
      </c>
      <c r="IH402" t="s">
        <v>1119</v>
      </c>
      <c r="II402">
        <v>2001</v>
      </c>
      <c r="IJ402" t="s">
        <v>1120</v>
      </c>
    </row>
    <row r="403" spans="1:244" x14ac:dyDescent="0.45">
      <c r="A403">
        <v>1053484</v>
      </c>
      <c r="B403">
        <v>129447</v>
      </c>
      <c r="C403">
        <v>7440666</v>
      </c>
      <c r="D403" t="s">
        <v>1124</v>
      </c>
      <c r="F403" t="s">
        <v>245</v>
      </c>
      <c r="G403" t="s">
        <v>246</v>
      </c>
      <c r="N403" t="s">
        <v>723</v>
      </c>
      <c r="O403" t="s">
        <v>631</v>
      </c>
      <c r="P403" t="s">
        <v>249</v>
      </c>
      <c r="Q403" t="s">
        <v>250</v>
      </c>
      <c r="R403" t="s">
        <v>251</v>
      </c>
      <c r="T403" t="s">
        <v>389</v>
      </c>
      <c r="U403" t="s">
        <v>632</v>
      </c>
      <c r="V403" t="s">
        <v>633</v>
      </c>
      <c r="W403" t="s">
        <v>634</v>
      </c>
      <c r="X403" t="s">
        <v>724</v>
      </c>
      <c r="AM403" t="s">
        <v>317</v>
      </c>
      <c r="AN403" t="s">
        <v>259</v>
      </c>
      <c r="AO403" t="s">
        <v>260</v>
      </c>
      <c r="AQ403" t="s">
        <v>261</v>
      </c>
      <c r="AS403">
        <v>950</v>
      </c>
      <c r="AU403">
        <v>712</v>
      </c>
      <c r="AW403">
        <v>1338</v>
      </c>
      <c r="AX403" t="s">
        <v>262</v>
      </c>
      <c r="BO403" t="s">
        <v>261</v>
      </c>
      <c r="BQ403">
        <v>0.95</v>
      </c>
      <c r="BS403">
        <v>0.71199999999999997</v>
      </c>
      <c r="BU403">
        <v>1.3380000000000001</v>
      </c>
      <c r="BV403" t="s">
        <v>263</v>
      </c>
      <c r="CM403" t="s">
        <v>264</v>
      </c>
      <c r="CN403" t="s">
        <v>264</v>
      </c>
      <c r="CO403" t="s">
        <v>869</v>
      </c>
      <c r="CP403" t="s">
        <v>265</v>
      </c>
      <c r="DB403">
        <v>4</v>
      </c>
      <c r="DG403" t="s">
        <v>267</v>
      </c>
      <c r="DI403">
        <v>96</v>
      </c>
      <c r="DN403" t="s">
        <v>268</v>
      </c>
      <c r="DR403">
        <v>136140</v>
      </c>
      <c r="DS403">
        <v>1784</v>
      </c>
      <c r="EW403" t="s">
        <v>333</v>
      </c>
      <c r="FA403" t="s">
        <v>803</v>
      </c>
      <c r="FM403">
        <v>10</v>
      </c>
      <c r="FR403" t="s">
        <v>295</v>
      </c>
      <c r="GU403">
        <v>30</v>
      </c>
      <c r="GZ403" t="s">
        <v>296</v>
      </c>
      <c r="HH403" t="s">
        <v>272</v>
      </c>
      <c r="IE403" t="s">
        <v>804</v>
      </c>
      <c r="IF403">
        <v>3734</v>
      </c>
      <c r="IG403" t="s">
        <v>741</v>
      </c>
      <c r="IH403" t="s">
        <v>805</v>
      </c>
      <c r="II403">
        <v>1982</v>
      </c>
      <c r="IJ403" t="s">
        <v>806</v>
      </c>
    </row>
    <row r="404" spans="1:244" x14ac:dyDescent="0.45">
      <c r="A404">
        <v>1053486</v>
      </c>
      <c r="B404">
        <v>129449</v>
      </c>
      <c r="C404">
        <v>7440666</v>
      </c>
      <c r="D404" t="s">
        <v>1124</v>
      </c>
      <c r="F404" t="s">
        <v>245</v>
      </c>
      <c r="G404" t="s">
        <v>246</v>
      </c>
      <c r="N404" t="s">
        <v>829</v>
      </c>
      <c r="O404" t="s">
        <v>631</v>
      </c>
      <c r="P404" t="s">
        <v>249</v>
      </c>
      <c r="Q404" t="s">
        <v>250</v>
      </c>
      <c r="R404" t="s">
        <v>251</v>
      </c>
      <c r="T404" t="s">
        <v>389</v>
      </c>
      <c r="U404" t="s">
        <v>632</v>
      </c>
      <c r="V404" t="s">
        <v>830</v>
      </c>
      <c r="W404" t="s">
        <v>831</v>
      </c>
      <c r="X404" t="s">
        <v>832</v>
      </c>
      <c r="AM404" t="s">
        <v>317</v>
      </c>
      <c r="AN404" t="s">
        <v>259</v>
      </c>
      <c r="AO404" t="s">
        <v>260</v>
      </c>
      <c r="AQ404" t="s">
        <v>261</v>
      </c>
      <c r="AS404">
        <v>4090</v>
      </c>
      <c r="AU404">
        <v>3170</v>
      </c>
      <c r="AW404">
        <v>4960</v>
      </c>
      <c r="AX404" t="s">
        <v>262</v>
      </c>
      <c r="BO404" t="s">
        <v>261</v>
      </c>
      <c r="BQ404">
        <v>4.09</v>
      </c>
      <c r="BS404">
        <v>3.17</v>
      </c>
      <c r="BU404">
        <v>4.96</v>
      </c>
      <c r="BV404" t="s">
        <v>263</v>
      </c>
      <c r="CM404" t="s">
        <v>264</v>
      </c>
      <c r="CN404" t="s">
        <v>264</v>
      </c>
      <c r="CO404" t="s">
        <v>802</v>
      </c>
      <c r="CP404" t="s">
        <v>265</v>
      </c>
      <c r="DB404">
        <v>4</v>
      </c>
      <c r="DG404" t="s">
        <v>267</v>
      </c>
      <c r="DI404">
        <v>96</v>
      </c>
      <c r="DN404" t="s">
        <v>268</v>
      </c>
      <c r="DR404">
        <v>88015</v>
      </c>
      <c r="DS404">
        <v>649</v>
      </c>
      <c r="EW404" t="s">
        <v>333</v>
      </c>
      <c r="FA404" t="s">
        <v>803</v>
      </c>
      <c r="FM404">
        <v>20</v>
      </c>
      <c r="FR404" t="s">
        <v>295</v>
      </c>
      <c r="GU404">
        <v>30</v>
      </c>
      <c r="GZ404" t="s">
        <v>296</v>
      </c>
      <c r="HH404" t="s">
        <v>272</v>
      </c>
      <c r="IE404" t="s">
        <v>804</v>
      </c>
      <c r="IF404">
        <v>3734</v>
      </c>
      <c r="IG404" t="s">
        <v>741</v>
      </c>
      <c r="IH404" t="s">
        <v>805</v>
      </c>
      <c r="II404">
        <v>1982</v>
      </c>
      <c r="IJ404" t="s">
        <v>806</v>
      </c>
    </row>
    <row r="405" spans="1:244" x14ac:dyDescent="0.45">
      <c r="A405">
        <v>1053483</v>
      </c>
      <c r="B405">
        <v>129446</v>
      </c>
      <c r="C405">
        <v>7440666</v>
      </c>
      <c r="D405" t="s">
        <v>1124</v>
      </c>
      <c r="F405" t="s">
        <v>245</v>
      </c>
      <c r="G405" t="s">
        <v>246</v>
      </c>
      <c r="N405" t="s">
        <v>630</v>
      </c>
      <c r="O405" t="s">
        <v>631</v>
      </c>
      <c r="P405" t="s">
        <v>249</v>
      </c>
      <c r="Q405" t="s">
        <v>250</v>
      </c>
      <c r="R405" t="s">
        <v>251</v>
      </c>
      <c r="T405" t="s">
        <v>389</v>
      </c>
      <c r="U405" t="s">
        <v>632</v>
      </c>
      <c r="V405" t="s">
        <v>633</v>
      </c>
      <c r="W405" t="s">
        <v>634</v>
      </c>
      <c r="X405" t="s">
        <v>635</v>
      </c>
      <c r="AM405" t="s">
        <v>317</v>
      </c>
      <c r="AN405" t="s">
        <v>259</v>
      </c>
      <c r="AO405" t="s">
        <v>260</v>
      </c>
      <c r="AQ405" t="s">
        <v>261</v>
      </c>
      <c r="AS405">
        <v>290</v>
      </c>
      <c r="AU405">
        <v>180</v>
      </c>
      <c r="AW405">
        <v>440</v>
      </c>
      <c r="AX405" t="s">
        <v>262</v>
      </c>
      <c r="BO405" t="s">
        <v>261</v>
      </c>
      <c r="BQ405">
        <v>0.28999999999999998</v>
      </c>
      <c r="BS405">
        <v>0.18</v>
      </c>
      <c r="BU405">
        <v>0.44</v>
      </c>
      <c r="BV405" t="s">
        <v>263</v>
      </c>
      <c r="CM405" t="s">
        <v>264</v>
      </c>
      <c r="CN405" t="s">
        <v>264</v>
      </c>
      <c r="CO405" t="s">
        <v>802</v>
      </c>
      <c r="CP405" t="s">
        <v>265</v>
      </c>
      <c r="DB405">
        <v>4</v>
      </c>
      <c r="DG405" t="s">
        <v>267</v>
      </c>
      <c r="DI405">
        <v>96</v>
      </c>
      <c r="DN405" t="s">
        <v>268</v>
      </c>
      <c r="DR405">
        <v>136180</v>
      </c>
      <c r="DS405">
        <v>376</v>
      </c>
      <c r="EW405" t="s">
        <v>333</v>
      </c>
      <c r="FA405" t="s">
        <v>803</v>
      </c>
      <c r="FM405">
        <v>20</v>
      </c>
      <c r="FR405" t="s">
        <v>295</v>
      </c>
      <c r="GU405">
        <v>30</v>
      </c>
      <c r="GZ405" t="s">
        <v>296</v>
      </c>
      <c r="HH405" t="s">
        <v>272</v>
      </c>
      <c r="IE405" t="s">
        <v>804</v>
      </c>
      <c r="IF405">
        <v>3734</v>
      </c>
      <c r="IG405" t="s">
        <v>741</v>
      </c>
      <c r="IH405" t="s">
        <v>805</v>
      </c>
      <c r="II405">
        <v>1982</v>
      </c>
      <c r="IJ405" t="s">
        <v>806</v>
      </c>
    </row>
    <row r="406" spans="1:244" x14ac:dyDescent="0.45">
      <c r="A406">
        <v>2142307</v>
      </c>
      <c r="B406">
        <v>2267988</v>
      </c>
      <c r="C406">
        <v>7447394</v>
      </c>
      <c r="D406" t="s">
        <v>1162</v>
      </c>
      <c r="E406" t="s">
        <v>386</v>
      </c>
      <c r="F406" t="s">
        <v>327</v>
      </c>
      <c r="G406" t="s">
        <v>272</v>
      </c>
      <c r="N406" t="s">
        <v>1163</v>
      </c>
      <c r="O406" t="s">
        <v>1164</v>
      </c>
      <c r="P406" t="s">
        <v>249</v>
      </c>
      <c r="Q406" t="s">
        <v>250</v>
      </c>
      <c r="R406" t="s">
        <v>251</v>
      </c>
      <c r="T406" t="s">
        <v>389</v>
      </c>
      <c r="U406" t="s">
        <v>390</v>
      </c>
      <c r="V406" t="s">
        <v>1010</v>
      </c>
      <c r="W406" t="s">
        <v>1165</v>
      </c>
      <c r="X406" t="s">
        <v>1166</v>
      </c>
      <c r="Z406" t="s">
        <v>315</v>
      </c>
      <c r="AI406">
        <v>4</v>
      </c>
      <c r="AJ406" t="s">
        <v>354</v>
      </c>
      <c r="AK406" t="s">
        <v>517</v>
      </c>
      <c r="AM406" t="s">
        <v>287</v>
      </c>
      <c r="AN406" t="s">
        <v>259</v>
      </c>
      <c r="AO406" t="s">
        <v>260</v>
      </c>
      <c r="AP406">
        <v>7</v>
      </c>
      <c r="AQ406" t="s">
        <v>504</v>
      </c>
      <c r="AT406" t="s">
        <v>288</v>
      </c>
      <c r="AU406">
        <v>2</v>
      </c>
      <c r="AV406" t="s">
        <v>289</v>
      </c>
      <c r="AW406">
        <v>4</v>
      </c>
      <c r="AX406" t="s">
        <v>1167</v>
      </c>
      <c r="BO406" t="s">
        <v>504</v>
      </c>
      <c r="BR406" t="s">
        <v>288</v>
      </c>
      <c r="BS406">
        <v>0.26890399999999998</v>
      </c>
      <c r="BT406" t="s">
        <v>289</v>
      </c>
      <c r="BU406">
        <v>0.53780799999999995</v>
      </c>
      <c r="BV406" t="s">
        <v>263</v>
      </c>
      <c r="CM406" t="s">
        <v>264</v>
      </c>
      <c r="CN406" t="s">
        <v>264</v>
      </c>
      <c r="CP406" t="s">
        <v>265</v>
      </c>
      <c r="CQ406" t="s">
        <v>394</v>
      </c>
      <c r="DB406">
        <v>4</v>
      </c>
      <c r="DG406" t="s">
        <v>267</v>
      </c>
      <c r="DI406">
        <v>96</v>
      </c>
      <c r="DN406" t="s">
        <v>268</v>
      </c>
      <c r="DR406">
        <v>1352461</v>
      </c>
      <c r="DS406">
        <v>34567</v>
      </c>
      <c r="DT406" t="s">
        <v>1168</v>
      </c>
      <c r="DV406">
        <v>96</v>
      </c>
      <c r="EA406" t="s">
        <v>268</v>
      </c>
      <c r="EC406">
        <v>4</v>
      </c>
      <c r="EH406" t="s">
        <v>267</v>
      </c>
      <c r="EJ406">
        <v>96</v>
      </c>
      <c r="EO406" t="s">
        <v>268</v>
      </c>
      <c r="EQ406">
        <v>4</v>
      </c>
      <c r="EV406" t="s">
        <v>267</v>
      </c>
      <c r="EW406" t="s">
        <v>293</v>
      </c>
      <c r="EZ406">
        <v>50</v>
      </c>
      <c r="FA406" t="s">
        <v>1169</v>
      </c>
      <c r="FK406" t="s">
        <v>899</v>
      </c>
      <c r="GU406">
        <v>30</v>
      </c>
      <c r="GZ406" t="s">
        <v>296</v>
      </c>
      <c r="HH406" t="s">
        <v>272</v>
      </c>
      <c r="ID406" t="s">
        <v>901</v>
      </c>
      <c r="IE406" t="s">
        <v>1170</v>
      </c>
      <c r="IF406">
        <v>166161</v>
      </c>
      <c r="IG406" t="s">
        <v>1171</v>
      </c>
      <c r="IH406" t="s">
        <v>1172</v>
      </c>
      <c r="II406">
        <v>2012</v>
      </c>
      <c r="IJ406" t="s">
        <v>1173</v>
      </c>
    </row>
    <row r="407" spans="1:244" x14ac:dyDescent="0.45">
      <c r="A407">
        <v>1282246</v>
      </c>
      <c r="B407">
        <v>735865</v>
      </c>
      <c r="C407">
        <v>7447394</v>
      </c>
      <c r="D407" t="s">
        <v>1162</v>
      </c>
      <c r="E407" t="s">
        <v>439</v>
      </c>
      <c r="F407" t="s">
        <v>245</v>
      </c>
      <c r="G407" t="s">
        <v>246</v>
      </c>
      <c r="N407" t="s">
        <v>968</v>
      </c>
      <c r="O407" t="s">
        <v>969</v>
      </c>
      <c r="P407" t="s">
        <v>249</v>
      </c>
      <c r="Q407" t="s">
        <v>250</v>
      </c>
      <c r="R407" t="s">
        <v>251</v>
      </c>
      <c r="T407" t="s">
        <v>252</v>
      </c>
      <c r="U407" t="s">
        <v>253</v>
      </c>
      <c r="V407" t="s">
        <v>418</v>
      </c>
      <c r="W407" t="s">
        <v>419</v>
      </c>
      <c r="X407" t="s">
        <v>970</v>
      </c>
      <c r="Z407" t="s">
        <v>649</v>
      </c>
      <c r="AL407" t="s">
        <v>1174</v>
      </c>
      <c r="AM407" t="s">
        <v>258</v>
      </c>
      <c r="AN407" t="s">
        <v>259</v>
      </c>
      <c r="AO407" t="s">
        <v>260</v>
      </c>
      <c r="AQ407" t="s">
        <v>261</v>
      </c>
      <c r="AS407">
        <v>0.53</v>
      </c>
      <c r="AU407">
        <v>0.25</v>
      </c>
      <c r="AW407">
        <v>1.1000000000000001</v>
      </c>
      <c r="AX407" t="s">
        <v>356</v>
      </c>
      <c r="BO407" t="s">
        <v>261</v>
      </c>
      <c r="BQ407">
        <v>0.53</v>
      </c>
      <c r="BS407">
        <v>0.25</v>
      </c>
      <c r="BU407">
        <v>1.1000000000000001</v>
      </c>
      <c r="BV407" t="s">
        <v>263</v>
      </c>
      <c r="CM407" t="s">
        <v>264</v>
      </c>
      <c r="CN407" t="s">
        <v>264</v>
      </c>
      <c r="CP407" t="s">
        <v>265</v>
      </c>
      <c r="CQ407" t="s">
        <v>394</v>
      </c>
      <c r="DB407">
        <v>4</v>
      </c>
      <c r="DG407" t="s">
        <v>267</v>
      </c>
      <c r="DI407">
        <v>96</v>
      </c>
      <c r="DN407" t="s">
        <v>268</v>
      </c>
      <c r="DP407" t="s">
        <v>1175</v>
      </c>
      <c r="DS407">
        <v>1010</v>
      </c>
      <c r="DT407" t="s">
        <v>1176</v>
      </c>
      <c r="EW407" t="s">
        <v>293</v>
      </c>
      <c r="FK407" t="s">
        <v>1177</v>
      </c>
      <c r="FM407">
        <v>30</v>
      </c>
      <c r="FR407" t="s">
        <v>295</v>
      </c>
      <c r="GG407" t="s">
        <v>288</v>
      </c>
      <c r="GH407">
        <v>90</v>
      </c>
      <c r="GM407" t="s">
        <v>900</v>
      </c>
      <c r="GO407">
        <v>8</v>
      </c>
      <c r="GU407">
        <v>20</v>
      </c>
      <c r="GZ407" t="s">
        <v>296</v>
      </c>
      <c r="HH407" t="s">
        <v>272</v>
      </c>
      <c r="ID407" t="s">
        <v>1178</v>
      </c>
      <c r="IE407" t="s">
        <v>1179</v>
      </c>
      <c r="IF407">
        <v>4973</v>
      </c>
      <c r="IG407" t="s">
        <v>1180</v>
      </c>
      <c r="IH407" t="s">
        <v>1181</v>
      </c>
      <c r="II407">
        <v>1982</v>
      </c>
      <c r="IJ407" t="s">
        <v>1182</v>
      </c>
    </row>
    <row r="408" spans="1:244" x14ac:dyDescent="0.45">
      <c r="A408">
        <v>1183092</v>
      </c>
      <c r="B408">
        <v>148924</v>
      </c>
      <c r="C408">
        <v>7447394</v>
      </c>
      <c r="D408" t="s">
        <v>1162</v>
      </c>
      <c r="F408" t="s">
        <v>245</v>
      </c>
      <c r="G408" t="s">
        <v>246</v>
      </c>
      <c r="N408" t="s">
        <v>1183</v>
      </c>
      <c r="O408" t="s">
        <v>1184</v>
      </c>
      <c r="P408" t="s">
        <v>249</v>
      </c>
      <c r="Q408" t="s">
        <v>250</v>
      </c>
      <c r="R408" t="s">
        <v>251</v>
      </c>
      <c r="T408" t="s">
        <v>252</v>
      </c>
      <c r="U408" t="s">
        <v>253</v>
      </c>
      <c r="V408" t="s">
        <v>418</v>
      </c>
      <c r="W408" t="s">
        <v>419</v>
      </c>
      <c r="X408" t="s">
        <v>393</v>
      </c>
      <c r="Z408" t="s">
        <v>421</v>
      </c>
      <c r="AB408">
        <v>5</v>
      </c>
      <c r="AG408" t="s">
        <v>598</v>
      </c>
      <c r="AM408" t="s">
        <v>317</v>
      </c>
      <c r="AN408" t="s">
        <v>259</v>
      </c>
      <c r="AO408" t="s">
        <v>260</v>
      </c>
      <c r="AQ408" t="s">
        <v>261</v>
      </c>
      <c r="AU408">
        <v>100</v>
      </c>
      <c r="AW408">
        <v>1000</v>
      </c>
      <c r="AX408" t="s">
        <v>262</v>
      </c>
      <c r="BO408" t="s">
        <v>261</v>
      </c>
      <c r="BS408">
        <v>0.1</v>
      </c>
      <c r="BU408">
        <v>1</v>
      </c>
      <c r="BV408" t="s">
        <v>263</v>
      </c>
      <c r="CM408" t="s">
        <v>264</v>
      </c>
      <c r="CN408" t="s">
        <v>264</v>
      </c>
      <c r="CP408" t="s">
        <v>265</v>
      </c>
      <c r="CQ408" t="s">
        <v>394</v>
      </c>
      <c r="DB408">
        <v>1</v>
      </c>
      <c r="DG408" t="s">
        <v>267</v>
      </c>
      <c r="DI408">
        <v>24</v>
      </c>
      <c r="DN408" t="s">
        <v>268</v>
      </c>
      <c r="DS408">
        <v>388</v>
      </c>
      <c r="DT408" t="s">
        <v>1185</v>
      </c>
      <c r="EW408" t="s">
        <v>293</v>
      </c>
      <c r="FK408" t="s">
        <v>1186</v>
      </c>
      <c r="FM408">
        <v>25</v>
      </c>
      <c r="FR408" t="s">
        <v>295</v>
      </c>
      <c r="GU408">
        <v>36</v>
      </c>
      <c r="GZ408" t="s">
        <v>296</v>
      </c>
      <c r="HH408" t="s">
        <v>272</v>
      </c>
      <c r="ID408" t="s">
        <v>1187</v>
      </c>
      <c r="IE408" t="s">
        <v>1188</v>
      </c>
      <c r="IF408">
        <v>16111</v>
      </c>
      <c r="IG408" t="s">
        <v>1189</v>
      </c>
      <c r="IH408" t="s">
        <v>1190</v>
      </c>
      <c r="II408">
        <v>1995</v>
      </c>
      <c r="IJ408" t="s">
        <v>1191</v>
      </c>
    </row>
    <row r="409" spans="1:244" x14ac:dyDescent="0.45">
      <c r="A409">
        <v>1183094</v>
      </c>
      <c r="B409">
        <v>148926</v>
      </c>
      <c r="C409">
        <v>7447394</v>
      </c>
      <c r="D409" t="s">
        <v>1162</v>
      </c>
      <c r="F409" t="s">
        <v>245</v>
      </c>
      <c r="G409" t="s">
        <v>246</v>
      </c>
      <c r="N409" t="s">
        <v>1183</v>
      </c>
      <c r="O409" t="s">
        <v>1184</v>
      </c>
      <c r="P409" t="s">
        <v>249</v>
      </c>
      <c r="Q409" t="s">
        <v>250</v>
      </c>
      <c r="R409" t="s">
        <v>251</v>
      </c>
      <c r="T409" t="s">
        <v>252</v>
      </c>
      <c r="U409" t="s">
        <v>253</v>
      </c>
      <c r="V409" t="s">
        <v>418</v>
      </c>
      <c r="W409" t="s">
        <v>419</v>
      </c>
      <c r="X409" t="s">
        <v>393</v>
      </c>
      <c r="Z409" t="s">
        <v>421</v>
      </c>
      <c r="AB409">
        <v>5</v>
      </c>
      <c r="AG409" t="s">
        <v>598</v>
      </c>
      <c r="AM409" t="s">
        <v>258</v>
      </c>
      <c r="AN409" t="s">
        <v>259</v>
      </c>
      <c r="AO409" t="s">
        <v>260</v>
      </c>
      <c r="AQ409" t="s">
        <v>261</v>
      </c>
      <c r="AU409">
        <v>1000</v>
      </c>
      <c r="AW409">
        <v>10000</v>
      </c>
      <c r="AX409" t="s">
        <v>262</v>
      </c>
      <c r="BO409" t="s">
        <v>261</v>
      </c>
      <c r="BS409">
        <v>1</v>
      </c>
      <c r="BU409">
        <v>10</v>
      </c>
      <c r="BV409" t="s">
        <v>263</v>
      </c>
      <c r="CM409" t="s">
        <v>264</v>
      </c>
      <c r="CN409" t="s">
        <v>264</v>
      </c>
      <c r="CP409" t="s">
        <v>265</v>
      </c>
      <c r="CQ409" t="s">
        <v>394</v>
      </c>
      <c r="DB409">
        <v>4</v>
      </c>
      <c r="DG409" t="s">
        <v>267</v>
      </c>
      <c r="DI409">
        <v>96</v>
      </c>
      <c r="DN409" t="s">
        <v>268</v>
      </c>
      <c r="DS409">
        <v>388</v>
      </c>
      <c r="DT409" t="s">
        <v>1185</v>
      </c>
      <c r="EW409" t="s">
        <v>293</v>
      </c>
      <c r="FK409" t="s">
        <v>1186</v>
      </c>
      <c r="FM409">
        <v>25</v>
      </c>
      <c r="FR409" t="s">
        <v>295</v>
      </c>
      <c r="GU409">
        <v>36</v>
      </c>
      <c r="GZ409" t="s">
        <v>296</v>
      </c>
      <c r="HH409" t="s">
        <v>272</v>
      </c>
      <c r="ID409" t="s">
        <v>1187</v>
      </c>
      <c r="IE409" t="s">
        <v>1188</v>
      </c>
      <c r="IF409">
        <v>16111</v>
      </c>
      <c r="IG409" t="s">
        <v>1189</v>
      </c>
      <c r="IH409" t="s">
        <v>1190</v>
      </c>
      <c r="II409">
        <v>1995</v>
      </c>
      <c r="IJ409" t="s">
        <v>1191</v>
      </c>
    </row>
    <row r="410" spans="1:244" x14ac:dyDescent="0.45">
      <c r="A410">
        <v>2154475</v>
      </c>
      <c r="B410">
        <v>2295509</v>
      </c>
      <c r="C410">
        <v>7447394</v>
      </c>
      <c r="D410" t="s">
        <v>1162</v>
      </c>
      <c r="F410" t="s">
        <v>245</v>
      </c>
      <c r="G410" t="s">
        <v>272</v>
      </c>
      <c r="H410" t="s">
        <v>288</v>
      </c>
      <c r="I410">
        <v>99.995000000000005</v>
      </c>
      <c r="N410" t="s">
        <v>1192</v>
      </c>
      <c r="O410" t="s">
        <v>388</v>
      </c>
      <c r="P410" t="s">
        <v>249</v>
      </c>
      <c r="Q410" t="s">
        <v>250</v>
      </c>
      <c r="R410" t="s">
        <v>251</v>
      </c>
      <c r="T410" t="s">
        <v>389</v>
      </c>
      <c r="U410" t="s">
        <v>390</v>
      </c>
      <c r="V410" t="s">
        <v>391</v>
      </c>
      <c r="W410" t="s">
        <v>392</v>
      </c>
      <c r="X410" t="s">
        <v>1193</v>
      </c>
      <c r="Z410" t="s">
        <v>525</v>
      </c>
      <c r="AB410">
        <v>24</v>
      </c>
      <c r="AG410" t="s">
        <v>268</v>
      </c>
      <c r="AI410">
        <v>3</v>
      </c>
      <c r="AJ410" t="s">
        <v>285</v>
      </c>
      <c r="AL410" t="s">
        <v>1194</v>
      </c>
      <c r="AM410" t="s">
        <v>317</v>
      </c>
      <c r="AN410" t="s">
        <v>259</v>
      </c>
      <c r="AO410" t="s">
        <v>260</v>
      </c>
      <c r="AP410">
        <v>8</v>
      </c>
      <c r="AQ410" t="s">
        <v>261</v>
      </c>
      <c r="AS410">
        <v>50</v>
      </c>
      <c r="AX410" t="s">
        <v>262</v>
      </c>
      <c r="BO410" t="s">
        <v>261</v>
      </c>
      <c r="BQ410">
        <v>0.05</v>
      </c>
      <c r="BV410" t="s">
        <v>263</v>
      </c>
      <c r="CM410" t="s">
        <v>264</v>
      </c>
      <c r="CN410" t="s">
        <v>264</v>
      </c>
      <c r="CP410" t="s">
        <v>265</v>
      </c>
      <c r="DB410">
        <v>4</v>
      </c>
      <c r="DG410" t="s">
        <v>267</v>
      </c>
      <c r="DI410">
        <v>96</v>
      </c>
      <c r="DN410" t="s">
        <v>268</v>
      </c>
      <c r="DR410">
        <v>167952</v>
      </c>
      <c r="DS410">
        <v>32268</v>
      </c>
      <c r="DT410" t="s">
        <v>1195</v>
      </c>
      <c r="DV410">
        <v>96</v>
      </c>
      <c r="EA410" t="s">
        <v>268</v>
      </c>
      <c r="EC410">
        <v>4</v>
      </c>
      <c r="EH410" t="s">
        <v>267</v>
      </c>
      <c r="EJ410">
        <v>96</v>
      </c>
      <c r="EO410" t="s">
        <v>268</v>
      </c>
      <c r="EQ410">
        <v>4</v>
      </c>
      <c r="EV410" t="s">
        <v>267</v>
      </c>
      <c r="EW410" t="s">
        <v>293</v>
      </c>
      <c r="FA410" t="s">
        <v>1196</v>
      </c>
      <c r="FM410">
        <v>20</v>
      </c>
      <c r="FR410" t="s">
        <v>295</v>
      </c>
      <c r="GU410">
        <v>38</v>
      </c>
      <c r="GZ410" t="s">
        <v>296</v>
      </c>
      <c r="HH410" t="s">
        <v>272</v>
      </c>
      <c r="ID410" t="s">
        <v>1197</v>
      </c>
      <c r="IE410" t="s">
        <v>1198</v>
      </c>
      <c r="IF410">
        <v>166814</v>
      </c>
      <c r="IG410" t="s">
        <v>1199</v>
      </c>
      <c r="IH410" t="s">
        <v>1200</v>
      </c>
      <c r="II410">
        <v>2011</v>
      </c>
      <c r="IJ410" t="s">
        <v>1201</v>
      </c>
    </row>
    <row r="411" spans="1:244" x14ac:dyDescent="0.45">
      <c r="A411">
        <v>1123279</v>
      </c>
      <c r="B411">
        <v>145119</v>
      </c>
      <c r="C411">
        <v>7447394</v>
      </c>
      <c r="D411" t="s">
        <v>1162</v>
      </c>
      <c r="E411" t="s">
        <v>386</v>
      </c>
      <c r="F411" t="s">
        <v>245</v>
      </c>
      <c r="G411" t="s">
        <v>246</v>
      </c>
      <c r="N411" t="s">
        <v>1202</v>
      </c>
      <c r="O411" t="s">
        <v>498</v>
      </c>
      <c r="P411" t="s">
        <v>249</v>
      </c>
      <c r="Q411" t="s">
        <v>250</v>
      </c>
      <c r="R411" t="s">
        <v>251</v>
      </c>
      <c r="T411" t="s">
        <v>252</v>
      </c>
      <c r="U411" t="s">
        <v>499</v>
      </c>
      <c r="V411" t="s">
        <v>500</v>
      </c>
      <c r="W411" t="s">
        <v>501</v>
      </c>
      <c r="X411" t="s">
        <v>1203</v>
      </c>
      <c r="AL411" t="s">
        <v>1204</v>
      </c>
      <c r="AM411" t="s">
        <v>287</v>
      </c>
      <c r="AN411" t="s">
        <v>259</v>
      </c>
      <c r="AO411" t="s">
        <v>260</v>
      </c>
      <c r="AQ411" t="s">
        <v>261</v>
      </c>
      <c r="AS411">
        <v>250</v>
      </c>
      <c r="AU411">
        <v>200</v>
      </c>
      <c r="AW411">
        <v>400</v>
      </c>
      <c r="AX411" t="s">
        <v>262</v>
      </c>
      <c r="BO411" t="s">
        <v>261</v>
      </c>
      <c r="BQ411">
        <v>0.25</v>
      </c>
      <c r="BS411">
        <v>0.2</v>
      </c>
      <c r="BU411">
        <v>0.4</v>
      </c>
      <c r="BV411" t="s">
        <v>263</v>
      </c>
      <c r="CM411" t="s">
        <v>264</v>
      </c>
      <c r="CN411" t="s">
        <v>264</v>
      </c>
      <c r="CP411" t="s">
        <v>265</v>
      </c>
      <c r="CQ411" t="s">
        <v>394</v>
      </c>
      <c r="DB411">
        <v>4</v>
      </c>
      <c r="DG411" t="s">
        <v>267</v>
      </c>
      <c r="DI411">
        <v>96</v>
      </c>
      <c r="DN411" t="s">
        <v>268</v>
      </c>
      <c r="DS411">
        <v>4697</v>
      </c>
      <c r="DT411" t="s">
        <v>1205</v>
      </c>
      <c r="EW411" t="s">
        <v>293</v>
      </c>
      <c r="FM411">
        <v>19</v>
      </c>
      <c r="FR411" t="s">
        <v>295</v>
      </c>
      <c r="HH411" t="s">
        <v>272</v>
      </c>
      <c r="IE411" t="s">
        <v>1206</v>
      </c>
      <c r="IF411">
        <v>9755</v>
      </c>
      <c r="IG411" t="s">
        <v>1207</v>
      </c>
      <c r="IH411" t="s">
        <v>1208</v>
      </c>
      <c r="II411">
        <v>1993</v>
      </c>
      <c r="IJ411" t="s">
        <v>1209</v>
      </c>
    </row>
    <row r="412" spans="1:244" x14ac:dyDescent="0.45">
      <c r="A412">
        <v>1226473</v>
      </c>
      <c r="B412">
        <v>219649</v>
      </c>
      <c r="C412">
        <v>7447394</v>
      </c>
      <c r="D412" t="s">
        <v>1162</v>
      </c>
      <c r="E412" t="s">
        <v>386</v>
      </c>
      <c r="F412" t="s">
        <v>245</v>
      </c>
      <c r="G412" t="s">
        <v>246</v>
      </c>
      <c r="N412" t="s">
        <v>302</v>
      </c>
      <c r="O412" t="s">
        <v>303</v>
      </c>
      <c r="P412" t="s">
        <v>249</v>
      </c>
      <c r="Q412" t="s">
        <v>250</v>
      </c>
      <c r="R412" t="s">
        <v>251</v>
      </c>
      <c r="T412" t="s">
        <v>252</v>
      </c>
      <c r="U412" t="s">
        <v>253</v>
      </c>
      <c r="V412" t="s">
        <v>304</v>
      </c>
      <c r="W412" t="s">
        <v>305</v>
      </c>
      <c r="X412" t="s">
        <v>306</v>
      </c>
      <c r="Z412" t="s">
        <v>1057</v>
      </c>
      <c r="AL412" t="s">
        <v>1210</v>
      </c>
      <c r="AM412" t="s">
        <v>317</v>
      </c>
      <c r="AN412" t="s">
        <v>259</v>
      </c>
      <c r="AO412" t="s">
        <v>260</v>
      </c>
      <c r="AQ412" t="s">
        <v>261</v>
      </c>
      <c r="AS412">
        <v>4.07</v>
      </c>
      <c r="AX412" t="s">
        <v>356</v>
      </c>
      <c r="BO412" t="s">
        <v>261</v>
      </c>
      <c r="BQ412">
        <v>4.07</v>
      </c>
      <c r="BV412" t="s">
        <v>263</v>
      </c>
      <c r="CM412" t="s">
        <v>264</v>
      </c>
      <c r="CN412" t="s">
        <v>264</v>
      </c>
      <c r="CP412" t="s">
        <v>265</v>
      </c>
      <c r="CQ412" t="s">
        <v>394</v>
      </c>
      <c r="DB412">
        <v>1</v>
      </c>
      <c r="DG412" t="s">
        <v>267</v>
      </c>
      <c r="DI412">
        <v>24</v>
      </c>
      <c r="DN412" t="s">
        <v>268</v>
      </c>
      <c r="DR412">
        <v>338212</v>
      </c>
      <c r="DS412">
        <v>732</v>
      </c>
      <c r="DT412" t="s">
        <v>1211</v>
      </c>
      <c r="EW412" t="s">
        <v>293</v>
      </c>
      <c r="GU412">
        <v>36</v>
      </c>
      <c r="GZ412" t="s">
        <v>900</v>
      </c>
      <c r="HH412" t="s">
        <v>272</v>
      </c>
      <c r="IE412" t="s">
        <v>1212</v>
      </c>
      <c r="IF412">
        <v>51641</v>
      </c>
      <c r="IG412" t="s">
        <v>1213</v>
      </c>
      <c r="IH412" t="s">
        <v>1214</v>
      </c>
      <c r="II412">
        <v>2000</v>
      </c>
      <c r="IJ412" t="s">
        <v>1215</v>
      </c>
    </row>
    <row r="413" spans="1:244" x14ac:dyDescent="0.45">
      <c r="A413">
        <v>1183096</v>
      </c>
      <c r="B413">
        <v>148928</v>
      </c>
      <c r="C413">
        <v>7447394</v>
      </c>
      <c r="D413" t="s">
        <v>1162</v>
      </c>
      <c r="F413" t="s">
        <v>245</v>
      </c>
      <c r="G413" t="s">
        <v>246</v>
      </c>
      <c r="N413" t="s">
        <v>1183</v>
      </c>
      <c r="O413" t="s">
        <v>1184</v>
      </c>
      <c r="P413" t="s">
        <v>249</v>
      </c>
      <c r="Q413" t="s">
        <v>250</v>
      </c>
      <c r="R413" t="s">
        <v>251</v>
      </c>
      <c r="T413" t="s">
        <v>252</v>
      </c>
      <c r="U413" t="s">
        <v>253</v>
      </c>
      <c r="V413" t="s">
        <v>418</v>
      </c>
      <c r="W413" t="s">
        <v>419</v>
      </c>
      <c r="X413" t="s">
        <v>393</v>
      </c>
      <c r="Z413" t="s">
        <v>421</v>
      </c>
      <c r="AB413">
        <v>7</v>
      </c>
      <c r="AG413" t="s">
        <v>598</v>
      </c>
      <c r="AM413" t="s">
        <v>317</v>
      </c>
      <c r="AN413" t="s">
        <v>259</v>
      </c>
      <c r="AO413" t="s">
        <v>260</v>
      </c>
      <c r="AQ413" t="s">
        <v>261</v>
      </c>
      <c r="AU413">
        <v>1000</v>
      </c>
      <c r="AW413">
        <v>10000</v>
      </c>
      <c r="AX413" t="s">
        <v>262</v>
      </c>
      <c r="BO413" t="s">
        <v>261</v>
      </c>
      <c r="BS413">
        <v>1</v>
      </c>
      <c r="BU413">
        <v>10</v>
      </c>
      <c r="BV413" t="s">
        <v>263</v>
      </c>
      <c r="CM413" t="s">
        <v>264</v>
      </c>
      <c r="CN413" t="s">
        <v>264</v>
      </c>
      <c r="CP413" t="s">
        <v>265</v>
      </c>
      <c r="CQ413" t="s">
        <v>394</v>
      </c>
      <c r="DB413">
        <v>2</v>
      </c>
      <c r="DG413" t="s">
        <v>267</v>
      </c>
      <c r="DI413">
        <v>48</v>
      </c>
      <c r="DN413" t="s">
        <v>268</v>
      </c>
      <c r="DS413">
        <v>388</v>
      </c>
      <c r="DT413" t="s">
        <v>1185</v>
      </c>
      <c r="EW413" t="s">
        <v>293</v>
      </c>
      <c r="FK413" t="s">
        <v>1186</v>
      </c>
      <c r="FM413">
        <v>25</v>
      </c>
      <c r="FR413" t="s">
        <v>295</v>
      </c>
      <c r="GU413">
        <v>36</v>
      </c>
      <c r="GZ413" t="s">
        <v>296</v>
      </c>
      <c r="HH413" t="s">
        <v>272</v>
      </c>
      <c r="ID413" t="s">
        <v>1187</v>
      </c>
      <c r="IE413" t="s">
        <v>1188</v>
      </c>
      <c r="IF413">
        <v>16111</v>
      </c>
      <c r="IG413" t="s">
        <v>1189</v>
      </c>
      <c r="IH413" t="s">
        <v>1190</v>
      </c>
      <c r="II413">
        <v>1995</v>
      </c>
      <c r="IJ413" t="s">
        <v>1191</v>
      </c>
    </row>
    <row r="414" spans="1:244" x14ac:dyDescent="0.45">
      <c r="A414">
        <v>1310800</v>
      </c>
      <c r="B414">
        <v>768034</v>
      </c>
      <c r="C414">
        <v>7447394</v>
      </c>
      <c r="D414" t="s">
        <v>1162</v>
      </c>
      <c r="F414" t="s">
        <v>327</v>
      </c>
      <c r="G414" t="s">
        <v>246</v>
      </c>
      <c r="N414" t="s">
        <v>1216</v>
      </c>
      <c r="O414" t="s">
        <v>578</v>
      </c>
      <c r="P414" t="s">
        <v>249</v>
      </c>
      <c r="Q414" t="s">
        <v>250</v>
      </c>
      <c r="R414" t="s">
        <v>251</v>
      </c>
      <c r="T414" t="s">
        <v>252</v>
      </c>
      <c r="U414" t="s">
        <v>499</v>
      </c>
      <c r="V414" t="s">
        <v>1217</v>
      </c>
      <c r="W414" t="s">
        <v>1218</v>
      </c>
      <c r="X414" t="s">
        <v>1219</v>
      </c>
      <c r="Z414" t="s">
        <v>649</v>
      </c>
      <c r="AA414" t="s">
        <v>289</v>
      </c>
      <c r="AB414">
        <v>7</v>
      </c>
      <c r="AG414" t="s">
        <v>267</v>
      </c>
      <c r="AM414" t="s">
        <v>317</v>
      </c>
      <c r="AN414" t="s">
        <v>259</v>
      </c>
      <c r="AO414" t="s">
        <v>260</v>
      </c>
      <c r="AQ414" t="s">
        <v>504</v>
      </c>
      <c r="AS414">
        <v>120</v>
      </c>
      <c r="AX414" t="s">
        <v>262</v>
      </c>
      <c r="BO414" t="s">
        <v>504</v>
      </c>
      <c r="BQ414">
        <v>0.12</v>
      </c>
      <c r="BV414" t="s">
        <v>263</v>
      </c>
      <c r="CM414" t="s">
        <v>264</v>
      </c>
      <c r="CN414" t="s">
        <v>264</v>
      </c>
      <c r="CP414" t="s">
        <v>265</v>
      </c>
      <c r="CQ414" t="s">
        <v>394</v>
      </c>
      <c r="DB414">
        <v>4</v>
      </c>
      <c r="DG414" t="s">
        <v>267</v>
      </c>
      <c r="DI414">
        <v>96</v>
      </c>
      <c r="DN414" t="s">
        <v>268</v>
      </c>
      <c r="DP414" t="s">
        <v>1220</v>
      </c>
      <c r="DR414">
        <v>764486</v>
      </c>
      <c r="DS414">
        <v>18590</v>
      </c>
      <c r="DT414" t="s">
        <v>1221</v>
      </c>
      <c r="EW414" t="s">
        <v>293</v>
      </c>
      <c r="FA414" t="s">
        <v>1222</v>
      </c>
      <c r="FK414" t="s">
        <v>1223</v>
      </c>
      <c r="FO414">
        <v>20.399999999999999</v>
      </c>
      <c r="FQ414">
        <v>21.2</v>
      </c>
      <c r="FR414" t="s">
        <v>295</v>
      </c>
      <c r="GG414" t="s">
        <v>288</v>
      </c>
      <c r="GH414">
        <v>95</v>
      </c>
      <c r="GM414" t="s">
        <v>1224</v>
      </c>
      <c r="GQ414">
        <v>8</v>
      </c>
      <c r="GS414">
        <v>8.1999999999999993</v>
      </c>
      <c r="GW414">
        <v>30</v>
      </c>
      <c r="GY414">
        <v>32</v>
      </c>
      <c r="GZ414" t="s">
        <v>296</v>
      </c>
      <c r="HH414" t="s">
        <v>272</v>
      </c>
      <c r="ID414" t="s">
        <v>1225</v>
      </c>
      <c r="IE414" t="s">
        <v>1226</v>
      </c>
      <c r="IF414">
        <v>101781</v>
      </c>
      <c r="IG414" t="s">
        <v>1227</v>
      </c>
      <c r="IH414" t="s">
        <v>1228</v>
      </c>
      <c r="II414">
        <v>2006</v>
      </c>
      <c r="IJ414" t="s">
        <v>1229</v>
      </c>
    </row>
    <row r="415" spans="1:244" x14ac:dyDescent="0.45">
      <c r="A415">
        <v>1304636</v>
      </c>
      <c r="B415">
        <v>761284</v>
      </c>
      <c r="C415">
        <v>7447394</v>
      </c>
      <c r="D415" t="s">
        <v>1162</v>
      </c>
      <c r="F415" t="s">
        <v>245</v>
      </c>
      <c r="G415" t="s">
        <v>246</v>
      </c>
      <c r="N415" t="s">
        <v>1230</v>
      </c>
      <c r="O415" t="s">
        <v>248</v>
      </c>
      <c r="P415" t="s">
        <v>249</v>
      </c>
      <c r="Q415" t="s">
        <v>250</v>
      </c>
      <c r="R415" t="s">
        <v>251</v>
      </c>
      <c r="T415" t="s">
        <v>252</v>
      </c>
      <c r="U415" t="s">
        <v>253</v>
      </c>
      <c r="V415" t="s">
        <v>1231</v>
      </c>
      <c r="W415" t="s">
        <v>1232</v>
      </c>
      <c r="X415" t="s">
        <v>1233</v>
      </c>
      <c r="Z415" t="s">
        <v>1046</v>
      </c>
      <c r="AA415" t="s">
        <v>289</v>
      </c>
      <c r="AB415">
        <v>8</v>
      </c>
      <c r="AG415" t="s">
        <v>353</v>
      </c>
      <c r="AM415" t="s">
        <v>258</v>
      </c>
      <c r="AN415" t="s">
        <v>259</v>
      </c>
      <c r="AO415" t="s">
        <v>260</v>
      </c>
      <c r="AP415">
        <v>6</v>
      </c>
      <c r="AQ415" t="s">
        <v>261</v>
      </c>
      <c r="AS415">
        <v>303.39999999999998</v>
      </c>
      <c r="AU415">
        <v>270</v>
      </c>
      <c r="AW415">
        <v>340</v>
      </c>
      <c r="AX415" t="s">
        <v>262</v>
      </c>
      <c r="BO415" t="s">
        <v>261</v>
      </c>
      <c r="BQ415">
        <v>0.3034</v>
      </c>
      <c r="BS415">
        <v>0.27</v>
      </c>
      <c r="BU415">
        <v>0.34</v>
      </c>
      <c r="BV415" t="s">
        <v>263</v>
      </c>
      <c r="CM415" t="s">
        <v>264</v>
      </c>
      <c r="CN415" t="s">
        <v>264</v>
      </c>
      <c r="CP415" t="s">
        <v>265</v>
      </c>
      <c r="CQ415" t="s">
        <v>394</v>
      </c>
      <c r="DB415">
        <v>3</v>
      </c>
      <c r="DG415" t="s">
        <v>267</v>
      </c>
      <c r="DI415">
        <v>72</v>
      </c>
      <c r="DN415" t="s">
        <v>268</v>
      </c>
      <c r="DP415" t="s">
        <v>1234</v>
      </c>
      <c r="DS415">
        <v>4771</v>
      </c>
      <c r="DT415" t="s">
        <v>1235</v>
      </c>
      <c r="EW415" t="s">
        <v>293</v>
      </c>
      <c r="FA415" t="s">
        <v>397</v>
      </c>
      <c r="FK415" t="s">
        <v>1236</v>
      </c>
      <c r="FM415">
        <v>22</v>
      </c>
      <c r="FR415" t="s">
        <v>295</v>
      </c>
      <c r="GO415">
        <v>8</v>
      </c>
      <c r="GU415">
        <v>35</v>
      </c>
      <c r="GZ415" t="s">
        <v>362</v>
      </c>
      <c r="HH415" t="s">
        <v>272</v>
      </c>
      <c r="ID415" t="s">
        <v>1237</v>
      </c>
      <c r="IE415" t="s">
        <v>1238</v>
      </c>
      <c r="IF415">
        <v>97270</v>
      </c>
      <c r="IG415" t="s">
        <v>1239</v>
      </c>
      <c r="IH415" t="s">
        <v>1240</v>
      </c>
      <c r="II415">
        <v>2006</v>
      </c>
      <c r="IJ415" t="s">
        <v>1241</v>
      </c>
    </row>
    <row r="416" spans="1:244" x14ac:dyDescent="0.45">
      <c r="A416">
        <v>1297229</v>
      </c>
      <c r="B416">
        <v>752588</v>
      </c>
      <c r="C416">
        <v>7447394</v>
      </c>
      <c r="D416" t="s">
        <v>1162</v>
      </c>
      <c r="F416" t="s">
        <v>245</v>
      </c>
      <c r="G416" t="s">
        <v>246</v>
      </c>
      <c r="N416" t="s">
        <v>1242</v>
      </c>
      <c r="O416" t="s">
        <v>1243</v>
      </c>
      <c r="P416" t="s">
        <v>249</v>
      </c>
      <c r="Q416" t="s">
        <v>250</v>
      </c>
      <c r="R416" t="s">
        <v>251</v>
      </c>
      <c r="T416" t="s">
        <v>252</v>
      </c>
      <c r="U416" t="s">
        <v>1244</v>
      </c>
      <c r="V416" t="s">
        <v>1245</v>
      </c>
      <c r="W416" t="s">
        <v>1246</v>
      </c>
      <c r="X416" t="s">
        <v>1247</v>
      </c>
      <c r="Z416" t="s">
        <v>1248</v>
      </c>
      <c r="AL416" t="s">
        <v>1249</v>
      </c>
      <c r="AM416" t="s">
        <v>317</v>
      </c>
      <c r="AN416" t="s">
        <v>259</v>
      </c>
      <c r="AO416" t="s">
        <v>260</v>
      </c>
      <c r="AP416">
        <v>6</v>
      </c>
      <c r="AQ416" t="s">
        <v>261</v>
      </c>
      <c r="AS416">
        <v>1.45</v>
      </c>
      <c r="AU416">
        <v>0.9</v>
      </c>
      <c r="AW416">
        <v>2.35</v>
      </c>
      <c r="AX416" t="s">
        <v>356</v>
      </c>
      <c r="BO416" t="s">
        <v>261</v>
      </c>
      <c r="BQ416">
        <v>1.45</v>
      </c>
      <c r="BS416">
        <v>0.9</v>
      </c>
      <c r="BU416">
        <v>2.35</v>
      </c>
      <c r="BV416" t="s">
        <v>263</v>
      </c>
      <c r="CM416" t="s">
        <v>264</v>
      </c>
      <c r="CN416" t="s">
        <v>264</v>
      </c>
      <c r="CP416" t="s">
        <v>265</v>
      </c>
      <c r="CQ416" t="s">
        <v>394</v>
      </c>
      <c r="DB416">
        <v>4</v>
      </c>
      <c r="DG416" t="s">
        <v>267</v>
      </c>
      <c r="DI416">
        <v>96</v>
      </c>
      <c r="DN416" t="s">
        <v>268</v>
      </c>
      <c r="DP416" t="s">
        <v>1220</v>
      </c>
      <c r="DR416">
        <v>82763</v>
      </c>
      <c r="DS416">
        <v>1070</v>
      </c>
      <c r="DT416" t="s">
        <v>1250</v>
      </c>
      <c r="EW416" t="s">
        <v>293</v>
      </c>
      <c r="FA416" t="s">
        <v>1222</v>
      </c>
      <c r="FK416" t="s">
        <v>1251</v>
      </c>
      <c r="FM416">
        <v>16</v>
      </c>
      <c r="FR416" t="s">
        <v>295</v>
      </c>
      <c r="HH416" t="s">
        <v>272</v>
      </c>
      <c r="ID416" t="s">
        <v>1252</v>
      </c>
      <c r="IE416" t="s">
        <v>1253</v>
      </c>
      <c r="IF416">
        <v>115536</v>
      </c>
      <c r="IG416" t="s">
        <v>1254</v>
      </c>
      <c r="IH416" t="s">
        <v>1255</v>
      </c>
      <c r="II416">
        <v>2007</v>
      </c>
      <c r="IJ416" t="s">
        <v>1256</v>
      </c>
    </row>
    <row r="417" spans="1:244" x14ac:dyDescent="0.45">
      <c r="A417">
        <v>1252711</v>
      </c>
      <c r="B417">
        <v>701054</v>
      </c>
      <c r="C417">
        <v>7447394</v>
      </c>
      <c r="D417" t="s">
        <v>1162</v>
      </c>
      <c r="F417" t="s">
        <v>245</v>
      </c>
      <c r="G417" t="s">
        <v>246</v>
      </c>
      <c r="N417" t="s">
        <v>1230</v>
      </c>
      <c r="O417" t="s">
        <v>248</v>
      </c>
      <c r="P417" t="s">
        <v>249</v>
      </c>
      <c r="Q417" t="s">
        <v>250</v>
      </c>
      <c r="R417" t="s">
        <v>251</v>
      </c>
      <c r="T417" t="s">
        <v>252</v>
      </c>
      <c r="U417" t="s">
        <v>253</v>
      </c>
      <c r="V417" t="s">
        <v>1231</v>
      </c>
      <c r="W417" t="s">
        <v>1232</v>
      </c>
      <c r="X417" t="s">
        <v>1233</v>
      </c>
      <c r="Z417" t="s">
        <v>1046</v>
      </c>
      <c r="AB417">
        <v>1</v>
      </c>
      <c r="AG417" t="s">
        <v>598</v>
      </c>
      <c r="AM417" t="s">
        <v>258</v>
      </c>
      <c r="AN417" t="s">
        <v>259</v>
      </c>
      <c r="AO417" t="s">
        <v>260</v>
      </c>
      <c r="AP417">
        <v>6</v>
      </c>
      <c r="AQ417" t="s">
        <v>261</v>
      </c>
      <c r="AS417">
        <v>219.2</v>
      </c>
      <c r="AX417" t="s">
        <v>262</v>
      </c>
      <c r="BO417" t="s">
        <v>261</v>
      </c>
      <c r="BQ417">
        <v>0.21920000000000001</v>
      </c>
      <c r="BV417" t="s">
        <v>263</v>
      </c>
      <c r="CM417" t="s">
        <v>264</v>
      </c>
      <c r="CN417" t="s">
        <v>264</v>
      </c>
      <c r="CO417" t="s">
        <v>1257</v>
      </c>
      <c r="CP417" t="s">
        <v>265</v>
      </c>
      <c r="CQ417" t="s">
        <v>394</v>
      </c>
      <c r="DB417">
        <v>4</v>
      </c>
      <c r="DG417" t="s">
        <v>267</v>
      </c>
      <c r="DI417">
        <v>96</v>
      </c>
      <c r="DN417" t="s">
        <v>268</v>
      </c>
      <c r="DP417" t="s">
        <v>1258</v>
      </c>
      <c r="DS417">
        <v>4771</v>
      </c>
      <c r="DT417" t="s">
        <v>1259</v>
      </c>
      <c r="EW417" t="s">
        <v>293</v>
      </c>
      <c r="FK417" t="s">
        <v>1260</v>
      </c>
      <c r="FM417">
        <v>22</v>
      </c>
      <c r="FR417" t="s">
        <v>295</v>
      </c>
      <c r="GO417">
        <v>8</v>
      </c>
      <c r="GU417">
        <v>35</v>
      </c>
      <c r="GZ417" t="s">
        <v>362</v>
      </c>
      <c r="HH417" t="s">
        <v>272</v>
      </c>
      <c r="ID417" t="s">
        <v>1261</v>
      </c>
      <c r="IE417" t="s">
        <v>1262</v>
      </c>
      <c r="IF417">
        <v>73547</v>
      </c>
      <c r="IG417" t="s">
        <v>1263</v>
      </c>
      <c r="IH417" t="s">
        <v>1264</v>
      </c>
      <c r="II417">
        <v>2003</v>
      </c>
      <c r="IJ417" t="s">
        <v>1265</v>
      </c>
    </row>
    <row r="418" spans="1:244" x14ac:dyDescent="0.45">
      <c r="A418">
        <v>1183073</v>
      </c>
      <c r="B418">
        <v>148905</v>
      </c>
      <c r="C418">
        <v>7447394</v>
      </c>
      <c r="D418" t="s">
        <v>1162</v>
      </c>
      <c r="F418" t="s">
        <v>245</v>
      </c>
      <c r="G418" t="s">
        <v>246</v>
      </c>
      <c r="N418" t="s">
        <v>1183</v>
      </c>
      <c r="O418" t="s">
        <v>1184</v>
      </c>
      <c r="P418" t="s">
        <v>249</v>
      </c>
      <c r="Q418" t="s">
        <v>250</v>
      </c>
      <c r="R418" t="s">
        <v>251</v>
      </c>
      <c r="T418" t="s">
        <v>252</v>
      </c>
      <c r="U418" t="s">
        <v>253</v>
      </c>
      <c r="V418" t="s">
        <v>418</v>
      </c>
      <c r="W418" t="s">
        <v>419</v>
      </c>
      <c r="X418" t="s">
        <v>393</v>
      </c>
      <c r="Z418" t="s">
        <v>983</v>
      </c>
      <c r="AB418">
        <v>1</v>
      </c>
      <c r="AG418" t="s">
        <v>598</v>
      </c>
      <c r="AM418" t="s">
        <v>317</v>
      </c>
      <c r="AN418" t="s">
        <v>259</v>
      </c>
      <c r="AO418" t="s">
        <v>260</v>
      </c>
      <c r="AQ418" t="s">
        <v>261</v>
      </c>
      <c r="AR418" t="s">
        <v>515</v>
      </c>
      <c r="AS418">
        <v>55</v>
      </c>
      <c r="AX418" t="s">
        <v>262</v>
      </c>
      <c r="BO418" t="s">
        <v>261</v>
      </c>
      <c r="BP418" t="s">
        <v>515</v>
      </c>
      <c r="BQ418">
        <v>5.5E-2</v>
      </c>
      <c r="BV418" t="s">
        <v>263</v>
      </c>
      <c r="CM418" t="s">
        <v>264</v>
      </c>
      <c r="CN418" t="s">
        <v>264</v>
      </c>
      <c r="CP418" t="s">
        <v>265</v>
      </c>
      <c r="CQ418" t="s">
        <v>394</v>
      </c>
      <c r="DB418">
        <v>2</v>
      </c>
      <c r="DG418" t="s">
        <v>267</v>
      </c>
      <c r="DI418">
        <v>48</v>
      </c>
      <c r="DN418" t="s">
        <v>268</v>
      </c>
      <c r="DS418">
        <v>388</v>
      </c>
      <c r="DT418" t="s">
        <v>1185</v>
      </c>
      <c r="EW418" t="s">
        <v>293</v>
      </c>
      <c r="FM418">
        <v>25</v>
      </c>
      <c r="FR418" t="s">
        <v>295</v>
      </c>
      <c r="GU418">
        <v>36</v>
      </c>
      <c r="GZ418" t="s">
        <v>296</v>
      </c>
      <c r="HH418" t="s">
        <v>272</v>
      </c>
      <c r="IE418" t="s">
        <v>1188</v>
      </c>
      <c r="IF418">
        <v>16111</v>
      </c>
      <c r="IG418" t="s">
        <v>1189</v>
      </c>
      <c r="IH418" t="s">
        <v>1190</v>
      </c>
      <c r="II418">
        <v>1995</v>
      </c>
      <c r="IJ418" t="s">
        <v>1191</v>
      </c>
    </row>
    <row r="419" spans="1:244" x14ac:dyDescent="0.45">
      <c r="A419">
        <v>1197362</v>
      </c>
      <c r="B419">
        <v>151002</v>
      </c>
      <c r="C419">
        <v>7447394</v>
      </c>
      <c r="D419" t="s">
        <v>1162</v>
      </c>
      <c r="F419" t="s">
        <v>245</v>
      </c>
      <c r="G419" t="s">
        <v>246</v>
      </c>
      <c r="N419" t="s">
        <v>345</v>
      </c>
      <c r="O419" t="s">
        <v>346</v>
      </c>
      <c r="P419" t="s">
        <v>249</v>
      </c>
      <c r="Q419" t="s">
        <v>250</v>
      </c>
      <c r="R419" t="s">
        <v>251</v>
      </c>
      <c r="T419" t="s">
        <v>347</v>
      </c>
      <c r="U419" t="s">
        <v>348</v>
      </c>
      <c r="V419" t="s">
        <v>349</v>
      </c>
      <c r="W419" t="s">
        <v>350</v>
      </c>
      <c r="X419" t="s">
        <v>351</v>
      </c>
      <c r="Z419" t="s">
        <v>525</v>
      </c>
      <c r="AM419" t="s">
        <v>317</v>
      </c>
      <c r="AN419" t="s">
        <v>259</v>
      </c>
      <c r="AO419" t="s">
        <v>260</v>
      </c>
      <c r="AQ419" t="s">
        <v>261</v>
      </c>
      <c r="AS419">
        <v>4000</v>
      </c>
      <c r="AX419" t="s">
        <v>262</v>
      </c>
      <c r="BO419" t="s">
        <v>261</v>
      </c>
      <c r="BQ419">
        <v>4</v>
      </c>
      <c r="BV419" t="s">
        <v>263</v>
      </c>
      <c r="CM419" t="s">
        <v>264</v>
      </c>
      <c r="CN419" t="s">
        <v>264</v>
      </c>
      <c r="CO419" t="s">
        <v>1266</v>
      </c>
      <c r="CP419" t="s">
        <v>265</v>
      </c>
      <c r="CQ419" t="s">
        <v>394</v>
      </c>
      <c r="DB419">
        <v>2</v>
      </c>
      <c r="DG419" t="s">
        <v>267</v>
      </c>
      <c r="DI419">
        <v>48</v>
      </c>
      <c r="DN419" t="s">
        <v>268</v>
      </c>
      <c r="DR419">
        <v>6660</v>
      </c>
      <c r="DS419">
        <v>421</v>
      </c>
      <c r="EW419" t="s">
        <v>293</v>
      </c>
      <c r="FM419">
        <v>28</v>
      </c>
      <c r="FR419" t="s">
        <v>295</v>
      </c>
      <c r="GJ419">
        <v>4.66</v>
      </c>
      <c r="GL419">
        <v>5.0999999999999996</v>
      </c>
      <c r="GM419" t="s">
        <v>356</v>
      </c>
      <c r="GQ419">
        <v>7.5</v>
      </c>
      <c r="GS419">
        <v>8.4</v>
      </c>
      <c r="GW419">
        <v>32.94</v>
      </c>
      <c r="GY419">
        <v>33.53</v>
      </c>
      <c r="GZ419" t="s">
        <v>296</v>
      </c>
      <c r="HH419" t="s">
        <v>272</v>
      </c>
      <c r="IE419" t="s">
        <v>1267</v>
      </c>
      <c r="IF419">
        <v>17792</v>
      </c>
      <c r="IG419" t="s">
        <v>1268</v>
      </c>
      <c r="IH419" t="s">
        <v>1269</v>
      </c>
      <c r="II419">
        <v>1990</v>
      </c>
      <c r="IJ419" t="s">
        <v>1270</v>
      </c>
    </row>
    <row r="420" spans="1:244" x14ac:dyDescent="0.45">
      <c r="A420">
        <v>1183082</v>
      </c>
      <c r="B420">
        <v>148914</v>
      </c>
      <c r="C420">
        <v>7447394</v>
      </c>
      <c r="D420" t="s">
        <v>1162</v>
      </c>
      <c r="F420" t="s">
        <v>245</v>
      </c>
      <c r="G420" t="s">
        <v>246</v>
      </c>
      <c r="N420" t="s">
        <v>1183</v>
      </c>
      <c r="O420" t="s">
        <v>1184</v>
      </c>
      <c r="P420" t="s">
        <v>249</v>
      </c>
      <c r="Q420" t="s">
        <v>250</v>
      </c>
      <c r="R420" t="s">
        <v>251</v>
      </c>
      <c r="T420" t="s">
        <v>252</v>
      </c>
      <c r="U420" t="s">
        <v>253</v>
      </c>
      <c r="V420" t="s">
        <v>418</v>
      </c>
      <c r="W420" t="s">
        <v>419</v>
      </c>
      <c r="X420" t="s">
        <v>393</v>
      </c>
      <c r="Z420" t="s">
        <v>649</v>
      </c>
      <c r="AB420">
        <v>6</v>
      </c>
      <c r="AG420" t="s">
        <v>1271</v>
      </c>
      <c r="AL420" t="s">
        <v>1272</v>
      </c>
      <c r="AM420" t="s">
        <v>258</v>
      </c>
      <c r="AN420" t="s">
        <v>259</v>
      </c>
      <c r="AO420" t="s">
        <v>260</v>
      </c>
      <c r="AQ420" t="s">
        <v>261</v>
      </c>
      <c r="AS420">
        <v>2050</v>
      </c>
      <c r="AX420" t="s">
        <v>262</v>
      </c>
      <c r="BO420" t="s">
        <v>261</v>
      </c>
      <c r="BQ420">
        <v>2.0499999999999998</v>
      </c>
      <c r="BV420" t="s">
        <v>263</v>
      </c>
      <c r="CM420" t="s">
        <v>264</v>
      </c>
      <c r="CN420" t="s">
        <v>264</v>
      </c>
      <c r="CP420" t="s">
        <v>265</v>
      </c>
      <c r="CQ420" t="s">
        <v>394</v>
      </c>
      <c r="DB420">
        <v>4</v>
      </c>
      <c r="DG420" t="s">
        <v>267</v>
      </c>
      <c r="DI420">
        <v>96</v>
      </c>
      <c r="DN420" t="s">
        <v>268</v>
      </c>
      <c r="DS420">
        <v>388</v>
      </c>
      <c r="DT420" t="s">
        <v>1185</v>
      </c>
      <c r="EW420" t="s">
        <v>293</v>
      </c>
      <c r="FM420">
        <v>25</v>
      </c>
      <c r="FR420" t="s">
        <v>295</v>
      </c>
      <c r="GU420">
        <v>36</v>
      </c>
      <c r="GZ420" t="s">
        <v>296</v>
      </c>
      <c r="HH420" t="s">
        <v>272</v>
      </c>
      <c r="IE420" t="s">
        <v>1188</v>
      </c>
      <c r="IF420">
        <v>16111</v>
      </c>
      <c r="IG420" t="s">
        <v>1189</v>
      </c>
      <c r="IH420" t="s">
        <v>1190</v>
      </c>
      <c r="II420">
        <v>1995</v>
      </c>
      <c r="IJ420" t="s">
        <v>1191</v>
      </c>
    </row>
    <row r="421" spans="1:244" x14ac:dyDescent="0.45">
      <c r="A421">
        <v>1183060</v>
      </c>
      <c r="B421">
        <v>148892</v>
      </c>
      <c r="C421">
        <v>7447394</v>
      </c>
      <c r="D421" t="s">
        <v>1162</v>
      </c>
      <c r="F421" t="s">
        <v>245</v>
      </c>
      <c r="G421" t="s">
        <v>246</v>
      </c>
      <c r="N421" t="s">
        <v>1183</v>
      </c>
      <c r="O421" t="s">
        <v>1184</v>
      </c>
      <c r="P421" t="s">
        <v>249</v>
      </c>
      <c r="Q421" t="s">
        <v>250</v>
      </c>
      <c r="R421" t="s">
        <v>251</v>
      </c>
      <c r="T421" t="s">
        <v>252</v>
      </c>
      <c r="U421" t="s">
        <v>253</v>
      </c>
      <c r="V421" t="s">
        <v>418</v>
      </c>
      <c r="W421" t="s">
        <v>419</v>
      </c>
      <c r="X421" t="s">
        <v>393</v>
      </c>
      <c r="Z421" t="s">
        <v>525</v>
      </c>
      <c r="AM421" t="s">
        <v>317</v>
      </c>
      <c r="AN421" t="s">
        <v>259</v>
      </c>
      <c r="AO421" t="s">
        <v>260</v>
      </c>
      <c r="AQ421" t="s">
        <v>261</v>
      </c>
      <c r="AR421" t="s">
        <v>515</v>
      </c>
      <c r="AS421">
        <v>20</v>
      </c>
      <c r="AX421" t="s">
        <v>262</v>
      </c>
      <c r="BO421" t="s">
        <v>261</v>
      </c>
      <c r="BP421" t="s">
        <v>515</v>
      </c>
      <c r="BQ421">
        <v>0.02</v>
      </c>
      <c r="BV421" t="s">
        <v>263</v>
      </c>
      <c r="CM421" t="s">
        <v>264</v>
      </c>
      <c r="CN421" t="s">
        <v>264</v>
      </c>
      <c r="CP421" t="s">
        <v>265</v>
      </c>
      <c r="CQ421" t="s">
        <v>394</v>
      </c>
      <c r="DB421">
        <v>1</v>
      </c>
      <c r="DG421" t="s">
        <v>267</v>
      </c>
      <c r="DI421">
        <v>24</v>
      </c>
      <c r="DN421" t="s">
        <v>268</v>
      </c>
      <c r="DS421">
        <v>388</v>
      </c>
      <c r="DT421" t="s">
        <v>1185</v>
      </c>
      <c r="EW421" t="s">
        <v>293</v>
      </c>
      <c r="FM421">
        <v>25</v>
      </c>
      <c r="FR421" t="s">
        <v>295</v>
      </c>
      <c r="GU421">
        <v>36</v>
      </c>
      <c r="GZ421" t="s">
        <v>296</v>
      </c>
      <c r="HH421" t="s">
        <v>272</v>
      </c>
      <c r="IE421" t="s">
        <v>1188</v>
      </c>
      <c r="IF421">
        <v>16111</v>
      </c>
      <c r="IG421" t="s">
        <v>1189</v>
      </c>
      <c r="IH421" t="s">
        <v>1190</v>
      </c>
      <c r="II421">
        <v>1995</v>
      </c>
      <c r="IJ421" t="s">
        <v>1191</v>
      </c>
    </row>
    <row r="422" spans="1:244" x14ac:dyDescent="0.45">
      <c r="A422">
        <v>1282244</v>
      </c>
      <c r="B422">
        <v>735863</v>
      </c>
      <c r="C422">
        <v>7447394</v>
      </c>
      <c r="D422" t="s">
        <v>1162</v>
      </c>
      <c r="E422" t="s">
        <v>439</v>
      </c>
      <c r="F422" t="s">
        <v>245</v>
      </c>
      <c r="G422" t="s">
        <v>246</v>
      </c>
      <c r="N422" t="s">
        <v>968</v>
      </c>
      <c r="O422" t="s">
        <v>969</v>
      </c>
      <c r="P422" t="s">
        <v>249</v>
      </c>
      <c r="Q422" t="s">
        <v>250</v>
      </c>
      <c r="R422" t="s">
        <v>251</v>
      </c>
      <c r="T422" t="s">
        <v>252</v>
      </c>
      <c r="U422" t="s">
        <v>253</v>
      </c>
      <c r="V422" t="s">
        <v>418</v>
      </c>
      <c r="W422" t="s">
        <v>419</v>
      </c>
      <c r="X422" t="s">
        <v>970</v>
      </c>
      <c r="Z422" t="s">
        <v>649</v>
      </c>
      <c r="AL422" t="s">
        <v>1174</v>
      </c>
      <c r="AM422" t="s">
        <v>258</v>
      </c>
      <c r="AN422" t="s">
        <v>259</v>
      </c>
      <c r="AO422" t="s">
        <v>260</v>
      </c>
      <c r="AQ422" t="s">
        <v>261</v>
      </c>
      <c r="AS422">
        <v>0.35</v>
      </c>
      <c r="AU422">
        <v>0.18</v>
      </c>
      <c r="AW422">
        <v>0.67</v>
      </c>
      <c r="AX422" t="s">
        <v>356</v>
      </c>
      <c r="BO422" t="s">
        <v>261</v>
      </c>
      <c r="BQ422">
        <v>0.35</v>
      </c>
      <c r="BS422">
        <v>0.18</v>
      </c>
      <c r="BU422">
        <v>0.67</v>
      </c>
      <c r="BV422" t="s">
        <v>263</v>
      </c>
      <c r="CM422" t="s">
        <v>264</v>
      </c>
      <c r="CN422" t="s">
        <v>264</v>
      </c>
      <c r="CP422" t="s">
        <v>265</v>
      </c>
      <c r="CQ422" t="s">
        <v>394</v>
      </c>
      <c r="DB422">
        <v>4</v>
      </c>
      <c r="DG422" t="s">
        <v>267</v>
      </c>
      <c r="DI422">
        <v>96</v>
      </c>
      <c r="DN422" t="s">
        <v>268</v>
      </c>
      <c r="DP422" t="s">
        <v>1175</v>
      </c>
      <c r="DS422">
        <v>1010</v>
      </c>
      <c r="DT422" t="s">
        <v>1176</v>
      </c>
      <c r="EW422" t="s">
        <v>293</v>
      </c>
      <c r="FK422" t="s">
        <v>1273</v>
      </c>
      <c r="FM422">
        <v>35</v>
      </c>
      <c r="FR422" t="s">
        <v>295</v>
      </c>
      <c r="GG422" t="s">
        <v>288</v>
      </c>
      <c r="GH422">
        <v>90</v>
      </c>
      <c r="GM422" t="s">
        <v>900</v>
      </c>
      <c r="GO422">
        <v>8</v>
      </c>
      <c r="GU422">
        <v>36</v>
      </c>
      <c r="GZ422" t="s">
        <v>296</v>
      </c>
      <c r="HH422" t="s">
        <v>272</v>
      </c>
      <c r="ID422" t="s">
        <v>1274</v>
      </c>
      <c r="IE422" t="s">
        <v>1179</v>
      </c>
      <c r="IF422">
        <v>4973</v>
      </c>
      <c r="IG422" t="s">
        <v>1180</v>
      </c>
      <c r="IH422" t="s">
        <v>1181</v>
      </c>
      <c r="II422">
        <v>1982</v>
      </c>
      <c r="IJ422" t="s">
        <v>1182</v>
      </c>
    </row>
    <row r="423" spans="1:244" x14ac:dyDescent="0.45">
      <c r="A423">
        <v>1310803</v>
      </c>
      <c r="B423">
        <v>768037</v>
      </c>
      <c r="C423">
        <v>7447394</v>
      </c>
      <c r="D423" t="s">
        <v>1162</v>
      </c>
      <c r="F423" t="s">
        <v>327</v>
      </c>
      <c r="G423" t="s">
        <v>246</v>
      </c>
      <c r="N423" t="s">
        <v>1275</v>
      </c>
      <c r="O423" t="s">
        <v>578</v>
      </c>
      <c r="P423" t="s">
        <v>249</v>
      </c>
      <c r="Q423" t="s">
        <v>250</v>
      </c>
      <c r="R423" t="s">
        <v>251</v>
      </c>
      <c r="T423" t="s">
        <v>252</v>
      </c>
      <c r="U423" t="s">
        <v>499</v>
      </c>
      <c r="V423" t="s">
        <v>1217</v>
      </c>
      <c r="W423" t="s">
        <v>1218</v>
      </c>
      <c r="X423" t="s">
        <v>1276</v>
      </c>
      <c r="Z423" t="s">
        <v>649</v>
      </c>
      <c r="AA423" t="s">
        <v>289</v>
      </c>
      <c r="AB423">
        <v>7</v>
      </c>
      <c r="AG423" t="s">
        <v>267</v>
      </c>
      <c r="AM423" t="s">
        <v>317</v>
      </c>
      <c r="AN423" t="s">
        <v>259</v>
      </c>
      <c r="AO423" t="s">
        <v>260</v>
      </c>
      <c r="AQ423" t="s">
        <v>504</v>
      </c>
      <c r="AS423">
        <v>180</v>
      </c>
      <c r="AU423">
        <v>150</v>
      </c>
      <c r="AW423">
        <v>210</v>
      </c>
      <c r="AX423" t="s">
        <v>262</v>
      </c>
      <c r="BO423" t="s">
        <v>504</v>
      </c>
      <c r="BQ423">
        <v>0.18</v>
      </c>
      <c r="BS423">
        <v>0.15</v>
      </c>
      <c r="BU423">
        <v>0.21</v>
      </c>
      <c r="BV423" t="s">
        <v>263</v>
      </c>
      <c r="CM423" t="s">
        <v>264</v>
      </c>
      <c r="CN423" t="s">
        <v>264</v>
      </c>
      <c r="CP423" t="s">
        <v>265</v>
      </c>
      <c r="CQ423" t="s">
        <v>394</v>
      </c>
      <c r="DB423">
        <v>4</v>
      </c>
      <c r="DG423" t="s">
        <v>267</v>
      </c>
      <c r="DI423">
        <v>96</v>
      </c>
      <c r="DN423" t="s">
        <v>268</v>
      </c>
      <c r="DP423" t="s">
        <v>1220</v>
      </c>
      <c r="DR423">
        <v>1325124</v>
      </c>
      <c r="DS423">
        <v>18589</v>
      </c>
      <c r="DT423" t="s">
        <v>1221</v>
      </c>
      <c r="EW423" t="s">
        <v>293</v>
      </c>
      <c r="FA423" t="s">
        <v>1222</v>
      </c>
      <c r="FK423" t="s">
        <v>1277</v>
      </c>
      <c r="FO423">
        <v>20.399999999999999</v>
      </c>
      <c r="FQ423">
        <v>21.2</v>
      </c>
      <c r="FR423" t="s">
        <v>295</v>
      </c>
      <c r="GG423" t="s">
        <v>288</v>
      </c>
      <c r="GH423">
        <v>95</v>
      </c>
      <c r="GM423" t="s">
        <v>1224</v>
      </c>
      <c r="GQ423">
        <v>8</v>
      </c>
      <c r="GS423">
        <v>8.1999999999999993</v>
      </c>
      <c r="GW423">
        <v>30</v>
      </c>
      <c r="GY423">
        <v>32</v>
      </c>
      <c r="GZ423" t="s">
        <v>296</v>
      </c>
      <c r="HH423" t="s">
        <v>272</v>
      </c>
      <c r="ID423" t="s">
        <v>1278</v>
      </c>
      <c r="IE423" t="s">
        <v>1226</v>
      </c>
      <c r="IF423">
        <v>101781</v>
      </c>
      <c r="IG423" t="s">
        <v>1227</v>
      </c>
      <c r="IH423" t="s">
        <v>1228</v>
      </c>
      <c r="II423">
        <v>2006</v>
      </c>
      <c r="IJ423" t="s">
        <v>1229</v>
      </c>
    </row>
    <row r="424" spans="1:244" x14ac:dyDescent="0.45">
      <c r="A424">
        <v>2142306</v>
      </c>
      <c r="B424">
        <v>2267986</v>
      </c>
      <c r="C424">
        <v>7447394</v>
      </c>
      <c r="D424" t="s">
        <v>1162</v>
      </c>
      <c r="E424" t="s">
        <v>386</v>
      </c>
      <c r="F424" t="s">
        <v>327</v>
      </c>
      <c r="G424" t="s">
        <v>272</v>
      </c>
      <c r="N424" t="s">
        <v>1163</v>
      </c>
      <c r="O424" t="s">
        <v>1164</v>
      </c>
      <c r="P424" t="s">
        <v>249</v>
      </c>
      <c r="Q424" t="s">
        <v>250</v>
      </c>
      <c r="R424" t="s">
        <v>251</v>
      </c>
      <c r="T424" t="s">
        <v>389</v>
      </c>
      <c r="U424" t="s">
        <v>390</v>
      </c>
      <c r="V424" t="s">
        <v>1010</v>
      </c>
      <c r="W424" t="s">
        <v>1165</v>
      </c>
      <c r="X424" t="s">
        <v>1166</v>
      </c>
      <c r="Z424" t="s">
        <v>315</v>
      </c>
      <c r="AI424">
        <v>4</v>
      </c>
      <c r="AJ424" t="s">
        <v>354</v>
      </c>
      <c r="AK424" t="s">
        <v>517</v>
      </c>
      <c r="AM424" t="s">
        <v>287</v>
      </c>
      <c r="AN424" t="s">
        <v>259</v>
      </c>
      <c r="AO424" t="s">
        <v>260</v>
      </c>
      <c r="AP424">
        <v>7</v>
      </c>
      <c r="AQ424" t="s">
        <v>504</v>
      </c>
      <c r="AT424" t="s">
        <v>288</v>
      </c>
      <c r="AU424">
        <v>2</v>
      </c>
      <c r="AV424" t="s">
        <v>289</v>
      </c>
      <c r="AW424">
        <v>4</v>
      </c>
      <c r="AX424" t="s">
        <v>1167</v>
      </c>
      <c r="BO424" t="s">
        <v>504</v>
      </c>
      <c r="BR424" t="s">
        <v>288</v>
      </c>
      <c r="BS424">
        <v>0.26890399999999998</v>
      </c>
      <c r="BT424" t="s">
        <v>289</v>
      </c>
      <c r="BU424">
        <v>0.53780799999999995</v>
      </c>
      <c r="BV424" t="s">
        <v>263</v>
      </c>
      <c r="CM424" t="s">
        <v>264</v>
      </c>
      <c r="CN424" t="s">
        <v>264</v>
      </c>
      <c r="CP424" t="s">
        <v>265</v>
      </c>
      <c r="CQ424" t="s">
        <v>394</v>
      </c>
      <c r="DB424">
        <v>4</v>
      </c>
      <c r="DG424" t="s">
        <v>267</v>
      </c>
      <c r="DI424">
        <v>96</v>
      </c>
      <c r="DN424" t="s">
        <v>268</v>
      </c>
      <c r="DR424">
        <v>1352461</v>
      </c>
      <c r="DS424">
        <v>34567</v>
      </c>
      <c r="DT424" t="s">
        <v>1168</v>
      </c>
      <c r="DV424">
        <v>96</v>
      </c>
      <c r="EA424" t="s">
        <v>268</v>
      </c>
      <c r="EC424">
        <v>4</v>
      </c>
      <c r="EH424" t="s">
        <v>267</v>
      </c>
      <c r="EJ424">
        <v>96</v>
      </c>
      <c r="EO424" t="s">
        <v>268</v>
      </c>
      <c r="EQ424">
        <v>4</v>
      </c>
      <c r="EV424" t="s">
        <v>267</v>
      </c>
      <c r="EW424" t="s">
        <v>293</v>
      </c>
      <c r="EZ424">
        <v>50</v>
      </c>
      <c r="FA424" t="s">
        <v>1279</v>
      </c>
      <c r="FK424" t="s">
        <v>899</v>
      </c>
      <c r="GU424">
        <v>30</v>
      </c>
      <c r="GZ424" t="s">
        <v>296</v>
      </c>
      <c r="HH424" t="s">
        <v>272</v>
      </c>
      <c r="ID424" t="s">
        <v>901</v>
      </c>
      <c r="IE424" t="s">
        <v>1170</v>
      </c>
      <c r="IF424">
        <v>166161</v>
      </c>
      <c r="IG424" t="s">
        <v>1171</v>
      </c>
      <c r="IH424" t="s">
        <v>1172</v>
      </c>
      <c r="II424">
        <v>2012</v>
      </c>
      <c r="IJ424" t="s">
        <v>1173</v>
      </c>
    </row>
    <row r="425" spans="1:244" x14ac:dyDescent="0.45">
      <c r="A425">
        <v>1183098</v>
      </c>
      <c r="B425">
        <v>148930</v>
      </c>
      <c r="C425">
        <v>7447394</v>
      </c>
      <c r="D425" t="s">
        <v>1162</v>
      </c>
      <c r="F425" t="s">
        <v>245</v>
      </c>
      <c r="G425" t="s">
        <v>246</v>
      </c>
      <c r="N425" t="s">
        <v>1183</v>
      </c>
      <c r="O425" t="s">
        <v>1184</v>
      </c>
      <c r="P425" t="s">
        <v>249</v>
      </c>
      <c r="Q425" t="s">
        <v>250</v>
      </c>
      <c r="R425" t="s">
        <v>251</v>
      </c>
      <c r="T425" t="s">
        <v>252</v>
      </c>
      <c r="U425" t="s">
        <v>253</v>
      </c>
      <c r="V425" t="s">
        <v>418</v>
      </c>
      <c r="W425" t="s">
        <v>419</v>
      </c>
      <c r="X425" t="s">
        <v>393</v>
      </c>
      <c r="Z425" t="s">
        <v>421</v>
      </c>
      <c r="AB425">
        <v>10</v>
      </c>
      <c r="AG425" t="s">
        <v>598</v>
      </c>
      <c r="AM425" t="s">
        <v>258</v>
      </c>
      <c r="AN425" t="s">
        <v>259</v>
      </c>
      <c r="AO425" t="s">
        <v>260</v>
      </c>
      <c r="AQ425" t="s">
        <v>261</v>
      </c>
      <c r="AU425">
        <v>1000</v>
      </c>
      <c r="AW425">
        <v>10000</v>
      </c>
      <c r="AX425" t="s">
        <v>262</v>
      </c>
      <c r="BO425" t="s">
        <v>261</v>
      </c>
      <c r="BS425">
        <v>1</v>
      </c>
      <c r="BU425">
        <v>10</v>
      </c>
      <c r="BV425" t="s">
        <v>263</v>
      </c>
      <c r="CM425" t="s">
        <v>264</v>
      </c>
      <c r="CN425" t="s">
        <v>264</v>
      </c>
      <c r="CP425" t="s">
        <v>265</v>
      </c>
      <c r="CQ425" t="s">
        <v>394</v>
      </c>
      <c r="DB425">
        <v>4</v>
      </c>
      <c r="DG425" t="s">
        <v>267</v>
      </c>
      <c r="DI425">
        <v>96</v>
      </c>
      <c r="DN425" t="s">
        <v>268</v>
      </c>
      <c r="DS425">
        <v>388</v>
      </c>
      <c r="DT425" t="s">
        <v>1185</v>
      </c>
      <c r="EW425" t="s">
        <v>293</v>
      </c>
      <c r="FK425" t="s">
        <v>1186</v>
      </c>
      <c r="FM425">
        <v>25</v>
      </c>
      <c r="FR425" t="s">
        <v>295</v>
      </c>
      <c r="GU425">
        <v>36</v>
      </c>
      <c r="GZ425" t="s">
        <v>296</v>
      </c>
      <c r="HH425" t="s">
        <v>272</v>
      </c>
      <c r="ID425" t="s">
        <v>1187</v>
      </c>
      <c r="IE425" t="s">
        <v>1188</v>
      </c>
      <c r="IF425">
        <v>16111</v>
      </c>
      <c r="IG425" t="s">
        <v>1189</v>
      </c>
      <c r="IH425" t="s">
        <v>1190</v>
      </c>
      <c r="II425">
        <v>1995</v>
      </c>
      <c r="IJ425" t="s">
        <v>1191</v>
      </c>
    </row>
    <row r="426" spans="1:244" x14ac:dyDescent="0.45">
      <c r="A426">
        <v>1226474</v>
      </c>
      <c r="B426">
        <v>219650</v>
      </c>
      <c r="C426">
        <v>7447394</v>
      </c>
      <c r="D426" t="s">
        <v>1162</v>
      </c>
      <c r="E426" t="s">
        <v>386</v>
      </c>
      <c r="F426" t="s">
        <v>245</v>
      </c>
      <c r="G426" t="s">
        <v>246</v>
      </c>
      <c r="N426" t="s">
        <v>302</v>
      </c>
      <c r="O426" t="s">
        <v>303</v>
      </c>
      <c r="P426" t="s">
        <v>249</v>
      </c>
      <c r="Q426" t="s">
        <v>250</v>
      </c>
      <c r="R426" t="s">
        <v>251</v>
      </c>
      <c r="T426" t="s">
        <v>252</v>
      </c>
      <c r="U426" t="s">
        <v>253</v>
      </c>
      <c r="V426" t="s">
        <v>304</v>
      </c>
      <c r="W426" t="s">
        <v>305</v>
      </c>
      <c r="X426" t="s">
        <v>306</v>
      </c>
      <c r="Z426" t="s">
        <v>1057</v>
      </c>
      <c r="AL426" t="s">
        <v>1210</v>
      </c>
      <c r="AM426" t="s">
        <v>317</v>
      </c>
      <c r="AN426" t="s">
        <v>259</v>
      </c>
      <c r="AO426" t="s">
        <v>260</v>
      </c>
      <c r="AQ426" t="s">
        <v>261</v>
      </c>
      <c r="AS426">
        <v>0.64</v>
      </c>
      <c r="AX426" t="s">
        <v>356</v>
      </c>
      <c r="BO426" t="s">
        <v>261</v>
      </c>
      <c r="BQ426">
        <v>0.64</v>
      </c>
      <c r="BV426" t="s">
        <v>263</v>
      </c>
      <c r="CM426" t="s">
        <v>264</v>
      </c>
      <c r="CN426" t="s">
        <v>264</v>
      </c>
      <c r="CP426" t="s">
        <v>265</v>
      </c>
      <c r="CQ426" t="s">
        <v>394</v>
      </c>
      <c r="DB426">
        <v>2</v>
      </c>
      <c r="DG426" t="s">
        <v>267</v>
      </c>
      <c r="DI426">
        <v>48</v>
      </c>
      <c r="DN426" t="s">
        <v>268</v>
      </c>
      <c r="DR426">
        <v>338212</v>
      </c>
      <c r="DS426">
        <v>732</v>
      </c>
      <c r="DT426" t="s">
        <v>1211</v>
      </c>
      <c r="EW426" t="s">
        <v>293</v>
      </c>
      <c r="GU426">
        <v>36</v>
      </c>
      <c r="GZ426" t="s">
        <v>900</v>
      </c>
      <c r="HH426" t="s">
        <v>272</v>
      </c>
      <c r="IE426" t="s">
        <v>1212</v>
      </c>
      <c r="IF426">
        <v>51641</v>
      </c>
      <c r="IG426" t="s">
        <v>1213</v>
      </c>
      <c r="IH426" t="s">
        <v>1214</v>
      </c>
      <c r="II426">
        <v>2000</v>
      </c>
      <c r="IJ426" t="s">
        <v>1215</v>
      </c>
    </row>
    <row r="427" spans="1:244" x14ac:dyDescent="0.45">
      <c r="A427">
        <v>2148082</v>
      </c>
      <c r="B427">
        <v>2282245</v>
      </c>
      <c r="C427">
        <v>7447394</v>
      </c>
      <c r="D427" t="s">
        <v>1162</v>
      </c>
      <c r="F427" t="s">
        <v>245</v>
      </c>
      <c r="G427" t="s">
        <v>272</v>
      </c>
      <c r="N427" t="s">
        <v>1280</v>
      </c>
      <c r="O427" t="s">
        <v>498</v>
      </c>
      <c r="P427" t="s">
        <v>249</v>
      </c>
      <c r="Q427" t="s">
        <v>250</v>
      </c>
      <c r="R427" t="s">
        <v>251</v>
      </c>
      <c r="T427" t="s">
        <v>252</v>
      </c>
      <c r="U427" t="s">
        <v>499</v>
      </c>
      <c r="V427" t="s">
        <v>1281</v>
      </c>
      <c r="W427" t="s">
        <v>1282</v>
      </c>
      <c r="X427" t="s">
        <v>1283</v>
      </c>
      <c r="Z427" t="s">
        <v>649</v>
      </c>
      <c r="AJ427" t="s">
        <v>285</v>
      </c>
      <c r="AL427" t="s">
        <v>1284</v>
      </c>
      <c r="AM427" t="s">
        <v>287</v>
      </c>
      <c r="AN427" t="s">
        <v>259</v>
      </c>
      <c r="AO427" t="s">
        <v>260</v>
      </c>
      <c r="AQ427" t="s">
        <v>261</v>
      </c>
      <c r="AS427">
        <v>1.06</v>
      </c>
      <c r="AX427" t="s">
        <v>356</v>
      </c>
      <c r="BO427" t="s">
        <v>261</v>
      </c>
      <c r="BQ427">
        <v>1.06</v>
      </c>
      <c r="BV427" t="s">
        <v>263</v>
      </c>
      <c r="CM427" t="s">
        <v>264</v>
      </c>
      <c r="CN427" t="s">
        <v>264</v>
      </c>
      <c r="CP427" t="s">
        <v>265</v>
      </c>
      <c r="DB427">
        <v>4</v>
      </c>
      <c r="DG427" t="s">
        <v>267</v>
      </c>
      <c r="DI427">
        <v>96</v>
      </c>
      <c r="DN427" t="s">
        <v>268</v>
      </c>
      <c r="DS427">
        <v>2851</v>
      </c>
      <c r="DT427" t="s">
        <v>1285</v>
      </c>
      <c r="DV427">
        <v>96</v>
      </c>
      <c r="EA427" t="s">
        <v>268</v>
      </c>
      <c r="EC427">
        <v>4</v>
      </c>
      <c r="EH427" t="s">
        <v>267</v>
      </c>
      <c r="EJ427">
        <v>96</v>
      </c>
      <c r="EO427" t="s">
        <v>268</v>
      </c>
      <c r="EQ427">
        <v>4</v>
      </c>
      <c r="EV427" t="s">
        <v>267</v>
      </c>
      <c r="EW427" t="s">
        <v>293</v>
      </c>
      <c r="EY427" t="s">
        <v>377</v>
      </c>
      <c r="HH427" t="s">
        <v>272</v>
      </c>
      <c r="IE427" t="s">
        <v>1286</v>
      </c>
      <c r="IF427">
        <v>169914</v>
      </c>
      <c r="IG427" t="s">
        <v>1287</v>
      </c>
      <c r="IH427" t="s">
        <v>1288</v>
      </c>
      <c r="II427">
        <v>2011</v>
      </c>
      <c r="IJ427" t="s">
        <v>1289</v>
      </c>
    </row>
    <row r="428" spans="1:244" x14ac:dyDescent="0.45">
      <c r="A428">
        <v>1227161</v>
      </c>
      <c r="B428">
        <v>218140</v>
      </c>
      <c r="C428">
        <v>7447394</v>
      </c>
      <c r="D428" t="s">
        <v>1162</v>
      </c>
      <c r="F428" t="s">
        <v>245</v>
      </c>
      <c r="G428" t="s">
        <v>246</v>
      </c>
      <c r="N428" t="s">
        <v>1290</v>
      </c>
      <c r="O428" t="s">
        <v>461</v>
      </c>
      <c r="P428" t="s">
        <v>249</v>
      </c>
      <c r="Q428" t="s">
        <v>250</v>
      </c>
      <c r="R428" t="s">
        <v>251</v>
      </c>
      <c r="T428" t="s">
        <v>389</v>
      </c>
      <c r="U428" t="s">
        <v>462</v>
      </c>
      <c r="V428" t="s">
        <v>463</v>
      </c>
      <c r="W428" t="s">
        <v>464</v>
      </c>
      <c r="X428" t="s">
        <v>1291</v>
      </c>
      <c r="Z428" t="s">
        <v>525</v>
      </c>
      <c r="AM428" t="s">
        <v>317</v>
      </c>
      <c r="AN428" t="s">
        <v>259</v>
      </c>
      <c r="AO428" t="s">
        <v>260</v>
      </c>
      <c r="AQ428" t="s">
        <v>261</v>
      </c>
      <c r="AS428">
        <v>0.48</v>
      </c>
      <c r="AU428">
        <v>0.31</v>
      </c>
      <c r="AW428">
        <v>0.74</v>
      </c>
      <c r="AX428" t="s">
        <v>356</v>
      </c>
      <c r="BO428" t="s">
        <v>261</v>
      </c>
      <c r="BQ428">
        <v>0.48</v>
      </c>
      <c r="BS428">
        <v>0.31</v>
      </c>
      <c r="BU428">
        <v>0.74</v>
      </c>
      <c r="BV428" t="s">
        <v>263</v>
      </c>
      <c r="CM428" t="s">
        <v>264</v>
      </c>
      <c r="CN428" t="s">
        <v>264</v>
      </c>
      <c r="CP428" t="s">
        <v>265</v>
      </c>
      <c r="DB428">
        <v>1</v>
      </c>
      <c r="DG428" t="s">
        <v>267</v>
      </c>
      <c r="DI428">
        <v>24</v>
      </c>
      <c r="DN428" t="s">
        <v>268</v>
      </c>
      <c r="DS428">
        <v>643</v>
      </c>
      <c r="DT428" t="s">
        <v>1292</v>
      </c>
      <c r="EW428" t="s">
        <v>272</v>
      </c>
      <c r="FM428">
        <v>25</v>
      </c>
      <c r="FR428" t="s">
        <v>295</v>
      </c>
      <c r="GU428">
        <v>100</v>
      </c>
      <c r="GZ428" t="s">
        <v>1293</v>
      </c>
      <c r="HH428" t="s">
        <v>272</v>
      </c>
      <c r="IE428" t="s">
        <v>1294</v>
      </c>
      <c r="IF428">
        <v>53890</v>
      </c>
      <c r="IG428" t="s">
        <v>1295</v>
      </c>
      <c r="IH428" t="s">
        <v>1296</v>
      </c>
      <c r="II428">
        <v>1995</v>
      </c>
      <c r="IJ428" t="s">
        <v>1297</v>
      </c>
    </row>
    <row r="429" spans="1:244" x14ac:dyDescent="0.45">
      <c r="A429">
        <v>1183091</v>
      </c>
      <c r="B429">
        <v>148923</v>
      </c>
      <c r="C429">
        <v>7447394</v>
      </c>
      <c r="D429" t="s">
        <v>1162</v>
      </c>
      <c r="F429" t="s">
        <v>245</v>
      </c>
      <c r="G429" t="s">
        <v>246</v>
      </c>
      <c r="N429" t="s">
        <v>1183</v>
      </c>
      <c r="O429" t="s">
        <v>1184</v>
      </c>
      <c r="P429" t="s">
        <v>249</v>
      </c>
      <c r="Q429" t="s">
        <v>250</v>
      </c>
      <c r="R429" t="s">
        <v>251</v>
      </c>
      <c r="T429" t="s">
        <v>252</v>
      </c>
      <c r="U429" t="s">
        <v>253</v>
      </c>
      <c r="V429" t="s">
        <v>418</v>
      </c>
      <c r="W429" t="s">
        <v>419</v>
      </c>
      <c r="X429" t="s">
        <v>393</v>
      </c>
      <c r="Z429" t="s">
        <v>421</v>
      </c>
      <c r="AB429">
        <v>3</v>
      </c>
      <c r="AG429" t="s">
        <v>598</v>
      </c>
      <c r="AM429" t="s">
        <v>317</v>
      </c>
      <c r="AN429" t="s">
        <v>259</v>
      </c>
      <c r="AO429" t="s">
        <v>260</v>
      </c>
      <c r="AQ429" t="s">
        <v>261</v>
      </c>
      <c r="AU429">
        <v>100</v>
      </c>
      <c r="AW429">
        <v>1000</v>
      </c>
      <c r="AX429" t="s">
        <v>262</v>
      </c>
      <c r="BO429" t="s">
        <v>261</v>
      </c>
      <c r="BS429">
        <v>0.1</v>
      </c>
      <c r="BU429">
        <v>1</v>
      </c>
      <c r="BV429" t="s">
        <v>263</v>
      </c>
      <c r="CM429" t="s">
        <v>264</v>
      </c>
      <c r="CN429" t="s">
        <v>264</v>
      </c>
      <c r="CP429" t="s">
        <v>265</v>
      </c>
      <c r="CQ429" t="s">
        <v>394</v>
      </c>
      <c r="DB429">
        <v>1</v>
      </c>
      <c r="DG429" t="s">
        <v>267</v>
      </c>
      <c r="DI429">
        <v>24</v>
      </c>
      <c r="DN429" t="s">
        <v>268</v>
      </c>
      <c r="DS429">
        <v>388</v>
      </c>
      <c r="DT429" t="s">
        <v>1185</v>
      </c>
      <c r="EW429" t="s">
        <v>293</v>
      </c>
      <c r="FK429" t="s">
        <v>1186</v>
      </c>
      <c r="FM429">
        <v>25</v>
      </c>
      <c r="FR429" t="s">
        <v>295</v>
      </c>
      <c r="GU429">
        <v>36</v>
      </c>
      <c r="GZ429" t="s">
        <v>296</v>
      </c>
      <c r="HH429" t="s">
        <v>272</v>
      </c>
      <c r="ID429" t="s">
        <v>1187</v>
      </c>
      <c r="IE429" t="s">
        <v>1188</v>
      </c>
      <c r="IF429">
        <v>16111</v>
      </c>
      <c r="IG429" t="s">
        <v>1189</v>
      </c>
      <c r="IH429" t="s">
        <v>1190</v>
      </c>
      <c r="II429">
        <v>1995</v>
      </c>
      <c r="IJ429" t="s">
        <v>1191</v>
      </c>
    </row>
    <row r="430" spans="1:244" x14ac:dyDescent="0.45">
      <c r="A430">
        <v>1312734</v>
      </c>
      <c r="B430">
        <v>770202</v>
      </c>
      <c r="C430">
        <v>7447394</v>
      </c>
      <c r="D430" t="s">
        <v>1162</v>
      </c>
      <c r="E430" t="s">
        <v>622</v>
      </c>
      <c r="F430" t="s">
        <v>272</v>
      </c>
      <c r="G430" t="s">
        <v>246</v>
      </c>
      <c r="N430" t="s">
        <v>1298</v>
      </c>
      <c r="O430" t="s">
        <v>1299</v>
      </c>
      <c r="P430" t="s">
        <v>249</v>
      </c>
      <c r="Q430" t="s">
        <v>250</v>
      </c>
      <c r="R430" t="s">
        <v>251</v>
      </c>
      <c r="T430" t="s">
        <v>252</v>
      </c>
      <c r="U430" t="s">
        <v>371</v>
      </c>
      <c r="V430" t="s">
        <v>372</v>
      </c>
      <c r="W430" t="s">
        <v>1300</v>
      </c>
      <c r="X430" t="s">
        <v>1301</v>
      </c>
      <c r="Z430" t="s">
        <v>649</v>
      </c>
      <c r="AD430">
        <v>2</v>
      </c>
      <c r="AF430">
        <v>3</v>
      </c>
      <c r="AG430" t="s">
        <v>267</v>
      </c>
      <c r="AM430" t="s">
        <v>317</v>
      </c>
      <c r="AN430" t="s">
        <v>259</v>
      </c>
      <c r="AO430" t="s">
        <v>260</v>
      </c>
      <c r="AP430" t="s">
        <v>559</v>
      </c>
      <c r="AQ430" t="s">
        <v>261</v>
      </c>
      <c r="AS430">
        <v>0.15</v>
      </c>
      <c r="AX430" t="s">
        <v>356</v>
      </c>
      <c r="BO430" t="s">
        <v>261</v>
      </c>
      <c r="BQ430">
        <v>0.15</v>
      </c>
      <c r="BV430" t="s">
        <v>263</v>
      </c>
      <c r="CM430" t="s">
        <v>264</v>
      </c>
      <c r="CN430" t="s">
        <v>264</v>
      </c>
      <c r="CP430" t="s">
        <v>265</v>
      </c>
      <c r="DB430">
        <v>4</v>
      </c>
      <c r="DG430" t="s">
        <v>267</v>
      </c>
      <c r="DI430">
        <v>96</v>
      </c>
      <c r="DN430" t="s">
        <v>268</v>
      </c>
      <c r="DP430" t="s">
        <v>1220</v>
      </c>
      <c r="DS430">
        <v>20391</v>
      </c>
      <c r="DT430" t="s">
        <v>1302</v>
      </c>
      <c r="EW430" t="s">
        <v>293</v>
      </c>
      <c r="FA430" t="s">
        <v>1303</v>
      </c>
      <c r="FK430" t="s">
        <v>1304</v>
      </c>
      <c r="FM430">
        <v>25</v>
      </c>
      <c r="FR430" t="s">
        <v>295</v>
      </c>
      <c r="GG430" t="s">
        <v>288</v>
      </c>
      <c r="GH430">
        <v>80</v>
      </c>
      <c r="GM430" t="s">
        <v>1224</v>
      </c>
      <c r="GQ430">
        <v>7.5</v>
      </c>
      <c r="GS430">
        <v>8.5</v>
      </c>
      <c r="GU430">
        <v>25</v>
      </c>
      <c r="GZ430" t="s">
        <v>900</v>
      </c>
      <c r="HH430" t="s">
        <v>272</v>
      </c>
      <c r="ID430" t="s">
        <v>1305</v>
      </c>
      <c r="IE430" t="s">
        <v>1306</v>
      </c>
      <c r="IF430">
        <v>117932</v>
      </c>
      <c r="IG430" t="s">
        <v>1307</v>
      </c>
      <c r="IH430" t="s">
        <v>1308</v>
      </c>
      <c r="II430">
        <v>2008</v>
      </c>
      <c r="IJ430" t="s">
        <v>1309</v>
      </c>
    </row>
    <row r="431" spans="1:244" x14ac:dyDescent="0.45">
      <c r="A431">
        <v>1277957</v>
      </c>
      <c r="B431">
        <v>731202</v>
      </c>
      <c r="C431">
        <v>7447394</v>
      </c>
      <c r="D431" t="s">
        <v>1162</v>
      </c>
      <c r="E431" t="s">
        <v>439</v>
      </c>
      <c r="F431" t="s">
        <v>245</v>
      </c>
      <c r="G431" t="s">
        <v>246</v>
      </c>
      <c r="N431" t="s">
        <v>968</v>
      </c>
      <c r="O431" t="s">
        <v>969</v>
      </c>
      <c r="P431" t="s">
        <v>249</v>
      </c>
      <c r="Q431" t="s">
        <v>250</v>
      </c>
      <c r="R431" t="s">
        <v>251</v>
      </c>
      <c r="T431" t="s">
        <v>252</v>
      </c>
      <c r="U431" t="s">
        <v>253</v>
      </c>
      <c r="V431" t="s">
        <v>418</v>
      </c>
      <c r="W431" t="s">
        <v>419</v>
      </c>
      <c r="X431" t="s">
        <v>970</v>
      </c>
      <c r="Z431" t="s">
        <v>649</v>
      </c>
      <c r="AL431" t="s">
        <v>1174</v>
      </c>
      <c r="AM431" t="s">
        <v>258</v>
      </c>
      <c r="AN431" t="s">
        <v>259</v>
      </c>
      <c r="AO431" t="s">
        <v>260</v>
      </c>
      <c r="AQ431" t="s">
        <v>261</v>
      </c>
      <c r="AS431">
        <v>0.21</v>
      </c>
      <c r="AU431">
        <v>0.14000000000000001</v>
      </c>
      <c r="AW431">
        <v>0.32</v>
      </c>
      <c r="AX431" t="s">
        <v>356</v>
      </c>
      <c r="BO431" t="s">
        <v>261</v>
      </c>
      <c r="BQ431">
        <v>0.21</v>
      </c>
      <c r="BS431">
        <v>0.14000000000000001</v>
      </c>
      <c r="BU431">
        <v>0.32</v>
      </c>
      <c r="BV431" t="s">
        <v>263</v>
      </c>
      <c r="CM431" t="s">
        <v>264</v>
      </c>
      <c r="CN431" t="s">
        <v>264</v>
      </c>
      <c r="CP431" t="s">
        <v>265</v>
      </c>
      <c r="CQ431" t="s">
        <v>394</v>
      </c>
      <c r="DB431">
        <v>4</v>
      </c>
      <c r="DG431" t="s">
        <v>267</v>
      </c>
      <c r="DI431">
        <v>96</v>
      </c>
      <c r="DN431" t="s">
        <v>268</v>
      </c>
      <c r="DP431" t="s">
        <v>1175</v>
      </c>
      <c r="DS431">
        <v>1010</v>
      </c>
      <c r="DT431" t="s">
        <v>1176</v>
      </c>
      <c r="EW431" t="s">
        <v>293</v>
      </c>
      <c r="FK431" t="s">
        <v>1310</v>
      </c>
      <c r="FM431">
        <v>35</v>
      </c>
      <c r="FR431" t="s">
        <v>295</v>
      </c>
      <c r="GG431" t="s">
        <v>288</v>
      </c>
      <c r="GH431">
        <v>90</v>
      </c>
      <c r="GM431" t="s">
        <v>900</v>
      </c>
      <c r="GO431">
        <v>8</v>
      </c>
      <c r="GU431">
        <v>20</v>
      </c>
      <c r="GZ431" t="s">
        <v>296</v>
      </c>
      <c r="HH431" t="s">
        <v>272</v>
      </c>
      <c r="ID431" t="s">
        <v>1311</v>
      </c>
      <c r="IE431" t="s">
        <v>1179</v>
      </c>
      <c r="IF431">
        <v>4973</v>
      </c>
      <c r="IG431" t="s">
        <v>1180</v>
      </c>
      <c r="IH431" t="s">
        <v>1181</v>
      </c>
      <c r="II431">
        <v>1982</v>
      </c>
      <c r="IJ431" t="s">
        <v>1182</v>
      </c>
    </row>
    <row r="432" spans="1:244" x14ac:dyDescent="0.45">
      <c r="A432">
        <v>2148083</v>
      </c>
      <c r="B432">
        <v>2282246</v>
      </c>
      <c r="C432">
        <v>7447394</v>
      </c>
      <c r="D432" t="s">
        <v>1162</v>
      </c>
      <c r="F432" t="s">
        <v>245</v>
      </c>
      <c r="G432" t="s">
        <v>272</v>
      </c>
      <c r="N432" t="s">
        <v>1312</v>
      </c>
      <c r="O432" t="s">
        <v>1313</v>
      </c>
      <c r="P432" t="s">
        <v>249</v>
      </c>
      <c r="Q432" t="s">
        <v>250</v>
      </c>
      <c r="R432" t="s">
        <v>251</v>
      </c>
      <c r="T432" t="s">
        <v>252</v>
      </c>
      <c r="U432" t="s">
        <v>1244</v>
      </c>
      <c r="V432" t="s">
        <v>1314</v>
      </c>
      <c r="W432" t="s">
        <v>1315</v>
      </c>
      <c r="X432" t="s">
        <v>1316</v>
      </c>
      <c r="Z432" t="s">
        <v>649</v>
      </c>
      <c r="AJ432" t="s">
        <v>285</v>
      </c>
      <c r="AL432" t="s">
        <v>1284</v>
      </c>
      <c r="AM432" t="s">
        <v>287</v>
      </c>
      <c r="AN432" t="s">
        <v>259</v>
      </c>
      <c r="AO432" t="s">
        <v>260</v>
      </c>
      <c r="AQ432" t="s">
        <v>261</v>
      </c>
      <c r="AS432">
        <v>5.35</v>
      </c>
      <c r="AX432" t="s">
        <v>356</v>
      </c>
      <c r="BO432" t="s">
        <v>261</v>
      </c>
      <c r="BQ432">
        <v>5.35</v>
      </c>
      <c r="BV432" t="s">
        <v>263</v>
      </c>
      <c r="CM432" t="s">
        <v>264</v>
      </c>
      <c r="CN432" t="s">
        <v>264</v>
      </c>
      <c r="CP432" t="s">
        <v>265</v>
      </c>
      <c r="DB432">
        <v>4</v>
      </c>
      <c r="DG432" t="s">
        <v>267</v>
      </c>
      <c r="DI432">
        <v>96</v>
      </c>
      <c r="DN432" t="s">
        <v>268</v>
      </c>
      <c r="DR432">
        <v>96875</v>
      </c>
      <c r="DS432">
        <v>1666</v>
      </c>
      <c r="DT432" t="s">
        <v>1285</v>
      </c>
      <c r="DV432">
        <v>96</v>
      </c>
      <c r="EA432" t="s">
        <v>268</v>
      </c>
      <c r="EC432">
        <v>4</v>
      </c>
      <c r="EH432" t="s">
        <v>267</v>
      </c>
      <c r="EJ432">
        <v>96</v>
      </c>
      <c r="EO432" t="s">
        <v>268</v>
      </c>
      <c r="EQ432">
        <v>4</v>
      </c>
      <c r="EV432" t="s">
        <v>267</v>
      </c>
      <c r="EW432" t="s">
        <v>293</v>
      </c>
      <c r="EY432" t="s">
        <v>377</v>
      </c>
      <c r="HH432" t="s">
        <v>272</v>
      </c>
      <c r="IE432" t="s">
        <v>1286</v>
      </c>
      <c r="IF432">
        <v>169914</v>
      </c>
      <c r="IG432" t="s">
        <v>1287</v>
      </c>
      <c r="IH432" t="s">
        <v>1288</v>
      </c>
      <c r="II432">
        <v>2011</v>
      </c>
      <c r="IJ432" t="s">
        <v>1289</v>
      </c>
    </row>
    <row r="433" spans="1:244" x14ac:dyDescent="0.45">
      <c r="A433">
        <v>1183099</v>
      </c>
      <c r="B433">
        <v>148931</v>
      </c>
      <c r="C433">
        <v>7447394</v>
      </c>
      <c r="D433" t="s">
        <v>1162</v>
      </c>
      <c r="F433" t="s">
        <v>245</v>
      </c>
      <c r="G433" t="s">
        <v>246</v>
      </c>
      <c r="N433" t="s">
        <v>1183</v>
      </c>
      <c r="O433" t="s">
        <v>1184</v>
      </c>
      <c r="P433" t="s">
        <v>249</v>
      </c>
      <c r="Q433" t="s">
        <v>250</v>
      </c>
      <c r="R433" t="s">
        <v>251</v>
      </c>
      <c r="T433" t="s">
        <v>252</v>
      </c>
      <c r="U433" t="s">
        <v>253</v>
      </c>
      <c r="V433" t="s">
        <v>418</v>
      </c>
      <c r="W433" t="s">
        <v>419</v>
      </c>
      <c r="X433" t="s">
        <v>393</v>
      </c>
      <c r="Z433" t="s">
        <v>421</v>
      </c>
      <c r="AB433">
        <v>10</v>
      </c>
      <c r="AG433" t="s">
        <v>598</v>
      </c>
      <c r="AM433" t="s">
        <v>317</v>
      </c>
      <c r="AN433" t="s">
        <v>259</v>
      </c>
      <c r="AO433" t="s">
        <v>260</v>
      </c>
      <c r="AQ433" t="s">
        <v>261</v>
      </c>
      <c r="AU433">
        <v>1000</v>
      </c>
      <c r="AW433">
        <v>10000</v>
      </c>
      <c r="AX433" t="s">
        <v>262</v>
      </c>
      <c r="BO433" t="s">
        <v>261</v>
      </c>
      <c r="BS433">
        <v>1</v>
      </c>
      <c r="BU433">
        <v>10</v>
      </c>
      <c r="BV433" t="s">
        <v>263</v>
      </c>
      <c r="CM433" t="s">
        <v>264</v>
      </c>
      <c r="CN433" t="s">
        <v>264</v>
      </c>
      <c r="CP433" t="s">
        <v>265</v>
      </c>
      <c r="CQ433" t="s">
        <v>394</v>
      </c>
      <c r="DB433">
        <v>2</v>
      </c>
      <c r="DG433" t="s">
        <v>267</v>
      </c>
      <c r="DI433">
        <v>48</v>
      </c>
      <c r="DN433" t="s">
        <v>268</v>
      </c>
      <c r="DS433">
        <v>388</v>
      </c>
      <c r="DT433" t="s">
        <v>1185</v>
      </c>
      <c r="EW433" t="s">
        <v>293</v>
      </c>
      <c r="FK433" t="s">
        <v>1186</v>
      </c>
      <c r="FM433">
        <v>25</v>
      </c>
      <c r="FR433" t="s">
        <v>295</v>
      </c>
      <c r="GU433">
        <v>36</v>
      </c>
      <c r="GZ433" t="s">
        <v>296</v>
      </c>
      <c r="HH433" t="s">
        <v>272</v>
      </c>
      <c r="ID433" t="s">
        <v>1187</v>
      </c>
      <c r="IE433" t="s">
        <v>1188</v>
      </c>
      <c r="IF433">
        <v>16111</v>
      </c>
      <c r="IG433" t="s">
        <v>1189</v>
      </c>
      <c r="IH433" t="s">
        <v>1190</v>
      </c>
      <c r="II433">
        <v>1995</v>
      </c>
      <c r="IJ433" t="s">
        <v>1191</v>
      </c>
    </row>
    <row r="434" spans="1:244" x14ac:dyDescent="0.45">
      <c r="A434">
        <v>1271194</v>
      </c>
      <c r="B434">
        <v>722492</v>
      </c>
      <c r="C434">
        <v>7447394</v>
      </c>
      <c r="D434" t="s">
        <v>1162</v>
      </c>
      <c r="F434" t="s">
        <v>245</v>
      </c>
      <c r="G434" t="s">
        <v>246</v>
      </c>
      <c r="N434" t="s">
        <v>546</v>
      </c>
      <c r="O434" t="s">
        <v>547</v>
      </c>
      <c r="P434" t="s">
        <v>249</v>
      </c>
      <c r="Q434" t="s">
        <v>250</v>
      </c>
      <c r="R434" t="s">
        <v>251</v>
      </c>
      <c r="T434" t="s">
        <v>252</v>
      </c>
      <c r="U434" t="s">
        <v>253</v>
      </c>
      <c r="V434" t="s">
        <v>548</v>
      </c>
      <c r="W434" t="s">
        <v>549</v>
      </c>
      <c r="X434" t="s">
        <v>550</v>
      </c>
      <c r="AM434" t="s">
        <v>258</v>
      </c>
      <c r="AN434" t="s">
        <v>259</v>
      </c>
      <c r="AO434" t="s">
        <v>260</v>
      </c>
      <c r="AP434">
        <v>5</v>
      </c>
      <c r="AQ434" t="s">
        <v>261</v>
      </c>
      <c r="AS434">
        <v>0.8</v>
      </c>
      <c r="AX434" t="s">
        <v>356</v>
      </c>
      <c r="BO434" t="s">
        <v>261</v>
      </c>
      <c r="BQ434">
        <v>0.8</v>
      </c>
      <c r="BV434" t="s">
        <v>263</v>
      </c>
      <c r="CM434" t="s">
        <v>264</v>
      </c>
      <c r="CN434" t="s">
        <v>264</v>
      </c>
      <c r="CP434" t="s">
        <v>265</v>
      </c>
      <c r="CQ434" t="s">
        <v>394</v>
      </c>
      <c r="DB434">
        <v>4</v>
      </c>
      <c r="DG434" t="s">
        <v>267</v>
      </c>
      <c r="DI434">
        <v>96</v>
      </c>
      <c r="DN434" t="s">
        <v>268</v>
      </c>
      <c r="DP434" t="s">
        <v>1258</v>
      </c>
      <c r="DR434">
        <v>491138</v>
      </c>
      <c r="DS434">
        <v>11</v>
      </c>
      <c r="EW434" t="s">
        <v>293</v>
      </c>
      <c r="FA434" t="s">
        <v>1317</v>
      </c>
      <c r="FK434" t="s">
        <v>1318</v>
      </c>
      <c r="HH434" t="s">
        <v>272</v>
      </c>
      <c r="ID434" t="s">
        <v>1319</v>
      </c>
      <c r="IE434" t="s">
        <v>1320</v>
      </c>
      <c r="IF434">
        <v>16651</v>
      </c>
      <c r="IG434" t="s">
        <v>1321</v>
      </c>
      <c r="IH434" t="s">
        <v>1322</v>
      </c>
      <c r="II434">
        <v>1985</v>
      </c>
      <c r="IJ434" t="s">
        <v>1323</v>
      </c>
    </row>
    <row r="435" spans="1:244" x14ac:dyDescent="0.45">
      <c r="A435">
        <v>1183070</v>
      </c>
      <c r="B435">
        <v>148902</v>
      </c>
      <c r="C435">
        <v>7447394</v>
      </c>
      <c r="D435" t="s">
        <v>1162</v>
      </c>
      <c r="F435" t="s">
        <v>245</v>
      </c>
      <c r="G435" t="s">
        <v>246</v>
      </c>
      <c r="N435" t="s">
        <v>1183</v>
      </c>
      <c r="O435" t="s">
        <v>1184</v>
      </c>
      <c r="P435" t="s">
        <v>249</v>
      </c>
      <c r="Q435" t="s">
        <v>250</v>
      </c>
      <c r="R435" t="s">
        <v>251</v>
      </c>
      <c r="T435" t="s">
        <v>252</v>
      </c>
      <c r="U435" t="s">
        <v>253</v>
      </c>
      <c r="V435" t="s">
        <v>418</v>
      </c>
      <c r="W435" t="s">
        <v>419</v>
      </c>
      <c r="X435" t="s">
        <v>393</v>
      </c>
      <c r="Z435" t="s">
        <v>983</v>
      </c>
      <c r="AB435">
        <v>3</v>
      </c>
      <c r="AG435" t="s">
        <v>598</v>
      </c>
      <c r="AM435" t="s">
        <v>317</v>
      </c>
      <c r="AN435" t="s">
        <v>259</v>
      </c>
      <c r="AO435" t="s">
        <v>260</v>
      </c>
      <c r="AQ435" t="s">
        <v>261</v>
      </c>
      <c r="AR435" t="s">
        <v>515</v>
      </c>
      <c r="AS435">
        <v>260</v>
      </c>
      <c r="AX435" t="s">
        <v>262</v>
      </c>
      <c r="BO435" t="s">
        <v>261</v>
      </c>
      <c r="BP435" t="s">
        <v>515</v>
      </c>
      <c r="BQ435">
        <v>0.26</v>
      </c>
      <c r="BV435" t="s">
        <v>263</v>
      </c>
      <c r="CM435" t="s">
        <v>264</v>
      </c>
      <c r="CN435" t="s">
        <v>264</v>
      </c>
      <c r="CP435" t="s">
        <v>265</v>
      </c>
      <c r="CQ435" t="s">
        <v>394</v>
      </c>
      <c r="DB435">
        <v>1</v>
      </c>
      <c r="DG435" t="s">
        <v>267</v>
      </c>
      <c r="DI435">
        <v>24</v>
      </c>
      <c r="DN435" t="s">
        <v>268</v>
      </c>
      <c r="DS435">
        <v>388</v>
      </c>
      <c r="DT435" t="s">
        <v>1185</v>
      </c>
      <c r="EW435" t="s">
        <v>293</v>
      </c>
      <c r="FM435">
        <v>25</v>
      </c>
      <c r="FR435" t="s">
        <v>295</v>
      </c>
      <c r="GU435">
        <v>36</v>
      </c>
      <c r="GZ435" t="s">
        <v>296</v>
      </c>
      <c r="HH435" t="s">
        <v>272</v>
      </c>
      <c r="IE435" t="s">
        <v>1188</v>
      </c>
      <c r="IF435">
        <v>16111</v>
      </c>
      <c r="IG435" t="s">
        <v>1189</v>
      </c>
      <c r="IH435" t="s">
        <v>1190</v>
      </c>
      <c r="II435">
        <v>1995</v>
      </c>
      <c r="IJ435" t="s">
        <v>1191</v>
      </c>
    </row>
    <row r="436" spans="1:244" x14ac:dyDescent="0.45">
      <c r="A436">
        <v>1183095</v>
      </c>
      <c r="B436">
        <v>148927</v>
      </c>
      <c r="C436">
        <v>7447394</v>
      </c>
      <c r="D436" t="s">
        <v>1162</v>
      </c>
      <c r="F436" t="s">
        <v>245</v>
      </c>
      <c r="G436" t="s">
        <v>246</v>
      </c>
      <c r="N436" t="s">
        <v>1183</v>
      </c>
      <c r="O436" t="s">
        <v>1184</v>
      </c>
      <c r="P436" t="s">
        <v>249</v>
      </c>
      <c r="Q436" t="s">
        <v>250</v>
      </c>
      <c r="R436" t="s">
        <v>251</v>
      </c>
      <c r="T436" t="s">
        <v>252</v>
      </c>
      <c r="U436" t="s">
        <v>253</v>
      </c>
      <c r="V436" t="s">
        <v>418</v>
      </c>
      <c r="W436" t="s">
        <v>419</v>
      </c>
      <c r="X436" t="s">
        <v>393</v>
      </c>
      <c r="Z436" t="s">
        <v>421</v>
      </c>
      <c r="AB436">
        <v>7</v>
      </c>
      <c r="AG436" t="s">
        <v>598</v>
      </c>
      <c r="AM436" t="s">
        <v>317</v>
      </c>
      <c r="AN436" t="s">
        <v>259</v>
      </c>
      <c r="AO436" t="s">
        <v>260</v>
      </c>
      <c r="AQ436" t="s">
        <v>261</v>
      </c>
      <c r="AU436">
        <v>100</v>
      </c>
      <c r="AW436">
        <v>1000</v>
      </c>
      <c r="AX436" t="s">
        <v>262</v>
      </c>
      <c r="BO436" t="s">
        <v>261</v>
      </c>
      <c r="BS436">
        <v>0.1</v>
      </c>
      <c r="BU436">
        <v>1</v>
      </c>
      <c r="BV436" t="s">
        <v>263</v>
      </c>
      <c r="CM436" t="s">
        <v>264</v>
      </c>
      <c r="CN436" t="s">
        <v>264</v>
      </c>
      <c r="CP436" t="s">
        <v>265</v>
      </c>
      <c r="CQ436" t="s">
        <v>394</v>
      </c>
      <c r="DB436">
        <v>1</v>
      </c>
      <c r="DG436" t="s">
        <v>267</v>
      </c>
      <c r="DI436">
        <v>24</v>
      </c>
      <c r="DN436" t="s">
        <v>268</v>
      </c>
      <c r="DS436">
        <v>388</v>
      </c>
      <c r="DT436" t="s">
        <v>1185</v>
      </c>
      <c r="EW436" t="s">
        <v>293</v>
      </c>
      <c r="FK436" t="s">
        <v>1186</v>
      </c>
      <c r="FM436">
        <v>25</v>
      </c>
      <c r="FR436" t="s">
        <v>295</v>
      </c>
      <c r="GU436">
        <v>36</v>
      </c>
      <c r="GZ436" t="s">
        <v>296</v>
      </c>
      <c r="HH436" t="s">
        <v>272</v>
      </c>
      <c r="ID436" t="s">
        <v>1187</v>
      </c>
      <c r="IE436" t="s">
        <v>1188</v>
      </c>
      <c r="IF436">
        <v>16111</v>
      </c>
      <c r="IG436" t="s">
        <v>1189</v>
      </c>
      <c r="IH436" t="s">
        <v>1190</v>
      </c>
      <c r="II436">
        <v>1995</v>
      </c>
      <c r="IJ436" t="s">
        <v>1191</v>
      </c>
    </row>
    <row r="437" spans="1:244" x14ac:dyDescent="0.45">
      <c r="A437">
        <v>1226467</v>
      </c>
      <c r="B437">
        <v>219643</v>
      </c>
      <c r="C437">
        <v>7447394</v>
      </c>
      <c r="D437" t="s">
        <v>1162</v>
      </c>
      <c r="E437" t="s">
        <v>386</v>
      </c>
      <c r="F437" t="s">
        <v>245</v>
      </c>
      <c r="G437" t="s">
        <v>246</v>
      </c>
      <c r="N437" t="s">
        <v>302</v>
      </c>
      <c r="O437" t="s">
        <v>303</v>
      </c>
      <c r="P437" t="s">
        <v>249</v>
      </c>
      <c r="Q437" t="s">
        <v>250</v>
      </c>
      <c r="R437" t="s">
        <v>251</v>
      </c>
      <c r="T437" t="s">
        <v>252</v>
      </c>
      <c r="U437" t="s">
        <v>253</v>
      </c>
      <c r="V437" t="s">
        <v>304</v>
      </c>
      <c r="W437" t="s">
        <v>305</v>
      </c>
      <c r="X437" t="s">
        <v>306</v>
      </c>
      <c r="Z437" t="s">
        <v>1057</v>
      </c>
      <c r="AL437" t="s">
        <v>1324</v>
      </c>
      <c r="AM437" t="s">
        <v>317</v>
      </c>
      <c r="AN437" t="s">
        <v>259</v>
      </c>
      <c r="AO437" t="s">
        <v>260</v>
      </c>
      <c r="AQ437" t="s">
        <v>261</v>
      </c>
      <c r="AS437">
        <v>249.46</v>
      </c>
      <c r="AX437" t="s">
        <v>356</v>
      </c>
      <c r="BO437" t="s">
        <v>261</v>
      </c>
      <c r="BQ437">
        <v>249.46</v>
      </c>
      <c r="BV437" t="s">
        <v>263</v>
      </c>
      <c r="CM437" t="s">
        <v>264</v>
      </c>
      <c r="CN437" t="s">
        <v>264</v>
      </c>
      <c r="CP437" t="s">
        <v>265</v>
      </c>
      <c r="CQ437" t="s">
        <v>394</v>
      </c>
      <c r="DB437">
        <v>1</v>
      </c>
      <c r="DG437" t="s">
        <v>267</v>
      </c>
      <c r="DI437">
        <v>24</v>
      </c>
      <c r="DN437" t="s">
        <v>268</v>
      </c>
      <c r="DR437">
        <v>338212</v>
      </c>
      <c r="DS437">
        <v>732</v>
      </c>
      <c r="DT437" t="s">
        <v>1211</v>
      </c>
      <c r="EW437" t="s">
        <v>293</v>
      </c>
      <c r="GU437">
        <v>36</v>
      </c>
      <c r="GZ437" t="s">
        <v>900</v>
      </c>
      <c r="HH437" t="s">
        <v>272</v>
      </c>
      <c r="IE437" t="s">
        <v>1212</v>
      </c>
      <c r="IF437">
        <v>51641</v>
      </c>
      <c r="IG437" t="s">
        <v>1213</v>
      </c>
      <c r="IH437" t="s">
        <v>1214</v>
      </c>
      <c r="II437">
        <v>2000</v>
      </c>
      <c r="IJ437" t="s">
        <v>1215</v>
      </c>
    </row>
    <row r="438" spans="1:244" x14ac:dyDescent="0.45">
      <c r="A438">
        <v>2142304</v>
      </c>
      <c r="B438">
        <v>2267982</v>
      </c>
      <c r="C438">
        <v>7447394</v>
      </c>
      <c r="D438" t="s">
        <v>1162</v>
      </c>
      <c r="E438" t="s">
        <v>386</v>
      </c>
      <c r="F438" t="s">
        <v>327</v>
      </c>
      <c r="G438" t="s">
        <v>272</v>
      </c>
      <c r="N438" t="s">
        <v>1163</v>
      </c>
      <c r="O438" t="s">
        <v>1164</v>
      </c>
      <c r="P438" t="s">
        <v>249</v>
      </c>
      <c r="Q438" t="s">
        <v>250</v>
      </c>
      <c r="R438" t="s">
        <v>251</v>
      </c>
      <c r="T438" t="s">
        <v>389</v>
      </c>
      <c r="U438" t="s">
        <v>390</v>
      </c>
      <c r="V438" t="s">
        <v>1010</v>
      </c>
      <c r="W438" t="s">
        <v>1165</v>
      </c>
      <c r="X438" t="s">
        <v>1166</v>
      </c>
      <c r="Z438" t="s">
        <v>315</v>
      </c>
      <c r="AI438">
        <v>4</v>
      </c>
      <c r="AJ438" t="s">
        <v>354</v>
      </c>
      <c r="AK438" t="s">
        <v>517</v>
      </c>
      <c r="AM438" t="s">
        <v>287</v>
      </c>
      <c r="AN438" t="s">
        <v>259</v>
      </c>
      <c r="AO438" t="s">
        <v>260</v>
      </c>
      <c r="AP438">
        <v>7</v>
      </c>
      <c r="AQ438" t="s">
        <v>504</v>
      </c>
      <c r="AT438" t="s">
        <v>288</v>
      </c>
      <c r="AU438">
        <v>10</v>
      </c>
      <c r="AV438" t="s">
        <v>289</v>
      </c>
      <c r="AW438">
        <v>12</v>
      </c>
      <c r="AX438" t="s">
        <v>1167</v>
      </c>
      <c r="BO438" t="s">
        <v>504</v>
      </c>
      <c r="BR438" t="s">
        <v>288</v>
      </c>
      <c r="BS438">
        <v>1.3445199999999999</v>
      </c>
      <c r="BT438" t="s">
        <v>289</v>
      </c>
      <c r="BU438">
        <v>1.613424</v>
      </c>
      <c r="BV438" t="s">
        <v>263</v>
      </c>
      <c r="CM438" t="s">
        <v>264</v>
      </c>
      <c r="CN438" t="s">
        <v>264</v>
      </c>
      <c r="CP438" t="s">
        <v>265</v>
      </c>
      <c r="CQ438" t="s">
        <v>394</v>
      </c>
      <c r="DB438">
        <v>4</v>
      </c>
      <c r="DG438" t="s">
        <v>267</v>
      </c>
      <c r="DI438">
        <v>96</v>
      </c>
      <c r="DN438" t="s">
        <v>268</v>
      </c>
      <c r="DR438">
        <v>1352461</v>
      </c>
      <c r="DS438">
        <v>34567</v>
      </c>
      <c r="DT438" t="s">
        <v>1168</v>
      </c>
      <c r="DV438">
        <v>96</v>
      </c>
      <c r="EA438" t="s">
        <v>268</v>
      </c>
      <c r="EC438">
        <v>4</v>
      </c>
      <c r="EH438" t="s">
        <v>267</v>
      </c>
      <c r="EJ438">
        <v>96</v>
      </c>
      <c r="EO438" t="s">
        <v>268</v>
      </c>
      <c r="EQ438">
        <v>4</v>
      </c>
      <c r="EV438" t="s">
        <v>267</v>
      </c>
      <c r="EW438" t="s">
        <v>293</v>
      </c>
      <c r="EZ438">
        <v>50</v>
      </c>
      <c r="FA438" t="s">
        <v>1325</v>
      </c>
      <c r="FK438" t="s">
        <v>899</v>
      </c>
      <c r="GU438">
        <v>30</v>
      </c>
      <c r="GZ438" t="s">
        <v>296</v>
      </c>
      <c r="HH438" t="s">
        <v>272</v>
      </c>
      <c r="ID438" t="s">
        <v>901</v>
      </c>
      <c r="IE438" t="s">
        <v>1170</v>
      </c>
      <c r="IF438">
        <v>166161</v>
      </c>
      <c r="IG438" t="s">
        <v>1171</v>
      </c>
      <c r="IH438" t="s">
        <v>1172</v>
      </c>
      <c r="II438">
        <v>2012</v>
      </c>
      <c r="IJ438" t="s">
        <v>1173</v>
      </c>
    </row>
    <row r="439" spans="1:244" x14ac:dyDescent="0.45">
      <c r="A439">
        <v>1299769</v>
      </c>
      <c r="B439">
        <v>755368</v>
      </c>
      <c r="C439">
        <v>7447394</v>
      </c>
      <c r="D439" t="s">
        <v>1162</v>
      </c>
      <c r="F439" t="s">
        <v>245</v>
      </c>
      <c r="G439" t="s">
        <v>246</v>
      </c>
      <c r="N439" t="s">
        <v>892</v>
      </c>
      <c r="O439" t="s">
        <v>498</v>
      </c>
      <c r="P439" t="s">
        <v>249</v>
      </c>
      <c r="Q439" t="s">
        <v>250</v>
      </c>
      <c r="R439" t="s">
        <v>251</v>
      </c>
      <c r="T439" t="s">
        <v>252</v>
      </c>
      <c r="U439" t="s">
        <v>499</v>
      </c>
      <c r="V439" t="s">
        <v>500</v>
      </c>
      <c r="W439" t="s">
        <v>893</v>
      </c>
      <c r="X439" t="s">
        <v>894</v>
      </c>
      <c r="AL439" t="s">
        <v>1326</v>
      </c>
      <c r="AM439" t="s">
        <v>317</v>
      </c>
      <c r="AN439" t="s">
        <v>259</v>
      </c>
      <c r="AO439" t="s">
        <v>260</v>
      </c>
      <c r="AP439">
        <v>6</v>
      </c>
      <c r="AQ439" t="s">
        <v>261</v>
      </c>
      <c r="AS439">
        <v>0.82</v>
      </c>
      <c r="AU439">
        <v>0.53</v>
      </c>
      <c r="AW439">
        <v>1.28</v>
      </c>
      <c r="AX439" t="s">
        <v>356</v>
      </c>
      <c r="BO439" t="s">
        <v>261</v>
      </c>
      <c r="BQ439">
        <v>0.82</v>
      </c>
      <c r="BS439">
        <v>0.53</v>
      </c>
      <c r="BU439">
        <v>1.28</v>
      </c>
      <c r="BV439" t="s">
        <v>263</v>
      </c>
      <c r="CM439" t="s">
        <v>264</v>
      </c>
      <c r="CN439" t="s">
        <v>264</v>
      </c>
      <c r="CP439" t="s">
        <v>265</v>
      </c>
      <c r="CQ439" t="s">
        <v>394</v>
      </c>
      <c r="DB439">
        <v>4</v>
      </c>
      <c r="DG439" t="s">
        <v>267</v>
      </c>
      <c r="DI439">
        <v>96</v>
      </c>
      <c r="DN439" t="s">
        <v>268</v>
      </c>
      <c r="DP439" t="s">
        <v>1220</v>
      </c>
      <c r="DR439">
        <v>732107</v>
      </c>
      <c r="DS439">
        <v>427</v>
      </c>
      <c r="DT439" t="s">
        <v>1327</v>
      </c>
      <c r="EW439" t="s">
        <v>293</v>
      </c>
      <c r="FK439" t="s">
        <v>1328</v>
      </c>
      <c r="FM439">
        <v>16</v>
      </c>
      <c r="FR439" t="s">
        <v>295</v>
      </c>
      <c r="GJ439">
        <v>8</v>
      </c>
      <c r="GL439">
        <v>8.5</v>
      </c>
      <c r="GM439" t="s">
        <v>356</v>
      </c>
      <c r="GQ439">
        <v>7.9</v>
      </c>
      <c r="GS439">
        <v>8.64</v>
      </c>
      <c r="GU439">
        <v>36</v>
      </c>
      <c r="GZ439" t="s">
        <v>296</v>
      </c>
      <c r="HH439" t="s">
        <v>272</v>
      </c>
      <c r="ID439" t="s">
        <v>1329</v>
      </c>
      <c r="IE439" t="s">
        <v>1330</v>
      </c>
      <c r="IF439">
        <v>116169</v>
      </c>
      <c r="IG439" t="s">
        <v>1331</v>
      </c>
      <c r="IH439" t="s">
        <v>1332</v>
      </c>
      <c r="II439">
        <v>2005</v>
      </c>
      <c r="IJ439" t="s">
        <v>1333</v>
      </c>
    </row>
    <row r="440" spans="1:244" x14ac:dyDescent="0.45">
      <c r="A440">
        <v>1304637</v>
      </c>
      <c r="B440">
        <v>761285</v>
      </c>
      <c r="C440">
        <v>7447394</v>
      </c>
      <c r="D440" t="s">
        <v>1162</v>
      </c>
      <c r="F440" t="s">
        <v>245</v>
      </c>
      <c r="G440" t="s">
        <v>246</v>
      </c>
      <c r="N440" t="s">
        <v>1230</v>
      </c>
      <c r="O440" t="s">
        <v>248</v>
      </c>
      <c r="P440" t="s">
        <v>249</v>
      </c>
      <c r="Q440" t="s">
        <v>250</v>
      </c>
      <c r="R440" t="s">
        <v>251</v>
      </c>
      <c r="T440" t="s">
        <v>252</v>
      </c>
      <c r="U440" t="s">
        <v>253</v>
      </c>
      <c r="V440" t="s">
        <v>1231</v>
      </c>
      <c r="W440" t="s">
        <v>1232</v>
      </c>
      <c r="X440" t="s">
        <v>1233</v>
      </c>
      <c r="Z440" t="s">
        <v>1046</v>
      </c>
      <c r="AA440" t="s">
        <v>289</v>
      </c>
      <c r="AB440">
        <v>8</v>
      </c>
      <c r="AG440" t="s">
        <v>353</v>
      </c>
      <c r="AM440" t="s">
        <v>258</v>
      </c>
      <c r="AN440" t="s">
        <v>259</v>
      </c>
      <c r="AO440" t="s">
        <v>260</v>
      </c>
      <c r="AP440">
        <v>6</v>
      </c>
      <c r="AQ440" t="s">
        <v>261</v>
      </c>
      <c r="AS440">
        <v>219.2</v>
      </c>
      <c r="AU440">
        <v>188.9</v>
      </c>
      <c r="AW440">
        <v>248.9</v>
      </c>
      <c r="AX440" t="s">
        <v>262</v>
      </c>
      <c r="BO440" t="s">
        <v>261</v>
      </c>
      <c r="BQ440">
        <v>0.21920000000000001</v>
      </c>
      <c r="BS440">
        <v>0.18890000000000001</v>
      </c>
      <c r="BU440">
        <v>0.24890000000000001</v>
      </c>
      <c r="BV440" t="s">
        <v>263</v>
      </c>
      <c r="CM440" t="s">
        <v>264</v>
      </c>
      <c r="CN440" t="s">
        <v>264</v>
      </c>
      <c r="CP440" t="s">
        <v>265</v>
      </c>
      <c r="CQ440" t="s">
        <v>394</v>
      </c>
      <c r="DB440">
        <v>4</v>
      </c>
      <c r="DG440" t="s">
        <v>267</v>
      </c>
      <c r="DI440">
        <v>96</v>
      </c>
      <c r="DN440" t="s">
        <v>268</v>
      </c>
      <c r="DP440" t="s">
        <v>1234</v>
      </c>
      <c r="DS440">
        <v>4771</v>
      </c>
      <c r="DT440" t="s">
        <v>1235</v>
      </c>
      <c r="EW440" t="s">
        <v>293</v>
      </c>
      <c r="FA440" t="s">
        <v>397</v>
      </c>
      <c r="FK440" t="s">
        <v>1236</v>
      </c>
      <c r="FM440">
        <v>22</v>
      </c>
      <c r="FR440" t="s">
        <v>295</v>
      </c>
      <c r="GO440">
        <v>8</v>
      </c>
      <c r="GU440">
        <v>35</v>
      </c>
      <c r="GZ440" t="s">
        <v>362</v>
      </c>
      <c r="HH440" t="s">
        <v>272</v>
      </c>
      <c r="ID440" t="s">
        <v>1237</v>
      </c>
      <c r="IE440" t="s">
        <v>1238</v>
      </c>
      <c r="IF440">
        <v>97270</v>
      </c>
      <c r="IG440" t="s">
        <v>1239</v>
      </c>
      <c r="IH440" t="s">
        <v>1240</v>
      </c>
      <c r="II440">
        <v>2006</v>
      </c>
      <c r="IJ440" t="s">
        <v>1241</v>
      </c>
    </row>
    <row r="441" spans="1:244" x14ac:dyDescent="0.45">
      <c r="A441">
        <v>1282247</v>
      </c>
      <c r="B441">
        <v>735866</v>
      </c>
      <c r="C441">
        <v>7447394</v>
      </c>
      <c r="D441" t="s">
        <v>1162</v>
      </c>
      <c r="E441" t="s">
        <v>439</v>
      </c>
      <c r="F441" t="s">
        <v>245</v>
      </c>
      <c r="G441" t="s">
        <v>246</v>
      </c>
      <c r="N441" t="s">
        <v>968</v>
      </c>
      <c r="O441" t="s">
        <v>969</v>
      </c>
      <c r="P441" t="s">
        <v>249</v>
      </c>
      <c r="Q441" t="s">
        <v>250</v>
      </c>
      <c r="R441" t="s">
        <v>251</v>
      </c>
      <c r="T441" t="s">
        <v>252</v>
      </c>
      <c r="U441" t="s">
        <v>253</v>
      </c>
      <c r="V441" t="s">
        <v>418</v>
      </c>
      <c r="W441" t="s">
        <v>419</v>
      </c>
      <c r="X441" t="s">
        <v>970</v>
      </c>
      <c r="Z441" t="s">
        <v>649</v>
      </c>
      <c r="AL441" t="s">
        <v>1174</v>
      </c>
      <c r="AM441" t="s">
        <v>258</v>
      </c>
      <c r="AN441" t="s">
        <v>259</v>
      </c>
      <c r="AO441" t="s">
        <v>260</v>
      </c>
      <c r="AQ441" t="s">
        <v>261</v>
      </c>
      <c r="AS441">
        <v>6.1</v>
      </c>
      <c r="AU441">
        <v>2.64</v>
      </c>
      <c r="AW441">
        <v>14.6</v>
      </c>
      <c r="AX441" t="s">
        <v>356</v>
      </c>
      <c r="BO441" t="s">
        <v>261</v>
      </c>
      <c r="BQ441">
        <v>6.1</v>
      </c>
      <c r="BS441">
        <v>2.64</v>
      </c>
      <c r="BU441">
        <v>14.6</v>
      </c>
      <c r="BV441" t="s">
        <v>263</v>
      </c>
      <c r="CM441" t="s">
        <v>264</v>
      </c>
      <c r="CN441" t="s">
        <v>264</v>
      </c>
      <c r="CP441" t="s">
        <v>265</v>
      </c>
      <c r="CQ441" t="s">
        <v>394</v>
      </c>
      <c r="DB441">
        <v>4</v>
      </c>
      <c r="DG441" t="s">
        <v>267</v>
      </c>
      <c r="DI441">
        <v>96</v>
      </c>
      <c r="DN441" t="s">
        <v>268</v>
      </c>
      <c r="DP441" t="s">
        <v>1175</v>
      </c>
      <c r="DS441">
        <v>1010</v>
      </c>
      <c r="DT441" t="s">
        <v>1176</v>
      </c>
      <c r="EW441" t="s">
        <v>293</v>
      </c>
      <c r="FK441" t="s">
        <v>1334</v>
      </c>
      <c r="FM441">
        <v>20</v>
      </c>
      <c r="FR441" t="s">
        <v>295</v>
      </c>
      <c r="GG441" t="s">
        <v>288</v>
      </c>
      <c r="GH441">
        <v>90</v>
      </c>
      <c r="GM441" t="s">
        <v>900</v>
      </c>
      <c r="GO441">
        <v>8</v>
      </c>
      <c r="GU441">
        <v>36</v>
      </c>
      <c r="GZ441" t="s">
        <v>296</v>
      </c>
      <c r="HH441" t="s">
        <v>272</v>
      </c>
      <c r="ID441" t="s">
        <v>1335</v>
      </c>
      <c r="IE441" t="s">
        <v>1179</v>
      </c>
      <c r="IF441">
        <v>4973</v>
      </c>
      <c r="IG441" t="s">
        <v>1180</v>
      </c>
      <c r="IH441" t="s">
        <v>1181</v>
      </c>
      <c r="II441">
        <v>1982</v>
      </c>
      <c r="IJ441" t="s">
        <v>1182</v>
      </c>
    </row>
    <row r="442" spans="1:244" x14ac:dyDescent="0.45">
      <c r="A442">
        <v>1183071</v>
      </c>
      <c r="B442">
        <v>148903</v>
      </c>
      <c r="C442">
        <v>7447394</v>
      </c>
      <c r="D442" t="s">
        <v>1162</v>
      </c>
      <c r="F442" t="s">
        <v>245</v>
      </c>
      <c r="G442" t="s">
        <v>246</v>
      </c>
      <c r="N442" t="s">
        <v>1183</v>
      </c>
      <c r="O442" t="s">
        <v>1184</v>
      </c>
      <c r="P442" t="s">
        <v>249</v>
      </c>
      <c r="Q442" t="s">
        <v>250</v>
      </c>
      <c r="R442" t="s">
        <v>251</v>
      </c>
      <c r="T442" t="s">
        <v>252</v>
      </c>
      <c r="U442" t="s">
        <v>253</v>
      </c>
      <c r="V442" t="s">
        <v>418</v>
      </c>
      <c r="W442" t="s">
        <v>419</v>
      </c>
      <c r="X442" t="s">
        <v>393</v>
      </c>
      <c r="Z442" t="s">
        <v>983</v>
      </c>
      <c r="AB442">
        <v>3</v>
      </c>
      <c r="AG442" t="s">
        <v>598</v>
      </c>
      <c r="AM442" t="s">
        <v>317</v>
      </c>
      <c r="AN442" t="s">
        <v>259</v>
      </c>
      <c r="AO442" t="s">
        <v>260</v>
      </c>
      <c r="AQ442" t="s">
        <v>261</v>
      </c>
      <c r="AR442" t="s">
        <v>515</v>
      </c>
      <c r="AS442">
        <v>75</v>
      </c>
      <c r="AX442" t="s">
        <v>262</v>
      </c>
      <c r="BO442" t="s">
        <v>261</v>
      </c>
      <c r="BP442" t="s">
        <v>515</v>
      </c>
      <c r="BQ442">
        <v>7.4999999999999997E-2</v>
      </c>
      <c r="BV442" t="s">
        <v>263</v>
      </c>
      <c r="CM442" t="s">
        <v>264</v>
      </c>
      <c r="CN442" t="s">
        <v>264</v>
      </c>
      <c r="CP442" t="s">
        <v>265</v>
      </c>
      <c r="CQ442" t="s">
        <v>394</v>
      </c>
      <c r="DB442">
        <v>2</v>
      </c>
      <c r="DG442" t="s">
        <v>267</v>
      </c>
      <c r="DI442">
        <v>48</v>
      </c>
      <c r="DN442" t="s">
        <v>268</v>
      </c>
      <c r="DS442">
        <v>388</v>
      </c>
      <c r="DT442" t="s">
        <v>1185</v>
      </c>
      <c r="EW442" t="s">
        <v>293</v>
      </c>
      <c r="FM442">
        <v>25</v>
      </c>
      <c r="FR442" t="s">
        <v>295</v>
      </c>
      <c r="GU442">
        <v>36</v>
      </c>
      <c r="GZ442" t="s">
        <v>296</v>
      </c>
      <c r="HH442" t="s">
        <v>272</v>
      </c>
      <c r="IE442" t="s">
        <v>1188</v>
      </c>
      <c r="IF442">
        <v>16111</v>
      </c>
      <c r="IG442" t="s">
        <v>1189</v>
      </c>
      <c r="IH442" t="s">
        <v>1190</v>
      </c>
      <c r="II442">
        <v>1995</v>
      </c>
      <c r="IJ442" t="s">
        <v>1191</v>
      </c>
    </row>
    <row r="443" spans="1:244" x14ac:dyDescent="0.45">
      <c r="A443">
        <v>1183085</v>
      </c>
      <c r="B443">
        <v>148917</v>
      </c>
      <c r="C443">
        <v>7447394</v>
      </c>
      <c r="D443" t="s">
        <v>1162</v>
      </c>
      <c r="F443" t="s">
        <v>245</v>
      </c>
      <c r="G443" t="s">
        <v>246</v>
      </c>
      <c r="N443" t="s">
        <v>1183</v>
      </c>
      <c r="O443" t="s">
        <v>1184</v>
      </c>
      <c r="P443" t="s">
        <v>249</v>
      </c>
      <c r="Q443" t="s">
        <v>250</v>
      </c>
      <c r="R443" t="s">
        <v>251</v>
      </c>
      <c r="T443" t="s">
        <v>252</v>
      </c>
      <c r="U443" t="s">
        <v>253</v>
      </c>
      <c r="V443" t="s">
        <v>418</v>
      </c>
      <c r="W443" t="s">
        <v>419</v>
      </c>
      <c r="X443" t="s">
        <v>393</v>
      </c>
      <c r="Z443" t="s">
        <v>421</v>
      </c>
      <c r="AB443">
        <v>1</v>
      </c>
      <c r="AG443" t="s">
        <v>598</v>
      </c>
      <c r="AM443" t="s">
        <v>317</v>
      </c>
      <c r="AN443" t="s">
        <v>259</v>
      </c>
      <c r="AO443" t="s">
        <v>260</v>
      </c>
      <c r="AQ443" t="s">
        <v>261</v>
      </c>
      <c r="AU443">
        <v>10</v>
      </c>
      <c r="AW443">
        <v>100</v>
      </c>
      <c r="AX443" t="s">
        <v>262</v>
      </c>
      <c r="BO443" t="s">
        <v>261</v>
      </c>
      <c r="BS443">
        <v>0.01</v>
      </c>
      <c r="BU443">
        <v>0.1</v>
      </c>
      <c r="BV443" t="s">
        <v>263</v>
      </c>
      <c r="CM443" t="s">
        <v>264</v>
      </c>
      <c r="CN443" t="s">
        <v>264</v>
      </c>
      <c r="CP443" t="s">
        <v>265</v>
      </c>
      <c r="CQ443" t="s">
        <v>394</v>
      </c>
      <c r="DB443">
        <v>1</v>
      </c>
      <c r="DG443" t="s">
        <v>267</v>
      </c>
      <c r="DI443">
        <v>24</v>
      </c>
      <c r="DN443" t="s">
        <v>268</v>
      </c>
      <c r="DS443">
        <v>388</v>
      </c>
      <c r="DT443" t="s">
        <v>1185</v>
      </c>
      <c r="EW443" t="s">
        <v>293</v>
      </c>
      <c r="FK443" t="s">
        <v>1186</v>
      </c>
      <c r="FM443">
        <v>25</v>
      </c>
      <c r="FR443" t="s">
        <v>295</v>
      </c>
      <c r="GU443">
        <v>36</v>
      </c>
      <c r="GZ443" t="s">
        <v>296</v>
      </c>
      <c r="HH443" t="s">
        <v>272</v>
      </c>
      <c r="ID443" t="s">
        <v>1187</v>
      </c>
      <c r="IE443" t="s">
        <v>1188</v>
      </c>
      <c r="IF443">
        <v>16111</v>
      </c>
      <c r="IG443" t="s">
        <v>1189</v>
      </c>
      <c r="IH443" t="s">
        <v>1190</v>
      </c>
      <c r="II443">
        <v>1995</v>
      </c>
      <c r="IJ443" t="s">
        <v>1191</v>
      </c>
    </row>
    <row r="444" spans="1:244" x14ac:dyDescent="0.45">
      <c r="A444">
        <v>1183066</v>
      </c>
      <c r="B444">
        <v>148898</v>
      </c>
      <c r="C444">
        <v>7447394</v>
      </c>
      <c r="D444" t="s">
        <v>1162</v>
      </c>
      <c r="F444" t="s">
        <v>245</v>
      </c>
      <c r="G444" t="s">
        <v>246</v>
      </c>
      <c r="N444" t="s">
        <v>1183</v>
      </c>
      <c r="O444" t="s">
        <v>1184</v>
      </c>
      <c r="P444" t="s">
        <v>249</v>
      </c>
      <c r="Q444" t="s">
        <v>250</v>
      </c>
      <c r="R444" t="s">
        <v>251</v>
      </c>
      <c r="T444" t="s">
        <v>252</v>
      </c>
      <c r="U444" t="s">
        <v>253</v>
      </c>
      <c r="V444" t="s">
        <v>418</v>
      </c>
      <c r="W444" t="s">
        <v>419</v>
      </c>
      <c r="X444" t="s">
        <v>393</v>
      </c>
      <c r="Z444" t="s">
        <v>1046</v>
      </c>
      <c r="AB444">
        <v>2</v>
      </c>
      <c r="AG444" t="s">
        <v>598</v>
      </c>
      <c r="AM444" t="s">
        <v>317</v>
      </c>
      <c r="AN444" t="s">
        <v>259</v>
      </c>
      <c r="AO444" t="s">
        <v>260</v>
      </c>
      <c r="AQ444" t="s">
        <v>261</v>
      </c>
      <c r="AR444" t="s">
        <v>515</v>
      </c>
      <c r="AS444">
        <v>20</v>
      </c>
      <c r="AX444" t="s">
        <v>262</v>
      </c>
      <c r="BO444" t="s">
        <v>261</v>
      </c>
      <c r="BP444" t="s">
        <v>515</v>
      </c>
      <c r="BQ444">
        <v>0.02</v>
      </c>
      <c r="BV444" t="s">
        <v>263</v>
      </c>
      <c r="CM444" t="s">
        <v>264</v>
      </c>
      <c r="CN444" t="s">
        <v>264</v>
      </c>
      <c r="CP444" t="s">
        <v>265</v>
      </c>
      <c r="CQ444" t="s">
        <v>394</v>
      </c>
      <c r="DB444">
        <v>2</v>
      </c>
      <c r="DG444" t="s">
        <v>267</v>
      </c>
      <c r="DI444">
        <v>48</v>
      </c>
      <c r="DN444" t="s">
        <v>268</v>
      </c>
      <c r="DS444">
        <v>388</v>
      </c>
      <c r="DT444" t="s">
        <v>1185</v>
      </c>
      <c r="EW444" t="s">
        <v>293</v>
      </c>
      <c r="FM444">
        <v>25</v>
      </c>
      <c r="FR444" t="s">
        <v>295</v>
      </c>
      <c r="GU444">
        <v>36</v>
      </c>
      <c r="GZ444" t="s">
        <v>296</v>
      </c>
      <c r="HH444" t="s">
        <v>272</v>
      </c>
      <c r="IE444" t="s">
        <v>1188</v>
      </c>
      <c r="IF444">
        <v>16111</v>
      </c>
      <c r="IG444" t="s">
        <v>1189</v>
      </c>
      <c r="IH444" t="s">
        <v>1190</v>
      </c>
      <c r="II444">
        <v>1995</v>
      </c>
      <c r="IJ444" t="s">
        <v>1191</v>
      </c>
    </row>
    <row r="445" spans="1:244" x14ac:dyDescent="0.45">
      <c r="A445">
        <v>1226469</v>
      </c>
      <c r="B445">
        <v>219645</v>
      </c>
      <c r="C445">
        <v>7447394</v>
      </c>
      <c r="D445" t="s">
        <v>1162</v>
      </c>
      <c r="E445" t="s">
        <v>386</v>
      </c>
      <c r="F445" t="s">
        <v>245</v>
      </c>
      <c r="G445" t="s">
        <v>246</v>
      </c>
      <c r="N445" t="s">
        <v>302</v>
      </c>
      <c r="O445" t="s">
        <v>303</v>
      </c>
      <c r="P445" t="s">
        <v>249</v>
      </c>
      <c r="Q445" t="s">
        <v>250</v>
      </c>
      <c r="R445" t="s">
        <v>251</v>
      </c>
      <c r="T445" t="s">
        <v>252</v>
      </c>
      <c r="U445" t="s">
        <v>253</v>
      </c>
      <c r="V445" t="s">
        <v>304</v>
      </c>
      <c r="W445" t="s">
        <v>305</v>
      </c>
      <c r="X445" t="s">
        <v>306</v>
      </c>
      <c r="Z445" t="s">
        <v>1057</v>
      </c>
      <c r="AL445" t="s">
        <v>1324</v>
      </c>
      <c r="AM445" t="s">
        <v>317</v>
      </c>
      <c r="AN445" t="s">
        <v>259</v>
      </c>
      <c r="AO445" t="s">
        <v>260</v>
      </c>
      <c r="AQ445" t="s">
        <v>261</v>
      </c>
      <c r="AS445">
        <v>3.27</v>
      </c>
      <c r="AX445" t="s">
        <v>356</v>
      </c>
      <c r="BO445" t="s">
        <v>261</v>
      </c>
      <c r="BQ445">
        <v>3.27</v>
      </c>
      <c r="BV445" t="s">
        <v>263</v>
      </c>
      <c r="CM445" t="s">
        <v>264</v>
      </c>
      <c r="CN445" t="s">
        <v>264</v>
      </c>
      <c r="CP445" t="s">
        <v>265</v>
      </c>
      <c r="CQ445" t="s">
        <v>394</v>
      </c>
      <c r="DB445">
        <v>4</v>
      </c>
      <c r="DG445" t="s">
        <v>267</v>
      </c>
      <c r="DI445">
        <v>96</v>
      </c>
      <c r="DN445" t="s">
        <v>268</v>
      </c>
      <c r="DR445">
        <v>338212</v>
      </c>
      <c r="DS445">
        <v>732</v>
      </c>
      <c r="DT445" t="s">
        <v>1211</v>
      </c>
      <c r="EW445" t="s">
        <v>293</v>
      </c>
      <c r="GU445">
        <v>36</v>
      </c>
      <c r="GZ445" t="s">
        <v>900</v>
      </c>
      <c r="HH445" t="s">
        <v>272</v>
      </c>
      <c r="IE445" t="s">
        <v>1212</v>
      </c>
      <c r="IF445">
        <v>51641</v>
      </c>
      <c r="IG445" t="s">
        <v>1213</v>
      </c>
      <c r="IH445" t="s">
        <v>1214</v>
      </c>
      <c r="II445">
        <v>2000</v>
      </c>
      <c r="IJ445" t="s">
        <v>1215</v>
      </c>
    </row>
    <row r="446" spans="1:244" x14ac:dyDescent="0.45">
      <c r="A446">
        <v>1183063</v>
      </c>
      <c r="B446">
        <v>148895</v>
      </c>
      <c r="C446">
        <v>7447394</v>
      </c>
      <c r="D446" t="s">
        <v>1162</v>
      </c>
      <c r="F446" t="s">
        <v>245</v>
      </c>
      <c r="G446" t="s">
        <v>246</v>
      </c>
      <c r="N446" t="s">
        <v>1183</v>
      </c>
      <c r="O446" t="s">
        <v>1184</v>
      </c>
      <c r="P446" t="s">
        <v>249</v>
      </c>
      <c r="Q446" t="s">
        <v>250</v>
      </c>
      <c r="R446" t="s">
        <v>251</v>
      </c>
      <c r="T446" t="s">
        <v>252</v>
      </c>
      <c r="U446" t="s">
        <v>253</v>
      </c>
      <c r="V446" t="s">
        <v>418</v>
      </c>
      <c r="W446" t="s">
        <v>419</v>
      </c>
      <c r="X446" t="s">
        <v>393</v>
      </c>
      <c r="Z446" t="s">
        <v>1046</v>
      </c>
      <c r="AB446">
        <v>2</v>
      </c>
      <c r="AG446" t="s">
        <v>598</v>
      </c>
      <c r="AM446" t="s">
        <v>317</v>
      </c>
      <c r="AN446" t="s">
        <v>259</v>
      </c>
      <c r="AO446" t="s">
        <v>260</v>
      </c>
      <c r="AQ446" t="s">
        <v>261</v>
      </c>
      <c r="AR446" t="s">
        <v>515</v>
      </c>
      <c r="AS446">
        <v>85</v>
      </c>
      <c r="AX446" t="s">
        <v>262</v>
      </c>
      <c r="BO446" t="s">
        <v>261</v>
      </c>
      <c r="BP446" t="s">
        <v>515</v>
      </c>
      <c r="BQ446">
        <v>8.5000000000000006E-2</v>
      </c>
      <c r="BV446" t="s">
        <v>263</v>
      </c>
      <c r="CM446" t="s">
        <v>264</v>
      </c>
      <c r="CN446" t="s">
        <v>264</v>
      </c>
      <c r="CP446" t="s">
        <v>265</v>
      </c>
      <c r="CQ446" t="s">
        <v>394</v>
      </c>
      <c r="DB446">
        <v>1</v>
      </c>
      <c r="DG446" t="s">
        <v>267</v>
      </c>
      <c r="DI446">
        <v>24</v>
      </c>
      <c r="DN446" t="s">
        <v>268</v>
      </c>
      <c r="DS446">
        <v>388</v>
      </c>
      <c r="DT446" t="s">
        <v>1185</v>
      </c>
      <c r="EW446" t="s">
        <v>293</v>
      </c>
      <c r="FM446">
        <v>25</v>
      </c>
      <c r="FR446" t="s">
        <v>295</v>
      </c>
      <c r="GU446">
        <v>36</v>
      </c>
      <c r="GZ446" t="s">
        <v>296</v>
      </c>
      <c r="HH446" t="s">
        <v>272</v>
      </c>
      <c r="IE446" t="s">
        <v>1188</v>
      </c>
      <c r="IF446">
        <v>16111</v>
      </c>
      <c r="IG446" t="s">
        <v>1189</v>
      </c>
      <c r="IH446" t="s">
        <v>1190</v>
      </c>
      <c r="II446">
        <v>1995</v>
      </c>
      <c r="IJ446" t="s">
        <v>1191</v>
      </c>
    </row>
    <row r="447" spans="1:244" x14ac:dyDescent="0.45">
      <c r="A447">
        <v>1253244</v>
      </c>
      <c r="B447">
        <v>701717</v>
      </c>
      <c r="C447">
        <v>7447394</v>
      </c>
      <c r="D447" t="s">
        <v>1162</v>
      </c>
      <c r="F447" t="s">
        <v>327</v>
      </c>
      <c r="G447" t="s">
        <v>246</v>
      </c>
      <c r="N447" t="s">
        <v>916</v>
      </c>
      <c r="O447" t="s">
        <v>917</v>
      </c>
      <c r="P447" t="s">
        <v>249</v>
      </c>
      <c r="Q447" t="s">
        <v>250</v>
      </c>
      <c r="R447" t="s">
        <v>251</v>
      </c>
      <c r="T447" t="s">
        <v>252</v>
      </c>
      <c r="U447" t="s">
        <v>253</v>
      </c>
      <c r="V447" t="s">
        <v>304</v>
      </c>
      <c r="W447" t="s">
        <v>305</v>
      </c>
      <c r="X447" t="s">
        <v>918</v>
      </c>
      <c r="Z447" t="s">
        <v>1046</v>
      </c>
      <c r="AM447" t="s">
        <v>317</v>
      </c>
      <c r="AN447" t="s">
        <v>259</v>
      </c>
      <c r="AO447" t="s">
        <v>260</v>
      </c>
      <c r="AP447">
        <v>5</v>
      </c>
      <c r="AQ447" t="s">
        <v>261</v>
      </c>
      <c r="AS447">
        <v>3160</v>
      </c>
      <c r="AX447" t="s">
        <v>262</v>
      </c>
      <c r="BO447" t="s">
        <v>261</v>
      </c>
      <c r="BQ447">
        <v>3.16</v>
      </c>
      <c r="BV447" t="s">
        <v>263</v>
      </c>
      <c r="CM447" t="s">
        <v>264</v>
      </c>
      <c r="CN447" t="s">
        <v>264</v>
      </c>
      <c r="CP447" t="s">
        <v>265</v>
      </c>
      <c r="CQ447" t="s">
        <v>394</v>
      </c>
      <c r="DB447">
        <v>3</v>
      </c>
      <c r="DG447" t="s">
        <v>267</v>
      </c>
      <c r="DI447">
        <v>72</v>
      </c>
      <c r="DN447" t="s">
        <v>268</v>
      </c>
      <c r="DP447" t="s">
        <v>1258</v>
      </c>
      <c r="DR447">
        <v>645159</v>
      </c>
      <c r="DS447">
        <v>730</v>
      </c>
      <c r="DT447" t="s">
        <v>1050</v>
      </c>
      <c r="EW447" t="s">
        <v>293</v>
      </c>
      <c r="FK447" t="s">
        <v>1336</v>
      </c>
      <c r="FM447">
        <v>18</v>
      </c>
      <c r="FR447" t="s">
        <v>295</v>
      </c>
      <c r="HH447" t="s">
        <v>272</v>
      </c>
      <c r="ID447" t="s">
        <v>1337</v>
      </c>
      <c r="IE447" t="s">
        <v>1053</v>
      </c>
      <c r="IF447">
        <v>56995</v>
      </c>
      <c r="IG447" t="s">
        <v>1054</v>
      </c>
      <c r="IH447" t="s">
        <v>1055</v>
      </c>
      <c r="II447">
        <v>2000</v>
      </c>
      <c r="IJ447" t="s">
        <v>1056</v>
      </c>
    </row>
    <row r="448" spans="1:244" x14ac:dyDescent="0.45">
      <c r="A448">
        <v>1183093</v>
      </c>
      <c r="B448">
        <v>148925</v>
      </c>
      <c r="C448">
        <v>7447394</v>
      </c>
      <c r="D448" t="s">
        <v>1162</v>
      </c>
      <c r="F448" t="s">
        <v>245</v>
      </c>
      <c r="G448" t="s">
        <v>246</v>
      </c>
      <c r="N448" t="s">
        <v>1183</v>
      </c>
      <c r="O448" t="s">
        <v>1184</v>
      </c>
      <c r="P448" t="s">
        <v>249</v>
      </c>
      <c r="Q448" t="s">
        <v>250</v>
      </c>
      <c r="R448" t="s">
        <v>251</v>
      </c>
      <c r="T448" t="s">
        <v>252</v>
      </c>
      <c r="U448" t="s">
        <v>253</v>
      </c>
      <c r="V448" t="s">
        <v>418</v>
      </c>
      <c r="W448" t="s">
        <v>419</v>
      </c>
      <c r="X448" t="s">
        <v>393</v>
      </c>
      <c r="Z448" t="s">
        <v>421</v>
      </c>
      <c r="AB448">
        <v>5</v>
      </c>
      <c r="AG448" t="s">
        <v>598</v>
      </c>
      <c r="AM448" t="s">
        <v>317</v>
      </c>
      <c r="AN448" t="s">
        <v>259</v>
      </c>
      <c r="AO448" t="s">
        <v>260</v>
      </c>
      <c r="AQ448" t="s">
        <v>261</v>
      </c>
      <c r="AU448">
        <v>1000</v>
      </c>
      <c r="AW448">
        <v>10000</v>
      </c>
      <c r="AX448" t="s">
        <v>262</v>
      </c>
      <c r="BO448" t="s">
        <v>261</v>
      </c>
      <c r="BS448">
        <v>1</v>
      </c>
      <c r="BU448">
        <v>10</v>
      </c>
      <c r="BV448" t="s">
        <v>263</v>
      </c>
      <c r="CM448" t="s">
        <v>264</v>
      </c>
      <c r="CN448" t="s">
        <v>264</v>
      </c>
      <c r="CP448" t="s">
        <v>265</v>
      </c>
      <c r="CQ448" t="s">
        <v>394</v>
      </c>
      <c r="DB448">
        <v>2</v>
      </c>
      <c r="DG448" t="s">
        <v>267</v>
      </c>
      <c r="DI448">
        <v>48</v>
      </c>
      <c r="DN448" t="s">
        <v>268</v>
      </c>
      <c r="DS448">
        <v>388</v>
      </c>
      <c r="DT448" t="s">
        <v>1185</v>
      </c>
      <c r="EW448" t="s">
        <v>293</v>
      </c>
      <c r="FK448" t="s">
        <v>1186</v>
      </c>
      <c r="FM448">
        <v>25</v>
      </c>
      <c r="FR448" t="s">
        <v>295</v>
      </c>
      <c r="GU448">
        <v>36</v>
      </c>
      <c r="GZ448" t="s">
        <v>296</v>
      </c>
      <c r="HH448" t="s">
        <v>272</v>
      </c>
      <c r="ID448" t="s">
        <v>1187</v>
      </c>
      <c r="IE448" t="s">
        <v>1188</v>
      </c>
      <c r="IF448">
        <v>16111</v>
      </c>
      <c r="IG448" t="s">
        <v>1189</v>
      </c>
      <c r="IH448" t="s">
        <v>1190</v>
      </c>
      <c r="II448">
        <v>1995</v>
      </c>
      <c r="IJ448" t="s">
        <v>1191</v>
      </c>
    </row>
    <row r="449" spans="1:244" x14ac:dyDescent="0.45">
      <c r="A449">
        <v>1312733</v>
      </c>
      <c r="B449">
        <v>770201</v>
      </c>
      <c r="C449">
        <v>7447394</v>
      </c>
      <c r="D449" t="s">
        <v>1162</v>
      </c>
      <c r="E449" t="s">
        <v>622</v>
      </c>
      <c r="F449" t="s">
        <v>272</v>
      </c>
      <c r="G449" t="s">
        <v>246</v>
      </c>
      <c r="N449" t="s">
        <v>1298</v>
      </c>
      <c r="O449" t="s">
        <v>1299</v>
      </c>
      <c r="P449" t="s">
        <v>249</v>
      </c>
      <c r="Q449" t="s">
        <v>250</v>
      </c>
      <c r="R449" t="s">
        <v>251</v>
      </c>
      <c r="T449" t="s">
        <v>252</v>
      </c>
      <c r="U449" t="s">
        <v>371</v>
      </c>
      <c r="V449" t="s">
        <v>372</v>
      </c>
      <c r="W449" t="s">
        <v>1300</v>
      </c>
      <c r="X449" t="s">
        <v>1301</v>
      </c>
      <c r="Z449" t="s">
        <v>649</v>
      </c>
      <c r="AD449">
        <v>2</v>
      </c>
      <c r="AF449">
        <v>3</v>
      </c>
      <c r="AG449" t="s">
        <v>267</v>
      </c>
      <c r="AM449" t="s">
        <v>317</v>
      </c>
      <c r="AN449" t="s">
        <v>259</v>
      </c>
      <c r="AO449" t="s">
        <v>260</v>
      </c>
      <c r="AP449" t="s">
        <v>559</v>
      </c>
      <c r="AQ449" t="s">
        <v>261</v>
      </c>
      <c r="AS449">
        <v>0.14000000000000001</v>
      </c>
      <c r="AX449" t="s">
        <v>356</v>
      </c>
      <c r="BO449" t="s">
        <v>261</v>
      </c>
      <c r="BQ449">
        <v>0.14000000000000001</v>
      </c>
      <c r="BV449" t="s">
        <v>263</v>
      </c>
      <c r="CM449" t="s">
        <v>264</v>
      </c>
      <c r="CN449" t="s">
        <v>264</v>
      </c>
      <c r="CP449" t="s">
        <v>265</v>
      </c>
      <c r="DB449">
        <v>4</v>
      </c>
      <c r="DG449" t="s">
        <v>267</v>
      </c>
      <c r="DI449">
        <v>96</v>
      </c>
      <c r="DN449" t="s">
        <v>268</v>
      </c>
      <c r="DP449" t="s">
        <v>1220</v>
      </c>
      <c r="DS449">
        <v>20391</v>
      </c>
      <c r="DT449" t="s">
        <v>1302</v>
      </c>
      <c r="EW449" t="s">
        <v>293</v>
      </c>
      <c r="FA449" t="s">
        <v>1338</v>
      </c>
      <c r="FK449" t="s">
        <v>1339</v>
      </c>
      <c r="FM449">
        <v>25</v>
      </c>
      <c r="FR449" t="s">
        <v>295</v>
      </c>
      <c r="GG449" t="s">
        <v>288</v>
      </c>
      <c r="GH449">
        <v>80</v>
      </c>
      <c r="GM449" t="s">
        <v>1224</v>
      </c>
      <c r="GQ449">
        <v>7.5</v>
      </c>
      <c r="GS449">
        <v>8.5</v>
      </c>
      <c r="GU449">
        <v>25</v>
      </c>
      <c r="GZ449" t="s">
        <v>900</v>
      </c>
      <c r="HH449" t="s">
        <v>272</v>
      </c>
      <c r="ID449" t="s">
        <v>1340</v>
      </c>
      <c r="IE449" t="s">
        <v>1306</v>
      </c>
      <c r="IF449">
        <v>117932</v>
      </c>
      <c r="IG449" t="s">
        <v>1307</v>
      </c>
      <c r="IH449" t="s">
        <v>1308</v>
      </c>
      <c r="II449">
        <v>2008</v>
      </c>
      <c r="IJ449" t="s">
        <v>1309</v>
      </c>
    </row>
    <row r="450" spans="1:244" x14ac:dyDescent="0.45">
      <c r="A450">
        <v>1183089</v>
      </c>
      <c r="B450">
        <v>148921</v>
      </c>
      <c r="C450">
        <v>7447394</v>
      </c>
      <c r="D450" t="s">
        <v>1162</v>
      </c>
      <c r="F450" t="s">
        <v>245</v>
      </c>
      <c r="G450" t="s">
        <v>246</v>
      </c>
      <c r="N450" t="s">
        <v>1183</v>
      </c>
      <c r="O450" t="s">
        <v>1184</v>
      </c>
      <c r="P450" t="s">
        <v>249</v>
      </c>
      <c r="Q450" t="s">
        <v>250</v>
      </c>
      <c r="R450" t="s">
        <v>251</v>
      </c>
      <c r="T450" t="s">
        <v>252</v>
      </c>
      <c r="U450" t="s">
        <v>253</v>
      </c>
      <c r="V450" t="s">
        <v>418</v>
      </c>
      <c r="W450" t="s">
        <v>419</v>
      </c>
      <c r="X450" t="s">
        <v>393</v>
      </c>
      <c r="Z450" t="s">
        <v>421</v>
      </c>
      <c r="AB450">
        <v>3</v>
      </c>
      <c r="AG450" t="s">
        <v>598</v>
      </c>
      <c r="AM450" t="s">
        <v>258</v>
      </c>
      <c r="AN450" t="s">
        <v>259</v>
      </c>
      <c r="AO450" t="s">
        <v>260</v>
      </c>
      <c r="AQ450" t="s">
        <v>261</v>
      </c>
      <c r="AU450">
        <v>1000</v>
      </c>
      <c r="AW450">
        <v>10000</v>
      </c>
      <c r="AX450" t="s">
        <v>262</v>
      </c>
      <c r="BO450" t="s">
        <v>261</v>
      </c>
      <c r="BS450">
        <v>1</v>
      </c>
      <c r="BU450">
        <v>10</v>
      </c>
      <c r="BV450" t="s">
        <v>263</v>
      </c>
      <c r="CM450" t="s">
        <v>264</v>
      </c>
      <c r="CN450" t="s">
        <v>264</v>
      </c>
      <c r="CP450" t="s">
        <v>265</v>
      </c>
      <c r="CQ450" t="s">
        <v>394</v>
      </c>
      <c r="DB450">
        <v>4</v>
      </c>
      <c r="DG450" t="s">
        <v>267</v>
      </c>
      <c r="DI450">
        <v>96</v>
      </c>
      <c r="DN450" t="s">
        <v>268</v>
      </c>
      <c r="DS450">
        <v>388</v>
      </c>
      <c r="DT450" t="s">
        <v>1185</v>
      </c>
      <c r="EW450" t="s">
        <v>293</v>
      </c>
      <c r="FK450" t="s">
        <v>1186</v>
      </c>
      <c r="FM450">
        <v>25</v>
      </c>
      <c r="FR450" t="s">
        <v>295</v>
      </c>
      <c r="GU450">
        <v>36</v>
      </c>
      <c r="GZ450" t="s">
        <v>296</v>
      </c>
      <c r="HH450" t="s">
        <v>272</v>
      </c>
      <c r="ID450" t="s">
        <v>1187</v>
      </c>
      <c r="IE450" t="s">
        <v>1188</v>
      </c>
      <c r="IF450">
        <v>16111</v>
      </c>
      <c r="IG450" t="s">
        <v>1189</v>
      </c>
      <c r="IH450" t="s">
        <v>1190</v>
      </c>
      <c r="II450">
        <v>1995</v>
      </c>
      <c r="IJ450" t="s">
        <v>1191</v>
      </c>
    </row>
    <row r="451" spans="1:244" x14ac:dyDescent="0.45">
      <c r="A451">
        <v>1299336</v>
      </c>
      <c r="B451">
        <v>754899</v>
      </c>
      <c r="C451">
        <v>7447394</v>
      </c>
      <c r="D451" t="s">
        <v>1162</v>
      </c>
      <c r="F451" t="s">
        <v>245</v>
      </c>
      <c r="G451" t="s">
        <v>246</v>
      </c>
      <c r="N451" t="s">
        <v>1341</v>
      </c>
      <c r="O451" t="s">
        <v>578</v>
      </c>
      <c r="P451" t="s">
        <v>249</v>
      </c>
      <c r="Q451" t="s">
        <v>250</v>
      </c>
      <c r="R451" t="s">
        <v>251</v>
      </c>
      <c r="T451" t="s">
        <v>252</v>
      </c>
      <c r="U451" t="s">
        <v>499</v>
      </c>
      <c r="V451" t="s">
        <v>1342</v>
      </c>
      <c r="W451" t="s">
        <v>1343</v>
      </c>
      <c r="X451" t="s">
        <v>1344</v>
      </c>
      <c r="Z451" t="s">
        <v>315</v>
      </c>
      <c r="AL451" t="s">
        <v>1345</v>
      </c>
      <c r="AM451" t="s">
        <v>317</v>
      </c>
      <c r="AN451" t="s">
        <v>259</v>
      </c>
      <c r="AO451" t="s">
        <v>260</v>
      </c>
      <c r="AP451">
        <v>5</v>
      </c>
      <c r="AQ451" t="s">
        <v>261</v>
      </c>
      <c r="AS451">
        <v>13.28</v>
      </c>
      <c r="AU451">
        <v>10.7</v>
      </c>
      <c r="AW451">
        <v>16.5</v>
      </c>
      <c r="AX451" t="s">
        <v>422</v>
      </c>
      <c r="BO451" t="s">
        <v>261</v>
      </c>
      <c r="BQ451">
        <v>13.28</v>
      </c>
      <c r="BS451">
        <v>10.7</v>
      </c>
      <c r="BU451">
        <v>16.5</v>
      </c>
      <c r="BV451" t="s">
        <v>263</v>
      </c>
      <c r="CM451" t="s">
        <v>264</v>
      </c>
      <c r="CN451" t="s">
        <v>264</v>
      </c>
      <c r="CP451" t="s">
        <v>265</v>
      </c>
      <c r="CQ451" t="s">
        <v>394</v>
      </c>
      <c r="DB451">
        <v>4</v>
      </c>
      <c r="DG451" t="s">
        <v>267</v>
      </c>
      <c r="DI451">
        <v>96</v>
      </c>
      <c r="DN451" t="s">
        <v>268</v>
      </c>
      <c r="DP451" t="s">
        <v>1220</v>
      </c>
      <c r="DR451">
        <v>191375</v>
      </c>
      <c r="DS451">
        <v>20130</v>
      </c>
      <c r="DT451" t="s">
        <v>1346</v>
      </c>
      <c r="EW451" t="s">
        <v>293</v>
      </c>
      <c r="FK451" t="s">
        <v>1347</v>
      </c>
      <c r="FM451">
        <v>14.5</v>
      </c>
      <c r="FR451" t="s">
        <v>295</v>
      </c>
      <c r="GU451">
        <v>33</v>
      </c>
      <c r="GZ451" t="s">
        <v>296</v>
      </c>
      <c r="HH451" t="s">
        <v>272</v>
      </c>
      <c r="ID451" t="s">
        <v>1348</v>
      </c>
      <c r="IE451" t="s">
        <v>1349</v>
      </c>
      <c r="IF451">
        <v>115864</v>
      </c>
      <c r="IG451" t="s">
        <v>1350</v>
      </c>
      <c r="IH451" t="s">
        <v>1351</v>
      </c>
      <c r="II451">
        <v>2009</v>
      </c>
      <c r="IJ451" t="s">
        <v>1352</v>
      </c>
    </row>
    <row r="452" spans="1:244" x14ac:dyDescent="0.45">
      <c r="A452">
        <v>1197361</v>
      </c>
      <c r="B452">
        <v>151001</v>
      </c>
      <c r="C452">
        <v>7447394</v>
      </c>
      <c r="D452" t="s">
        <v>1162</v>
      </c>
      <c r="F452" t="s">
        <v>245</v>
      </c>
      <c r="G452" t="s">
        <v>246</v>
      </c>
      <c r="N452" t="s">
        <v>345</v>
      </c>
      <c r="O452" t="s">
        <v>346</v>
      </c>
      <c r="P452" t="s">
        <v>249</v>
      </c>
      <c r="Q452" t="s">
        <v>250</v>
      </c>
      <c r="R452" t="s">
        <v>251</v>
      </c>
      <c r="T452" t="s">
        <v>347</v>
      </c>
      <c r="U452" t="s">
        <v>348</v>
      </c>
      <c r="V452" t="s">
        <v>349</v>
      </c>
      <c r="W452" t="s">
        <v>350</v>
      </c>
      <c r="X452" t="s">
        <v>351</v>
      </c>
      <c r="Z452" t="s">
        <v>525</v>
      </c>
      <c r="AM452" t="s">
        <v>317</v>
      </c>
      <c r="AN452" t="s">
        <v>259</v>
      </c>
      <c r="AO452" t="s">
        <v>260</v>
      </c>
      <c r="AQ452" t="s">
        <v>261</v>
      </c>
      <c r="AS452">
        <v>9500</v>
      </c>
      <c r="AX452" t="s">
        <v>262</v>
      </c>
      <c r="BO452" t="s">
        <v>261</v>
      </c>
      <c r="BQ452">
        <v>9.5</v>
      </c>
      <c r="BV452" t="s">
        <v>263</v>
      </c>
      <c r="CM452" t="s">
        <v>264</v>
      </c>
      <c r="CN452" t="s">
        <v>264</v>
      </c>
      <c r="CO452" t="s">
        <v>1266</v>
      </c>
      <c r="CP452" t="s">
        <v>265</v>
      </c>
      <c r="CQ452" t="s">
        <v>394</v>
      </c>
      <c r="DB452">
        <v>1</v>
      </c>
      <c r="DG452" t="s">
        <v>267</v>
      </c>
      <c r="DI452">
        <v>24</v>
      </c>
      <c r="DN452" t="s">
        <v>268</v>
      </c>
      <c r="DR452">
        <v>6660</v>
      </c>
      <c r="DS452">
        <v>421</v>
      </c>
      <c r="EW452" t="s">
        <v>293</v>
      </c>
      <c r="FM452">
        <v>28</v>
      </c>
      <c r="FR452" t="s">
        <v>295</v>
      </c>
      <c r="GJ452">
        <v>4.66</v>
      </c>
      <c r="GL452">
        <v>5.0999999999999996</v>
      </c>
      <c r="GM452" t="s">
        <v>356</v>
      </c>
      <c r="GQ452">
        <v>7.5</v>
      </c>
      <c r="GS452">
        <v>8.4</v>
      </c>
      <c r="GW452">
        <v>32.94</v>
      </c>
      <c r="GY452">
        <v>33.53</v>
      </c>
      <c r="GZ452" t="s">
        <v>296</v>
      </c>
      <c r="HH452" t="s">
        <v>272</v>
      </c>
      <c r="IE452" t="s">
        <v>1267</v>
      </c>
      <c r="IF452">
        <v>17792</v>
      </c>
      <c r="IG452" t="s">
        <v>1268</v>
      </c>
      <c r="IH452" t="s">
        <v>1269</v>
      </c>
      <c r="II452">
        <v>1990</v>
      </c>
      <c r="IJ452" t="s">
        <v>1270</v>
      </c>
    </row>
    <row r="453" spans="1:244" x14ac:dyDescent="0.45">
      <c r="A453">
        <v>1226475</v>
      </c>
      <c r="B453">
        <v>219651</v>
      </c>
      <c r="C453">
        <v>7447394</v>
      </c>
      <c r="D453" t="s">
        <v>1162</v>
      </c>
      <c r="E453" t="s">
        <v>386</v>
      </c>
      <c r="F453" t="s">
        <v>245</v>
      </c>
      <c r="G453" t="s">
        <v>246</v>
      </c>
      <c r="N453" t="s">
        <v>302</v>
      </c>
      <c r="O453" t="s">
        <v>303</v>
      </c>
      <c r="P453" t="s">
        <v>249</v>
      </c>
      <c r="Q453" t="s">
        <v>250</v>
      </c>
      <c r="R453" t="s">
        <v>251</v>
      </c>
      <c r="T453" t="s">
        <v>252</v>
      </c>
      <c r="U453" t="s">
        <v>253</v>
      </c>
      <c r="V453" t="s">
        <v>304</v>
      </c>
      <c r="W453" t="s">
        <v>305</v>
      </c>
      <c r="X453" t="s">
        <v>306</v>
      </c>
      <c r="Z453" t="s">
        <v>1057</v>
      </c>
      <c r="AL453" t="s">
        <v>1210</v>
      </c>
      <c r="AM453" t="s">
        <v>317</v>
      </c>
      <c r="AN453" t="s">
        <v>259</v>
      </c>
      <c r="AO453" t="s">
        <v>260</v>
      </c>
      <c r="AQ453" t="s">
        <v>261</v>
      </c>
      <c r="AS453">
        <v>0.61</v>
      </c>
      <c r="AX453" t="s">
        <v>356</v>
      </c>
      <c r="BO453" t="s">
        <v>261</v>
      </c>
      <c r="BQ453">
        <v>0.61</v>
      </c>
      <c r="BV453" t="s">
        <v>263</v>
      </c>
      <c r="CM453" t="s">
        <v>264</v>
      </c>
      <c r="CN453" t="s">
        <v>264</v>
      </c>
      <c r="CP453" t="s">
        <v>265</v>
      </c>
      <c r="CQ453" t="s">
        <v>394</v>
      </c>
      <c r="DB453">
        <v>4</v>
      </c>
      <c r="DG453" t="s">
        <v>267</v>
      </c>
      <c r="DI453">
        <v>96</v>
      </c>
      <c r="DN453" t="s">
        <v>268</v>
      </c>
      <c r="DR453">
        <v>338212</v>
      </c>
      <c r="DS453">
        <v>732</v>
      </c>
      <c r="DT453" t="s">
        <v>1211</v>
      </c>
      <c r="EW453" t="s">
        <v>293</v>
      </c>
      <c r="GU453">
        <v>36</v>
      </c>
      <c r="GZ453" t="s">
        <v>900</v>
      </c>
      <c r="HH453" t="s">
        <v>272</v>
      </c>
      <c r="IE453" t="s">
        <v>1212</v>
      </c>
      <c r="IF453">
        <v>51641</v>
      </c>
      <c r="IG453" t="s">
        <v>1213</v>
      </c>
      <c r="IH453" t="s">
        <v>1214</v>
      </c>
      <c r="II453">
        <v>2000</v>
      </c>
      <c r="IJ453" t="s">
        <v>1215</v>
      </c>
    </row>
    <row r="454" spans="1:244" x14ac:dyDescent="0.45">
      <c r="A454">
        <v>1304659</v>
      </c>
      <c r="B454">
        <v>761308</v>
      </c>
      <c r="C454">
        <v>7447394</v>
      </c>
      <c r="D454" t="s">
        <v>1162</v>
      </c>
      <c r="F454" t="s">
        <v>245</v>
      </c>
      <c r="G454" t="s">
        <v>246</v>
      </c>
      <c r="N454" t="s">
        <v>1230</v>
      </c>
      <c r="O454" t="s">
        <v>248</v>
      </c>
      <c r="P454" t="s">
        <v>249</v>
      </c>
      <c r="Q454" t="s">
        <v>250</v>
      </c>
      <c r="R454" t="s">
        <v>251</v>
      </c>
      <c r="T454" t="s">
        <v>252</v>
      </c>
      <c r="U454" t="s">
        <v>253</v>
      </c>
      <c r="V454" t="s">
        <v>1231</v>
      </c>
      <c r="W454" t="s">
        <v>1232</v>
      </c>
      <c r="X454" t="s">
        <v>1233</v>
      </c>
      <c r="Z454" t="s">
        <v>919</v>
      </c>
      <c r="AM454" t="s">
        <v>258</v>
      </c>
      <c r="AN454" t="s">
        <v>259</v>
      </c>
      <c r="AO454" t="s">
        <v>260</v>
      </c>
      <c r="AP454">
        <v>6</v>
      </c>
      <c r="AQ454" t="s">
        <v>261</v>
      </c>
      <c r="AS454">
        <v>178.8</v>
      </c>
      <c r="AU454">
        <v>160</v>
      </c>
      <c r="AW454">
        <v>200</v>
      </c>
      <c r="AX454" t="s">
        <v>356</v>
      </c>
      <c r="BO454" t="s">
        <v>261</v>
      </c>
      <c r="BQ454">
        <v>178.8</v>
      </c>
      <c r="BS454">
        <v>160</v>
      </c>
      <c r="BU454">
        <v>200</v>
      </c>
      <c r="BV454" t="s">
        <v>263</v>
      </c>
      <c r="CM454" t="s">
        <v>264</v>
      </c>
      <c r="CN454" t="s">
        <v>264</v>
      </c>
      <c r="CP454" t="s">
        <v>265</v>
      </c>
      <c r="CQ454" t="s">
        <v>394</v>
      </c>
      <c r="DB454">
        <v>1</v>
      </c>
      <c r="DG454" t="s">
        <v>267</v>
      </c>
      <c r="DI454">
        <v>24</v>
      </c>
      <c r="DN454" t="s">
        <v>268</v>
      </c>
      <c r="DP454" t="s">
        <v>1234</v>
      </c>
      <c r="DS454">
        <v>4771</v>
      </c>
      <c r="DT454" t="s">
        <v>1235</v>
      </c>
      <c r="EW454" t="s">
        <v>293</v>
      </c>
      <c r="FA454" t="s">
        <v>397</v>
      </c>
      <c r="FK454" t="s">
        <v>1353</v>
      </c>
      <c r="FM454">
        <v>22</v>
      </c>
      <c r="FR454" t="s">
        <v>295</v>
      </c>
      <c r="GO454">
        <v>8</v>
      </c>
      <c r="GU454">
        <v>35</v>
      </c>
      <c r="GZ454" t="s">
        <v>362</v>
      </c>
      <c r="HH454" t="s">
        <v>272</v>
      </c>
      <c r="ID454" t="s">
        <v>1354</v>
      </c>
      <c r="IE454" t="s">
        <v>1238</v>
      </c>
      <c r="IF454">
        <v>97270</v>
      </c>
      <c r="IG454" t="s">
        <v>1239</v>
      </c>
      <c r="IH454" t="s">
        <v>1240</v>
      </c>
      <c r="II454">
        <v>2006</v>
      </c>
      <c r="IJ454" t="s">
        <v>1241</v>
      </c>
    </row>
    <row r="455" spans="1:244" x14ac:dyDescent="0.45">
      <c r="A455">
        <v>1183088</v>
      </c>
      <c r="B455">
        <v>148920</v>
      </c>
      <c r="C455">
        <v>7447394</v>
      </c>
      <c r="D455" t="s">
        <v>1162</v>
      </c>
      <c r="F455" t="s">
        <v>245</v>
      </c>
      <c r="G455" t="s">
        <v>246</v>
      </c>
      <c r="N455" t="s">
        <v>1183</v>
      </c>
      <c r="O455" t="s">
        <v>1184</v>
      </c>
      <c r="P455" t="s">
        <v>249</v>
      </c>
      <c r="Q455" t="s">
        <v>250</v>
      </c>
      <c r="R455" t="s">
        <v>251</v>
      </c>
      <c r="T455" t="s">
        <v>252</v>
      </c>
      <c r="U455" t="s">
        <v>253</v>
      </c>
      <c r="V455" t="s">
        <v>418</v>
      </c>
      <c r="W455" t="s">
        <v>419</v>
      </c>
      <c r="X455" t="s">
        <v>393</v>
      </c>
      <c r="Z455" t="s">
        <v>421</v>
      </c>
      <c r="AB455">
        <v>2</v>
      </c>
      <c r="AG455" t="s">
        <v>598</v>
      </c>
      <c r="AM455" t="s">
        <v>258</v>
      </c>
      <c r="AN455" t="s">
        <v>259</v>
      </c>
      <c r="AO455" t="s">
        <v>260</v>
      </c>
      <c r="AQ455" t="s">
        <v>261</v>
      </c>
      <c r="AR455" t="s">
        <v>515</v>
      </c>
      <c r="AS455">
        <v>1000</v>
      </c>
      <c r="AX455" t="s">
        <v>262</v>
      </c>
      <c r="BO455" t="s">
        <v>261</v>
      </c>
      <c r="BP455" t="s">
        <v>515</v>
      </c>
      <c r="BQ455">
        <v>1</v>
      </c>
      <c r="BV455" t="s">
        <v>263</v>
      </c>
      <c r="CM455" t="s">
        <v>264</v>
      </c>
      <c r="CN455" t="s">
        <v>264</v>
      </c>
      <c r="CP455" t="s">
        <v>265</v>
      </c>
      <c r="CQ455" t="s">
        <v>394</v>
      </c>
      <c r="DB455">
        <v>4</v>
      </c>
      <c r="DG455" t="s">
        <v>267</v>
      </c>
      <c r="DI455">
        <v>96</v>
      </c>
      <c r="DN455" t="s">
        <v>268</v>
      </c>
      <c r="DS455">
        <v>388</v>
      </c>
      <c r="DT455" t="s">
        <v>1185</v>
      </c>
      <c r="EW455" t="s">
        <v>293</v>
      </c>
      <c r="FK455" t="s">
        <v>1186</v>
      </c>
      <c r="FM455">
        <v>25</v>
      </c>
      <c r="FR455" t="s">
        <v>295</v>
      </c>
      <c r="GU455">
        <v>36</v>
      </c>
      <c r="GZ455" t="s">
        <v>296</v>
      </c>
      <c r="HH455" t="s">
        <v>272</v>
      </c>
      <c r="ID455" t="s">
        <v>1187</v>
      </c>
      <c r="IE455" t="s">
        <v>1188</v>
      </c>
      <c r="IF455">
        <v>16111</v>
      </c>
      <c r="IG455" t="s">
        <v>1189</v>
      </c>
      <c r="IH455" t="s">
        <v>1190</v>
      </c>
      <c r="II455">
        <v>1995</v>
      </c>
      <c r="IJ455" t="s">
        <v>1191</v>
      </c>
    </row>
    <row r="456" spans="1:244" x14ac:dyDescent="0.45">
      <c r="A456">
        <v>1253246</v>
      </c>
      <c r="B456">
        <v>701719</v>
      </c>
      <c r="C456">
        <v>7447394</v>
      </c>
      <c r="D456" t="s">
        <v>1162</v>
      </c>
      <c r="F456" t="s">
        <v>327</v>
      </c>
      <c r="G456" t="s">
        <v>246</v>
      </c>
      <c r="N456" t="s">
        <v>916</v>
      </c>
      <c r="O456" t="s">
        <v>917</v>
      </c>
      <c r="P456" t="s">
        <v>249</v>
      </c>
      <c r="Q456" t="s">
        <v>250</v>
      </c>
      <c r="R456" t="s">
        <v>251</v>
      </c>
      <c r="T456" t="s">
        <v>252</v>
      </c>
      <c r="U456" t="s">
        <v>253</v>
      </c>
      <c r="V456" t="s">
        <v>304</v>
      </c>
      <c r="W456" t="s">
        <v>305</v>
      </c>
      <c r="X456" t="s">
        <v>918</v>
      </c>
      <c r="Z456" t="s">
        <v>1046</v>
      </c>
      <c r="AM456" t="s">
        <v>317</v>
      </c>
      <c r="AN456" t="s">
        <v>259</v>
      </c>
      <c r="AO456" t="s">
        <v>260</v>
      </c>
      <c r="AP456">
        <v>5</v>
      </c>
      <c r="AQ456" t="s">
        <v>261</v>
      </c>
      <c r="AS456">
        <v>1985</v>
      </c>
      <c r="AX456" t="s">
        <v>262</v>
      </c>
      <c r="BO456" t="s">
        <v>261</v>
      </c>
      <c r="BQ456">
        <v>1.9850000000000001</v>
      </c>
      <c r="BV456" t="s">
        <v>263</v>
      </c>
      <c r="CM456" t="s">
        <v>264</v>
      </c>
      <c r="CN456" t="s">
        <v>264</v>
      </c>
      <c r="CP456" t="s">
        <v>265</v>
      </c>
      <c r="CQ456" t="s">
        <v>394</v>
      </c>
      <c r="DB456">
        <v>3</v>
      </c>
      <c r="DG456" t="s">
        <v>267</v>
      </c>
      <c r="DI456">
        <v>72</v>
      </c>
      <c r="DN456" t="s">
        <v>268</v>
      </c>
      <c r="DP456" t="s">
        <v>1258</v>
      </c>
      <c r="DR456">
        <v>645159</v>
      </c>
      <c r="DS456">
        <v>730</v>
      </c>
      <c r="DT456" t="s">
        <v>1050</v>
      </c>
      <c r="EW456" t="s">
        <v>293</v>
      </c>
      <c r="FK456" t="s">
        <v>1355</v>
      </c>
      <c r="FM456">
        <v>18</v>
      </c>
      <c r="FR456" t="s">
        <v>295</v>
      </c>
      <c r="HH456" t="s">
        <v>272</v>
      </c>
      <c r="ID456" t="s">
        <v>1356</v>
      </c>
      <c r="IE456" t="s">
        <v>1053</v>
      </c>
      <c r="IF456">
        <v>56995</v>
      </c>
      <c r="IG456" t="s">
        <v>1054</v>
      </c>
      <c r="IH456" t="s">
        <v>1055</v>
      </c>
      <c r="II456">
        <v>2000</v>
      </c>
      <c r="IJ456" t="s">
        <v>1056</v>
      </c>
    </row>
    <row r="457" spans="1:244" x14ac:dyDescent="0.45">
      <c r="A457">
        <v>1183101</v>
      </c>
      <c r="B457">
        <v>148933</v>
      </c>
      <c r="C457">
        <v>7447394</v>
      </c>
      <c r="D457" t="s">
        <v>1162</v>
      </c>
      <c r="F457" t="s">
        <v>245</v>
      </c>
      <c r="G457" t="s">
        <v>246</v>
      </c>
      <c r="N457" t="s">
        <v>1183</v>
      </c>
      <c r="O457" t="s">
        <v>1184</v>
      </c>
      <c r="P457" t="s">
        <v>249</v>
      </c>
      <c r="Q457" t="s">
        <v>250</v>
      </c>
      <c r="R457" t="s">
        <v>251</v>
      </c>
      <c r="T457" t="s">
        <v>252</v>
      </c>
      <c r="U457" t="s">
        <v>253</v>
      </c>
      <c r="V457" t="s">
        <v>418</v>
      </c>
      <c r="W457" t="s">
        <v>419</v>
      </c>
      <c r="X457" t="s">
        <v>393</v>
      </c>
      <c r="Z457" t="s">
        <v>421</v>
      </c>
      <c r="AB457">
        <v>15</v>
      </c>
      <c r="AG457" t="s">
        <v>598</v>
      </c>
      <c r="AM457" t="s">
        <v>317</v>
      </c>
      <c r="AN457" t="s">
        <v>259</v>
      </c>
      <c r="AO457" t="s">
        <v>260</v>
      </c>
      <c r="AQ457" t="s">
        <v>261</v>
      </c>
      <c r="AU457">
        <v>1000</v>
      </c>
      <c r="AW457">
        <v>10000</v>
      </c>
      <c r="AX457" t="s">
        <v>262</v>
      </c>
      <c r="BO457" t="s">
        <v>261</v>
      </c>
      <c r="BS457">
        <v>1</v>
      </c>
      <c r="BU457">
        <v>10</v>
      </c>
      <c r="BV457" t="s">
        <v>263</v>
      </c>
      <c r="CM457" t="s">
        <v>264</v>
      </c>
      <c r="CN457" t="s">
        <v>264</v>
      </c>
      <c r="CP457" t="s">
        <v>265</v>
      </c>
      <c r="CQ457" t="s">
        <v>394</v>
      </c>
      <c r="DB457">
        <v>1</v>
      </c>
      <c r="DG457" t="s">
        <v>267</v>
      </c>
      <c r="DI457">
        <v>24</v>
      </c>
      <c r="DN457" t="s">
        <v>268</v>
      </c>
      <c r="DS457">
        <v>388</v>
      </c>
      <c r="DT457" t="s">
        <v>1185</v>
      </c>
      <c r="EW457" t="s">
        <v>293</v>
      </c>
      <c r="FK457" t="s">
        <v>1186</v>
      </c>
      <c r="FM457">
        <v>25</v>
      </c>
      <c r="FR457" t="s">
        <v>295</v>
      </c>
      <c r="GU457">
        <v>36</v>
      </c>
      <c r="GZ457" t="s">
        <v>296</v>
      </c>
      <c r="HH457" t="s">
        <v>272</v>
      </c>
      <c r="ID457" t="s">
        <v>1187</v>
      </c>
      <c r="IE457" t="s">
        <v>1188</v>
      </c>
      <c r="IF457">
        <v>16111</v>
      </c>
      <c r="IG457" t="s">
        <v>1189</v>
      </c>
      <c r="IH457" t="s">
        <v>1190</v>
      </c>
      <c r="II457">
        <v>1995</v>
      </c>
      <c r="IJ457" t="s">
        <v>1191</v>
      </c>
    </row>
    <row r="458" spans="1:244" x14ac:dyDescent="0.45">
      <c r="A458">
        <v>1276371</v>
      </c>
      <c r="B458">
        <v>728055</v>
      </c>
      <c r="C458">
        <v>7447394</v>
      </c>
      <c r="D458" t="s">
        <v>1162</v>
      </c>
      <c r="F458" t="s">
        <v>245</v>
      </c>
      <c r="G458" t="s">
        <v>246</v>
      </c>
      <c r="N458" t="s">
        <v>1230</v>
      </c>
      <c r="O458" t="s">
        <v>248</v>
      </c>
      <c r="P458" t="s">
        <v>249</v>
      </c>
      <c r="Q458" t="s">
        <v>250</v>
      </c>
      <c r="R458" t="s">
        <v>251</v>
      </c>
      <c r="T458" t="s">
        <v>252</v>
      </c>
      <c r="U458" t="s">
        <v>253</v>
      </c>
      <c r="V458" t="s">
        <v>1231</v>
      </c>
      <c r="W458" t="s">
        <v>1232</v>
      </c>
      <c r="X458" t="s">
        <v>1233</v>
      </c>
      <c r="Z458" t="s">
        <v>1046</v>
      </c>
      <c r="AB458">
        <v>1</v>
      </c>
      <c r="AG458" t="s">
        <v>598</v>
      </c>
      <c r="AM458" t="s">
        <v>258</v>
      </c>
      <c r="AN458" t="s">
        <v>259</v>
      </c>
      <c r="AO458" t="s">
        <v>260</v>
      </c>
      <c r="AP458">
        <v>6</v>
      </c>
      <c r="AQ458" t="s">
        <v>261</v>
      </c>
      <c r="AS458">
        <v>371.3</v>
      </c>
      <c r="AU458">
        <v>325.10000000000002</v>
      </c>
      <c r="AW458">
        <v>422.8</v>
      </c>
      <c r="AX458" t="s">
        <v>262</v>
      </c>
      <c r="BO458" t="s">
        <v>261</v>
      </c>
      <c r="BQ458">
        <v>0.37130000000000002</v>
      </c>
      <c r="BS458">
        <v>0.3251</v>
      </c>
      <c r="BU458">
        <v>0.42280000000000001</v>
      </c>
      <c r="BV458" t="s">
        <v>263</v>
      </c>
      <c r="CM458" t="s">
        <v>264</v>
      </c>
      <c r="CN458" t="s">
        <v>264</v>
      </c>
      <c r="CP458" t="s">
        <v>265</v>
      </c>
      <c r="CQ458" t="s">
        <v>394</v>
      </c>
      <c r="DB458">
        <v>2</v>
      </c>
      <c r="DG458" t="s">
        <v>267</v>
      </c>
      <c r="DI458">
        <v>48</v>
      </c>
      <c r="DN458" t="s">
        <v>268</v>
      </c>
      <c r="DP458" t="s">
        <v>1258</v>
      </c>
      <c r="DS458">
        <v>4771</v>
      </c>
      <c r="DT458" t="s">
        <v>1259</v>
      </c>
      <c r="EW458" t="s">
        <v>293</v>
      </c>
      <c r="FK458" t="s">
        <v>1357</v>
      </c>
      <c r="FM458">
        <v>22</v>
      </c>
      <c r="FR458" t="s">
        <v>295</v>
      </c>
      <c r="GO458">
        <v>8</v>
      </c>
      <c r="GU458">
        <v>35</v>
      </c>
      <c r="GZ458" t="s">
        <v>362</v>
      </c>
      <c r="HH458" t="s">
        <v>272</v>
      </c>
      <c r="ID458" t="s">
        <v>1358</v>
      </c>
      <c r="IE458" t="s">
        <v>1262</v>
      </c>
      <c r="IF458">
        <v>73547</v>
      </c>
      <c r="IG458" t="s">
        <v>1263</v>
      </c>
      <c r="IH458" t="s">
        <v>1264</v>
      </c>
      <c r="II458">
        <v>2003</v>
      </c>
      <c r="IJ458" t="s">
        <v>1265</v>
      </c>
    </row>
    <row r="459" spans="1:244" x14ac:dyDescent="0.45">
      <c r="A459">
        <v>1253249</v>
      </c>
      <c r="B459">
        <v>701722</v>
      </c>
      <c r="C459">
        <v>7447394</v>
      </c>
      <c r="D459" t="s">
        <v>1162</v>
      </c>
      <c r="F459" t="s">
        <v>327</v>
      </c>
      <c r="G459" t="s">
        <v>246</v>
      </c>
      <c r="N459" t="s">
        <v>1359</v>
      </c>
      <c r="O459" t="s">
        <v>1360</v>
      </c>
      <c r="P459" t="s">
        <v>249</v>
      </c>
      <c r="Q459" t="s">
        <v>250</v>
      </c>
      <c r="R459" t="s">
        <v>251</v>
      </c>
      <c r="T459" t="s">
        <v>252</v>
      </c>
      <c r="U459" t="s">
        <v>253</v>
      </c>
      <c r="V459" t="s">
        <v>608</v>
      </c>
      <c r="W459" t="s">
        <v>609</v>
      </c>
      <c r="X459" t="s">
        <v>1361</v>
      </c>
      <c r="Z459" t="s">
        <v>983</v>
      </c>
      <c r="AM459" t="s">
        <v>317</v>
      </c>
      <c r="AN459" t="s">
        <v>259</v>
      </c>
      <c r="AO459" t="s">
        <v>260</v>
      </c>
      <c r="AP459">
        <v>5</v>
      </c>
      <c r="AQ459" t="s">
        <v>261</v>
      </c>
      <c r="AS459">
        <v>46</v>
      </c>
      <c r="AX459" t="s">
        <v>262</v>
      </c>
      <c r="BO459" t="s">
        <v>261</v>
      </c>
      <c r="BQ459">
        <v>4.5999999999999999E-2</v>
      </c>
      <c r="BV459" t="s">
        <v>263</v>
      </c>
      <c r="CM459" t="s">
        <v>264</v>
      </c>
      <c r="CN459" t="s">
        <v>264</v>
      </c>
      <c r="CP459" t="s">
        <v>265</v>
      </c>
      <c r="CQ459" t="s">
        <v>394</v>
      </c>
      <c r="DB459">
        <v>2</v>
      </c>
      <c r="DG459" t="s">
        <v>267</v>
      </c>
      <c r="DI459">
        <v>48</v>
      </c>
      <c r="DN459" t="s">
        <v>268</v>
      </c>
      <c r="DP459" t="s">
        <v>1258</v>
      </c>
      <c r="DR459">
        <v>6707</v>
      </c>
      <c r="DS459">
        <v>582</v>
      </c>
      <c r="DT459" t="s">
        <v>1050</v>
      </c>
      <c r="EW459" t="s">
        <v>293</v>
      </c>
      <c r="FK459" t="s">
        <v>1362</v>
      </c>
      <c r="FM459">
        <v>18</v>
      </c>
      <c r="FR459" t="s">
        <v>295</v>
      </c>
      <c r="HH459" t="s">
        <v>272</v>
      </c>
      <c r="ID459" t="s">
        <v>1363</v>
      </c>
      <c r="IE459" t="s">
        <v>1053</v>
      </c>
      <c r="IF459">
        <v>56995</v>
      </c>
      <c r="IG459" t="s">
        <v>1054</v>
      </c>
      <c r="IH459" t="s">
        <v>1055</v>
      </c>
      <c r="II459">
        <v>2000</v>
      </c>
      <c r="IJ459" t="s">
        <v>1056</v>
      </c>
    </row>
    <row r="460" spans="1:244" x14ac:dyDescent="0.45">
      <c r="A460">
        <v>1037190</v>
      </c>
      <c r="B460">
        <v>110125</v>
      </c>
      <c r="C460">
        <v>7447394</v>
      </c>
      <c r="D460" t="s">
        <v>1162</v>
      </c>
      <c r="F460" t="s">
        <v>327</v>
      </c>
      <c r="G460" t="s">
        <v>246</v>
      </c>
      <c r="N460" t="s">
        <v>1364</v>
      </c>
      <c r="O460" t="s">
        <v>1365</v>
      </c>
      <c r="P460" t="s">
        <v>249</v>
      </c>
      <c r="Q460" t="s">
        <v>250</v>
      </c>
      <c r="R460" t="s">
        <v>251</v>
      </c>
      <c r="T460" t="s">
        <v>252</v>
      </c>
      <c r="U460" t="s">
        <v>253</v>
      </c>
      <c r="V460" t="s">
        <v>548</v>
      </c>
      <c r="W460" t="s">
        <v>549</v>
      </c>
      <c r="X460" t="s">
        <v>351</v>
      </c>
      <c r="Z460" t="s">
        <v>315</v>
      </c>
      <c r="AL460" t="s">
        <v>1366</v>
      </c>
      <c r="AM460" t="s">
        <v>307</v>
      </c>
      <c r="AN460" t="s">
        <v>259</v>
      </c>
      <c r="AO460" t="s">
        <v>260</v>
      </c>
      <c r="AQ460" t="s">
        <v>261</v>
      </c>
      <c r="AS460">
        <v>898</v>
      </c>
      <c r="AU460">
        <v>817</v>
      </c>
      <c r="AW460">
        <v>930</v>
      </c>
      <c r="AX460" t="s">
        <v>262</v>
      </c>
      <c r="BO460" t="s">
        <v>261</v>
      </c>
      <c r="BQ460">
        <v>0.89800000000000002</v>
      </c>
      <c r="BS460">
        <v>0.81699999999999995</v>
      </c>
      <c r="BU460">
        <v>0.93</v>
      </c>
      <c r="BV460" t="s">
        <v>263</v>
      </c>
      <c r="CM460" t="s">
        <v>264</v>
      </c>
      <c r="CN460" t="s">
        <v>264</v>
      </c>
      <c r="CP460" t="s">
        <v>265</v>
      </c>
      <c r="CQ460" t="s">
        <v>394</v>
      </c>
      <c r="DB460">
        <v>4</v>
      </c>
      <c r="DG460" t="s">
        <v>267</v>
      </c>
      <c r="DI460">
        <v>96</v>
      </c>
      <c r="DN460" t="s">
        <v>268</v>
      </c>
      <c r="DR460">
        <v>98082</v>
      </c>
      <c r="DS460">
        <v>2125</v>
      </c>
      <c r="DT460" t="s">
        <v>1367</v>
      </c>
      <c r="EW460" t="s">
        <v>333</v>
      </c>
      <c r="FM460">
        <v>13.7</v>
      </c>
      <c r="FR460" t="s">
        <v>295</v>
      </c>
      <c r="GH460">
        <v>7.1</v>
      </c>
      <c r="GM460" t="s">
        <v>356</v>
      </c>
      <c r="GO460">
        <v>7.9</v>
      </c>
      <c r="GU460">
        <v>30.1</v>
      </c>
      <c r="GZ460" t="s">
        <v>296</v>
      </c>
      <c r="HH460" t="s">
        <v>272</v>
      </c>
      <c r="IE460" t="s">
        <v>1368</v>
      </c>
      <c r="IF460">
        <v>2264</v>
      </c>
      <c r="IG460" t="s">
        <v>1369</v>
      </c>
      <c r="IH460" t="s">
        <v>1370</v>
      </c>
      <c r="II460">
        <v>1989</v>
      </c>
      <c r="IJ460" t="s">
        <v>1371</v>
      </c>
    </row>
    <row r="461" spans="1:244" x14ac:dyDescent="0.45">
      <c r="A461">
        <v>1310819</v>
      </c>
      <c r="B461">
        <v>768057</v>
      </c>
      <c r="C461">
        <v>7447394</v>
      </c>
      <c r="D461" t="s">
        <v>1162</v>
      </c>
      <c r="F461" t="s">
        <v>327</v>
      </c>
      <c r="G461" t="s">
        <v>246</v>
      </c>
      <c r="N461" t="s">
        <v>1372</v>
      </c>
      <c r="O461" t="s">
        <v>578</v>
      </c>
      <c r="P461" t="s">
        <v>249</v>
      </c>
      <c r="Q461" t="s">
        <v>250</v>
      </c>
      <c r="R461" t="s">
        <v>251</v>
      </c>
      <c r="T461" t="s">
        <v>252</v>
      </c>
      <c r="U461" t="s">
        <v>499</v>
      </c>
      <c r="V461" t="s">
        <v>1373</v>
      </c>
      <c r="W461" t="s">
        <v>1374</v>
      </c>
      <c r="X461" t="s">
        <v>1375</v>
      </c>
      <c r="Z461" t="s">
        <v>649</v>
      </c>
      <c r="AA461" t="s">
        <v>289</v>
      </c>
      <c r="AB461">
        <v>7</v>
      </c>
      <c r="AG461" t="s">
        <v>267</v>
      </c>
      <c r="AM461" t="s">
        <v>317</v>
      </c>
      <c r="AN461" t="s">
        <v>259</v>
      </c>
      <c r="AO461" t="s">
        <v>260</v>
      </c>
      <c r="AQ461" t="s">
        <v>504</v>
      </c>
      <c r="AR461" t="s">
        <v>288</v>
      </c>
      <c r="AS461">
        <v>100</v>
      </c>
      <c r="AX461" t="s">
        <v>262</v>
      </c>
      <c r="BO461" t="s">
        <v>504</v>
      </c>
      <c r="BP461" t="s">
        <v>288</v>
      </c>
      <c r="BQ461">
        <v>0.1</v>
      </c>
      <c r="BV461" t="s">
        <v>263</v>
      </c>
      <c r="CM461" t="s">
        <v>264</v>
      </c>
      <c r="CN461" t="s">
        <v>264</v>
      </c>
      <c r="CP461" t="s">
        <v>265</v>
      </c>
      <c r="CQ461" t="s">
        <v>394</v>
      </c>
      <c r="DB461">
        <v>4</v>
      </c>
      <c r="DG461" t="s">
        <v>267</v>
      </c>
      <c r="DI461">
        <v>96</v>
      </c>
      <c r="DN461" t="s">
        <v>268</v>
      </c>
      <c r="DP461" t="s">
        <v>1220</v>
      </c>
      <c r="DS461">
        <v>18592</v>
      </c>
      <c r="DT461" t="s">
        <v>1221</v>
      </c>
      <c r="EW461" t="s">
        <v>293</v>
      </c>
      <c r="FA461" t="s">
        <v>1222</v>
      </c>
      <c r="FK461" t="s">
        <v>1376</v>
      </c>
      <c r="FO461">
        <v>20.399999999999999</v>
      </c>
      <c r="FQ461">
        <v>21.2</v>
      </c>
      <c r="FR461" t="s">
        <v>295</v>
      </c>
      <c r="GG461" t="s">
        <v>288</v>
      </c>
      <c r="GH461">
        <v>95</v>
      </c>
      <c r="GM461" t="s">
        <v>1224</v>
      </c>
      <c r="GQ461">
        <v>8</v>
      </c>
      <c r="GS461">
        <v>8.1999999999999993</v>
      </c>
      <c r="GW461">
        <v>30</v>
      </c>
      <c r="GY461">
        <v>32</v>
      </c>
      <c r="GZ461" t="s">
        <v>296</v>
      </c>
      <c r="HH461" t="s">
        <v>272</v>
      </c>
      <c r="ID461" t="s">
        <v>1377</v>
      </c>
      <c r="IE461" t="s">
        <v>1226</v>
      </c>
      <c r="IF461">
        <v>101781</v>
      </c>
      <c r="IG461" t="s">
        <v>1227</v>
      </c>
      <c r="IH461" t="s">
        <v>1228</v>
      </c>
      <c r="II461">
        <v>2006</v>
      </c>
      <c r="IJ461" t="s">
        <v>1229</v>
      </c>
    </row>
    <row r="462" spans="1:244" x14ac:dyDescent="0.45">
      <c r="A462">
        <v>1183065</v>
      </c>
      <c r="B462">
        <v>148897</v>
      </c>
      <c r="C462">
        <v>7447394</v>
      </c>
      <c r="D462" t="s">
        <v>1162</v>
      </c>
      <c r="F462" t="s">
        <v>245</v>
      </c>
      <c r="G462" t="s">
        <v>246</v>
      </c>
      <c r="N462" t="s">
        <v>1183</v>
      </c>
      <c r="O462" t="s">
        <v>1184</v>
      </c>
      <c r="P462" t="s">
        <v>249</v>
      </c>
      <c r="Q462" t="s">
        <v>250</v>
      </c>
      <c r="R462" t="s">
        <v>251</v>
      </c>
      <c r="T462" t="s">
        <v>252</v>
      </c>
      <c r="U462" t="s">
        <v>253</v>
      </c>
      <c r="V462" t="s">
        <v>418</v>
      </c>
      <c r="W462" t="s">
        <v>419</v>
      </c>
      <c r="X462" t="s">
        <v>393</v>
      </c>
      <c r="Z462" t="s">
        <v>1046</v>
      </c>
      <c r="AB462">
        <v>1</v>
      </c>
      <c r="AG462" t="s">
        <v>598</v>
      </c>
      <c r="AM462" t="s">
        <v>317</v>
      </c>
      <c r="AN462" t="s">
        <v>259</v>
      </c>
      <c r="AO462" t="s">
        <v>260</v>
      </c>
      <c r="AQ462" t="s">
        <v>261</v>
      </c>
      <c r="AR462" t="s">
        <v>515</v>
      </c>
      <c r="AS462">
        <v>3</v>
      </c>
      <c r="AX462" t="s">
        <v>262</v>
      </c>
      <c r="BO462" t="s">
        <v>261</v>
      </c>
      <c r="BP462" t="s">
        <v>515</v>
      </c>
      <c r="BQ462">
        <v>3.0000000000000001E-3</v>
      </c>
      <c r="BV462" t="s">
        <v>263</v>
      </c>
      <c r="CM462" t="s">
        <v>264</v>
      </c>
      <c r="CN462" t="s">
        <v>264</v>
      </c>
      <c r="CP462" t="s">
        <v>265</v>
      </c>
      <c r="CQ462" t="s">
        <v>394</v>
      </c>
      <c r="DB462">
        <v>2</v>
      </c>
      <c r="DG462" t="s">
        <v>267</v>
      </c>
      <c r="DI462">
        <v>48</v>
      </c>
      <c r="DN462" t="s">
        <v>268</v>
      </c>
      <c r="DS462">
        <v>388</v>
      </c>
      <c r="DT462" t="s">
        <v>1185</v>
      </c>
      <c r="EW462" t="s">
        <v>293</v>
      </c>
      <c r="FM462">
        <v>25</v>
      </c>
      <c r="FR462" t="s">
        <v>295</v>
      </c>
      <c r="GU462">
        <v>36</v>
      </c>
      <c r="GZ462" t="s">
        <v>296</v>
      </c>
      <c r="HH462" t="s">
        <v>272</v>
      </c>
      <c r="IE462" t="s">
        <v>1188</v>
      </c>
      <c r="IF462">
        <v>16111</v>
      </c>
      <c r="IG462" t="s">
        <v>1189</v>
      </c>
      <c r="IH462" t="s">
        <v>1190</v>
      </c>
      <c r="II462">
        <v>1995</v>
      </c>
      <c r="IJ462" t="s">
        <v>1191</v>
      </c>
    </row>
    <row r="463" spans="1:244" x14ac:dyDescent="0.45">
      <c r="A463">
        <v>1297279</v>
      </c>
      <c r="B463">
        <v>752638</v>
      </c>
      <c r="C463">
        <v>7447394</v>
      </c>
      <c r="D463" t="s">
        <v>1162</v>
      </c>
      <c r="F463" t="s">
        <v>245</v>
      </c>
      <c r="G463" t="s">
        <v>246</v>
      </c>
      <c r="N463" t="s">
        <v>892</v>
      </c>
      <c r="O463" t="s">
        <v>498</v>
      </c>
      <c r="P463" t="s">
        <v>249</v>
      </c>
      <c r="Q463" t="s">
        <v>250</v>
      </c>
      <c r="R463" t="s">
        <v>251</v>
      </c>
      <c r="T463" t="s">
        <v>252</v>
      </c>
      <c r="U463" t="s">
        <v>499</v>
      </c>
      <c r="V463" t="s">
        <v>500</v>
      </c>
      <c r="W463" t="s">
        <v>893</v>
      </c>
      <c r="X463" t="s">
        <v>894</v>
      </c>
      <c r="Z463" t="s">
        <v>1248</v>
      </c>
      <c r="AL463" t="s">
        <v>1249</v>
      </c>
      <c r="AM463" t="s">
        <v>317</v>
      </c>
      <c r="AN463" t="s">
        <v>259</v>
      </c>
      <c r="AO463" t="s">
        <v>260</v>
      </c>
      <c r="AP463">
        <v>6</v>
      </c>
      <c r="AQ463" t="s">
        <v>261</v>
      </c>
      <c r="AS463">
        <v>0.82</v>
      </c>
      <c r="AU463">
        <v>0.53</v>
      </c>
      <c r="AW463">
        <v>1.28</v>
      </c>
      <c r="AX463" t="s">
        <v>356</v>
      </c>
      <c r="BO463" t="s">
        <v>261</v>
      </c>
      <c r="BQ463">
        <v>0.82</v>
      </c>
      <c r="BS463">
        <v>0.53</v>
      </c>
      <c r="BU463">
        <v>1.28</v>
      </c>
      <c r="BV463" t="s">
        <v>263</v>
      </c>
      <c r="CM463" t="s">
        <v>264</v>
      </c>
      <c r="CN463" t="s">
        <v>264</v>
      </c>
      <c r="CP463" t="s">
        <v>265</v>
      </c>
      <c r="CQ463" t="s">
        <v>394</v>
      </c>
      <c r="DB463">
        <v>4</v>
      </c>
      <c r="DG463" t="s">
        <v>267</v>
      </c>
      <c r="DI463">
        <v>96</v>
      </c>
      <c r="DN463" t="s">
        <v>268</v>
      </c>
      <c r="DP463" t="s">
        <v>1220</v>
      </c>
      <c r="DR463">
        <v>732107</v>
      </c>
      <c r="DS463">
        <v>427</v>
      </c>
      <c r="DT463" t="s">
        <v>1250</v>
      </c>
      <c r="EW463" t="s">
        <v>293</v>
      </c>
      <c r="FA463" t="s">
        <v>1222</v>
      </c>
      <c r="FK463" t="s">
        <v>1378</v>
      </c>
      <c r="FM463">
        <v>16</v>
      </c>
      <c r="FR463" t="s">
        <v>295</v>
      </c>
      <c r="HH463" t="s">
        <v>272</v>
      </c>
      <c r="ID463" t="s">
        <v>1379</v>
      </c>
      <c r="IE463" t="s">
        <v>1253</v>
      </c>
      <c r="IF463">
        <v>115536</v>
      </c>
      <c r="IG463" t="s">
        <v>1254</v>
      </c>
      <c r="IH463" t="s">
        <v>1255</v>
      </c>
      <c r="II463">
        <v>2007</v>
      </c>
      <c r="IJ463" t="s">
        <v>1256</v>
      </c>
    </row>
    <row r="464" spans="1:244" x14ac:dyDescent="0.45">
      <c r="A464">
        <v>2145814</v>
      </c>
      <c r="B464">
        <v>2275521</v>
      </c>
      <c r="C464">
        <v>7447394</v>
      </c>
      <c r="D464" t="s">
        <v>1162</v>
      </c>
      <c r="F464" t="s">
        <v>245</v>
      </c>
      <c r="G464" t="s">
        <v>368</v>
      </c>
      <c r="N464" t="s">
        <v>958</v>
      </c>
      <c r="O464" t="s">
        <v>959</v>
      </c>
      <c r="P464" t="s">
        <v>249</v>
      </c>
      <c r="Q464" t="s">
        <v>250</v>
      </c>
      <c r="R464" t="s">
        <v>251</v>
      </c>
      <c r="T464" t="s">
        <v>252</v>
      </c>
      <c r="U464" t="s">
        <v>253</v>
      </c>
      <c r="V464" t="s">
        <v>418</v>
      </c>
      <c r="W464" t="s">
        <v>419</v>
      </c>
      <c r="X464" t="s">
        <v>960</v>
      </c>
      <c r="Z464" t="s">
        <v>421</v>
      </c>
      <c r="AI464">
        <v>2</v>
      </c>
      <c r="AJ464" t="s">
        <v>285</v>
      </c>
      <c r="AL464" t="s">
        <v>1380</v>
      </c>
      <c r="AM464" t="s">
        <v>258</v>
      </c>
      <c r="AN464" t="s">
        <v>259</v>
      </c>
      <c r="AO464" t="s">
        <v>260</v>
      </c>
      <c r="AP464">
        <v>6</v>
      </c>
      <c r="AQ464" t="s">
        <v>261</v>
      </c>
      <c r="AS464">
        <v>0.95</v>
      </c>
      <c r="AU464">
        <v>0.53</v>
      </c>
      <c r="AW464">
        <v>1.71</v>
      </c>
      <c r="AX464" t="s">
        <v>356</v>
      </c>
      <c r="BO464" t="s">
        <v>261</v>
      </c>
      <c r="BQ464">
        <v>0.95</v>
      </c>
      <c r="BS464">
        <v>0.53</v>
      </c>
      <c r="BU464">
        <v>1.71</v>
      </c>
      <c r="BV464" t="s">
        <v>263</v>
      </c>
      <c r="CM464" t="s">
        <v>264</v>
      </c>
      <c r="CN464" t="s">
        <v>264</v>
      </c>
      <c r="CP464" t="s">
        <v>265</v>
      </c>
      <c r="CQ464" t="s">
        <v>394</v>
      </c>
      <c r="DB464">
        <v>4</v>
      </c>
      <c r="DG464" t="s">
        <v>267</v>
      </c>
      <c r="DI464">
        <v>96</v>
      </c>
      <c r="DN464" t="s">
        <v>268</v>
      </c>
      <c r="DR464">
        <v>6687</v>
      </c>
      <c r="DS464">
        <v>252</v>
      </c>
      <c r="DV464">
        <v>96</v>
      </c>
      <c r="EA464" t="s">
        <v>268</v>
      </c>
      <c r="EC464">
        <v>4</v>
      </c>
      <c r="EH464" t="s">
        <v>267</v>
      </c>
      <c r="EJ464">
        <v>96</v>
      </c>
      <c r="EO464" t="s">
        <v>268</v>
      </c>
      <c r="EQ464">
        <v>4</v>
      </c>
      <c r="EV464" t="s">
        <v>267</v>
      </c>
      <c r="EW464" t="s">
        <v>293</v>
      </c>
      <c r="EY464" t="s">
        <v>377</v>
      </c>
      <c r="FA464" t="s">
        <v>1381</v>
      </c>
      <c r="FM464">
        <v>28</v>
      </c>
      <c r="FR464" t="s">
        <v>295</v>
      </c>
      <c r="FV464">
        <v>1550</v>
      </c>
      <c r="FX464">
        <v>1786</v>
      </c>
      <c r="FY464" t="s">
        <v>356</v>
      </c>
      <c r="GH464">
        <v>4.9000000000000004</v>
      </c>
      <c r="GM464" t="s">
        <v>356</v>
      </c>
      <c r="GO464">
        <v>7.78</v>
      </c>
      <c r="GU464">
        <v>28</v>
      </c>
      <c r="GZ464" t="s">
        <v>362</v>
      </c>
      <c r="HH464" t="s">
        <v>272</v>
      </c>
      <c r="IE464" t="s">
        <v>1382</v>
      </c>
      <c r="IF464">
        <v>169572</v>
      </c>
      <c r="IG464" t="s">
        <v>1383</v>
      </c>
      <c r="IH464" t="s">
        <v>1384</v>
      </c>
      <c r="II464">
        <v>2012</v>
      </c>
      <c r="IJ464" t="s">
        <v>1385</v>
      </c>
    </row>
    <row r="465" spans="1:244" x14ac:dyDescent="0.45">
      <c r="A465">
        <v>1278055</v>
      </c>
      <c r="B465">
        <v>731301</v>
      </c>
      <c r="C465">
        <v>7447394</v>
      </c>
      <c r="D465" t="s">
        <v>1162</v>
      </c>
      <c r="E465" t="s">
        <v>439</v>
      </c>
      <c r="F465" t="s">
        <v>245</v>
      </c>
      <c r="G465" t="s">
        <v>246</v>
      </c>
      <c r="N465" t="s">
        <v>968</v>
      </c>
      <c r="O465" t="s">
        <v>969</v>
      </c>
      <c r="P465" t="s">
        <v>249</v>
      </c>
      <c r="Q465" t="s">
        <v>250</v>
      </c>
      <c r="R465" t="s">
        <v>251</v>
      </c>
      <c r="T465" t="s">
        <v>252</v>
      </c>
      <c r="U465" t="s">
        <v>253</v>
      </c>
      <c r="V465" t="s">
        <v>418</v>
      </c>
      <c r="W465" t="s">
        <v>419</v>
      </c>
      <c r="X465" t="s">
        <v>970</v>
      </c>
      <c r="Z465" t="s">
        <v>649</v>
      </c>
      <c r="AL465" t="s">
        <v>1174</v>
      </c>
      <c r="AM465" t="s">
        <v>258</v>
      </c>
      <c r="AN465" t="s">
        <v>259</v>
      </c>
      <c r="AO465" t="s">
        <v>260</v>
      </c>
      <c r="AQ465" t="s">
        <v>261</v>
      </c>
      <c r="AS465">
        <v>0.9</v>
      </c>
      <c r="AU465">
        <v>0.5</v>
      </c>
      <c r="AW465">
        <v>1.62</v>
      </c>
      <c r="AX465" t="s">
        <v>356</v>
      </c>
      <c r="BO465" t="s">
        <v>261</v>
      </c>
      <c r="BQ465">
        <v>0.9</v>
      </c>
      <c r="BS465">
        <v>0.5</v>
      </c>
      <c r="BU465">
        <v>1.62</v>
      </c>
      <c r="BV465" t="s">
        <v>263</v>
      </c>
      <c r="CM465" t="s">
        <v>264</v>
      </c>
      <c r="CN465" t="s">
        <v>264</v>
      </c>
      <c r="CP465" t="s">
        <v>265</v>
      </c>
      <c r="CQ465" t="s">
        <v>394</v>
      </c>
      <c r="DB465">
        <v>4</v>
      </c>
      <c r="DG465" t="s">
        <v>267</v>
      </c>
      <c r="DI465">
        <v>96</v>
      </c>
      <c r="DN465" t="s">
        <v>268</v>
      </c>
      <c r="DP465" t="s">
        <v>1175</v>
      </c>
      <c r="DS465">
        <v>1010</v>
      </c>
      <c r="DT465" t="s">
        <v>1176</v>
      </c>
      <c r="EW465" t="s">
        <v>293</v>
      </c>
      <c r="FK465" t="s">
        <v>1386</v>
      </c>
      <c r="FM465">
        <v>30</v>
      </c>
      <c r="FR465" t="s">
        <v>295</v>
      </c>
      <c r="GG465" t="s">
        <v>288</v>
      </c>
      <c r="GH465">
        <v>90</v>
      </c>
      <c r="GM465" t="s">
        <v>900</v>
      </c>
      <c r="GO465">
        <v>8</v>
      </c>
      <c r="GU465">
        <v>36</v>
      </c>
      <c r="GZ465" t="s">
        <v>296</v>
      </c>
      <c r="HH465" t="s">
        <v>272</v>
      </c>
      <c r="ID465" t="s">
        <v>1387</v>
      </c>
      <c r="IE465" t="s">
        <v>1179</v>
      </c>
      <c r="IF465">
        <v>4973</v>
      </c>
      <c r="IG465" t="s">
        <v>1180</v>
      </c>
      <c r="IH465" t="s">
        <v>1181</v>
      </c>
      <c r="II465">
        <v>1982</v>
      </c>
      <c r="IJ465" t="s">
        <v>1182</v>
      </c>
    </row>
    <row r="466" spans="1:244" x14ac:dyDescent="0.45">
      <c r="A466">
        <v>1183087</v>
      </c>
      <c r="B466">
        <v>148919</v>
      </c>
      <c r="C466">
        <v>7447394</v>
      </c>
      <c r="D466" t="s">
        <v>1162</v>
      </c>
      <c r="F466" t="s">
        <v>245</v>
      </c>
      <c r="G466" t="s">
        <v>246</v>
      </c>
      <c r="N466" t="s">
        <v>1183</v>
      </c>
      <c r="O466" t="s">
        <v>1184</v>
      </c>
      <c r="P466" t="s">
        <v>249</v>
      </c>
      <c r="Q466" t="s">
        <v>250</v>
      </c>
      <c r="R466" t="s">
        <v>251</v>
      </c>
      <c r="T466" t="s">
        <v>252</v>
      </c>
      <c r="U466" t="s">
        <v>253</v>
      </c>
      <c r="V466" t="s">
        <v>418</v>
      </c>
      <c r="W466" t="s">
        <v>419</v>
      </c>
      <c r="X466" t="s">
        <v>393</v>
      </c>
      <c r="Z466" t="s">
        <v>421</v>
      </c>
      <c r="AB466">
        <v>2</v>
      </c>
      <c r="AG466" t="s">
        <v>598</v>
      </c>
      <c r="AM466" t="s">
        <v>317</v>
      </c>
      <c r="AN466" t="s">
        <v>259</v>
      </c>
      <c r="AO466" t="s">
        <v>260</v>
      </c>
      <c r="AQ466" t="s">
        <v>261</v>
      </c>
      <c r="AU466">
        <v>100</v>
      </c>
      <c r="AW466">
        <v>1000</v>
      </c>
      <c r="AX466" t="s">
        <v>262</v>
      </c>
      <c r="BO466" t="s">
        <v>261</v>
      </c>
      <c r="BS466">
        <v>0.1</v>
      </c>
      <c r="BU466">
        <v>1</v>
      </c>
      <c r="BV466" t="s">
        <v>263</v>
      </c>
      <c r="CM466" t="s">
        <v>264</v>
      </c>
      <c r="CN466" t="s">
        <v>264</v>
      </c>
      <c r="CP466" t="s">
        <v>265</v>
      </c>
      <c r="CQ466" t="s">
        <v>394</v>
      </c>
      <c r="DB466">
        <v>2</v>
      </c>
      <c r="DG466" t="s">
        <v>267</v>
      </c>
      <c r="DI466">
        <v>48</v>
      </c>
      <c r="DN466" t="s">
        <v>268</v>
      </c>
      <c r="DS466">
        <v>388</v>
      </c>
      <c r="DT466" t="s">
        <v>1185</v>
      </c>
      <c r="EW466" t="s">
        <v>293</v>
      </c>
      <c r="FK466" t="s">
        <v>1186</v>
      </c>
      <c r="FM466">
        <v>25</v>
      </c>
      <c r="FR466" t="s">
        <v>295</v>
      </c>
      <c r="GU466">
        <v>36</v>
      </c>
      <c r="GZ466" t="s">
        <v>296</v>
      </c>
      <c r="HH466" t="s">
        <v>272</v>
      </c>
      <c r="ID466" t="s">
        <v>1187</v>
      </c>
      <c r="IE466" t="s">
        <v>1188</v>
      </c>
      <c r="IF466">
        <v>16111</v>
      </c>
      <c r="IG466" t="s">
        <v>1189</v>
      </c>
      <c r="IH466" t="s">
        <v>1190</v>
      </c>
      <c r="II466">
        <v>1995</v>
      </c>
      <c r="IJ466" t="s">
        <v>1191</v>
      </c>
    </row>
    <row r="467" spans="1:244" x14ac:dyDescent="0.45">
      <c r="A467">
        <v>1183067</v>
      </c>
      <c r="B467">
        <v>148899</v>
      </c>
      <c r="C467">
        <v>7447394</v>
      </c>
      <c r="D467" t="s">
        <v>1162</v>
      </c>
      <c r="F467" t="s">
        <v>245</v>
      </c>
      <c r="G467" t="s">
        <v>246</v>
      </c>
      <c r="N467" t="s">
        <v>1183</v>
      </c>
      <c r="O467" t="s">
        <v>1184</v>
      </c>
      <c r="P467" t="s">
        <v>249</v>
      </c>
      <c r="Q467" t="s">
        <v>250</v>
      </c>
      <c r="R467" t="s">
        <v>251</v>
      </c>
      <c r="T467" t="s">
        <v>252</v>
      </c>
      <c r="U467" t="s">
        <v>253</v>
      </c>
      <c r="V467" t="s">
        <v>418</v>
      </c>
      <c r="W467" t="s">
        <v>419</v>
      </c>
      <c r="X467" t="s">
        <v>393</v>
      </c>
      <c r="Z467" t="s">
        <v>1046</v>
      </c>
      <c r="AB467">
        <v>3</v>
      </c>
      <c r="AG467" t="s">
        <v>598</v>
      </c>
      <c r="AM467" t="s">
        <v>317</v>
      </c>
      <c r="AN467" t="s">
        <v>259</v>
      </c>
      <c r="AO467" t="s">
        <v>260</v>
      </c>
      <c r="AQ467" t="s">
        <v>261</v>
      </c>
      <c r="AR467" t="s">
        <v>515</v>
      </c>
      <c r="AS467">
        <v>50</v>
      </c>
      <c r="AX467" t="s">
        <v>262</v>
      </c>
      <c r="BO467" t="s">
        <v>261</v>
      </c>
      <c r="BP467" t="s">
        <v>515</v>
      </c>
      <c r="BQ467">
        <v>0.05</v>
      </c>
      <c r="BV467" t="s">
        <v>263</v>
      </c>
      <c r="CM467" t="s">
        <v>264</v>
      </c>
      <c r="CN467" t="s">
        <v>264</v>
      </c>
      <c r="CP467" t="s">
        <v>265</v>
      </c>
      <c r="CQ467" t="s">
        <v>394</v>
      </c>
      <c r="DB467">
        <v>2</v>
      </c>
      <c r="DG467" t="s">
        <v>267</v>
      </c>
      <c r="DI467">
        <v>48</v>
      </c>
      <c r="DN467" t="s">
        <v>268</v>
      </c>
      <c r="DS467">
        <v>388</v>
      </c>
      <c r="DT467" t="s">
        <v>1185</v>
      </c>
      <c r="EW467" t="s">
        <v>293</v>
      </c>
      <c r="FM467">
        <v>25</v>
      </c>
      <c r="FR467" t="s">
        <v>295</v>
      </c>
      <c r="GU467">
        <v>36</v>
      </c>
      <c r="GZ467" t="s">
        <v>296</v>
      </c>
      <c r="HH467" t="s">
        <v>272</v>
      </c>
      <c r="IE467" t="s">
        <v>1188</v>
      </c>
      <c r="IF467">
        <v>16111</v>
      </c>
      <c r="IG467" t="s">
        <v>1189</v>
      </c>
      <c r="IH467" t="s">
        <v>1190</v>
      </c>
      <c r="II467">
        <v>1995</v>
      </c>
      <c r="IJ467" t="s">
        <v>1191</v>
      </c>
    </row>
    <row r="468" spans="1:244" x14ac:dyDescent="0.45">
      <c r="A468">
        <v>1183074</v>
      </c>
      <c r="B468">
        <v>148906</v>
      </c>
      <c r="C468">
        <v>7447394</v>
      </c>
      <c r="D468" t="s">
        <v>1162</v>
      </c>
      <c r="F468" t="s">
        <v>245</v>
      </c>
      <c r="G468" t="s">
        <v>246</v>
      </c>
      <c r="N468" t="s">
        <v>1183</v>
      </c>
      <c r="O468" t="s">
        <v>1184</v>
      </c>
      <c r="P468" t="s">
        <v>249</v>
      </c>
      <c r="Q468" t="s">
        <v>250</v>
      </c>
      <c r="R468" t="s">
        <v>251</v>
      </c>
      <c r="T468" t="s">
        <v>252</v>
      </c>
      <c r="U468" t="s">
        <v>253</v>
      </c>
      <c r="V468" t="s">
        <v>418</v>
      </c>
      <c r="W468" t="s">
        <v>419</v>
      </c>
      <c r="X468" t="s">
        <v>393</v>
      </c>
      <c r="Z468" t="s">
        <v>983</v>
      </c>
      <c r="AB468">
        <v>1</v>
      </c>
      <c r="AG468" t="s">
        <v>598</v>
      </c>
      <c r="AM468" t="s">
        <v>258</v>
      </c>
      <c r="AN468" t="s">
        <v>259</v>
      </c>
      <c r="AO468" t="s">
        <v>260</v>
      </c>
      <c r="AQ468" t="s">
        <v>261</v>
      </c>
      <c r="AR468" t="s">
        <v>515</v>
      </c>
      <c r="AS468">
        <v>1</v>
      </c>
      <c r="AX468" t="s">
        <v>262</v>
      </c>
      <c r="BO468" t="s">
        <v>261</v>
      </c>
      <c r="BP468" t="s">
        <v>515</v>
      </c>
      <c r="BQ468">
        <v>1E-3</v>
      </c>
      <c r="BV468" t="s">
        <v>263</v>
      </c>
      <c r="CM468" t="s">
        <v>264</v>
      </c>
      <c r="CN468" t="s">
        <v>264</v>
      </c>
      <c r="CP468" t="s">
        <v>265</v>
      </c>
      <c r="CQ468" t="s">
        <v>394</v>
      </c>
      <c r="DB468">
        <v>4</v>
      </c>
      <c r="DG468" t="s">
        <v>267</v>
      </c>
      <c r="DI468">
        <v>96</v>
      </c>
      <c r="DN468" t="s">
        <v>268</v>
      </c>
      <c r="DS468">
        <v>388</v>
      </c>
      <c r="DT468" t="s">
        <v>1185</v>
      </c>
      <c r="EW468" t="s">
        <v>293</v>
      </c>
      <c r="FM468">
        <v>25</v>
      </c>
      <c r="FR468" t="s">
        <v>295</v>
      </c>
      <c r="GU468">
        <v>36</v>
      </c>
      <c r="GZ468" t="s">
        <v>296</v>
      </c>
      <c r="HH468" t="s">
        <v>272</v>
      </c>
      <c r="IE468" t="s">
        <v>1188</v>
      </c>
      <c r="IF468">
        <v>16111</v>
      </c>
      <c r="IG468" t="s">
        <v>1189</v>
      </c>
      <c r="IH468" t="s">
        <v>1190</v>
      </c>
      <c r="II468">
        <v>1995</v>
      </c>
      <c r="IJ468" t="s">
        <v>1191</v>
      </c>
    </row>
    <row r="469" spans="1:244" x14ac:dyDescent="0.45">
      <c r="A469">
        <v>1276338</v>
      </c>
      <c r="B469">
        <v>727983</v>
      </c>
      <c r="C469">
        <v>7447394</v>
      </c>
      <c r="D469" t="s">
        <v>1162</v>
      </c>
      <c r="F469" t="s">
        <v>245</v>
      </c>
      <c r="G469" t="s">
        <v>246</v>
      </c>
      <c r="N469" t="s">
        <v>1230</v>
      </c>
      <c r="O469" t="s">
        <v>248</v>
      </c>
      <c r="P469" t="s">
        <v>249</v>
      </c>
      <c r="Q469" t="s">
        <v>250</v>
      </c>
      <c r="R469" t="s">
        <v>251</v>
      </c>
      <c r="T469" t="s">
        <v>252</v>
      </c>
      <c r="U469" t="s">
        <v>253</v>
      </c>
      <c r="V469" t="s">
        <v>1231</v>
      </c>
      <c r="W469" t="s">
        <v>1232</v>
      </c>
      <c r="X469" t="s">
        <v>1233</v>
      </c>
      <c r="Z469" t="s">
        <v>1046</v>
      </c>
      <c r="AB469">
        <v>1</v>
      </c>
      <c r="AG469" t="s">
        <v>598</v>
      </c>
      <c r="AM469" t="s">
        <v>258</v>
      </c>
      <c r="AN469" t="s">
        <v>259</v>
      </c>
      <c r="AO469" t="s">
        <v>260</v>
      </c>
      <c r="AP469">
        <v>6</v>
      </c>
      <c r="AQ469" t="s">
        <v>261</v>
      </c>
      <c r="AS469">
        <v>666</v>
      </c>
      <c r="AU469">
        <v>597.1</v>
      </c>
      <c r="AW469">
        <v>742.6</v>
      </c>
      <c r="AX469" t="s">
        <v>262</v>
      </c>
      <c r="BO469" t="s">
        <v>261</v>
      </c>
      <c r="BQ469">
        <v>0.66600000000000004</v>
      </c>
      <c r="BS469">
        <v>0.59709999999999996</v>
      </c>
      <c r="BU469">
        <v>0.74260000000000004</v>
      </c>
      <c r="BV469" t="s">
        <v>263</v>
      </c>
      <c r="CM469" t="s">
        <v>264</v>
      </c>
      <c r="CN469" t="s">
        <v>264</v>
      </c>
      <c r="CP469" t="s">
        <v>265</v>
      </c>
      <c r="CQ469" t="s">
        <v>394</v>
      </c>
      <c r="DB469">
        <v>1</v>
      </c>
      <c r="DG469" t="s">
        <v>267</v>
      </c>
      <c r="DI469">
        <v>24</v>
      </c>
      <c r="DN469" t="s">
        <v>268</v>
      </c>
      <c r="DP469" t="s">
        <v>1258</v>
      </c>
      <c r="DS469">
        <v>4771</v>
      </c>
      <c r="DT469" t="s">
        <v>1259</v>
      </c>
      <c r="EW469" t="s">
        <v>293</v>
      </c>
      <c r="FK469" t="s">
        <v>1357</v>
      </c>
      <c r="FM469">
        <v>22</v>
      </c>
      <c r="FR469" t="s">
        <v>295</v>
      </c>
      <c r="GO469">
        <v>8</v>
      </c>
      <c r="GU469">
        <v>35</v>
      </c>
      <c r="GZ469" t="s">
        <v>362</v>
      </c>
      <c r="HH469" t="s">
        <v>272</v>
      </c>
      <c r="ID469" t="s">
        <v>1358</v>
      </c>
      <c r="IE469" t="s">
        <v>1262</v>
      </c>
      <c r="IF469">
        <v>73547</v>
      </c>
      <c r="IG469" t="s">
        <v>1263</v>
      </c>
      <c r="IH469" t="s">
        <v>1264</v>
      </c>
      <c r="II469">
        <v>2003</v>
      </c>
      <c r="IJ469" t="s">
        <v>1265</v>
      </c>
    </row>
    <row r="470" spans="1:244" x14ac:dyDescent="0.45">
      <c r="A470">
        <v>2142115</v>
      </c>
      <c r="B470">
        <v>2267557</v>
      </c>
      <c r="C470">
        <v>7447394</v>
      </c>
      <c r="D470" t="s">
        <v>1162</v>
      </c>
      <c r="E470" t="s">
        <v>386</v>
      </c>
      <c r="F470" t="s">
        <v>327</v>
      </c>
      <c r="G470" t="s">
        <v>272</v>
      </c>
      <c r="N470" t="s">
        <v>1163</v>
      </c>
      <c r="O470" t="s">
        <v>1164</v>
      </c>
      <c r="P470" t="s">
        <v>249</v>
      </c>
      <c r="Q470" t="s">
        <v>250</v>
      </c>
      <c r="R470" t="s">
        <v>251</v>
      </c>
      <c r="T470" t="s">
        <v>389</v>
      </c>
      <c r="U470" t="s">
        <v>390</v>
      </c>
      <c r="V470" t="s">
        <v>1010</v>
      </c>
      <c r="W470" t="s">
        <v>1165</v>
      </c>
      <c r="X470" t="s">
        <v>1166</v>
      </c>
      <c r="Z470" t="s">
        <v>315</v>
      </c>
      <c r="AI470">
        <v>4</v>
      </c>
      <c r="AJ470" t="s">
        <v>354</v>
      </c>
      <c r="AK470" t="s">
        <v>517</v>
      </c>
      <c r="AM470" t="s">
        <v>287</v>
      </c>
      <c r="AN470" t="s">
        <v>259</v>
      </c>
      <c r="AO470" t="s">
        <v>260</v>
      </c>
      <c r="AP470">
        <v>7</v>
      </c>
      <c r="AQ470" t="s">
        <v>504</v>
      </c>
      <c r="AS470">
        <v>857.19</v>
      </c>
      <c r="AU470">
        <v>710.3</v>
      </c>
      <c r="AW470">
        <v>1204.5999999999999</v>
      </c>
      <c r="AX470" t="s">
        <v>262</v>
      </c>
      <c r="BO470" t="s">
        <v>504</v>
      </c>
      <c r="BQ470">
        <v>0.85719000000000001</v>
      </c>
      <c r="BS470">
        <v>0.71030000000000004</v>
      </c>
      <c r="BU470">
        <v>1.2045999999999999</v>
      </c>
      <c r="BV470" t="s">
        <v>263</v>
      </c>
      <c r="CM470" t="s">
        <v>264</v>
      </c>
      <c r="CN470" t="s">
        <v>264</v>
      </c>
      <c r="CP470" t="s">
        <v>265</v>
      </c>
      <c r="CQ470" t="s">
        <v>394</v>
      </c>
      <c r="DB470">
        <v>4</v>
      </c>
      <c r="DG470" t="s">
        <v>267</v>
      </c>
      <c r="DI470">
        <v>96</v>
      </c>
      <c r="DN470" t="s">
        <v>268</v>
      </c>
      <c r="DR470">
        <v>1352461</v>
      </c>
      <c r="DS470">
        <v>34567</v>
      </c>
      <c r="DT470" t="s">
        <v>1168</v>
      </c>
      <c r="DV470">
        <v>96</v>
      </c>
      <c r="EA470" t="s">
        <v>268</v>
      </c>
      <c r="EC470">
        <v>4</v>
      </c>
      <c r="EH470" t="s">
        <v>267</v>
      </c>
      <c r="EJ470">
        <v>96</v>
      </c>
      <c r="EO470" t="s">
        <v>268</v>
      </c>
      <c r="EQ470">
        <v>4</v>
      </c>
      <c r="EV470" t="s">
        <v>267</v>
      </c>
      <c r="EW470" t="s">
        <v>293</v>
      </c>
      <c r="EZ470">
        <v>50</v>
      </c>
      <c r="FA470" t="s">
        <v>1388</v>
      </c>
      <c r="GU470">
        <v>30</v>
      </c>
      <c r="GZ470" t="s">
        <v>296</v>
      </c>
      <c r="HH470" t="s">
        <v>272</v>
      </c>
      <c r="IE470" t="s">
        <v>1170</v>
      </c>
      <c r="IF470">
        <v>166161</v>
      </c>
      <c r="IG470" t="s">
        <v>1171</v>
      </c>
      <c r="IH470" t="s">
        <v>1172</v>
      </c>
      <c r="II470">
        <v>2012</v>
      </c>
      <c r="IJ470" t="s">
        <v>1173</v>
      </c>
    </row>
    <row r="471" spans="1:244" x14ac:dyDescent="0.45">
      <c r="A471">
        <v>1193933</v>
      </c>
      <c r="B471">
        <v>181506</v>
      </c>
      <c r="C471">
        <v>7447394</v>
      </c>
      <c r="D471" t="s">
        <v>1162</v>
      </c>
      <c r="F471" t="s">
        <v>245</v>
      </c>
      <c r="G471" t="s">
        <v>246</v>
      </c>
      <c r="N471" t="s">
        <v>1389</v>
      </c>
      <c r="O471" t="s">
        <v>1299</v>
      </c>
      <c r="P471" t="s">
        <v>249</v>
      </c>
      <c r="Q471" t="s">
        <v>250</v>
      </c>
      <c r="R471" t="s">
        <v>251</v>
      </c>
      <c r="T471" t="s">
        <v>252</v>
      </c>
      <c r="U471" t="s">
        <v>371</v>
      </c>
      <c r="V471" t="s">
        <v>372</v>
      </c>
      <c r="W471" t="s">
        <v>1300</v>
      </c>
      <c r="X471" t="s">
        <v>1390</v>
      </c>
      <c r="AM471" t="s">
        <v>317</v>
      </c>
      <c r="AN471" t="s">
        <v>259</v>
      </c>
      <c r="AO471" t="s">
        <v>260</v>
      </c>
      <c r="AQ471" t="s">
        <v>261</v>
      </c>
      <c r="AS471">
        <v>18</v>
      </c>
      <c r="AX471" t="s">
        <v>262</v>
      </c>
      <c r="BO471" t="s">
        <v>261</v>
      </c>
      <c r="BQ471">
        <v>1.7999999999999999E-2</v>
      </c>
      <c r="BV471" t="s">
        <v>263</v>
      </c>
      <c r="CM471" t="s">
        <v>264</v>
      </c>
      <c r="CN471" t="s">
        <v>264</v>
      </c>
      <c r="CP471" t="s">
        <v>265</v>
      </c>
      <c r="CQ471" t="s">
        <v>394</v>
      </c>
      <c r="DB471">
        <v>4</v>
      </c>
      <c r="DG471" t="s">
        <v>267</v>
      </c>
      <c r="DI471">
        <v>96</v>
      </c>
      <c r="DN471" t="s">
        <v>268</v>
      </c>
      <c r="DS471">
        <v>6040</v>
      </c>
      <c r="EW471" t="s">
        <v>293</v>
      </c>
      <c r="FO471">
        <v>13</v>
      </c>
      <c r="FQ471">
        <v>14</v>
      </c>
      <c r="FR471" t="s">
        <v>295</v>
      </c>
      <c r="GJ471">
        <v>7.5</v>
      </c>
      <c r="GL471">
        <v>8</v>
      </c>
      <c r="GM471" t="s">
        <v>356</v>
      </c>
      <c r="GQ471">
        <v>7.7</v>
      </c>
      <c r="GS471">
        <v>8.1</v>
      </c>
      <c r="GW471">
        <v>33</v>
      </c>
      <c r="GY471">
        <v>34</v>
      </c>
      <c r="GZ471" t="s">
        <v>296</v>
      </c>
      <c r="HH471" t="s">
        <v>272</v>
      </c>
      <c r="IE471" t="s">
        <v>1391</v>
      </c>
      <c r="IF471">
        <v>17398</v>
      </c>
      <c r="IG471" t="s">
        <v>1392</v>
      </c>
      <c r="IH471" t="s">
        <v>1393</v>
      </c>
      <c r="II471">
        <v>1989</v>
      </c>
      <c r="IJ471" t="s">
        <v>1394</v>
      </c>
    </row>
    <row r="472" spans="1:244" x14ac:dyDescent="0.45">
      <c r="A472">
        <v>1123265</v>
      </c>
      <c r="B472">
        <v>87975</v>
      </c>
      <c r="C472">
        <v>7447394</v>
      </c>
      <c r="D472" t="s">
        <v>1162</v>
      </c>
      <c r="E472" t="s">
        <v>386</v>
      </c>
      <c r="F472" t="s">
        <v>245</v>
      </c>
      <c r="G472" t="s">
        <v>246</v>
      </c>
      <c r="N472" t="s">
        <v>1280</v>
      </c>
      <c r="O472" t="s">
        <v>498</v>
      </c>
      <c r="P472" t="s">
        <v>249</v>
      </c>
      <c r="Q472" t="s">
        <v>250</v>
      </c>
      <c r="R472" t="s">
        <v>251</v>
      </c>
      <c r="T472" t="s">
        <v>252</v>
      </c>
      <c r="U472" t="s">
        <v>499</v>
      </c>
      <c r="V472" t="s">
        <v>1281</v>
      </c>
      <c r="W472" t="s">
        <v>1282</v>
      </c>
      <c r="X472" t="s">
        <v>1283</v>
      </c>
      <c r="AL472" t="s">
        <v>1204</v>
      </c>
      <c r="AM472" t="s">
        <v>287</v>
      </c>
      <c r="AN472" t="s">
        <v>259</v>
      </c>
      <c r="AO472" t="s">
        <v>260</v>
      </c>
      <c r="AQ472" t="s">
        <v>261</v>
      </c>
      <c r="AS472">
        <v>600</v>
      </c>
      <c r="AU472">
        <v>300</v>
      </c>
      <c r="AW472">
        <v>1400</v>
      </c>
      <c r="AX472" t="s">
        <v>262</v>
      </c>
      <c r="BO472" t="s">
        <v>261</v>
      </c>
      <c r="BQ472">
        <v>0.6</v>
      </c>
      <c r="BS472">
        <v>0.3</v>
      </c>
      <c r="BU472">
        <v>1.4</v>
      </c>
      <c r="BV472" t="s">
        <v>263</v>
      </c>
      <c r="CM472" t="s">
        <v>264</v>
      </c>
      <c r="CN472" t="s">
        <v>264</v>
      </c>
      <c r="CP472" t="s">
        <v>265</v>
      </c>
      <c r="CQ472" t="s">
        <v>394</v>
      </c>
      <c r="DB472">
        <v>4</v>
      </c>
      <c r="DG472" t="s">
        <v>267</v>
      </c>
      <c r="DI472">
        <v>96</v>
      </c>
      <c r="DN472" t="s">
        <v>268</v>
      </c>
      <c r="DS472">
        <v>2851</v>
      </c>
      <c r="DT472" t="s">
        <v>1205</v>
      </c>
      <c r="EW472" t="s">
        <v>293</v>
      </c>
      <c r="FM472">
        <v>19</v>
      </c>
      <c r="FR472" t="s">
        <v>295</v>
      </c>
      <c r="HH472" t="s">
        <v>272</v>
      </c>
      <c r="IE472" t="s">
        <v>1206</v>
      </c>
      <c r="IF472">
        <v>9755</v>
      </c>
      <c r="IG472" t="s">
        <v>1207</v>
      </c>
      <c r="IH472" t="s">
        <v>1208</v>
      </c>
      <c r="II472">
        <v>1993</v>
      </c>
      <c r="IJ472" t="s">
        <v>1209</v>
      </c>
    </row>
    <row r="473" spans="1:244" x14ac:dyDescent="0.45">
      <c r="A473">
        <v>1304661</v>
      </c>
      <c r="B473">
        <v>761310</v>
      </c>
      <c r="C473">
        <v>7447394</v>
      </c>
      <c r="D473" t="s">
        <v>1162</v>
      </c>
      <c r="F473" t="s">
        <v>245</v>
      </c>
      <c r="G473" t="s">
        <v>246</v>
      </c>
      <c r="N473" t="s">
        <v>1230</v>
      </c>
      <c r="O473" t="s">
        <v>248</v>
      </c>
      <c r="P473" t="s">
        <v>249</v>
      </c>
      <c r="Q473" t="s">
        <v>250</v>
      </c>
      <c r="R473" t="s">
        <v>251</v>
      </c>
      <c r="T473" t="s">
        <v>252</v>
      </c>
      <c r="U473" t="s">
        <v>253</v>
      </c>
      <c r="V473" t="s">
        <v>1231</v>
      </c>
      <c r="W473" t="s">
        <v>1232</v>
      </c>
      <c r="X473" t="s">
        <v>1233</v>
      </c>
      <c r="Z473" t="s">
        <v>919</v>
      </c>
      <c r="AM473" t="s">
        <v>258</v>
      </c>
      <c r="AN473" t="s">
        <v>259</v>
      </c>
      <c r="AO473" t="s">
        <v>260</v>
      </c>
      <c r="AP473">
        <v>6</v>
      </c>
      <c r="AQ473" t="s">
        <v>261</v>
      </c>
      <c r="AS473">
        <v>138.5</v>
      </c>
      <c r="AU473">
        <v>129.4</v>
      </c>
      <c r="AW473">
        <v>148.30000000000001</v>
      </c>
      <c r="AX473" t="s">
        <v>356</v>
      </c>
      <c r="BO473" t="s">
        <v>261</v>
      </c>
      <c r="BQ473">
        <v>138.5</v>
      </c>
      <c r="BS473">
        <v>129.4</v>
      </c>
      <c r="BU473">
        <v>148.30000000000001</v>
      </c>
      <c r="BV473" t="s">
        <v>263</v>
      </c>
      <c r="CM473" t="s">
        <v>264</v>
      </c>
      <c r="CN473" t="s">
        <v>264</v>
      </c>
      <c r="CP473" t="s">
        <v>265</v>
      </c>
      <c r="CQ473" t="s">
        <v>394</v>
      </c>
      <c r="DB473">
        <v>3</v>
      </c>
      <c r="DG473" t="s">
        <v>267</v>
      </c>
      <c r="DI473">
        <v>72</v>
      </c>
      <c r="DN473" t="s">
        <v>268</v>
      </c>
      <c r="DP473" t="s">
        <v>1234</v>
      </c>
      <c r="DS473">
        <v>4771</v>
      </c>
      <c r="DT473" t="s">
        <v>1235</v>
      </c>
      <c r="EW473" t="s">
        <v>293</v>
      </c>
      <c r="FA473" t="s">
        <v>397</v>
      </c>
      <c r="FK473" t="s">
        <v>1353</v>
      </c>
      <c r="FM473">
        <v>22</v>
      </c>
      <c r="FR473" t="s">
        <v>295</v>
      </c>
      <c r="GO473">
        <v>8</v>
      </c>
      <c r="GU473">
        <v>35</v>
      </c>
      <c r="GZ473" t="s">
        <v>362</v>
      </c>
      <c r="HH473" t="s">
        <v>272</v>
      </c>
      <c r="ID473" t="s">
        <v>1354</v>
      </c>
      <c r="IE473" t="s">
        <v>1238</v>
      </c>
      <c r="IF473">
        <v>97270</v>
      </c>
      <c r="IG473" t="s">
        <v>1239</v>
      </c>
      <c r="IH473" t="s">
        <v>1240</v>
      </c>
      <c r="II473">
        <v>2006</v>
      </c>
      <c r="IJ473" t="s">
        <v>1241</v>
      </c>
    </row>
    <row r="474" spans="1:244" x14ac:dyDescent="0.45">
      <c r="A474">
        <v>1141722</v>
      </c>
      <c r="B474">
        <v>110795</v>
      </c>
      <c r="C474">
        <v>7447394</v>
      </c>
      <c r="D474" t="s">
        <v>1162</v>
      </c>
      <c r="E474" t="s">
        <v>622</v>
      </c>
      <c r="F474" t="s">
        <v>327</v>
      </c>
      <c r="G474" t="s">
        <v>246</v>
      </c>
      <c r="N474" t="s">
        <v>546</v>
      </c>
      <c r="O474" t="s">
        <v>547</v>
      </c>
      <c r="P474" t="s">
        <v>249</v>
      </c>
      <c r="Q474" t="s">
        <v>250</v>
      </c>
      <c r="R474" t="s">
        <v>251</v>
      </c>
      <c r="T474" t="s">
        <v>252</v>
      </c>
      <c r="U474" t="s">
        <v>253</v>
      </c>
      <c r="V474" t="s">
        <v>548</v>
      </c>
      <c r="W474" t="s">
        <v>549</v>
      </c>
      <c r="X474" t="s">
        <v>550</v>
      </c>
      <c r="AL474" t="s">
        <v>1395</v>
      </c>
      <c r="AM474" t="s">
        <v>307</v>
      </c>
      <c r="AN474" t="s">
        <v>259</v>
      </c>
      <c r="AO474" t="s">
        <v>260</v>
      </c>
      <c r="AQ474" t="s">
        <v>261</v>
      </c>
      <c r="AS474">
        <v>290</v>
      </c>
      <c r="AX474" t="s">
        <v>262</v>
      </c>
      <c r="BO474" t="s">
        <v>261</v>
      </c>
      <c r="BQ474">
        <v>0.28999999999999998</v>
      </c>
      <c r="BV474" t="s">
        <v>263</v>
      </c>
      <c r="CM474" t="s">
        <v>264</v>
      </c>
      <c r="CN474" t="s">
        <v>264</v>
      </c>
      <c r="CP474" t="s">
        <v>265</v>
      </c>
      <c r="CQ474" t="s">
        <v>394</v>
      </c>
      <c r="DB474">
        <v>4</v>
      </c>
      <c r="DG474" t="s">
        <v>267</v>
      </c>
      <c r="DI474">
        <v>96</v>
      </c>
      <c r="DN474" t="s">
        <v>268</v>
      </c>
      <c r="DR474">
        <v>491138</v>
      </c>
      <c r="DS474">
        <v>11</v>
      </c>
      <c r="DT474" t="s">
        <v>1396</v>
      </c>
      <c r="EW474" t="s">
        <v>271</v>
      </c>
      <c r="FM474">
        <v>15</v>
      </c>
      <c r="FR474" t="s">
        <v>295</v>
      </c>
      <c r="GU474">
        <v>17</v>
      </c>
      <c r="GZ474" t="s">
        <v>296</v>
      </c>
      <c r="HH474" t="s">
        <v>272</v>
      </c>
      <c r="IE474" t="s">
        <v>1397</v>
      </c>
      <c r="IF474">
        <v>11869</v>
      </c>
      <c r="IG474" t="s">
        <v>1398</v>
      </c>
      <c r="IH474" t="s">
        <v>1399</v>
      </c>
      <c r="II474">
        <v>1986</v>
      </c>
      <c r="IJ474" t="s">
        <v>1400</v>
      </c>
    </row>
    <row r="475" spans="1:244" x14ac:dyDescent="0.45">
      <c r="A475">
        <v>1068788</v>
      </c>
      <c r="B475">
        <v>40751</v>
      </c>
      <c r="C475">
        <v>7447394</v>
      </c>
      <c r="D475" t="s">
        <v>1162</v>
      </c>
      <c r="F475" t="s">
        <v>272</v>
      </c>
      <c r="G475" t="s">
        <v>246</v>
      </c>
      <c r="N475" t="s">
        <v>1401</v>
      </c>
      <c r="O475" t="s">
        <v>1299</v>
      </c>
      <c r="P475" t="s">
        <v>249</v>
      </c>
      <c r="Q475" t="s">
        <v>250</v>
      </c>
      <c r="R475" t="s">
        <v>251</v>
      </c>
      <c r="T475" t="s">
        <v>252</v>
      </c>
      <c r="U475" t="s">
        <v>371</v>
      </c>
      <c r="V475" t="s">
        <v>372</v>
      </c>
      <c r="W475" t="s">
        <v>1402</v>
      </c>
      <c r="X475" t="s">
        <v>1403</v>
      </c>
      <c r="AL475" t="s">
        <v>1404</v>
      </c>
      <c r="AM475" t="s">
        <v>287</v>
      </c>
      <c r="AN475" t="s">
        <v>259</v>
      </c>
      <c r="AO475" t="s">
        <v>260</v>
      </c>
      <c r="AQ475" t="s">
        <v>261</v>
      </c>
      <c r="AS475">
        <v>16</v>
      </c>
      <c r="AX475" t="s">
        <v>262</v>
      </c>
      <c r="BO475" t="s">
        <v>261</v>
      </c>
      <c r="BQ475">
        <v>1.6E-2</v>
      </c>
      <c r="BV475" t="s">
        <v>263</v>
      </c>
      <c r="CM475" t="s">
        <v>264</v>
      </c>
      <c r="CN475" t="s">
        <v>264</v>
      </c>
      <c r="CP475" t="s">
        <v>265</v>
      </c>
      <c r="DB475">
        <v>4</v>
      </c>
      <c r="DG475" t="s">
        <v>267</v>
      </c>
      <c r="DI475">
        <v>96</v>
      </c>
      <c r="DN475" t="s">
        <v>268</v>
      </c>
      <c r="DR475">
        <v>236552</v>
      </c>
      <c r="DS475">
        <v>59434</v>
      </c>
      <c r="EW475" t="s">
        <v>333</v>
      </c>
      <c r="FM475">
        <v>18.3</v>
      </c>
      <c r="FR475" t="s">
        <v>295</v>
      </c>
      <c r="HH475" t="s">
        <v>272</v>
      </c>
      <c r="IE475" t="s">
        <v>1405</v>
      </c>
      <c r="IF475">
        <v>5416</v>
      </c>
      <c r="IG475" t="s">
        <v>1406</v>
      </c>
      <c r="IH475" t="s">
        <v>1407</v>
      </c>
      <c r="II475">
        <v>1988</v>
      </c>
      <c r="IJ475" t="s">
        <v>1408</v>
      </c>
    </row>
    <row r="476" spans="1:244" x14ac:dyDescent="0.45">
      <c r="A476">
        <v>2148065</v>
      </c>
      <c r="B476">
        <v>2282183</v>
      </c>
      <c r="C476">
        <v>7447394</v>
      </c>
      <c r="D476" t="s">
        <v>1162</v>
      </c>
      <c r="F476" t="s">
        <v>245</v>
      </c>
      <c r="G476" t="s">
        <v>272</v>
      </c>
      <c r="N476" t="s">
        <v>838</v>
      </c>
      <c r="O476" t="s">
        <v>839</v>
      </c>
      <c r="P476" t="s">
        <v>249</v>
      </c>
      <c r="Q476" t="s">
        <v>250</v>
      </c>
      <c r="R476" t="s">
        <v>251</v>
      </c>
      <c r="T476" t="s">
        <v>347</v>
      </c>
      <c r="U476" t="s">
        <v>348</v>
      </c>
      <c r="V476" t="s">
        <v>349</v>
      </c>
      <c r="W476" t="s">
        <v>350</v>
      </c>
      <c r="X476" t="s">
        <v>840</v>
      </c>
      <c r="Z476" t="s">
        <v>525</v>
      </c>
      <c r="AD476">
        <v>2</v>
      </c>
      <c r="AF476">
        <v>3</v>
      </c>
      <c r="AG476" t="s">
        <v>1409</v>
      </c>
      <c r="AJ476" t="s">
        <v>354</v>
      </c>
      <c r="AM476" t="s">
        <v>287</v>
      </c>
      <c r="AN476" t="s">
        <v>259</v>
      </c>
      <c r="AO476" t="s">
        <v>260</v>
      </c>
      <c r="AQ476" t="s">
        <v>261</v>
      </c>
      <c r="AS476">
        <v>14.5</v>
      </c>
      <c r="AU476">
        <v>7.9</v>
      </c>
      <c r="AW476">
        <v>16.3</v>
      </c>
      <c r="AX476" t="s">
        <v>356</v>
      </c>
      <c r="BO476" t="s">
        <v>261</v>
      </c>
      <c r="BQ476">
        <v>14.5</v>
      </c>
      <c r="BS476">
        <v>7.9</v>
      </c>
      <c r="BU476">
        <v>16.3</v>
      </c>
      <c r="BV476" t="s">
        <v>263</v>
      </c>
      <c r="CM476" t="s">
        <v>264</v>
      </c>
      <c r="CN476" t="s">
        <v>264</v>
      </c>
      <c r="CP476" t="s">
        <v>265</v>
      </c>
      <c r="DB476">
        <v>2</v>
      </c>
      <c r="DG476" t="s">
        <v>267</v>
      </c>
      <c r="DI476">
        <v>48</v>
      </c>
      <c r="DN476" t="s">
        <v>268</v>
      </c>
      <c r="DR476">
        <v>6661</v>
      </c>
      <c r="DS476">
        <v>3004</v>
      </c>
      <c r="DT476" t="s">
        <v>1285</v>
      </c>
      <c r="DV476">
        <v>48</v>
      </c>
      <c r="EA476" t="s">
        <v>268</v>
      </c>
      <c r="EC476">
        <v>2</v>
      </c>
      <c r="EH476" t="s">
        <v>267</v>
      </c>
      <c r="EJ476">
        <v>48</v>
      </c>
      <c r="EO476" t="s">
        <v>268</v>
      </c>
      <c r="EQ476">
        <v>2</v>
      </c>
      <c r="EV476" t="s">
        <v>267</v>
      </c>
      <c r="EW476" t="s">
        <v>293</v>
      </c>
      <c r="EY476" t="s">
        <v>377</v>
      </c>
      <c r="FM476">
        <v>25</v>
      </c>
      <c r="FR476" t="s">
        <v>295</v>
      </c>
      <c r="HH476" t="s">
        <v>272</v>
      </c>
      <c r="IE476" t="s">
        <v>1286</v>
      </c>
      <c r="IF476">
        <v>169914</v>
      </c>
      <c r="IG476" t="s">
        <v>1287</v>
      </c>
      <c r="IH476" t="s">
        <v>1288</v>
      </c>
      <c r="II476">
        <v>2011</v>
      </c>
      <c r="IJ476" t="s">
        <v>1289</v>
      </c>
    </row>
    <row r="477" spans="1:244" x14ac:dyDescent="0.45">
      <c r="A477">
        <v>1276510</v>
      </c>
      <c r="B477">
        <v>728481</v>
      </c>
      <c r="C477">
        <v>7447394</v>
      </c>
      <c r="D477" t="s">
        <v>1162</v>
      </c>
      <c r="F477" t="s">
        <v>245</v>
      </c>
      <c r="G477" t="s">
        <v>246</v>
      </c>
      <c r="N477" t="s">
        <v>1230</v>
      </c>
      <c r="O477" t="s">
        <v>248</v>
      </c>
      <c r="P477" t="s">
        <v>249</v>
      </c>
      <c r="Q477" t="s">
        <v>250</v>
      </c>
      <c r="R477" t="s">
        <v>251</v>
      </c>
      <c r="T477" t="s">
        <v>252</v>
      </c>
      <c r="U477" t="s">
        <v>253</v>
      </c>
      <c r="V477" t="s">
        <v>1231</v>
      </c>
      <c r="W477" t="s">
        <v>1232</v>
      </c>
      <c r="X477" t="s">
        <v>1233</v>
      </c>
      <c r="Z477" t="s">
        <v>1046</v>
      </c>
      <c r="AB477">
        <v>1</v>
      </c>
      <c r="AG477" t="s">
        <v>598</v>
      </c>
      <c r="AM477" t="s">
        <v>258</v>
      </c>
      <c r="AN477" t="s">
        <v>259</v>
      </c>
      <c r="AO477" t="s">
        <v>260</v>
      </c>
      <c r="AP477">
        <v>6</v>
      </c>
      <c r="AQ477" t="s">
        <v>261</v>
      </c>
      <c r="AS477">
        <v>303.39999999999998</v>
      </c>
      <c r="AU477">
        <v>270</v>
      </c>
      <c r="AW477">
        <v>340</v>
      </c>
      <c r="AX477" t="s">
        <v>262</v>
      </c>
      <c r="BO477" t="s">
        <v>261</v>
      </c>
      <c r="BQ477">
        <v>0.3034</v>
      </c>
      <c r="BS477">
        <v>0.27</v>
      </c>
      <c r="BU477">
        <v>0.34</v>
      </c>
      <c r="BV477" t="s">
        <v>263</v>
      </c>
      <c r="CM477" t="s">
        <v>264</v>
      </c>
      <c r="CN477" t="s">
        <v>264</v>
      </c>
      <c r="CP477" t="s">
        <v>265</v>
      </c>
      <c r="CQ477" t="s">
        <v>394</v>
      </c>
      <c r="DB477">
        <v>3</v>
      </c>
      <c r="DG477" t="s">
        <v>267</v>
      </c>
      <c r="DI477">
        <v>72</v>
      </c>
      <c r="DN477" t="s">
        <v>268</v>
      </c>
      <c r="DP477" t="s">
        <v>1258</v>
      </c>
      <c r="DS477">
        <v>4771</v>
      </c>
      <c r="DT477" t="s">
        <v>1259</v>
      </c>
      <c r="EW477" t="s">
        <v>293</v>
      </c>
      <c r="FK477" t="s">
        <v>1357</v>
      </c>
      <c r="FM477">
        <v>22</v>
      </c>
      <c r="FR477" t="s">
        <v>295</v>
      </c>
      <c r="GO477">
        <v>8</v>
      </c>
      <c r="GU477">
        <v>35</v>
      </c>
      <c r="GZ477" t="s">
        <v>362</v>
      </c>
      <c r="HH477" t="s">
        <v>272</v>
      </c>
      <c r="ID477" t="s">
        <v>1358</v>
      </c>
      <c r="IE477" t="s">
        <v>1262</v>
      </c>
      <c r="IF477">
        <v>73547</v>
      </c>
      <c r="IG477" t="s">
        <v>1263</v>
      </c>
      <c r="IH477" t="s">
        <v>1264</v>
      </c>
      <c r="II477">
        <v>2003</v>
      </c>
      <c r="IJ477" t="s">
        <v>1265</v>
      </c>
    </row>
    <row r="478" spans="1:244" x14ac:dyDescent="0.45">
      <c r="A478">
        <v>1227162</v>
      </c>
      <c r="B478">
        <v>218141</v>
      </c>
      <c r="C478">
        <v>7447394</v>
      </c>
      <c r="D478" t="s">
        <v>1162</v>
      </c>
      <c r="F478" t="s">
        <v>245</v>
      </c>
      <c r="G478" t="s">
        <v>246</v>
      </c>
      <c r="N478" t="s">
        <v>452</v>
      </c>
      <c r="O478" t="s">
        <v>346</v>
      </c>
      <c r="P478" t="s">
        <v>249</v>
      </c>
      <c r="Q478" t="s">
        <v>250</v>
      </c>
      <c r="R478" t="s">
        <v>251</v>
      </c>
      <c r="T478" t="s">
        <v>347</v>
      </c>
      <c r="U478" t="s">
        <v>348</v>
      </c>
      <c r="V478" t="s">
        <v>349</v>
      </c>
      <c r="W478" t="s">
        <v>350</v>
      </c>
      <c r="X478" t="s">
        <v>453</v>
      </c>
      <c r="Z478" t="s">
        <v>525</v>
      </c>
      <c r="AB478">
        <v>24</v>
      </c>
      <c r="AG478" t="s">
        <v>268</v>
      </c>
      <c r="AM478" t="s">
        <v>317</v>
      </c>
      <c r="AN478" t="s">
        <v>259</v>
      </c>
      <c r="AO478" t="s">
        <v>260</v>
      </c>
      <c r="AQ478" t="s">
        <v>261</v>
      </c>
      <c r="AS478">
        <v>1.28</v>
      </c>
      <c r="AU478">
        <v>1.01</v>
      </c>
      <c r="AW478">
        <v>1.56</v>
      </c>
      <c r="AX478" t="s">
        <v>356</v>
      </c>
      <c r="BO478" t="s">
        <v>261</v>
      </c>
      <c r="BQ478">
        <v>1.28</v>
      </c>
      <c r="BS478">
        <v>1.01</v>
      </c>
      <c r="BU478">
        <v>1.56</v>
      </c>
      <c r="BV478" t="s">
        <v>263</v>
      </c>
      <c r="CM478" t="s">
        <v>264</v>
      </c>
      <c r="CN478" t="s">
        <v>264</v>
      </c>
      <c r="CP478" t="s">
        <v>265</v>
      </c>
      <c r="DB478">
        <v>1</v>
      </c>
      <c r="DG478" t="s">
        <v>267</v>
      </c>
      <c r="DI478">
        <v>24</v>
      </c>
      <c r="DN478" t="s">
        <v>268</v>
      </c>
      <c r="DR478">
        <v>85549</v>
      </c>
      <c r="DS478">
        <v>366</v>
      </c>
      <c r="DT478" t="s">
        <v>1292</v>
      </c>
      <c r="EW478" t="s">
        <v>272</v>
      </c>
      <c r="FM478">
        <v>25</v>
      </c>
      <c r="FR478" t="s">
        <v>295</v>
      </c>
      <c r="GQ478">
        <v>8</v>
      </c>
      <c r="GS478">
        <v>8.1</v>
      </c>
      <c r="GU478">
        <v>100</v>
      </c>
      <c r="GZ478" t="s">
        <v>1293</v>
      </c>
      <c r="HH478" t="s">
        <v>272</v>
      </c>
      <c r="IE478" t="s">
        <v>1294</v>
      </c>
      <c r="IF478">
        <v>53890</v>
      </c>
      <c r="IG478" t="s">
        <v>1295</v>
      </c>
      <c r="IH478" t="s">
        <v>1296</v>
      </c>
      <c r="II478">
        <v>1995</v>
      </c>
      <c r="IJ478" t="s">
        <v>1297</v>
      </c>
    </row>
    <row r="479" spans="1:244" x14ac:dyDescent="0.45">
      <c r="A479">
        <v>1253248</v>
      </c>
      <c r="B479">
        <v>701721</v>
      </c>
      <c r="C479">
        <v>7447394</v>
      </c>
      <c r="D479" t="s">
        <v>1162</v>
      </c>
      <c r="F479" t="s">
        <v>327</v>
      </c>
      <c r="G479" t="s">
        <v>246</v>
      </c>
      <c r="N479" t="s">
        <v>1410</v>
      </c>
      <c r="O479" t="s">
        <v>1411</v>
      </c>
      <c r="P479" t="s">
        <v>249</v>
      </c>
      <c r="Q479" t="s">
        <v>250</v>
      </c>
      <c r="R479" t="s">
        <v>251</v>
      </c>
      <c r="T479" t="s">
        <v>252</v>
      </c>
      <c r="U479" t="s">
        <v>253</v>
      </c>
      <c r="V479" t="s">
        <v>1412</v>
      </c>
      <c r="W479" t="s">
        <v>1413</v>
      </c>
      <c r="X479" t="s">
        <v>1414</v>
      </c>
      <c r="Z479" t="s">
        <v>1046</v>
      </c>
      <c r="AM479" t="s">
        <v>317</v>
      </c>
      <c r="AN479" t="s">
        <v>259</v>
      </c>
      <c r="AO479" t="s">
        <v>260</v>
      </c>
      <c r="AP479">
        <v>5</v>
      </c>
      <c r="AQ479" t="s">
        <v>261</v>
      </c>
      <c r="AS479">
        <v>50</v>
      </c>
      <c r="AX479" t="s">
        <v>262</v>
      </c>
      <c r="BO479" t="s">
        <v>261</v>
      </c>
      <c r="BQ479">
        <v>0.05</v>
      </c>
      <c r="BV479" t="s">
        <v>263</v>
      </c>
      <c r="CM479" t="s">
        <v>264</v>
      </c>
      <c r="CN479" t="s">
        <v>264</v>
      </c>
      <c r="CP479" t="s">
        <v>265</v>
      </c>
      <c r="CQ479" t="s">
        <v>394</v>
      </c>
      <c r="DB479">
        <v>3</v>
      </c>
      <c r="DG479" t="s">
        <v>267</v>
      </c>
      <c r="DI479">
        <v>72</v>
      </c>
      <c r="DN479" t="s">
        <v>268</v>
      </c>
      <c r="DP479" t="s">
        <v>1258</v>
      </c>
      <c r="DR479">
        <v>99391</v>
      </c>
      <c r="DS479">
        <v>16419</v>
      </c>
      <c r="DT479" t="s">
        <v>1050</v>
      </c>
      <c r="EW479" t="s">
        <v>293</v>
      </c>
      <c r="FK479" t="s">
        <v>1362</v>
      </c>
      <c r="FM479">
        <v>18</v>
      </c>
      <c r="FR479" t="s">
        <v>295</v>
      </c>
      <c r="HH479" t="s">
        <v>272</v>
      </c>
      <c r="ID479" t="s">
        <v>1363</v>
      </c>
      <c r="IE479" t="s">
        <v>1053</v>
      </c>
      <c r="IF479">
        <v>56995</v>
      </c>
      <c r="IG479" t="s">
        <v>1054</v>
      </c>
      <c r="IH479" t="s">
        <v>1055</v>
      </c>
      <c r="II479">
        <v>2000</v>
      </c>
      <c r="IJ479" t="s">
        <v>1056</v>
      </c>
    </row>
    <row r="480" spans="1:244" x14ac:dyDescent="0.45">
      <c r="A480">
        <v>1183078</v>
      </c>
      <c r="B480">
        <v>148910</v>
      </c>
      <c r="C480">
        <v>7447394</v>
      </c>
      <c r="D480" t="s">
        <v>1162</v>
      </c>
      <c r="F480" t="s">
        <v>245</v>
      </c>
      <c r="G480" t="s">
        <v>246</v>
      </c>
      <c r="N480" t="s">
        <v>1183</v>
      </c>
      <c r="O480" t="s">
        <v>1184</v>
      </c>
      <c r="P480" t="s">
        <v>249</v>
      </c>
      <c r="Q480" t="s">
        <v>250</v>
      </c>
      <c r="R480" t="s">
        <v>251</v>
      </c>
      <c r="T480" t="s">
        <v>252</v>
      </c>
      <c r="U480" t="s">
        <v>253</v>
      </c>
      <c r="V480" t="s">
        <v>418</v>
      </c>
      <c r="W480" t="s">
        <v>419</v>
      </c>
      <c r="X480" t="s">
        <v>393</v>
      </c>
      <c r="Z480" t="s">
        <v>421</v>
      </c>
      <c r="AB480">
        <v>1</v>
      </c>
      <c r="AG480" t="s">
        <v>598</v>
      </c>
      <c r="AM480" t="s">
        <v>258</v>
      </c>
      <c r="AN480" t="s">
        <v>259</v>
      </c>
      <c r="AO480" t="s">
        <v>260</v>
      </c>
      <c r="AQ480" t="s">
        <v>261</v>
      </c>
      <c r="AS480">
        <v>20</v>
      </c>
      <c r="AX480" t="s">
        <v>262</v>
      </c>
      <c r="BO480" t="s">
        <v>261</v>
      </c>
      <c r="BQ480">
        <v>0.02</v>
      </c>
      <c r="BV480" t="s">
        <v>263</v>
      </c>
      <c r="CM480" t="s">
        <v>264</v>
      </c>
      <c r="CN480" t="s">
        <v>264</v>
      </c>
      <c r="CP480" t="s">
        <v>265</v>
      </c>
      <c r="CQ480" t="s">
        <v>394</v>
      </c>
      <c r="DB480">
        <v>4</v>
      </c>
      <c r="DG480" t="s">
        <v>267</v>
      </c>
      <c r="DI480">
        <v>96</v>
      </c>
      <c r="DN480" t="s">
        <v>268</v>
      </c>
      <c r="DS480">
        <v>388</v>
      </c>
      <c r="DT480" t="s">
        <v>1185</v>
      </c>
      <c r="EW480" t="s">
        <v>293</v>
      </c>
      <c r="FM480">
        <v>25</v>
      </c>
      <c r="FR480" t="s">
        <v>295</v>
      </c>
      <c r="GU480">
        <v>36</v>
      </c>
      <c r="GZ480" t="s">
        <v>296</v>
      </c>
      <c r="HH480" t="s">
        <v>272</v>
      </c>
      <c r="IE480" t="s">
        <v>1188</v>
      </c>
      <c r="IF480">
        <v>16111</v>
      </c>
      <c r="IG480" t="s">
        <v>1189</v>
      </c>
      <c r="IH480" t="s">
        <v>1190</v>
      </c>
      <c r="II480">
        <v>1995</v>
      </c>
      <c r="IJ480" t="s">
        <v>1191</v>
      </c>
    </row>
    <row r="481" spans="1:244" x14ac:dyDescent="0.45">
      <c r="A481">
        <v>1252797</v>
      </c>
      <c r="B481">
        <v>732005</v>
      </c>
      <c r="C481">
        <v>7447394</v>
      </c>
      <c r="D481" t="s">
        <v>1162</v>
      </c>
      <c r="E481" t="s">
        <v>1415</v>
      </c>
      <c r="F481" t="s">
        <v>245</v>
      </c>
      <c r="G481" t="s">
        <v>246</v>
      </c>
      <c r="N481" t="s">
        <v>944</v>
      </c>
      <c r="O481" t="s">
        <v>945</v>
      </c>
      <c r="P481" t="s">
        <v>249</v>
      </c>
      <c r="Q481" t="s">
        <v>250</v>
      </c>
      <c r="R481" t="s">
        <v>251</v>
      </c>
      <c r="T481" t="s">
        <v>252</v>
      </c>
      <c r="U481" t="s">
        <v>253</v>
      </c>
      <c r="V481" t="s">
        <v>418</v>
      </c>
      <c r="W481" t="s">
        <v>946</v>
      </c>
      <c r="X481" t="s">
        <v>947</v>
      </c>
      <c r="Z481" t="s">
        <v>421</v>
      </c>
      <c r="AJ481" t="s">
        <v>354</v>
      </c>
      <c r="AL481" t="s">
        <v>1416</v>
      </c>
      <c r="AM481" t="s">
        <v>258</v>
      </c>
      <c r="AN481" t="s">
        <v>259</v>
      </c>
      <c r="AO481" t="s">
        <v>260</v>
      </c>
      <c r="AQ481" t="s">
        <v>261</v>
      </c>
      <c r="AS481">
        <v>56.8</v>
      </c>
      <c r="AX481" t="s">
        <v>356</v>
      </c>
      <c r="BO481" t="s">
        <v>261</v>
      </c>
      <c r="BQ481">
        <v>56.8</v>
      </c>
      <c r="BV481" t="s">
        <v>263</v>
      </c>
      <c r="CM481" t="s">
        <v>264</v>
      </c>
      <c r="CN481" t="s">
        <v>264</v>
      </c>
      <c r="CP481" t="s">
        <v>265</v>
      </c>
      <c r="CQ481" t="s">
        <v>394</v>
      </c>
      <c r="DB481">
        <v>2</v>
      </c>
      <c r="DG481" t="s">
        <v>267</v>
      </c>
      <c r="DI481">
        <v>48</v>
      </c>
      <c r="DN481" t="s">
        <v>268</v>
      </c>
      <c r="DR481">
        <v>6689</v>
      </c>
      <c r="DS481">
        <v>11779</v>
      </c>
      <c r="DT481" t="s">
        <v>1417</v>
      </c>
      <c r="EW481" t="s">
        <v>293</v>
      </c>
      <c r="FK481" t="s">
        <v>1418</v>
      </c>
      <c r="FO481">
        <v>26.8</v>
      </c>
      <c r="FQ481">
        <v>27.6</v>
      </c>
      <c r="FR481" t="s">
        <v>295</v>
      </c>
      <c r="GJ481">
        <v>5.05</v>
      </c>
      <c r="GL481">
        <v>5.69</v>
      </c>
      <c r="GM481" t="s">
        <v>356</v>
      </c>
      <c r="GQ481">
        <v>8</v>
      </c>
      <c r="GS481">
        <v>8.1</v>
      </c>
      <c r="GU481">
        <v>34</v>
      </c>
      <c r="GZ481" t="s">
        <v>296</v>
      </c>
      <c r="HH481" t="s">
        <v>272</v>
      </c>
      <c r="ID481" t="s">
        <v>1419</v>
      </c>
      <c r="IE481" t="s">
        <v>1420</v>
      </c>
      <c r="IF481">
        <v>71692</v>
      </c>
      <c r="IG481" t="s">
        <v>1421</v>
      </c>
      <c r="IH481" t="s">
        <v>1422</v>
      </c>
      <c r="II481">
        <v>2003</v>
      </c>
      <c r="IJ481" t="s">
        <v>1423</v>
      </c>
    </row>
    <row r="482" spans="1:244" x14ac:dyDescent="0.45">
      <c r="A482">
        <v>1252797</v>
      </c>
      <c r="B482">
        <v>731955</v>
      </c>
      <c r="C482">
        <v>7447394</v>
      </c>
      <c r="D482" t="s">
        <v>1162</v>
      </c>
      <c r="E482" t="s">
        <v>1415</v>
      </c>
      <c r="F482" t="s">
        <v>245</v>
      </c>
      <c r="G482" t="s">
        <v>246</v>
      </c>
      <c r="N482" t="s">
        <v>944</v>
      </c>
      <c r="O482" t="s">
        <v>945</v>
      </c>
      <c r="P482" t="s">
        <v>249</v>
      </c>
      <c r="Q482" t="s">
        <v>250</v>
      </c>
      <c r="R482" t="s">
        <v>251</v>
      </c>
      <c r="T482" t="s">
        <v>252</v>
      </c>
      <c r="U482" t="s">
        <v>253</v>
      </c>
      <c r="V482" t="s">
        <v>418</v>
      </c>
      <c r="W482" t="s">
        <v>946</v>
      </c>
      <c r="X482" t="s">
        <v>947</v>
      </c>
      <c r="Z482" t="s">
        <v>421</v>
      </c>
      <c r="AJ482" t="s">
        <v>354</v>
      </c>
      <c r="AL482" t="s">
        <v>1416</v>
      </c>
      <c r="AM482" t="s">
        <v>258</v>
      </c>
      <c r="AN482" t="s">
        <v>259</v>
      </c>
      <c r="AO482" t="s">
        <v>260</v>
      </c>
      <c r="AQ482" t="s">
        <v>261</v>
      </c>
      <c r="AT482" t="s">
        <v>288</v>
      </c>
      <c r="AU482">
        <v>40</v>
      </c>
      <c r="AV482" t="s">
        <v>289</v>
      </c>
      <c r="AW482">
        <v>60</v>
      </c>
      <c r="AX482" t="s">
        <v>356</v>
      </c>
      <c r="BO482" t="s">
        <v>261</v>
      </c>
      <c r="BR482" t="s">
        <v>288</v>
      </c>
      <c r="BS482">
        <v>40</v>
      </c>
      <c r="BT482" t="s">
        <v>289</v>
      </c>
      <c r="BU482">
        <v>60</v>
      </c>
      <c r="BV482" t="s">
        <v>263</v>
      </c>
      <c r="CM482" t="s">
        <v>264</v>
      </c>
      <c r="CN482" t="s">
        <v>264</v>
      </c>
      <c r="CP482" t="s">
        <v>265</v>
      </c>
      <c r="CQ482" t="s">
        <v>394</v>
      </c>
      <c r="DB482">
        <v>3</v>
      </c>
      <c r="DG482" t="s">
        <v>267</v>
      </c>
      <c r="DI482">
        <v>72</v>
      </c>
      <c r="DN482" t="s">
        <v>268</v>
      </c>
      <c r="DR482">
        <v>6689</v>
      </c>
      <c r="DS482">
        <v>11779</v>
      </c>
      <c r="DT482" t="s">
        <v>1417</v>
      </c>
      <c r="EW482" t="s">
        <v>293</v>
      </c>
      <c r="FK482" t="s">
        <v>1424</v>
      </c>
      <c r="FO482">
        <v>26.8</v>
      </c>
      <c r="FQ482">
        <v>27.6</v>
      </c>
      <c r="FR482" t="s">
        <v>295</v>
      </c>
      <c r="GJ482">
        <v>5.05</v>
      </c>
      <c r="GL482">
        <v>5.69</v>
      </c>
      <c r="GM482" t="s">
        <v>356</v>
      </c>
      <c r="GQ482">
        <v>8</v>
      </c>
      <c r="GS482">
        <v>8.1</v>
      </c>
      <c r="GU482">
        <v>34</v>
      </c>
      <c r="GZ482" t="s">
        <v>296</v>
      </c>
      <c r="HH482" t="s">
        <v>272</v>
      </c>
      <c r="ID482" t="s">
        <v>1425</v>
      </c>
      <c r="IE482" t="s">
        <v>1420</v>
      </c>
      <c r="IF482">
        <v>71692</v>
      </c>
      <c r="IG482" t="s">
        <v>1421</v>
      </c>
      <c r="IH482" t="s">
        <v>1422</v>
      </c>
      <c r="II482">
        <v>2003</v>
      </c>
      <c r="IJ482" t="s">
        <v>1423</v>
      </c>
    </row>
    <row r="483" spans="1:244" x14ac:dyDescent="0.45">
      <c r="A483">
        <v>1252500</v>
      </c>
      <c r="B483">
        <v>700821</v>
      </c>
      <c r="C483">
        <v>7447394</v>
      </c>
      <c r="D483" t="s">
        <v>1162</v>
      </c>
      <c r="F483" t="s">
        <v>327</v>
      </c>
      <c r="G483" t="s">
        <v>246</v>
      </c>
      <c r="N483" t="s">
        <v>1426</v>
      </c>
      <c r="O483" t="s">
        <v>370</v>
      </c>
      <c r="P483" t="s">
        <v>249</v>
      </c>
      <c r="Q483" t="s">
        <v>250</v>
      </c>
      <c r="R483" t="s">
        <v>251</v>
      </c>
      <c r="T483" t="s">
        <v>252</v>
      </c>
      <c r="U483" t="s">
        <v>371</v>
      </c>
      <c r="V483" t="s">
        <v>372</v>
      </c>
      <c r="W483" t="s">
        <v>1427</v>
      </c>
      <c r="X483" t="s">
        <v>1428</v>
      </c>
      <c r="Z483" t="s">
        <v>649</v>
      </c>
      <c r="AD483">
        <v>1</v>
      </c>
      <c r="AF483">
        <v>5</v>
      </c>
      <c r="AG483" t="s">
        <v>267</v>
      </c>
      <c r="AM483" t="s">
        <v>258</v>
      </c>
      <c r="AN483" t="s">
        <v>259</v>
      </c>
      <c r="AO483" t="s">
        <v>260</v>
      </c>
      <c r="AP483">
        <v>6</v>
      </c>
      <c r="AQ483" t="s">
        <v>261</v>
      </c>
      <c r="AS483">
        <v>46</v>
      </c>
      <c r="AX483" t="s">
        <v>262</v>
      </c>
      <c r="BO483" t="s">
        <v>261</v>
      </c>
      <c r="BQ483">
        <v>4.5999999999999999E-2</v>
      </c>
      <c r="BV483" t="s">
        <v>263</v>
      </c>
      <c r="CM483" t="s">
        <v>264</v>
      </c>
      <c r="CN483" t="s">
        <v>264</v>
      </c>
      <c r="CP483" t="s">
        <v>265</v>
      </c>
      <c r="CQ483" t="s">
        <v>394</v>
      </c>
      <c r="DB483">
        <v>4</v>
      </c>
      <c r="DG483" t="s">
        <v>267</v>
      </c>
      <c r="DI483">
        <v>96</v>
      </c>
      <c r="DN483" t="s">
        <v>268</v>
      </c>
      <c r="DP483" t="s">
        <v>1429</v>
      </c>
      <c r="DR483">
        <v>223650</v>
      </c>
      <c r="DS483">
        <v>1577</v>
      </c>
      <c r="DT483" t="s">
        <v>1430</v>
      </c>
      <c r="EW483" t="s">
        <v>293</v>
      </c>
      <c r="FK483" t="s">
        <v>1431</v>
      </c>
      <c r="FM483">
        <v>20</v>
      </c>
      <c r="FR483" t="s">
        <v>295</v>
      </c>
      <c r="GU483">
        <v>5</v>
      </c>
      <c r="GZ483" t="s">
        <v>296</v>
      </c>
      <c r="HH483" t="s">
        <v>272</v>
      </c>
      <c r="ID483" t="s">
        <v>1432</v>
      </c>
      <c r="IE483" t="s">
        <v>1433</v>
      </c>
      <c r="IF483">
        <v>75445</v>
      </c>
      <c r="IG483" t="s">
        <v>1434</v>
      </c>
      <c r="IH483" t="s">
        <v>1435</v>
      </c>
      <c r="II483">
        <v>2003</v>
      </c>
      <c r="IJ483" t="s">
        <v>1436</v>
      </c>
    </row>
    <row r="484" spans="1:244" x14ac:dyDescent="0.45">
      <c r="A484">
        <v>1252797</v>
      </c>
      <c r="B484">
        <v>731954</v>
      </c>
      <c r="C484">
        <v>7447394</v>
      </c>
      <c r="D484" t="s">
        <v>1162</v>
      </c>
      <c r="E484" t="s">
        <v>1415</v>
      </c>
      <c r="F484" t="s">
        <v>245</v>
      </c>
      <c r="G484" t="s">
        <v>246</v>
      </c>
      <c r="N484" t="s">
        <v>944</v>
      </c>
      <c r="O484" t="s">
        <v>945</v>
      </c>
      <c r="P484" t="s">
        <v>249</v>
      </c>
      <c r="Q484" t="s">
        <v>250</v>
      </c>
      <c r="R484" t="s">
        <v>251</v>
      </c>
      <c r="T484" t="s">
        <v>252</v>
      </c>
      <c r="U484" t="s">
        <v>253</v>
      </c>
      <c r="V484" t="s">
        <v>418</v>
      </c>
      <c r="W484" t="s">
        <v>946</v>
      </c>
      <c r="X484" t="s">
        <v>947</v>
      </c>
      <c r="Z484" t="s">
        <v>421</v>
      </c>
      <c r="AJ484" t="s">
        <v>354</v>
      </c>
      <c r="AL484" t="s">
        <v>1416</v>
      </c>
      <c r="AM484" t="s">
        <v>258</v>
      </c>
      <c r="AN484" t="s">
        <v>259</v>
      </c>
      <c r="AO484" t="s">
        <v>260</v>
      </c>
      <c r="AQ484" t="s">
        <v>261</v>
      </c>
      <c r="AT484" t="s">
        <v>288</v>
      </c>
      <c r="AU484">
        <v>60</v>
      </c>
      <c r="AV484" t="s">
        <v>289</v>
      </c>
      <c r="AW484">
        <v>80</v>
      </c>
      <c r="AX484" t="s">
        <v>356</v>
      </c>
      <c r="BO484" t="s">
        <v>261</v>
      </c>
      <c r="BR484" t="s">
        <v>288</v>
      </c>
      <c r="BS484">
        <v>60</v>
      </c>
      <c r="BT484" t="s">
        <v>289</v>
      </c>
      <c r="BU484">
        <v>80</v>
      </c>
      <c r="BV484" t="s">
        <v>263</v>
      </c>
      <c r="CM484" t="s">
        <v>264</v>
      </c>
      <c r="CN484" t="s">
        <v>264</v>
      </c>
      <c r="CP484" t="s">
        <v>265</v>
      </c>
      <c r="CQ484" t="s">
        <v>394</v>
      </c>
      <c r="DB484">
        <v>1</v>
      </c>
      <c r="DG484" t="s">
        <v>267</v>
      </c>
      <c r="DI484">
        <v>24</v>
      </c>
      <c r="DN484" t="s">
        <v>268</v>
      </c>
      <c r="DR484">
        <v>6689</v>
      </c>
      <c r="DS484">
        <v>11779</v>
      </c>
      <c r="DT484" t="s">
        <v>1417</v>
      </c>
      <c r="EW484" t="s">
        <v>293</v>
      </c>
      <c r="FK484" t="s">
        <v>1424</v>
      </c>
      <c r="FO484">
        <v>26.8</v>
      </c>
      <c r="FQ484">
        <v>27.6</v>
      </c>
      <c r="FR484" t="s">
        <v>295</v>
      </c>
      <c r="GJ484">
        <v>5.05</v>
      </c>
      <c r="GL484">
        <v>5.69</v>
      </c>
      <c r="GM484" t="s">
        <v>356</v>
      </c>
      <c r="GQ484">
        <v>8</v>
      </c>
      <c r="GS484">
        <v>8.1</v>
      </c>
      <c r="GU484">
        <v>34</v>
      </c>
      <c r="GZ484" t="s">
        <v>296</v>
      </c>
      <c r="HH484" t="s">
        <v>272</v>
      </c>
      <c r="ID484" t="s">
        <v>1425</v>
      </c>
      <c r="IE484" t="s">
        <v>1420</v>
      </c>
      <c r="IF484">
        <v>71692</v>
      </c>
      <c r="IG484" t="s">
        <v>1421</v>
      </c>
      <c r="IH484" t="s">
        <v>1422</v>
      </c>
      <c r="II484">
        <v>2003</v>
      </c>
      <c r="IJ484" t="s">
        <v>1423</v>
      </c>
    </row>
    <row r="485" spans="1:244" x14ac:dyDescent="0.45">
      <c r="A485">
        <v>1252797</v>
      </c>
      <c r="B485">
        <v>701159</v>
      </c>
      <c r="C485">
        <v>7447394</v>
      </c>
      <c r="D485" t="s">
        <v>1162</v>
      </c>
      <c r="E485" t="s">
        <v>1415</v>
      </c>
      <c r="F485" t="s">
        <v>245</v>
      </c>
      <c r="G485" t="s">
        <v>246</v>
      </c>
      <c r="N485" t="s">
        <v>944</v>
      </c>
      <c r="O485" t="s">
        <v>945</v>
      </c>
      <c r="P485" t="s">
        <v>249</v>
      </c>
      <c r="Q485" t="s">
        <v>250</v>
      </c>
      <c r="R485" t="s">
        <v>251</v>
      </c>
      <c r="T485" t="s">
        <v>252</v>
      </c>
      <c r="U485" t="s">
        <v>253</v>
      </c>
      <c r="V485" t="s">
        <v>418</v>
      </c>
      <c r="W485" t="s">
        <v>946</v>
      </c>
      <c r="X485" t="s">
        <v>947</v>
      </c>
      <c r="Z485" t="s">
        <v>421</v>
      </c>
      <c r="AJ485" t="s">
        <v>354</v>
      </c>
      <c r="AL485" t="s">
        <v>1416</v>
      </c>
      <c r="AM485" t="s">
        <v>258</v>
      </c>
      <c r="AN485" t="s">
        <v>259</v>
      </c>
      <c r="AO485" t="s">
        <v>260</v>
      </c>
      <c r="AQ485" t="s">
        <v>261</v>
      </c>
      <c r="AS485">
        <v>37</v>
      </c>
      <c r="AX485" t="s">
        <v>356</v>
      </c>
      <c r="BO485" t="s">
        <v>261</v>
      </c>
      <c r="BQ485">
        <v>37</v>
      </c>
      <c r="BV485" t="s">
        <v>263</v>
      </c>
      <c r="CM485" t="s">
        <v>264</v>
      </c>
      <c r="CN485" t="s">
        <v>264</v>
      </c>
      <c r="CO485" t="s">
        <v>1437</v>
      </c>
      <c r="CP485" t="s">
        <v>265</v>
      </c>
      <c r="CQ485" t="s">
        <v>394</v>
      </c>
      <c r="DB485">
        <v>4</v>
      </c>
      <c r="DG485" t="s">
        <v>267</v>
      </c>
      <c r="DI485">
        <v>96</v>
      </c>
      <c r="DN485" t="s">
        <v>268</v>
      </c>
      <c r="DR485">
        <v>6689</v>
      </c>
      <c r="DS485">
        <v>11779</v>
      </c>
      <c r="DT485" t="s">
        <v>1417</v>
      </c>
      <c r="EW485" t="s">
        <v>293</v>
      </c>
      <c r="FK485" t="s">
        <v>1438</v>
      </c>
      <c r="FO485">
        <v>26.8</v>
      </c>
      <c r="FQ485">
        <v>27.6</v>
      </c>
      <c r="FR485" t="s">
        <v>295</v>
      </c>
      <c r="GQ485">
        <v>8</v>
      </c>
      <c r="GS485">
        <v>8.1</v>
      </c>
      <c r="GU485">
        <v>34</v>
      </c>
      <c r="GZ485" t="s">
        <v>296</v>
      </c>
      <c r="HH485" t="s">
        <v>272</v>
      </c>
      <c r="ID485" t="s">
        <v>1439</v>
      </c>
      <c r="IE485" t="s">
        <v>1420</v>
      </c>
      <c r="IF485">
        <v>71692</v>
      </c>
      <c r="IG485" t="s">
        <v>1421</v>
      </c>
      <c r="IH485" t="s">
        <v>1422</v>
      </c>
      <c r="II485">
        <v>2003</v>
      </c>
      <c r="IJ485" t="s">
        <v>1423</v>
      </c>
    </row>
    <row r="486" spans="1:244" x14ac:dyDescent="0.45">
      <c r="A486">
        <v>1183072</v>
      </c>
      <c r="B486">
        <v>148904</v>
      </c>
      <c r="C486">
        <v>7447394</v>
      </c>
      <c r="D486" t="s">
        <v>1162</v>
      </c>
      <c r="F486" t="s">
        <v>245</v>
      </c>
      <c r="G486" t="s">
        <v>246</v>
      </c>
      <c r="N486" t="s">
        <v>1183</v>
      </c>
      <c r="O486" t="s">
        <v>1184</v>
      </c>
      <c r="P486" t="s">
        <v>249</v>
      </c>
      <c r="Q486" t="s">
        <v>250</v>
      </c>
      <c r="R486" t="s">
        <v>251</v>
      </c>
      <c r="T486" t="s">
        <v>252</v>
      </c>
      <c r="U486" t="s">
        <v>253</v>
      </c>
      <c r="V486" t="s">
        <v>418</v>
      </c>
      <c r="W486" t="s">
        <v>419</v>
      </c>
      <c r="X486" t="s">
        <v>393</v>
      </c>
      <c r="Z486" t="s">
        <v>983</v>
      </c>
      <c r="AB486">
        <v>2</v>
      </c>
      <c r="AG486" t="s">
        <v>598</v>
      </c>
      <c r="AM486" t="s">
        <v>317</v>
      </c>
      <c r="AN486" t="s">
        <v>259</v>
      </c>
      <c r="AO486" t="s">
        <v>260</v>
      </c>
      <c r="AQ486" t="s">
        <v>261</v>
      </c>
      <c r="AR486" t="s">
        <v>515</v>
      </c>
      <c r="AS486">
        <v>60</v>
      </c>
      <c r="AX486" t="s">
        <v>262</v>
      </c>
      <c r="BO486" t="s">
        <v>261</v>
      </c>
      <c r="BP486" t="s">
        <v>515</v>
      </c>
      <c r="BQ486">
        <v>0.06</v>
      </c>
      <c r="BV486" t="s">
        <v>263</v>
      </c>
      <c r="CM486" t="s">
        <v>264</v>
      </c>
      <c r="CN486" t="s">
        <v>264</v>
      </c>
      <c r="CP486" t="s">
        <v>265</v>
      </c>
      <c r="CQ486" t="s">
        <v>394</v>
      </c>
      <c r="DB486">
        <v>2</v>
      </c>
      <c r="DG486" t="s">
        <v>267</v>
      </c>
      <c r="DI486">
        <v>48</v>
      </c>
      <c r="DN486" t="s">
        <v>268</v>
      </c>
      <c r="DS486">
        <v>388</v>
      </c>
      <c r="DT486" t="s">
        <v>1185</v>
      </c>
      <c r="EW486" t="s">
        <v>293</v>
      </c>
      <c r="FM486">
        <v>25</v>
      </c>
      <c r="FR486" t="s">
        <v>295</v>
      </c>
      <c r="GU486">
        <v>36</v>
      </c>
      <c r="GZ486" t="s">
        <v>296</v>
      </c>
      <c r="HH486" t="s">
        <v>272</v>
      </c>
      <c r="IE486" t="s">
        <v>1188</v>
      </c>
      <c r="IF486">
        <v>16111</v>
      </c>
      <c r="IG486" t="s">
        <v>1189</v>
      </c>
      <c r="IH486" t="s">
        <v>1190</v>
      </c>
      <c r="II486">
        <v>1995</v>
      </c>
      <c r="IJ486" t="s">
        <v>1191</v>
      </c>
    </row>
    <row r="487" spans="1:244" x14ac:dyDescent="0.45">
      <c r="A487">
        <v>1226468</v>
      </c>
      <c r="B487">
        <v>219644</v>
      </c>
      <c r="C487">
        <v>7447394</v>
      </c>
      <c r="D487" t="s">
        <v>1162</v>
      </c>
      <c r="E487" t="s">
        <v>386</v>
      </c>
      <c r="F487" t="s">
        <v>245</v>
      </c>
      <c r="G487" t="s">
        <v>246</v>
      </c>
      <c r="N487" t="s">
        <v>302</v>
      </c>
      <c r="O487" t="s">
        <v>303</v>
      </c>
      <c r="P487" t="s">
        <v>249</v>
      </c>
      <c r="Q487" t="s">
        <v>250</v>
      </c>
      <c r="R487" t="s">
        <v>251</v>
      </c>
      <c r="T487" t="s">
        <v>252</v>
      </c>
      <c r="U487" t="s">
        <v>253</v>
      </c>
      <c r="V487" t="s">
        <v>304</v>
      </c>
      <c r="W487" t="s">
        <v>305</v>
      </c>
      <c r="X487" t="s">
        <v>306</v>
      </c>
      <c r="Z487" t="s">
        <v>1057</v>
      </c>
      <c r="AL487" t="s">
        <v>1324</v>
      </c>
      <c r="AM487" t="s">
        <v>317</v>
      </c>
      <c r="AN487" t="s">
        <v>259</v>
      </c>
      <c r="AO487" t="s">
        <v>260</v>
      </c>
      <c r="AQ487" t="s">
        <v>261</v>
      </c>
      <c r="AS487">
        <v>12.79</v>
      </c>
      <c r="AX487" t="s">
        <v>356</v>
      </c>
      <c r="BO487" t="s">
        <v>261</v>
      </c>
      <c r="BQ487">
        <v>12.79</v>
      </c>
      <c r="BV487" t="s">
        <v>263</v>
      </c>
      <c r="CM487" t="s">
        <v>264</v>
      </c>
      <c r="CN487" t="s">
        <v>264</v>
      </c>
      <c r="CP487" t="s">
        <v>265</v>
      </c>
      <c r="CQ487" t="s">
        <v>394</v>
      </c>
      <c r="DB487">
        <v>2</v>
      </c>
      <c r="DG487" t="s">
        <v>267</v>
      </c>
      <c r="DI487">
        <v>48</v>
      </c>
      <c r="DN487" t="s">
        <v>268</v>
      </c>
      <c r="DR487">
        <v>338212</v>
      </c>
      <c r="DS487">
        <v>732</v>
      </c>
      <c r="DT487" t="s">
        <v>1211</v>
      </c>
      <c r="EW487" t="s">
        <v>293</v>
      </c>
      <c r="GU487">
        <v>36</v>
      </c>
      <c r="GZ487" t="s">
        <v>900</v>
      </c>
      <c r="HH487" t="s">
        <v>272</v>
      </c>
      <c r="IE487" t="s">
        <v>1212</v>
      </c>
      <c r="IF487">
        <v>51641</v>
      </c>
      <c r="IG487" t="s">
        <v>1213</v>
      </c>
      <c r="IH487" t="s">
        <v>1214</v>
      </c>
      <c r="II487">
        <v>2000</v>
      </c>
      <c r="IJ487" t="s">
        <v>1215</v>
      </c>
    </row>
    <row r="488" spans="1:244" x14ac:dyDescent="0.45">
      <c r="A488">
        <v>1183075</v>
      </c>
      <c r="B488">
        <v>148907</v>
      </c>
      <c r="C488">
        <v>7447394</v>
      </c>
      <c r="D488" t="s">
        <v>1162</v>
      </c>
      <c r="F488" t="s">
        <v>245</v>
      </c>
      <c r="G488" t="s">
        <v>246</v>
      </c>
      <c r="N488" t="s">
        <v>1183</v>
      </c>
      <c r="O488" t="s">
        <v>1184</v>
      </c>
      <c r="P488" t="s">
        <v>249</v>
      </c>
      <c r="Q488" t="s">
        <v>250</v>
      </c>
      <c r="R488" t="s">
        <v>251</v>
      </c>
      <c r="T488" t="s">
        <v>252</v>
      </c>
      <c r="U488" t="s">
        <v>253</v>
      </c>
      <c r="V488" t="s">
        <v>418</v>
      </c>
      <c r="W488" t="s">
        <v>419</v>
      </c>
      <c r="X488" t="s">
        <v>393</v>
      </c>
      <c r="Z488" t="s">
        <v>983</v>
      </c>
      <c r="AB488">
        <v>2</v>
      </c>
      <c r="AG488" t="s">
        <v>598</v>
      </c>
      <c r="AM488" t="s">
        <v>258</v>
      </c>
      <c r="AN488" t="s">
        <v>259</v>
      </c>
      <c r="AO488" t="s">
        <v>260</v>
      </c>
      <c r="AQ488" t="s">
        <v>261</v>
      </c>
      <c r="AR488" t="s">
        <v>515</v>
      </c>
      <c r="AS488">
        <v>5</v>
      </c>
      <c r="AX488" t="s">
        <v>262</v>
      </c>
      <c r="BO488" t="s">
        <v>261</v>
      </c>
      <c r="BP488" t="s">
        <v>515</v>
      </c>
      <c r="BQ488">
        <v>5.0000000000000001E-3</v>
      </c>
      <c r="BV488" t="s">
        <v>263</v>
      </c>
      <c r="CM488" t="s">
        <v>264</v>
      </c>
      <c r="CN488" t="s">
        <v>264</v>
      </c>
      <c r="CP488" t="s">
        <v>265</v>
      </c>
      <c r="CQ488" t="s">
        <v>394</v>
      </c>
      <c r="DB488">
        <v>4</v>
      </c>
      <c r="DG488" t="s">
        <v>267</v>
      </c>
      <c r="DI488">
        <v>96</v>
      </c>
      <c r="DN488" t="s">
        <v>268</v>
      </c>
      <c r="DS488">
        <v>388</v>
      </c>
      <c r="DT488" t="s">
        <v>1185</v>
      </c>
      <c r="EW488" t="s">
        <v>293</v>
      </c>
      <c r="FM488">
        <v>25</v>
      </c>
      <c r="FR488" t="s">
        <v>295</v>
      </c>
      <c r="GU488">
        <v>36</v>
      </c>
      <c r="GZ488" t="s">
        <v>296</v>
      </c>
      <c r="HH488" t="s">
        <v>272</v>
      </c>
      <c r="IE488" t="s">
        <v>1188</v>
      </c>
      <c r="IF488">
        <v>16111</v>
      </c>
      <c r="IG488" t="s">
        <v>1189</v>
      </c>
      <c r="IH488" t="s">
        <v>1190</v>
      </c>
      <c r="II488">
        <v>1995</v>
      </c>
      <c r="IJ488" t="s">
        <v>1191</v>
      </c>
    </row>
    <row r="489" spans="1:244" x14ac:dyDescent="0.45">
      <c r="A489">
        <v>1226472</v>
      </c>
      <c r="B489">
        <v>219648</v>
      </c>
      <c r="C489">
        <v>7447394</v>
      </c>
      <c r="D489" t="s">
        <v>1162</v>
      </c>
      <c r="E489" t="s">
        <v>386</v>
      </c>
      <c r="F489" t="s">
        <v>245</v>
      </c>
      <c r="G489" t="s">
        <v>246</v>
      </c>
      <c r="N489" t="s">
        <v>302</v>
      </c>
      <c r="O489" t="s">
        <v>303</v>
      </c>
      <c r="P489" t="s">
        <v>249</v>
      </c>
      <c r="Q489" t="s">
        <v>250</v>
      </c>
      <c r="R489" t="s">
        <v>251</v>
      </c>
      <c r="T489" t="s">
        <v>252</v>
      </c>
      <c r="U489" t="s">
        <v>253</v>
      </c>
      <c r="V489" t="s">
        <v>304</v>
      </c>
      <c r="W489" t="s">
        <v>305</v>
      </c>
      <c r="X489" t="s">
        <v>306</v>
      </c>
      <c r="Z489" t="s">
        <v>1057</v>
      </c>
      <c r="AL489" t="s">
        <v>1440</v>
      </c>
      <c r="AM489" t="s">
        <v>317</v>
      </c>
      <c r="AN489" t="s">
        <v>259</v>
      </c>
      <c r="AO489" t="s">
        <v>260</v>
      </c>
      <c r="AQ489" t="s">
        <v>261</v>
      </c>
      <c r="AS489">
        <v>2.4700000000000002</v>
      </c>
      <c r="AX489" t="s">
        <v>356</v>
      </c>
      <c r="BO489" t="s">
        <v>261</v>
      </c>
      <c r="BQ489">
        <v>2.4700000000000002</v>
      </c>
      <c r="BV489" t="s">
        <v>263</v>
      </c>
      <c r="CM489" t="s">
        <v>264</v>
      </c>
      <c r="CN489" t="s">
        <v>264</v>
      </c>
      <c r="CP489" t="s">
        <v>265</v>
      </c>
      <c r="CQ489" t="s">
        <v>394</v>
      </c>
      <c r="DB489">
        <v>4</v>
      </c>
      <c r="DG489" t="s">
        <v>267</v>
      </c>
      <c r="DI489">
        <v>96</v>
      </c>
      <c r="DN489" t="s">
        <v>268</v>
      </c>
      <c r="DR489">
        <v>338212</v>
      </c>
      <c r="DS489">
        <v>732</v>
      </c>
      <c r="DT489" t="s">
        <v>1211</v>
      </c>
      <c r="EW489" t="s">
        <v>293</v>
      </c>
      <c r="GU489">
        <v>36</v>
      </c>
      <c r="GZ489" t="s">
        <v>900</v>
      </c>
      <c r="HH489" t="s">
        <v>272</v>
      </c>
      <c r="IE489" t="s">
        <v>1212</v>
      </c>
      <c r="IF489">
        <v>51641</v>
      </c>
      <c r="IG489" t="s">
        <v>1213</v>
      </c>
      <c r="IH489" t="s">
        <v>1214</v>
      </c>
      <c r="II489">
        <v>2000</v>
      </c>
      <c r="IJ489" t="s">
        <v>1215</v>
      </c>
    </row>
    <row r="490" spans="1:244" x14ac:dyDescent="0.45">
      <c r="A490">
        <v>1312731</v>
      </c>
      <c r="B490">
        <v>770199</v>
      </c>
      <c r="C490">
        <v>7447394</v>
      </c>
      <c r="D490" t="s">
        <v>1162</v>
      </c>
      <c r="E490" t="s">
        <v>622</v>
      </c>
      <c r="F490" t="s">
        <v>272</v>
      </c>
      <c r="G490" t="s">
        <v>246</v>
      </c>
      <c r="N490" t="s">
        <v>1298</v>
      </c>
      <c r="O490" t="s">
        <v>1299</v>
      </c>
      <c r="P490" t="s">
        <v>249</v>
      </c>
      <c r="Q490" t="s">
        <v>250</v>
      </c>
      <c r="R490" t="s">
        <v>251</v>
      </c>
      <c r="T490" t="s">
        <v>252</v>
      </c>
      <c r="U490" t="s">
        <v>371</v>
      </c>
      <c r="V490" t="s">
        <v>372</v>
      </c>
      <c r="W490" t="s">
        <v>1300</v>
      </c>
      <c r="X490" t="s">
        <v>1301</v>
      </c>
      <c r="Z490" t="s">
        <v>649</v>
      </c>
      <c r="AD490">
        <v>2</v>
      </c>
      <c r="AF490">
        <v>3</v>
      </c>
      <c r="AG490" t="s">
        <v>267</v>
      </c>
      <c r="AM490" t="s">
        <v>317</v>
      </c>
      <c r="AN490" t="s">
        <v>259</v>
      </c>
      <c r="AO490" t="s">
        <v>260</v>
      </c>
      <c r="AP490" t="s">
        <v>559</v>
      </c>
      <c r="AQ490" t="s">
        <v>261</v>
      </c>
      <c r="AS490">
        <v>0.15</v>
      </c>
      <c r="AX490" t="s">
        <v>356</v>
      </c>
      <c r="BO490" t="s">
        <v>261</v>
      </c>
      <c r="BQ490">
        <v>0.15</v>
      </c>
      <c r="BV490" t="s">
        <v>263</v>
      </c>
      <c r="CM490" t="s">
        <v>264</v>
      </c>
      <c r="CN490" t="s">
        <v>264</v>
      </c>
      <c r="CP490" t="s">
        <v>265</v>
      </c>
      <c r="DB490">
        <v>4</v>
      </c>
      <c r="DG490" t="s">
        <v>267</v>
      </c>
      <c r="DI490">
        <v>96</v>
      </c>
      <c r="DN490" t="s">
        <v>268</v>
      </c>
      <c r="DP490" t="s">
        <v>1220</v>
      </c>
      <c r="DS490">
        <v>20391</v>
      </c>
      <c r="DT490" t="s">
        <v>1302</v>
      </c>
      <c r="EW490" t="s">
        <v>293</v>
      </c>
      <c r="FA490" t="s">
        <v>1441</v>
      </c>
      <c r="FK490" t="s">
        <v>1442</v>
      </c>
      <c r="FM490">
        <v>25</v>
      </c>
      <c r="FR490" t="s">
        <v>295</v>
      </c>
      <c r="GG490" t="s">
        <v>288</v>
      </c>
      <c r="GH490">
        <v>80</v>
      </c>
      <c r="GM490" t="s">
        <v>1224</v>
      </c>
      <c r="GQ490">
        <v>7.5</v>
      </c>
      <c r="GS490">
        <v>8.5</v>
      </c>
      <c r="GU490">
        <v>25</v>
      </c>
      <c r="GZ490" t="s">
        <v>900</v>
      </c>
      <c r="HH490" t="s">
        <v>272</v>
      </c>
      <c r="ID490" t="s">
        <v>1443</v>
      </c>
      <c r="IE490" t="s">
        <v>1306</v>
      </c>
      <c r="IF490">
        <v>117932</v>
      </c>
      <c r="IG490" t="s">
        <v>1307</v>
      </c>
      <c r="IH490" t="s">
        <v>1308</v>
      </c>
      <c r="II490">
        <v>2008</v>
      </c>
      <c r="IJ490" t="s">
        <v>1309</v>
      </c>
    </row>
    <row r="491" spans="1:244" x14ac:dyDescent="0.45">
      <c r="A491">
        <v>1304635</v>
      </c>
      <c r="B491">
        <v>761283</v>
      </c>
      <c r="C491">
        <v>7447394</v>
      </c>
      <c r="D491" t="s">
        <v>1162</v>
      </c>
      <c r="F491" t="s">
        <v>245</v>
      </c>
      <c r="G491" t="s">
        <v>246</v>
      </c>
      <c r="N491" t="s">
        <v>1230</v>
      </c>
      <c r="O491" t="s">
        <v>248</v>
      </c>
      <c r="P491" t="s">
        <v>249</v>
      </c>
      <c r="Q491" t="s">
        <v>250</v>
      </c>
      <c r="R491" t="s">
        <v>251</v>
      </c>
      <c r="T491" t="s">
        <v>252</v>
      </c>
      <c r="U491" t="s">
        <v>253</v>
      </c>
      <c r="V491" t="s">
        <v>1231</v>
      </c>
      <c r="W491" t="s">
        <v>1232</v>
      </c>
      <c r="X491" t="s">
        <v>1233</v>
      </c>
      <c r="Z491" t="s">
        <v>1046</v>
      </c>
      <c r="AA491" t="s">
        <v>289</v>
      </c>
      <c r="AB491">
        <v>8</v>
      </c>
      <c r="AG491" t="s">
        <v>353</v>
      </c>
      <c r="AM491" t="s">
        <v>258</v>
      </c>
      <c r="AN491" t="s">
        <v>259</v>
      </c>
      <c r="AO491" t="s">
        <v>260</v>
      </c>
      <c r="AP491">
        <v>6</v>
      </c>
      <c r="AQ491" t="s">
        <v>261</v>
      </c>
      <c r="AS491">
        <v>371.3</v>
      </c>
      <c r="AU491">
        <v>325.10000000000002</v>
      </c>
      <c r="AW491">
        <v>422.8</v>
      </c>
      <c r="AX491" t="s">
        <v>262</v>
      </c>
      <c r="BO491" t="s">
        <v>261</v>
      </c>
      <c r="BQ491">
        <v>0.37130000000000002</v>
      </c>
      <c r="BS491">
        <v>0.3251</v>
      </c>
      <c r="BU491">
        <v>0.42280000000000001</v>
      </c>
      <c r="BV491" t="s">
        <v>263</v>
      </c>
      <c r="CM491" t="s">
        <v>264</v>
      </c>
      <c r="CN491" t="s">
        <v>264</v>
      </c>
      <c r="CP491" t="s">
        <v>265</v>
      </c>
      <c r="CQ491" t="s">
        <v>394</v>
      </c>
      <c r="DB491">
        <v>2</v>
      </c>
      <c r="DG491" t="s">
        <v>267</v>
      </c>
      <c r="DI491">
        <v>48</v>
      </c>
      <c r="DN491" t="s">
        <v>268</v>
      </c>
      <c r="DP491" t="s">
        <v>1234</v>
      </c>
      <c r="DS491">
        <v>4771</v>
      </c>
      <c r="DT491" t="s">
        <v>1235</v>
      </c>
      <c r="EW491" t="s">
        <v>293</v>
      </c>
      <c r="FA491" t="s">
        <v>397</v>
      </c>
      <c r="FK491" t="s">
        <v>1236</v>
      </c>
      <c r="FM491">
        <v>22</v>
      </c>
      <c r="FR491" t="s">
        <v>295</v>
      </c>
      <c r="GO491">
        <v>8</v>
      </c>
      <c r="GU491">
        <v>35</v>
      </c>
      <c r="GZ491" t="s">
        <v>362</v>
      </c>
      <c r="HH491" t="s">
        <v>272</v>
      </c>
      <c r="ID491" t="s">
        <v>1237</v>
      </c>
      <c r="IE491" t="s">
        <v>1238</v>
      </c>
      <c r="IF491">
        <v>97270</v>
      </c>
      <c r="IG491" t="s">
        <v>1239</v>
      </c>
      <c r="IH491" t="s">
        <v>1240</v>
      </c>
      <c r="II491">
        <v>2006</v>
      </c>
      <c r="IJ491" t="s">
        <v>1241</v>
      </c>
    </row>
    <row r="492" spans="1:244" x14ac:dyDescent="0.45">
      <c r="A492">
        <v>1183069</v>
      </c>
      <c r="B492">
        <v>148901</v>
      </c>
      <c r="C492">
        <v>7447394</v>
      </c>
      <c r="D492" t="s">
        <v>1162</v>
      </c>
      <c r="F492" t="s">
        <v>245</v>
      </c>
      <c r="G492" t="s">
        <v>246</v>
      </c>
      <c r="N492" t="s">
        <v>1183</v>
      </c>
      <c r="O492" t="s">
        <v>1184</v>
      </c>
      <c r="P492" t="s">
        <v>249</v>
      </c>
      <c r="Q492" t="s">
        <v>250</v>
      </c>
      <c r="R492" t="s">
        <v>251</v>
      </c>
      <c r="T492" t="s">
        <v>252</v>
      </c>
      <c r="U492" t="s">
        <v>253</v>
      </c>
      <c r="V492" t="s">
        <v>418</v>
      </c>
      <c r="W492" t="s">
        <v>419</v>
      </c>
      <c r="X492" t="s">
        <v>393</v>
      </c>
      <c r="Z492" t="s">
        <v>983</v>
      </c>
      <c r="AB492">
        <v>2</v>
      </c>
      <c r="AG492" t="s">
        <v>598</v>
      </c>
      <c r="AM492" t="s">
        <v>317</v>
      </c>
      <c r="AN492" t="s">
        <v>259</v>
      </c>
      <c r="AO492" t="s">
        <v>260</v>
      </c>
      <c r="AQ492" t="s">
        <v>261</v>
      </c>
      <c r="AR492" t="s">
        <v>515</v>
      </c>
      <c r="AS492">
        <v>170</v>
      </c>
      <c r="AX492" t="s">
        <v>262</v>
      </c>
      <c r="BO492" t="s">
        <v>261</v>
      </c>
      <c r="BP492" t="s">
        <v>515</v>
      </c>
      <c r="BQ492">
        <v>0.17</v>
      </c>
      <c r="BV492" t="s">
        <v>263</v>
      </c>
      <c r="CM492" t="s">
        <v>264</v>
      </c>
      <c r="CN492" t="s">
        <v>264</v>
      </c>
      <c r="CP492" t="s">
        <v>265</v>
      </c>
      <c r="CQ492" t="s">
        <v>394</v>
      </c>
      <c r="DB492">
        <v>1</v>
      </c>
      <c r="DG492" t="s">
        <v>267</v>
      </c>
      <c r="DI492">
        <v>24</v>
      </c>
      <c r="DN492" t="s">
        <v>268</v>
      </c>
      <c r="DS492">
        <v>388</v>
      </c>
      <c r="DT492" t="s">
        <v>1185</v>
      </c>
      <c r="EW492" t="s">
        <v>293</v>
      </c>
      <c r="FM492">
        <v>25</v>
      </c>
      <c r="FR492" t="s">
        <v>295</v>
      </c>
      <c r="GU492">
        <v>36</v>
      </c>
      <c r="GZ492" t="s">
        <v>296</v>
      </c>
      <c r="HH492" t="s">
        <v>272</v>
      </c>
      <c r="IE492" t="s">
        <v>1188</v>
      </c>
      <c r="IF492">
        <v>16111</v>
      </c>
      <c r="IG492" t="s">
        <v>1189</v>
      </c>
      <c r="IH492" t="s">
        <v>1190</v>
      </c>
      <c r="II492">
        <v>1995</v>
      </c>
      <c r="IJ492" t="s">
        <v>1191</v>
      </c>
    </row>
    <row r="493" spans="1:244" x14ac:dyDescent="0.45">
      <c r="A493">
        <v>2142113</v>
      </c>
      <c r="B493">
        <v>2267555</v>
      </c>
      <c r="C493">
        <v>7447394</v>
      </c>
      <c r="D493" t="s">
        <v>1162</v>
      </c>
      <c r="E493" t="s">
        <v>386</v>
      </c>
      <c r="F493" t="s">
        <v>327</v>
      </c>
      <c r="G493" t="s">
        <v>272</v>
      </c>
      <c r="N493" t="s">
        <v>1163</v>
      </c>
      <c r="O493" t="s">
        <v>1164</v>
      </c>
      <c r="P493" t="s">
        <v>249</v>
      </c>
      <c r="Q493" t="s">
        <v>250</v>
      </c>
      <c r="R493" t="s">
        <v>251</v>
      </c>
      <c r="T493" t="s">
        <v>389</v>
      </c>
      <c r="U493" t="s">
        <v>390</v>
      </c>
      <c r="V493" t="s">
        <v>1010</v>
      </c>
      <c r="W493" t="s">
        <v>1165</v>
      </c>
      <c r="X493" t="s">
        <v>1166</v>
      </c>
      <c r="Z493" t="s">
        <v>315</v>
      </c>
      <c r="AI493">
        <v>4</v>
      </c>
      <c r="AJ493" t="s">
        <v>354</v>
      </c>
      <c r="AK493" t="s">
        <v>517</v>
      </c>
      <c r="AM493" t="s">
        <v>287</v>
      </c>
      <c r="AN493" t="s">
        <v>259</v>
      </c>
      <c r="AO493" t="s">
        <v>260</v>
      </c>
      <c r="AP493">
        <v>7</v>
      </c>
      <c r="AQ493" t="s">
        <v>504</v>
      </c>
      <c r="AS493">
        <v>538.66999999999996</v>
      </c>
      <c r="AU493">
        <v>455</v>
      </c>
      <c r="AW493">
        <v>657.8</v>
      </c>
      <c r="AX493" t="s">
        <v>262</v>
      </c>
      <c r="BO493" t="s">
        <v>504</v>
      </c>
      <c r="BQ493">
        <v>0.53866999999999998</v>
      </c>
      <c r="BS493">
        <v>0.45500000000000002</v>
      </c>
      <c r="BU493">
        <v>0.65780000000000005</v>
      </c>
      <c r="BV493" t="s">
        <v>263</v>
      </c>
      <c r="CM493" t="s">
        <v>264</v>
      </c>
      <c r="CN493" t="s">
        <v>264</v>
      </c>
      <c r="CP493" t="s">
        <v>265</v>
      </c>
      <c r="CQ493" t="s">
        <v>394</v>
      </c>
      <c r="DB493">
        <v>4</v>
      </c>
      <c r="DG493" t="s">
        <v>267</v>
      </c>
      <c r="DI493">
        <v>96</v>
      </c>
      <c r="DN493" t="s">
        <v>268</v>
      </c>
      <c r="DR493">
        <v>1352461</v>
      </c>
      <c r="DS493">
        <v>34567</v>
      </c>
      <c r="DT493" t="s">
        <v>1168</v>
      </c>
      <c r="DV493">
        <v>96</v>
      </c>
      <c r="EA493" t="s">
        <v>268</v>
      </c>
      <c r="EC493">
        <v>4</v>
      </c>
      <c r="EH493" t="s">
        <v>267</v>
      </c>
      <c r="EJ493">
        <v>96</v>
      </c>
      <c r="EO493" t="s">
        <v>268</v>
      </c>
      <c r="EQ493">
        <v>4</v>
      </c>
      <c r="EV493" t="s">
        <v>267</v>
      </c>
      <c r="EW493" t="s">
        <v>293</v>
      </c>
      <c r="EZ493">
        <v>50</v>
      </c>
      <c r="FA493" t="s">
        <v>1444</v>
      </c>
      <c r="GU493">
        <v>30</v>
      </c>
      <c r="GZ493" t="s">
        <v>296</v>
      </c>
      <c r="HH493" t="s">
        <v>272</v>
      </c>
      <c r="IE493" t="s">
        <v>1170</v>
      </c>
      <c r="IF493">
        <v>166161</v>
      </c>
      <c r="IG493" t="s">
        <v>1171</v>
      </c>
      <c r="IH493" t="s">
        <v>1172</v>
      </c>
      <c r="II493">
        <v>2012</v>
      </c>
      <c r="IJ493" t="s">
        <v>1173</v>
      </c>
    </row>
    <row r="494" spans="1:244" x14ac:dyDescent="0.45">
      <c r="A494">
        <v>1310814</v>
      </c>
      <c r="B494">
        <v>768050</v>
      </c>
      <c r="C494">
        <v>7447394</v>
      </c>
      <c r="D494" t="s">
        <v>1162</v>
      </c>
      <c r="F494" t="s">
        <v>327</v>
      </c>
      <c r="G494" t="s">
        <v>246</v>
      </c>
      <c r="N494" t="s">
        <v>1445</v>
      </c>
      <c r="O494" t="s">
        <v>578</v>
      </c>
      <c r="P494" t="s">
        <v>249</v>
      </c>
      <c r="Q494" t="s">
        <v>250</v>
      </c>
      <c r="R494" t="s">
        <v>251</v>
      </c>
      <c r="T494" t="s">
        <v>252</v>
      </c>
      <c r="U494" t="s">
        <v>499</v>
      </c>
      <c r="V494" t="s">
        <v>1373</v>
      </c>
      <c r="W494" t="s">
        <v>1374</v>
      </c>
      <c r="X494" t="s">
        <v>1446</v>
      </c>
      <c r="Z494" t="s">
        <v>649</v>
      </c>
      <c r="AA494" t="s">
        <v>289</v>
      </c>
      <c r="AB494">
        <v>7</v>
      </c>
      <c r="AG494" t="s">
        <v>267</v>
      </c>
      <c r="AM494" t="s">
        <v>317</v>
      </c>
      <c r="AN494" t="s">
        <v>259</v>
      </c>
      <c r="AO494" t="s">
        <v>260</v>
      </c>
      <c r="AQ494" t="s">
        <v>504</v>
      </c>
      <c r="AR494" t="s">
        <v>288</v>
      </c>
      <c r="AS494">
        <v>100</v>
      </c>
      <c r="AX494" t="s">
        <v>262</v>
      </c>
      <c r="BO494" t="s">
        <v>504</v>
      </c>
      <c r="BP494" t="s">
        <v>288</v>
      </c>
      <c r="BQ494">
        <v>0.1</v>
      </c>
      <c r="BV494" t="s">
        <v>263</v>
      </c>
      <c r="CM494" t="s">
        <v>264</v>
      </c>
      <c r="CN494" t="s">
        <v>264</v>
      </c>
      <c r="CP494" t="s">
        <v>265</v>
      </c>
      <c r="CQ494" t="s">
        <v>394</v>
      </c>
      <c r="DB494">
        <v>4</v>
      </c>
      <c r="DG494" t="s">
        <v>267</v>
      </c>
      <c r="DI494">
        <v>96</v>
      </c>
      <c r="DN494" t="s">
        <v>268</v>
      </c>
      <c r="DP494" t="s">
        <v>1220</v>
      </c>
      <c r="DS494">
        <v>18593</v>
      </c>
      <c r="DT494" t="s">
        <v>1221</v>
      </c>
      <c r="EW494" t="s">
        <v>293</v>
      </c>
      <c r="FA494" t="s">
        <v>1222</v>
      </c>
      <c r="FK494" t="s">
        <v>1447</v>
      </c>
      <c r="FO494">
        <v>20.399999999999999</v>
      </c>
      <c r="FQ494">
        <v>21.2</v>
      </c>
      <c r="FR494" t="s">
        <v>295</v>
      </c>
      <c r="GG494" t="s">
        <v>288</v>
      </c>
      <c r="GH494">
        <v>95</v>
      </c>
      <c r="GM494" t="s">
        <v>1224</v>
      </c>
      <c r="GQ494">
        <v>8</v>
      </c>
      <c r="GS494">
        <v>8.1999999999999993</v>
      </c>
      <c r="GW494">
        <v>30</v>
      </c>
      <c r="GY494">
        <v>32</v>
      </c>
      <c r="GZ494" t="s">
        <v>296</v>
      </c>
      <c r="HH494" t="s">
        <v>272</v>
      </c>
      <c r="ID494" t="s">
        <v>1448</v>
      </c>
      <c r="IE494" t="s">
        <v>1226</v>
      </c>
      <c r="IF494">
        <v>101781</v>
      </c>
      <c r="IG494" t="s">
        <v>1227</v>
      </c>
      <c r="IH494" t="s">
        <v>1228</v>
      </c>
      <c r="II494">
        <v>2006</v>
      </c>
      <c r="IJ494" t="s">
        <v>1229</v>
      </c>
    </row>
    <row r="495" spans="1:244" x14ac:dyDescent="0.45">
      <c r="A495">
        <v>2142305</v>
      </c>
      <c r="B495">
        <v>2267984</v>
      </c>
      <c r="C495">
        <v>7447394</v>
      </c>
      <c r="D495" t="s">
        <v>1162</v>
      </c>
      <c r="E495" t="s">
        <v>386</v>
      </c>
      <c r="F495" t="s">
        <v>327</v>
      </c>
      <c r="G495" t="s">
        <v>272</v>
      </c>
      <c r="N495" t="s">
        <v>1163</v>
      </c>
      <c r="O495" t="s">
        <v>1164</v>
      </c>
      <c r="P495" t="s">
        <v>249</v>
      </c>
      <c r="Q495" t="s">
        <v>250</v>
      </c>
      <c r="R495" t="s">
        <v>251</v>
      </c>
      <c r="T495" t="s">
        <v>389</v>
      </c>
      <c r="U495" t="s">
        <v>390</v>
      </c>
      <c r="V495" t="s">
        <v>1010</v>
      </c>
      <c r="W495" t="s">
        <v>1165</v>
      </c>
      <c r="X495" t="s">
        <v>1166</v>
      </c>
      <c r="Z495" t="s">
        <v>315</v>
      </c>
      <c r="AI495">
        <v>4</v>
      </c>
      <c r="AJ495" t="s">
        <v>354</v>
      </c>
      <c r="AK495" t="s">
        <v>517</v>
      </c>
      <c r="AM495" t="s">
        <v>287</v>
      </c>
      <c r="AN495" t="s">
        <v>259</v>
      </c>
      <c r="AO495" t="s">
        <v>260</v>
      </c>
      <c r="AP495">
        <v>7</v>
      </c>
      <c r="AQ495" t="s">
        <v>504</v>
      </c>
      <c r="AT495" t="s">
        <v>288</v>
      </c>
      <c r="AU495">
        <v>12</v>
      </c>
      <c r="AV495" t="s">
        <v>289</v>
      </c>
      <c r="AW495">
        <v>14</v>
      </c>
      <c r="AX495" t="s">
        <v>1167</v>
      </c>
      <c r="BO495" t="s">
        <v>504</v>
      </c>
      <c r="BR495" t="s">
        <v>288</v>
      </c>
      <c r="BS495">
        <v>1.613424</v>
      </c>
      <c r="BT495" t="s">
        <v>289</v>
      </c>
      <c r="BU495">
        <v>1.882328</v>
      </c>
      <c r="BV495" t="s">
        <v>263</v>
      </c>
      <c r="CM495" t="s">
        <v>264</v>
      </c>
      <c r="CN495" t="s">
        <v>264</v>
      </c>
      <c r="CP495" t="s">
        <v>265</v>
      </c>
      <c r="CQ495" t="s">
        <v>394</v>
      </c>
      <c r="DB495">
        <v>4</v>
      </c>
      <c r="DG495" t="s">
        <v>267</v>
      </c>
      <c r="DI495">
        <v>96</v>
      </c>
      <c r="DN495" t="s">
        <v>268</v>
      </c>
      <c r="DR495">
        <v>1352461</v>
      </c>
      <c r="DS495">
        <v>34567</v>
      </c>
      <c r="DT495" t="s">
        <v>1168</v>
      </c>
      <c r="DV495">
        <v>96</v>
      </c>
      <c r="EA495" t="s">
        <v>268</v>
      </c>
      <c r="EC495">
        <v>4</v>
      </c>
      <c r="EH495" t="s">
        <v>267</v>
      </c>
      <c r="EJ495">
        <v>96</v>
      </c>
      <c r="EO495" t="s">
        <v>268</v>
      </c>
      <c r="EQ495">
        <v>4</v>
      </c>
      <c r="EV495" t="s">
        <v>267</v>
      </c>
      <c r="EW495" t="s">
        <v>293</v>
      </c>
      <c r="EZ495">
        <v>50</v>
      </c>
      <c r="FA495" t="s">
        <v>1449</v>
      </c>
      <c r="FK495" t="s">
        <v>899</v>
      </c>
      <c r="GU495">
        <v>30</v>
      </c>
      <c r="GZ495" t="s">
        <v>296</v>
      </c>
      <c r="HH495" t="s">
        <v>272</v>
      </c>
      <c r="ID495" t="s">
        <v>901</v>
      </c>
      <c r="IE495" t="s">
        <v>1170</v>
      </c>
      <c r="IF495">
        <v>166161</v>
      </c>
      <c r="IG495" t="s">
        <v>1171</v>
      </c>
      <c r="IH495" t="s">
        <v>1172</v>
      </c>
      <c r="II495">
        <v>2012</v>
      </c>
      <c r="IJ495" t="s">
        <v>1173</v>
      </c>
    </row>
    <row r="496" spans="1:244" x14ac:dyDescent="0.45">
      <c r="A496">
        <v>1183080</v>
      </c>
      <c r="B496">
        <v>148912</v>
      </c>
      <c r="C496">
        <v>7447394</v>
      </c>
      <c r="D496" t="s">
        <v>1162</v>
      </c>
      <c r="F496" t="s">
        <v>245</v>
      </c>
      <c r="G496" t="s">
        <v>246</v>
      </c>
      <c r="N496" t="s">
        <v>1183</v>
      </c>
      <c r="O496" t="s">
        <v>1184</v>
      </c>
      <c r="P496" t="s">
        <v>249</v>
      </c>
      <c r="Q496" t="s">
        <v>250</v>
      </c>
      <c r="R496" t="s">
        <v>251</v>
      </c>
      <c r="T496" t="s">
        <v>252</v>
      </c>
      <c r="U496" t="s">
        <v>253</v>
      </c>
      <c r="V496" t="s">
        <v>418</v>
      </c>
      <c r="W496" t="s">
        <v>419</v>
      </c>
      <c r="X496" t="s">
        <v>393</v>
      </c>
      <c r="Z496" t="s">
        <v>421</v>
      </c>
      <c r="AB496">
        <v>15</v>
      </c>
      <c r="AG496" t="s">
        <v>598</v>
      </c>
      <c r="AM496" t="s">
        <v>317</v>
      </c>
      <c r="AN496" t="s">
        <v>259</v>
      </c>
      <c r="AO496" t="s">
        <v>260</v>
      </c>
      <c r="AQ496" t="s">
        <v>261</v>
      </c>
      <c r="AR496" t="s">
        <v>515</v>
      </c>
      <c r="AS496">
        <v>1950</v>
      </c>
      <c r="AX496" t="s">
        <v>262</v>
      </c>
      <c r="BO496" t="s">
        <v>261</v>
      </c>
      <c r="BP496" t="s">
        <v>515</v>
      </c>
      <c r="BQ496">
        <v>1.95</v>
      </c>
      <c r="BV496" t="s">
        <v>263</v>
      </c>
      <c r="CM496" t="s">
        <v>264</v>
      </c>
      <c r="CN496" t="s">
        <v>264</v>
      </c>
      <c r="CP496" t="s">
        <v>265</v>
      </c>
      <c r="CQ496" t="s">
        <v>394</v>
      </c>
      <c r="DB496">
        <v>2</v>
      </c>
      <c r="DG496" t="s">
        <v>267</v>
      </c>
      <c r="DI496">
        <v>48</v>
      </c>
      <c r="DN496" t="s">
        <v>268</v>
      </c>
      <c r="DS496">
        <v>388</v>
      </c>
      <c r="DT496" t="s">
        <v>1185</v>
      </c>
      <c r="EW496" t="s">
        <v>293</v>
      </c>
      <c r="FM496">
        <v>25</v>
      </c>
      <c r="FR496" t="s">
        <v>295</v>
      </c>
      <c r="GU496">
        <v>36</v>
      </c>
      <c r="GZ496" t="s">
        <v>296</v>
      </c>
      <c r="HH496" t="s">
        <v>272</v>
      </c>
      <c r="IE496" t="s">
        <v>1188</v>
      </c>
      <c r="IF496">
        <v>16111</v>
      </c>
      <c r="IG496" t="s">
        <v>1189</v>
      </c>
      <c r="IH496" t="s">
        <v>1190</v>
      </c>
      <c r="II496">
        <v>1995</v>
      </c>
      <c r="IJ496" t="s">
        <v>1191</v>
      </c>
    </row>
    <row r="497" spans="1:244" x14ac:dyDescent="0.45">
      <c r="A497">
        <v>2142308</v>
      </c>
      <c r="B497">
        <v>2267990</v>
      </c>
      <c r="C497">
        <v>7447394</v>
      </c>
      <c r="D497" t="s">
        <v>1162</v>
      </c>
      <c r="E497" t="s">
        <v>386</v>
      </c>
      <c r="F497" t="s">
        <v>327</v>
      </c>
      <c r="G497" t="s">
        <v>272</v>
      </c>
      <c r="N497" t="s">
        <v>1163</v>
      </c>
      <c r="O497" t="s">
        <v>1164</v>
      </c>
      <c r="P497" t="s">
        <v>249</v>
      </c>
      <c r="Q497" t="s">
        <v>250</v>
      </c>
      <c r="R497" t="s">
        <v>251</v>
      </c>
      <c r="T497" t="s">
        <v>389</v>
      </c>
      <c r="U497" t="s">
        <v>390</v>
      </c>
      <c r="V497" t="s">
        <v>1010</v>
      </c>
      <c r="W497" t="s">
        <v>1165</v>
      </c>
      <c r="X497" t="s">
        <v>1166</v>
      </c>
      <c r="Z497" t="s">
        <v>315</v>
      </c>
      <c r="AI497">
        <v>4</v>
      </c>
      <c r="AJ497" t="s">
        <v>354</v>
      </c>
      <c r="AK497" t="s">
        <v>517</v>
      </c>
      <c r="AM497" t="s">
        <v>287</v>
      </c>
      <c r="AN497" t="s">
        <v>259</v>
      </c>
      <c r="AO497" t="s">
        <v>260</v>
      </c>
      <c r="AP497">
        <v>7</v>
      </c>
      <c r="AQ497" t="s">
        <v>504</v>
      </c>
      <c r="AR497" t="s">
        <v>515</v>
      </c>
      <c r="AS497">
        <v>4</v>
      </c>
      <c r="AX497" t="s">
        <v>1167</v>
      </c>
      <c r="BO497" t="s">
        <v>504</v>
      </c>
      <c r="BP497" t="s">
        <v>515</v>
      </c>
      <c r="BQ497">
        <v>0.53780799999999995</v>
      </c>
      <c r="BV497" t="s">
        <v>263</v>
      </c>
      <c r="CM497" t="s">
        <v>264</v>
      </c>
      <c r="CN497" t="s">
        <v>264</v>
      </c>
      <c r="CP497" t="s">
        <v>265</v>
      </c>
      <c r="CQ497" t="s">
        <v>394</v>
      </c>
      <c r="DB497">
        <v>4</v>
      </c>
      <c r="DG497" t="s">
        <v>267</v>
      </c>
      <c r="DI497">
        <v>96</v>
      </c>
      <c r="DN497" t="s">
        <v>268</v>
      </c>
      <c r="DR497">
        <v>1352461</v>
      </c>
      <c r="DS497">
        <v>34567</v>
      </c>
      <c r="DT497" t="s">
        <v>1168</v>
      </c>
      <c r="DV497">
        <v>96</v>
      </c>
      <c r="EA497" t="s">
        <v>268</v>
      </c>
      <c r="EC497">
        <v>4</v>
      </c>
      <c r="EH497" t="s">
        <v>267</v>
      </c>
      <c r="EJ497">
        <v>96</v>
      </c>
      <c r="EO497" t="s">
        <v>268</v>
      </c>
      <c r="EQ497">
        <v>4</v>
      </c>
      <c r="EV497" t="s">
        <v>267</v>
      </c>
      <c r="EW497" t="s">
        <v>293</v>
      </c>
      <c r="EZ497">
        <v>50</v>
      </c>
      <c r="FA497" t="s">
        <v>1450</v>
      </c>
      <c r="FK497" t="s">
        <v>899</v>
      </c>
      <c r="GU497">
        <v>30</v>
      </c>
      <c r="GZ497" t="s">
        <v>296</v>
      </c>
      <c r="HH497" t="s">
        <v>272</v>
      </c>
      <c r="ID497" t="s">
        <v>901</v>
      </c>
      <c r="IE497" t="s">
        <v>1170</v>
      </c>
      <c r="IF497">
        <v>166161</v>
      </c>
      <c r="IG497" t="s">
        <v>1171</v>
      </c>
      <c r="IH497" t="s">
        <v>1172</v>
      </c>
      <c r="II497">
        <v>2012</v>
      </c>
      <c r="IJ497" t="s">
        <v>1173</v>
      </c>
    </row>
    <row r="498" spans="1:244" x14ac:dyDescent="0.45">
      <c r="A498">
        <v>1252501</v>
      </c>
      <c r="B498">
        <v>700822</v>
      </c>
      <c r="C498">
        <v>7447394</v>
      </c>
      <c r="D498" t="s">
        <v>1162</v>
      </c>
      <c r="F498" t="s">
        <v>327</v>
      </c>
      <c r="G498" t="s">
        <v>246</v>
      </c>
      <c r="N498" t="s">
        <v>1426</v>
      </c>
      <c r="O498" t="s">
        <v>370</v>
      </c>
      <c r="P498" t="s">
        <v>249</v>
      </c>
      <c r="Q498" t="s">
        <v>250</v>
      </c>
      <c r="R498" t="s">
        <v>251</v>
      </c>
      <c r="T498" t="s">
        <v>252</v>
      </c>
      <c r="U498" t="s">
        <v>371</v>
      </c>
      <c r="V498" t="s">
        <v>372</v>
      </c>
      <c r="W498" t="s">
        <v>1427</v>
      </c>
      <c r="X498" t="s">
        <v>1428</v>
      </c>
      <c r="Z498" t="s">
        <v>649</v>
      </c>
      <c r="AD498">
        <v>1</v>
      </c>
      <c r="AF498">
        <v>5</v>
      </c>
      <c r="AG498" t="s">
        <v>267</v>
      </c>
      <c r="AM498" t="s">
        <v>258</v>
      </c>
      <c r="AN498" t="s">
        <v>259</v>
      </c>
      <c r="AO498" t="s">
        <v>260</v>
      </c>
      <c r="AP498">
        <v>6</v>
      </c>
      <c r="AQ498" t="s">
        <v>261</v>
      </c>
      <c r="AS498">
        <v>68</v>
      </c>
      <c r="AX498" t="s">
        <v>262</v>
      </c>
      <c r="BO498" t="s">
        <v>261</v>
      </c>
      <c r="BQ498">
        <v>6.8000000000000005E-2</v>
      </c>
      <c r="BV498" t="s">
        <v>263</v>
      </c>
      <c r="CM498" t="s">
        <v>264</v>
      </c>
      <c r="CN498" t="s">
        <v>264</v>
      </c>
      <c r="CP498" t="s">
        <v>265</v>
      </c>
      <c r="CQ498" t="s">
        <v>394</v>
      </c>
      <c r="DB498">
        <v>4</v>
      </c>
      <c r="DG498" t="s">
        <v>267</v>
      </c>
      <c r="DI498">
        <v>96</v>
      </c>
      <c r="DN498" t="s">
        <v>268</v>
      </c>
      <c r="DP498" t="s">
        <v>1258</v>
      </c>
      <c r="DR498">
        <v>223650</v>
      </c>
      <c r="DS498">
        <v>1577</v>
      </c>
      <c r="DT498" t="s">
        <v>1430</v>
      </c>
      <c r="EW498" t="s">
        <v>293</v>
      </c>
      <c r="FK498" t="s">
        <v>1115</v>
      </c>
      <c r="FM498">
        <v>20</v>
      </c>
      <c r="FR498" t="s">
        <v>295</v>
      </c>
      <c r="GU498">
        <v>25</v>
      </c>
      <c r="GZ498" t="s">
        <v>296</v>
      </c>
      <c r="HH498" t="s">
        <v>272</v>
      </c>
      <c r="ID498" t="s">
        <v>1116</v>
      </c>
      <c r="IE498" t="s">
        <v>1433</v>
      </c>
      <c r="IF498">
        <v>75445</v>
      </c>
      <c r="IG498" t="s">
        <v>1434</v>
      </c>
      <c r="IH498" t="s">
        <v>1435</v>
      </c>
      <c r="II498">
        <v>2003</v>
      </c>
      <c r="IJ498" t="s">
        <v>1436</v>
      </c>
    </row>
    <row r="499" spans="1:244" x14ac:dyDescent="0.45">
      <c r="A499">
        <v>1183090</v>
      </c>
      <c r="B499">
        <v>148922</v>
      </c>
      <c r="C499">
        <v>7447394</v>
      </c>
      <c r="D499" t="s">
        <v>1162</v>
      </c>
      <c r="F499" t="s">
        <v>245</v>
      </c>
      <c r="G499" t="s">
        <v>246</v>
      </c>
      <c r="N499" t="s">
        <v>1183</v>
      </c>
      <c r="O499" t="s">
        <v>1184</v>
      </c>
      <c r="P499" t="s">
        <v>249</v>
      </c>
      <c r="Q499" t="s">
        <v>250</v>
      </c>
      <c r="R499" t="s">
        <v>251</v>
      </c>
      <c r="T499" t="s">
        <v>252</v>
      </c>
      <c r="U499" t="s">
        <v>253</v>
      </c>
      <c r="V499" t="s">
        <v>418</v>
      </c>
      <c r="W499" t="s">
        <v>419</v>
      </c>
      <c r="X499" t="s">
        <v>393</v>
      </c>
      <c r="Z499" t="s">
        <v>421</v>
      </c>
      <c r="AB499">
        <v>3</v>
      </c>
      <c r="AG499" t="s">
        <v>598</v>
      </c>
      <c r="AM499" t="s">
        <v>317</v>
      </c>
      <c r="AN499" t="s">
        <v>259</v>
      </c>
      <c r="AO499" t="s">
        <v>260</v>
      </c>
      <c r="AQ499" t="s">
        <v>261</v>
      </c>
      <c r="AU499">
        <v>100</v>
      </c>
      <c r="AW499">
        <v>1000</v>
      </c>
      <c r="AX499" t="s">
        <v>262</v>
      </c>
      <c r="BO499" t="s">
        <v>261</v>
      </c>
      <c r="BS499">
        <v>0.1</v>
      </c>
      <c r="BU499">
        <v>1</v>
      </c>
      <c r="BV499" t="s">
        <v>263</v>
      </c>
      <c r="CM499" t="s">
        <v>264</v>
      </c>
      <c r="CN499" t="s">
        <v>264</v>
      </c>
      <c r="CP499" t="s">
        <v>265</v>
      </c>
      <c r="CQ499" t="s">
        <v>394</v>
      </c>
      <c r="DB499">
        <v>2</v>
      </c>
      <c r="DG499" t="s">
        <v>267</v>
      </c>
      <c r="DI499">
        <v>48</v>
      </c>
      <c r="DN499" t="s">
        <v>268</v>
      </c>
      <c r="DS499">
        <v>388</v>
      </c>
      <c r="DT499" t="s">
        <v>1185</v>
      </c>
      <c r="EW499" t="s">
        <v>293</v>
      </c>
      <c r="FK499" t="s">
        <v>1186</v>
      </c>
      <c r="FM499">
        <v>25</v>
      </c>
      <c r="FR499" t="s">
        <v>295</v>
      </c>
      <c r="GU499">
        <v>36</v>
      </c>
      <c r="GZ499" t="s">
        <v>296</v>
      </c>
      <c r="HH499" t="s">
        <v>272</v>
      </c>
      <c r="ID499" t="s">
        <v>1187</v>
      </c>
      <c r="IE499" t="s">
        <v>1188</v>
      </c>
      <c r="IF499">
        <v>16111</v>
      </c>
      <c r="IG499" t="s">
        <v>1189</v>
      </c>
      <c r="IH499" t="s">
        <v>1190</v>
      </c>
      <c r="II499">
        <v>1995</v>
      </c>
      <c r="IJ499" t="s">
        <v>1191</v>
      </c>
    </row>
    <row r="500" spans="1:244" x14ac:dyDescent="0.45">
      <c r="A500">
        <v>1242777</v>
      </c>
      <c r="B500">
        <v>233389</v>
      </c>
      <c r="C500">
        <v>7447394</v>
      </c>
      <c r="D500" t="s">
        <v>1162</v>
      </c>
      <c r="F500" t="s">
        <v>245</v>
      </c>
      <c r="G500" t="s">
        <v>246</v>
      </c>
      <c r="N500" t="s">
        <v>1451</v>
      </c>
      <c r="O500" t="s">
        <v>1452</v>
      </c>
      <c r="P500" t="s">
        <v>249</v>
      </c>
      <c r="Q500" t="s">
        <v>250</v>
      </c>
      <c r="R500" t="s">
        <v>251</v>
      </c>
      <c r="T500" t="s">
        <v>252</v>
      </c>
      <c r="U500" t="s">
        <v>253</v>
      </c>
      <c r="V500" t="s">
        <v>1453</v>
      </c>
      <c r="W500" t="s">
        <v>1454</v>
      </c>
      <c r="X500" t="s">
        <v>1455</v>
      </c>
      <c r="Z500" t="s">
        <v>1456</v>
      </c>
      <c r="AJ500" t="s">
        <v>285</v>
      </c>
      <c r="AL500" t="s">
        <v>1457</v>
      </c>
      <c r="AM500" t="s">
        <v>317</v>
      </c>
      <c r="AN500" t="s">
        <v>259</v>
      </c>
      <c r="AO500" t="s">
        <v>260</v>
      </c>
      <c r="AP500">
        <v>8</v>
      </c>
      <c r="AQ500" t="s">
        <v>504</v>
      </c>
      <c r="AS500">
        <v>8.6</v>
      </c>
      <c r="AX500" t="s">
        <v>422</v>
      </c>
      <c r="BO500" t="s">
        <v>504</v>
      </c>
      <c r="BQ500">
        <v>8.6</v>
      </c>
      <c r="BV500" t="s">
        <v>263</v>
      </c>
      <c r="CM500" t="s">
        <v>264</v>
      </c>
      <c r="CN500" t="s">
        <v>264</v>
      </c>
      <c r="CP500" t="s">
        <v>265</v>
      </c>
      <c r="CQ500" t="s">
        <v>394</v>
      </c>
      <c r="DB500">
        <v>1</v>
      </c>
      <c r="DG500" t="s">
        <v>267</v>
      </c>
      <c r="DI500">
        <v>24</v>
      </c>
      <c r="DN500" t="s">
        <v>268</v>
      </c>
      <c r="DP500" t="s">
        <v>1258</v>
      </c>
      <c r="DR500">
        <v>101204</v>
      </c>
      <c r="DS500">
        <v>10767</v>
      </c>
      <c r="DT500" t="s">
        <v>1458</v>
      </c>
      <c r="EW500" t="s">
        <v>293</v>
      </c>
      <c r="FA500" t="s">
        <v>1159</v>
      </c>
      <c r="FK500" t="s">
        <v>1459</v>
      </c>
      <c r="FM500">
        <v>15</v>
      </c>
      <c r="FR500" t="s">
        <v>295</v>
      </c>
      <c r="GH500">
        <v>8.9</v>
      </c>
      <c r="GM500" t="s">
        <v>356</v>
      </c>
      <c r="GO500">
        <v>7.9</v>
      </c>
      <c r="GU500">
        <v>30</v>
      </c>
      <c r="GZ500" t="s">
        <v>296</v>
      </c>
      <c r="HH500" t="s">
        <v>272</v>
      </c>
      <c r="ID500" t="s">
        <v>1460</v>
      </c>
      <c r="IE500" t="s">
        <v>1461</v>
      </c>
      <c r="IF500">
        <v>77856</v>
      </c>
      <c r="IG500" t="s">
        <v>1462</v>
      </c>
      <c r="IH500" t="s">
        <v>1463</v>
      </c>
      <c r="II500">
        <v>2002</v>
      </c>
      <c r="IJ500" t="s">
        <v>1464</v>
      </c>
    </row>
    <row r="501" spans="1:244" x14ac:dyDescent="0.45">
      <c r="A501">
        <v>2148070</v>
      </c>
      <c r="B501">
        <v>2282197</v>
      </c>
      <c r="C501">
        <v>7447394</v>
      </c>
      <c r="D501" t="s">
        <v>1162</v>
      </c>
      <c r="F501" t="s">
        <v>245</v>
      </c>
      <c r="G501" t="s">
        <v>272</v>
      </c>
      <c r="N501" t="s">
        <v>1192</v>
      </c>
      <c r="O501" t="s">
        <v>388</v>
      </c>
      <c r="P501" t="s">
        <v>249</v>
      </c>
      <c r="Q501" t="s">
        <v>250</v>
      </c>
      <c r="R501" t="s">
        <v>251</v>
      </c>
      <c r="T501" t="s">
        <v>389</v>
      </c>
      <c r="U501" t="s">
        <v>390</v>
      </c>
      <c r="V501" t="s">
        <v>391</v>
      </c>
      <c r="W501" t="s">
        <v>392</v>
      </c>
      <c r="X501" t="s">
        <v>1193</v>
      </c>
      <c r="Z501" t="s">
        <v>525</v>
      </c>
      <c r="AD501">
        <v>24</v>
      </c>
      <c r="AF501">
        <v>48</v>
      </c>
      <c r="AG501" t="s">
        <v>268</v>
      </c>
      <c r="AJ501" t="s">
        <v>285</v>
      </c>
      <c r="AK501" t="s">
        <v>517</v>
      </c>
      <c r="AL501" t="s">
        <v>1465</v>
      </c>
      <c r="AM501" t="s">
        <v>287</v>
      </c>
      <c r="AN501" t="s">
        <v>259</v>
      </c>
      <c r="AO501" t="s">
        <v>260</v>
      </c>
      <c r="AQ501" t="s">
        <v>261</v>
      </c>
      <c r="AS501">
        <v>0.14000000000000001</v>
      </c>
      <c r="AX501" t="s">
        <v>356</v>
      </c>
      <c r="BO501" t="s">
        <v>261</v>
      </c>
      <c r="BQ501">
        <v>0.14000000000000001</v>
      </c>
      <c r="BV501" t="s">
        <v>263</v>
      </c>
      <c r="CM501" t="s">
        <v>264</v>
      </c>
      <c r="CN501" t="s">
        <v>264</v>
      </c>
      <c r="CP501" t="s">
        <v>265</v>
      </c>
      <c r="DB501">
        <v>4</v>
      </c>
      <c r="DG501" t="s">
        <v>267</v>
      </c>
      <c r="DI501">
        <v>96</v>
      </c>
      <c r="DN501" t="s">
        <v>268</v>
      </c>
      <c r="DR501">
        <v>167952</v>
      </c>
      <c r="DS501">
        <v>32268</v>
      </c>
      <c r="DT501" t="s">
        <v>1285</v>
      </c>
      <c r="DV501">
        <v>96</v>
      </c>
      <c r="EA501" t="s">
        <v>268</v>
      </c>
      <c r="EC501">
        <v>4</v>
      </c>
      <c r="EH501" t="s">
        <v>267</v>
      </c>
      <c r="EJ501">
        <v>96</v>
      </c>
      <c r="EO501" t="s">
        <v>268</v>
      </c>
      <c r="EQ501">
        <v>4</v>
      </c>
      <c r="EV501" t="s">
        <v>267</v>
      </c>
      <c r="EW501" t="s">
        <v>293</v>
      </c>
      <c r="EY501" t="s">
        <v>377</v>
      </c>
      <c r="HH501" t="s">
        <v>272</v>
      </c>
      <c r="IE501" t="s">
        <v>1286</v>
      </c>
      <c r="IF501">
        <v>169914</v>
      </c>
      <c r="IG501" t="s">
        <v>1287</v>
      </c>
      <c r="IH501" t="s">
        <v>1288</v>
      </c>
      <c r="II501">
        <v>2011</v>
      </c>
      <c r="IJ501" t="s">
        <v>1289</v>
      </c>
    </row>
    <row r="502" spans="1:244" x14ac:dyDescent="0.45">
      <c r="A502">
        <v>1183100</v>
      </c>
      <c r="B502">
        <v>148932</v>
      </c>
      <c r="C502">
        <v>7447394</v>
      </c>
      <c r="D502" t="s">
        <v>1162</v>
      </c>
      <c r="F502" t="s">
        <v>245</v>
      </c>
      <c r="G502" t="s">
        <v>246</v>
      </c>
      <c r="N502" t="s">
        <v>1183</v>
      </c>
      <c r="O502" t="s">
        <v>1184</v>
      </c>
      <c r="P502" t="s">
        <v>249</v>
      </c>
      <c r="Q502" t="s">
        <v>250</v>
      </c>
      <c r="R502" t="s">
        <v>251</v>
      </c>
      <c r="T502" t="s">
        <v>252</v>
      </c>
      <c r="U502" t="s">
        <v>253</v>
      </c>
      <c r="V502" t="s">
        <v>418</v>
      </c>
      <c r="W502" t="s">
        <v>419</v>
      </c>
      <c r="X502" t="s">
        <v>393</v>
      </c>
      <c r="Z502" t="s">
        <v>421</v>
      </c>
      <c r="AB502">
        <v>10</v>
      </c>
      <c r="AG502" t="s">
        <v>598</v>
      </c>
      <c r="AM502" t="s">
        <v>317</v>
      </c>
      <c r="AN502" t="s">
        <v>259</v>
      </c>
      <c r="AO502" t="s">
        <v>260</v>
      </c>
      <c r="AQ502" t="s">
        <v>261</v>
      </c>
      <c r="AU502">
        <v>100</v>
      </c>
      <c r="AW502">
        <v>1000</v>
      </c>
      <c r="AX502" t="s">
        <v>262</v>
      </c>
      <c r="BO502" t="s">
        <v>261</v>
      </c>
      <c r="BS502">
        <v>0.1</v>
      </c>
      <c r="BU502">
        <v>1</v>
      </c>
      <c r="BV502" t="s">
        <v>263</v>
      </c>
      <c r="CM502" t="s">
        <v>264</v>
      </c>
      <c r="CN502" t="s">
        <v>264</v>
      </c>
      <c r="CP502" t="s">
        <v>265</v>
      </c>
      <c r="CQ502" t="s">
        <v>394</v>
      </c>
      <c r="DB502">
        <v>1</v>
      </c>
      <c r="DG502" t="s">
        <v>267</v>
      </c>
      <c r="DI502">
        <v>24</v>
      </c>
      <c r="DN502" t="s">
        <v>268</v>
      </c>
      <c r="DS502">
        <v>388</v>
      </c>
      <c r="DT502" t="s">
        <v>1185</v>
      </c>
      <c r="EW502" t="s">
        <v>293</v>
      </c>
      <c r="FK502" t="s">
        <v>1186</v>
      </c>
      <c r="FM502">
        <v>25</v>
      </c>
      <c r="FR502" t="s">
        <v>295</v>
      </c>
      <c r="GU502">
        <v>36</v>
      </c>
      <c r="GZ502" t="s">
        <v>296</v>
      </c>
      <c r="HH502" t="s">
        <v>272</v>
      </c>
      <c r="ID502" t="s">
        <v>1187</v>
      </c>
      <c r="IE502" t="s">
        <v>1188</v>
      </c>
      <c r="IF502">
        <v>16111</v>
      </c>
      <c r="IG502" t="s">
        <v>1189</v>
      </c>
      <c r="IH502" t="s">
        <v>1190</v>
      </c>
      <c r="II502">
        <v>1995</v>
      </c>
      <c r="IJ502" t="s">
        <v>1191</v>
      </c>
    </row>
    <row r="503" spans="1:244" x14ac:dyDescent="0.45">
      <c r="A503">
        <v>1304633</v>
      </c>
      <c r="B503">
        <v>761281</v>
      </c>
      <c r="C503">
        <v>7447394</v>
      </c>
      <c r="D503" t="s">
        <v>1162</v>
      </c>
      <c r="F503" t="s">
        <v>245</v>
      </c>
      <c r="G503" t="s">
        <v>246</v>
      </c>
      <c r="N503" t="s">
        <v>1230</v>
      </c>
      <c r="O503" t="s">
        <v>248</v>
      </c>
      <c r="P503" t="s">
        <v>249</v>
      </c>
      <c r="Q503" t="s">
        <v>250</v>
      </c>
      <c r="R503" t="s">
        <v>251</v>
      </c>
      <c r="T503" t="s">
        <v>252</v>
      </c>
      <c r="U503" t="s">
        <v>253</v>
      </c>
      <c r="V503" t="s">
        <v>1231</v>
      </c>
      <c r="W503" t="s">
        <v>1232</v>
      </c>
      <c r="X503" t="s">
        <v>1233</v>
      </c>
      <c r="Z503" t="s">
        <v>1046</v>
      </c>
      <c r="AA503" t="s">
        <v>289</v>
      </c>
      <c r="AB503">
        <v>8</v>
      </c>
      <c r="AG503" t="s">
        <v>353</v>
      </c>
      <c r="AM503" t="s">
        <v>258</v>
      </c>
      <c r="AN503" t="s">
        <v>259</v>
      </c>
      <c r="AO503" t="s">
        <v>260</v>
      </c>
      <c r="AP503">
        <v>6</v>
      </c>
      <c r="AQ503" t="s">
        <v>261</v>
      </c>
      <c r="AS503">
        <v>666</v>
      </c>
      <c r="AU503">
        <v>597.1</v>
      </c>
      <c r="AW503">
        <v>742.6</v>
      </c>
      <c r="AX503" t="s">
        <v>262</v>
      </c>
      <c r="BO503" t="s">
        <v>261</v>
      </c>
      <c r="BQ503">
        <v>0.66600000000000004</v>
      </c>
      <c r="BS503">
        <v>0.59709999999999996</v>
      </c>
      <c r="BU503">
        <v>0.74260000000000004</v>
      </c>
      <c r="BV503" t="s">
        <v>263</v>
      </c>
      <c r="CM503" t="s">
        <v>264</v>
      </c>
      <c r="CN503" t="s">
        <v>264</v>
      </c>
      <c r="CP503" t="s">
        <v>265</v>
      </c>
      <c r="CQ503" t="s">
        <v>394</v>
      </c>
      <c r="DB503">
        <v>1</v>
      </c>
      <c r="DG503" t="s">
        <v>267</v>
      </c>
      <c r="DI503">
        <v>24</v>
      </c>
      <c r="DN503" t="s">
        <v>268</v>
      </c>
      <c r="DP503" t="s">
        <v>1234</v>
      </c>
      <c r="DS503">
        <v>4771</v>
      </c>
      <c r="DT503" t="s">
        <v>1235</v>
      </c>
      <c r="EW503" t="s">
        <v>293</v>
      </c>
      <c r="FA503" t="s">
        <v>397</v>
      </c>
      <c r="FK503" t="s">
        <v>1236</v>
      </c>
      <c r="FM503">
        <v>22</v>
      </c>
      <c r="FR503" t="s">
        <v>295</v>
      </c>
      <c r="GO503">
        <v>8</v>
      </c>
      <c r="GU503">
        <v>35</v>
      </c>
      <c r="GZ503" t="s">
        <v>362</v>
      </c>
      <c r="HH503" t="s">
        <v>272</v>
      </c>
      <c r="ID503" t="s">
        <v>1237</v>
      </c>
      <c r="IE503" t="s">
        <v>1238</v>
      </c>
      <c r="IF503">
        <v>97270</v>
      </c>
      <c r="IG503" t="s">
        <v>1239</v>
      </c>
      <c r="IH503" t="s">
        <v>1240</v>
      </c>
      <c r="II503">
        <v>2006</v>
      </c>
      <c r="IJ503" t="s">
        <v>1241</v>
      </c>
    </row>
    <row r="504" spans="1:244" x14ac:dyDescent="0.45">
      <c r="A504">
        <v>1183076</v>
      </c>
      <c r="B504">
        <v>148908</v>
      </c>
      <c r="C504">
        <v>7447394</v>
      </c>
      <c r="D504" t="s">
        <v>1162</v>
      </c>
      <c r="F504" t="s">
        <v>245</v>
      </c>
      <c r="G504" t="s">
        <v>246</v>
      </c>
      <c r="N504" t="s">
        <v>1183</v>
      </c>
      <c r="O504" t="s">
        <v>1184</v>
      </c>
      <c r="P504" t="s">
        <v>249</v>
      </c>
      <c r="Q504" t="s">
        <v>250</v>
      </c>
      <c r="R504" t="s">
        <v>251</v>
      </c>
      <c r="T504" t="s">
        <v>252</v>
      </c>
      <c r="U504" t="s">
        <v>253</v>
      </c>
      <c r="V504" t="s">
        <v>418</v>
      </c>
      <c r="W504" t="s">
        <v>419</v>
      </c>
      <c r="X504" t="s">
        <v>393</v>
      </c>
      <c r="Z504" t="s">
        <v>983</v>
      </c>
      <c r="AB504">
        <v>3</v>
      </c>
      <c r="AG504" t="s">
        <v>598</v>
      </c>
      <c r="AM504" t="s">
        <v>258</v>
      </c>
      <c r="AN504" t="s">
        <v>259</v>
      </c>
      <c r="AO504" t="s">
        <v>260</v>
      </c>
      <c r="AQ504" t="s">
        <v>261</v>
      </c>
      <c r="AR504" t="s">
        <v>515</v>
      </c>
      <c r="AS504">
        <v>20</v>
      </c>
      <c r="AX504" t="s">
        <v>262</v>
      </c>
      <c r="BO504" t="s">
        <v>261</v>
      </c>
      <c r="BP504" t="s">
        <v>515</v>
      </c>
      <c r="BQ504">
        <v>0.02</v>
      </c>
      <c r="BV504" t="s">
        <v>263</v>
      </c>
      <c r="CM504" t="s">
        <v>264</v>
      </c>
      <c r="CN504" t="s">
        <v>264</v>
      </c>
      <c r="CP504" t="s">
        <v>265</v>
      </c>
      <c r="CQ504" t="s">
        <v>394</v>
      </c>
      <c r="DB504">
        <v>4</v>
      </c>
      <c r="DG504" t="s">
        <v>267</v>
      </c>
      <c r="DI504">
        <v>96</v>
      </c>
      <c r="DN504" t="s">
        <v>268</v>
      </c>
      <c r="DS504">
        <v>388</v>
      </c>
      <c r="DT504" t="s">
        <v>1185</v>
      </c>
      <c r="EW504" t="s">
        <v>293</v>
      </c>
      <c r="FM504">
        <v>25</v>
      </c>
      <c r="FR504" t="s">
        <v>295</v>
      </c>
      <c r="GU504">
        <v>36</v>
      </c>
      <c r="GZ504" t="s">
        <v>296</v>
      </c>
      <c r="HH504" t="s">
        <v>272</v>
      </c>
      <c r="IE504" t="s">
        <v>1188</v>
      </c>
      <c r="IF504">
        <v>16111</v>
      </c>
      <c r="IG504" t="s">
        <v>1189</v>
      </c>
      <c r="IH504" t="s">
        <v>1190</v>
      </c>
      <c r="II504">
        <v>1995</v>
      </c>
      <c r="IJ504" t="s">
        <v>1191</v>
      </c>
    </row>
    <row r="505" spans="1:244" x14ac:dyDescent="0.45">
      <c r="A505">
        <v>1253245</v>
      </c>
      <c r="B505">
        <v>701718</v>
      </c>
      <c r="C505">
        <v>7447394</v>
      </c>
      <c r="D505" t="s">
        <v>1162</v>
      </c>
      <c r="F505" t="s">
        <v>327</v>
      </c>
      <c r="G505" t="s">
        <v>246</v>
      </c>
      <c r="N505" t="s">
        <v>916</v>
      </c>
      <c r="O505" t="s">
        <v>917</v>
      </c>
      <c r="P505" t="s">
        <v>249</v>
      </c>
      <c r="Q505" t="s">
        <v>250</v>
      </c>
      <c r="R505" t="s">
        <v>251</v>
      </c>
      <c r="T505" t="s">
        <v>252</v>
      </c>
      <c r="U505" t="s">
        <v>253</v>
      </c>
      <c r="V505" t="s">
        <v>304</v>
      </c>
      <c r="W505" t="s">
        <v>305</v>
      </c>
      <c r="X505" t="s">
        <v>918</v>
      </c>
      <c r="Z505" t="s">
        <v>1046</v>
      </c>
      <c r="AM505" t="s">
        <v>317</v>
      </c>
      <c r="AN505" t="s">
        <v>259</v>
      </c>
      <c r="AO505" t="s">
        <v>260</v>
      </c>
      <c r="AP505">
        <v>5</v>
      </c>
      <c r="AQ505" t="s">
        <v>261</v>
      </c>
      <c r="AS505">
        <v>5751</v>
      </c>
      <c r="AX505" t="s">
        <v>262</v>
      </c>
      <c r="BO505" t="s">
        <v>261</v>
      </c>
      <c r="BQ505">
        <v>5.7510000000000003</v>
      </c>
      <c r="BV505" t="s">
        <v>263</v>
      </c>
      <c r="CM505" t="s">
        <v>264</v>
      </c>
      <c r="CN505" t="s">
        <v>264</v>
      </c>
      <c r="CP505" t="s">
        <v>265</v>
      </c>
      <c r="CQ505" t="s">
        <v>394</v>
      </c>
      <c r="DB505">
        <v>3</v>
      </c>
      <c r="DG505" t="s">
        <v>267</v>
      </c>
      <c r="DI505">
        <v>72</v>
      </c>
      <c r="DN505" t="s">
        <v>268</v>
      </c>
      <c r="DP505" t="s">
        <v>1258</v>
      </c>
      <c r="DR505">
        <v>645159</v>
      </c>
      <c r="DS505">
        <v>730</v>
      </c>
      <c r="DT505" t="s">
        <v>1050</v>
      </c>
      <c r="EW505" t="s">
        <v>293</v>
      </c>
      <c r="FK505" t="s">
        <v>1466</v>
      </c>
      <c r="FM505">
        <v>18</v>
      </c>
      <c r="FR505" t="s">
        <v>295</v>
      </c>
      <c r="HH505" t="s">
        <v>272</v>
      </c>
      <c r="ID505" t="s">
        <v>1467</v>
      </c>
      <c r="IE505" t="s">
        <v>1053</v>
      </c>
      <c r="IF505">
        <v>56995</v>
      </c>
      <c r="IG505" t="s">
        <v>1054</v>
      </c>
      <c r="IH505" t="s">
        <v>1055</v>
      </c>
      <c r="II505">
        <v>2000</v>
      </c>
      <c r="IJ505" t="s">
        <v>1056</v>
      </c>
    </row>
    <row r="506" spans="1:244" x14ac:dyDescent="0.45">
      <c r="A506">
        <v>1253247</v>
      </c>
      <c r="B506">
        <v>701720</v>
      </c>
      <c r="C506">
        <v>7447394</v>
      </c>
      <c r="D506" t="s">
        <v>1162</v>
      </c>
      <c r="F506" t="s">
        <v>327</v>
      </c>
      <c r="G506" t="s">
        <v>246</v>
      </c>
      <c r="N506" t="s">
        <v>916</v>
      </c>
      <c r="O506" t="s">
        <v>917</v>
      </c>
      <c r="P506" t="s">
        <v>249</v>
      </c>
      <c r="Q506" t="s">
        <v>250</v>
      </c>
      <c r="R506" t="s">
        <v>251</v>
      </c>
      <c r="T506" t="s">
        <v>252</v>
      </c>
      <c r="U506" t="s">
        <v>253</v>
      </c>
      <c r="V506" t="s">
        <v>304</v>
      </c>
      <c r="W506" t="s">
        <v>305</v>
      </c>
      <c r="X506" t="s">
        <v>918</v>
      </c>
      <c r="Z506" t="s">
        <v>1046</v>
      </c>
      <c r="AM506" t="s">
        <v>317</v>
      </c>
      <c r="AN506" t="s">
        <v>259</v>
      </c>
      <c r="AO506" t="s">
        <v>260</v>
      </c>
      <c r="AP506">
        <v>13</v>
      </c>
      <c r="AQ506" t="s">
        <v>261</v>
      </c>
      <c r="AS506">
        <v>3304</v>
      </c>
      <c r="AX506" t="s">
        <v>262</v>
      </c>
      <c r="BO506" t="s">
        <v>261</v>
      </c>
      <c r="BQ506">
        <v>3.3039999999999998</v>
      </c>
      <c r="BV506" t="s">
        <v>263</v>
      </c>
      <c r="CM506" t="s">
        <v>264</v>
      </c>
      <c r="CN506" t="s">
        <v>264</v>
      </c>
      <c r="CO506" t="s">
        <v>1468</v>
      </c>
      <c r="CP506" t="s">
        <v>265</v>
      </c>
      <c r="CQ506" t="s">
        <v>394</v>
      </c>
      <c r="DB506">
        <v>3</v>
      </c>
      <c r="DG506" t="s">
        <v>267</v>
      </c>
      <c r="DI506">
        <v>72</v>
      </c>
      <c r="DN506" t="s">
        <v>268</v>
      </c>
      <c r="DP506" t="s">
        <v>1258</v>
      </c>
      <c r="DR506">
        <v>645159</v>
      </c>
      <c r="DS506">
        <v>730</v>
      </c>
      <c r="DT506" t="s">
        <v>1050</v>
      </c>
      <c r="EW506" t="s">
        <v>293</v>
      </c>
      <c r="FK506" t="s">
        <v>1469</v>
      </c>
      <c r="FM506">
        <v>18</v>
      </c>
      <c r="FR506" t="s">
        <v>295</v>
      </c>
      <c r="HH506" t="s">
        <v>272</v>
      </c>
      <c r="ID506" t="s">
        <v>1470</v>
      </c>
      <c r="IE506" t="s">
        <v>1053</v>
      </c>
      <c r="IF506">
        <v>56995</v>
      </c>
      <c r="IG506" t="s">
        <v>1054</v>
      </c>
      <c r="IH506" t="s">
        <v>1055</v>
      </c>
      <c r="II506">
        <v>2000</v>
      </c>
      <c r="IJ506" t="s">
        <v>1056</v>
      </c>
    </row>
    <row r="507" spans="1:244" x14ac:dyDescent="0.45">
      <c r="A507">
        <v>1183077</v>
      </c>
      <c r="B507">
        <v>148909</v>
      </c>
      <c r="C507">
        <v>7447394</v>
      </c>
      <c r="D507" t="s">
        <v>1162</v>
      </c>
      <c r="F507" t="s">
        <v>245</v>
      </c>
      <c r="G507" t="s">
        <v>246</v>
      </c>
      <c r="N507" t="s">
        <v>1183</v>
      </c>
      <c r="O507" t="s">
        <v>1184</v>
      </c>
      <c r="P507" t="s">
        <v>249</v>
      </c>
      <c r="Q507" t="s">
        <v>250</v>
      </c>
      <c r="R507" t="s">
        <v>251</v>
      </c>
      <c r="T507" t="s">
        <v>252</v>
      </c>
      <c r="U507" t="s">
        <v>253</v>
      </c>
      <c r="V507" t="s">
        <v>418</v>
      </c>
      <c r="W507" t="s">
        <v>419</v>
      </c>
      <c r="X507" t="s">
        <v>393</v>
      </c>
      <c r="Z507" t="s">
        <v>421</v>
      </c>
      <c r="AB507">
        <v>1</v>
      </c>
      <c r="AG507" t="s">
        <v>598</v>
      </c>
      <c r="AM507" t="s">
        <v>317</v>
      </c>
      <c r="AN507" t="s">
        <v>259</v>
      </c>
      <c r="AO507" t="s">
        <v>260</v>
      </c>
      <c r="AQ507" t="s">
        <v>261</v>
      </c>
      <c r="AS507">
        <v>110</v>
      </c>
      <c r="AX507" t="s">
        <v>262</v>
      </c>
      <c r="BO507" t="s">
        <v>261</v>
      </c>
      <c r="BQ507">
        <v>0.11</v>
      </c>
      <c r="BV507" t="s">
        <v>263</v>
      </c>
      <c r="CM507" t="s">
        <v>264</v>
      </c>
      <c r="CN507" t="s">
        <v>264</v>
      </c>
      <c r="CP507" t="s">
        <v>265</v>
      </c>
      <c r="CQ507" t="s">
        <v>394</v>
      </c>
      <c r="DB507">
        <v>2</v>
      </c>
      <c r="DG507" t="s">
        <v>267</v>
      </c>
      <c r="DI507">
        <v>48</v>
      </c>
      <c r="DN507" t="s">
        <v>268</v>
      </c>
      <c r="DS507">
        <v>388</v>
      </c>
      <c r="DT507" t="s">
        <v>1185</v>
      </c>
      <c r="EW507" t="s">
        <v>293</v>
      </c>
      <c r="FM507">
        <v>25</v>
      </c>
      <c r="FR507" t="s">
        <v>295</v>
      </c>
      <c r="GU507">
        <v>36</v>
      </c>
      <c r="GZ507" t="s">
        <v>296</v>
      </c>
      <c r="HH507" t="s">
        <v>272</v>
      </c>
      <c r="IE507" t="s">
        <v>1188</v>
      </c>
      <c r="IF507">
        <v>16111</v>
      </c>
      <c r="IG507" t="s">
        <v>1189</v>
      </c>
      <c r="IH507" t="s">
        <v>1190</v>
      </c>
      <c r="II507">
        <v>1995</v>
      </c>
      <c r="IJ507" t="s">
        <v>1191</v>
      </c>
    </row>
    <row r="508" spans="1:244" x14ac:dyDescent="0.45">
      <c r="A508">
        <v>1183084</v>
      </c>
      <c r="B508">
        <v>148916</v>
      </c>
      <c r="C508">
        <v>7447394</v>
      </c>
      <c r="D508" t="s">
        <v>1162</v>
      </c>
      <c r="F508" t="s">
        <v>245</v>
      </c>
      <c r="G508" t="s">
        <v>246</v>
      </c>
      <c r="N508" t="s">
        <v>1183</v>
      </c>
      <c r="O508" t="s">
        <v>1184</v>
      </c>
      <c r="P508" t="s">
        <v>249</v>
      </c>
      <c r="Q508" t="s">
        <v>250</v>
      </c>
      <c r="R508" t="s">
        <v>251</v>
      </c>
      <c r="T508" t="s">
        <v>252</v>
      </c>
      <c r="U508" t="s">
        <v>253</v>
      </c>
      <c r="V508" t="s">
        <v>418</v>
      </c>
      <c r="W508" t="s">
        <v>419</v>
      </c>
      <c r="X508" t="s">
        <v>393</v>
      </c>
      <c r="Z508" t="s">
        <v>649</v>
      </c>
      <c r="AB508">
        <v>6</v>
      </c>
      <c r="AG508" t="s">
        <v>1271</v>
      </c>
      <c r="AL508" t="s">
        <v>1272</v>
      </c>
      <c r="AM508" t="s">
        <v>317</v>
      </c>
      <c r="AN508" t="s">
        <v>259</v>
      </c>
      <c r="AO508" t="s">
        <v>260</v>
      </c>
      <c r="AQ508" t="s">
        <v>261</v>
      </c>
      <c r="AS508">
        <v>1770</v>
      </c>
      <c r="AX508" t="s">
        <v>262</v>
      </c>
      <c r="BO508" t="s">
        <v>261</v>
      </c>
      <c r="BQ508">
        <v>1.77</v>
      </c>
      <c r="BV508" t="s">
        <v>263</v>
      </c>
      <c r="CM508" t="s">
        <v>264</v>
      </c>
      <c r="CN508" t="s">
        <v>264</v>
      </c>
      <c r="CP508" t="s">
        <v>265</v>
      </c>
      <c r="CQ508" t="s">
        <v>394</v>
      </c>
      <c r="DB508">
        <v>2</v>
      </c>
      <c r="DG508" t="s">
        <v>267</v>
      </c>
      <c r="DI508">
        <v>48</v>
      </c>
      <c r="DN508" t="s">
        <v>268</v>
      </c>
      <c r="DS508">
        <v>388</v>
      </c>
      <c r="DT508" t="s">
        <v>1185</v>
      </c>
      <c r="EW508" t="s">
        <v>293</v>
      </c>
      <c r="FM508">
        <v>25</v>
      </c>
      <c r="FR508" t="s">
        <v>295</v>
      </c>
      <c r="GU508">
        <v>17</v>
      </c>
      <c r="GZ508" t="s">
        <v>296</v>
      </c>
      <c r="HH508" t="s">
        <v>272</v>
      </c>
      <c r="IE508" t="s">
        <v>1188</v>
      </c>
      <c r="IF508">
        <v>16111</v>
      </c>
      <c r="IG508" t="s">
        <v>1189</v>
      </c>
      <c r="IH508" t="s">
        <v>1190</v>
      </c>
      <c r="II508">
        <v>1995</v>
      </c>
      <c r="IJ508" t="s">
        <v>1191</v>
      </c>
    </row>
    <row r="509" spans="1:244" x14ac:dyDescent="0.45">
      <c r="A509">
        <v>2142303</v>
      </c>
      <c r="B509">
        <v>2267980</v>
      </c>
      <c r="C509">
        <v>7447394</v>
      </c>
      <c r="D509" t="s">
        <v>1162</v>
      </c>
      <c r="E509" t="s">
        <v>386</v>
      </c>
      <c r="F509" t="s">
        <v>327</v>
      </c>
      <c r="G509" t="s">
        <v>272</v>
      </c>
      <c r="N509" t="s">
        <v>1163</v>
      </c>
      <c r="O509" t="s">
        <v>1164</v>
      </c>
      <c r="P509" t="s">
        <v>249</v>
      </c>
      <c r="Q509" t="s">
        <v>250</v>
      </c>
      <c r="R509" t="s">
        <v>251</v>
      </c>
      <c r="T509" t="s">
        <v>389</v>
      </c>
      <c r="U509" t="s">
        <v>390</v>
      </c>
      <c r="V509" t="s">
        <v>1010</v>
      </c>
      <c r="W509" t="s">
        <v>1165</v>
      </c>
      <c r="X509" t="s">
        <v>1166</v>
      </c>
      <c r="Z509" t="s">
        <v>315</v>
      </c>
      <c r="AI509">
        <v>4</v>
      </c>
      <c r="AJ509" t="s">
        <v>354</v>
      </c>
      <c r="AK509" t="s">
        <v>517</v>
      </c>
      <c r="AM509" t="s">
        <v>287</v>
      </c>
      <c r="AN509" t="s">
        <v>259</v>
      </c>
      <c r="AO509" t="s">
        <v>260</v>
      </c>
      <c r="AP509">
        <v>7</v>
      </c>
      <c r="AQ509" t="s">
        <v>504</v>
      </c>
      <c r="AT509" t="s">
        <v>288</v>
      </c>
      <c r="AU509">
        <v>8</v>
      </c>
      <c r="AV509" t="s">
        <v>289</v>
      </c>
      <c r="AW509">
        <v>10</v>
      </c>
      <c r="AX509" t="s">
        <v>1167</v>
      </c>
      <c r="BO509" t="s">
        <v>504</v>
      </c>
      <c r="BR509" t="s">
        <v>288</v>
      </c>
      <c r="BS509">
        <v>1.0756159999999999</v>
      </c>
      <c r="BT509" t="s">
        <v>289</v>
      </c>
      <c r="BU509">
        <v>1.3445199999999999</v>
      </c>
      <c r="BV509" t="s">
        <v>263</v>
      </c>
      <c r="CM509" t="s">
        <v>264</v>
      </c>
      <c r="CN509" t="s">
        <v>264</v>
      </c>
      <c r="CP509" t="s">
        <v>265</v>
      </c>
      <c r="CQ509" t="s">
        <v>394</v>
      </c>
      <c r="DB509">
        <v>4</v>
      </c>
      <c r="DG509" t="s">
        <v>267</v>
      </c>
      <c r="DI509">
        <v>96</v>
      </c>
      <c r="DN509" t="s">
        <v>268</v>
      </c>
      <c r="DR509">
        <v>1352461</v>
      </c>
      <c r="DS509">
        <v>34567</v>
      </c>
      <c r="DT509" t="s">
        <v>1168</v>
      </c>
      <c r="DV509">
        <v>96</v>
      </c>
      <c r="EA509" t="s">
        <v>268</v>
      </c>
      <c r="EC509">
        <v>4</v>
      </c>
      <c r="EH509" t="s">
        <v>267</v>
      </c>
      <c r="EJ509">
        <v>96</v>
      </c>
      <c r="EO509" t="s">
        <v>268</v>
      </c>
      <c r="EQ509">
        <v>4</v>
      </c>
      <c r="EV509" t="s">
        <v>267</v>
      </c>
      <c r="EW509" t="s">
        <v>293</v>
      </c>
      <c r="EZ509">
        <v>50</v>
      </c>
      <c r="FA509" t="s">
        <v>1471</v>
      </c>
      <c r="FK509" t="s">
        <v>899</v>
      </c>
      <c r="GU509">
        <v>30</v>
      </c>
      <c r="GZ509" t="s">
        <v>296</v>
      </c>
      <c r="HH509" t="s">
        <v>272</v>
      </c>
      <c r="ID509" t="s">
        <v>901</v>
      </c>
      <c r="IE509" t="s">
        <v>1170</v>
      </c>
      <c r="IF509">
        <v>166161</v>
      </c>
      <c r="IG509" t="s">
        <v>1171</v>
      </c>
      <c r="IH509" t="s">
        <v>1172</v>
      </c>
      <c r="II509">
        <v>2012</v>
      </c>
      <c r="IJ509" t="s">
        <v>1173</v>
      </c>
    </row>
    <row r="510" spans="1:244" x14ac:dyDescent="0.45">
      <c r="A510">
        <v>1183083</v>
      </c>
      <c r="B510">
        <v>148915</v>
      </c>
      <c r="C510">
        <v>7447394</v>
      </c>
      <c r="D510" t="s">
        <v>1162</v>
      </c>
      <c r="F510" t="s">
        <v>245</v>
      </c>
      <c r="G510" t="s">
        <v>246</v>
      </c>
      <c r="N510" t="s">
        <v>1183</v>
      </c>
      <c r="O510" t="s">
        <v>1184</v>
      </c>
      <c r="P510" t="s">
        <v>249</v>
      </c>
      <c r="Q510" t="s">
        <v>250</v>
      </c>
      <c r="R510" t="s">
        <v>251</v>
      </c>
      <c r="T510" t="s">
        <v>252</v>
      </c>
      <c r="U510" t="s">
        <v>253</v>
      </c>
      <c r="V510" t="s">
        <v>418</v>
      </c>
      <c r="W510" t="s">
        <v>419</v>
      </c>
      <c r="X510" t="s">
        <v>393</v>
      </c>
      <c r="Z510" t="s">
        <v>649</v>
      </c>
      <c r="AB510">
        <v>6</v>
      </c>
      <c r="AG510" t="s">
        <v>1271</v>
      </c>
      <c r="AL510" t="s">
        <v>1272</v>
      </c>
      <c r="AM510" t="s">
        <v>258</v>
      </c>
      <c r="AN510" t="s">
        <v>259</v>
      </c>
      <c r="AO510" t="s">
        <v>260</v>
      </c>
      <c r="AQ510" t="s">
        <v>261</v>
      </c>
      <c r="AS510">
        <v>1200</v>
      </c>
      <c r="AX510" t="s">
        <v>262</v>
      </c>
      <c r="BO510" t="s">
        <v>261</v>
      </c>
      <c r="BQ510">
        <v>1.2</v>
      </c>
      <c r="BV510" t="s">
        <v>263</v>
      </c>
      <c r="CM510" t="s">
        <v>264</v>
      </c>
      <c r="CN510" t="s">
        <v>264</v>
      </c>
      <c r="CP510" t="s">
        <v>265</v>
      </c>
      <c r="CQ510" t="s">
        <v>394</v>
      </c>
      <c r="DB510">
        <v>4</v>
      </c>
      <c r="DG510" t="s">
        <v>267</v>
      </c>
      <c r="DI510">
        <v>96</v>
      </c>
      <c r="DN510" t="s">
        <v>268</v>
      </c>
      <c r="DS510">
        <v>388</v>
      </c>
      <c r="DT510" t="s">
        <v>1185</v>
      </c>
      <c r="EW510" t="s">
        <v>293</v>
      </c>
      <c r="FM510">
        <v>25</v>
      </c>
      <c r="FR510" t="s">
        <v>295</v>
      </c>
      <c r="GU510">
        <v>17</v>
      </c>
      <c r="GZ510" t="s">
        <v>296</v>
      </c>
      <c r="HH510" t="s">
        <v>272</v>
      </c>
      <c r="IE510" t="s">
        <v>1188</v>
      </c>
      <c r="IF510">
        <v>16111</v>
      </c>
      <c r="IG510" t="s">
        <v>1189</v>
      </c>
      <c r="IH510" t="s">
        <v>1190</v>
      </c>
      <c r="II510">
        <v>1995</v>
      </c>
      <c r="IJ510" t="s">
        <v>1191</v>
      </c>
    </row>
    <row r="511" spans="1:244" x14ac:dyDescent="0.45">
      <c r="A511">
        <v>1053896</v>
      </c>
      <c r="B511">
        <v>194187</v>
      </c>
      <c r="C511">
        <v>7447394</v>
      </c>
      <c r="D511" t="s">
        <v>1162</v>
      </c>
      <c r="F511" t="s">
        <v>245</v>
      </c>
      <c r="G511" t="s">
        <v>246</v>
      </c>
      <c r="N511" t="s">
        <v>1364</v>
      </c>
      <c r="O511" t="s">
        <v>1365</v>
      </c>
      <c r="P511" t="s">
        <v>249</v>
      </c>
      <c r="Q511" t="s">
        <v>250</v>
      </c>
      <c r="R511" t="s">
        <v>251</v>
      </c>
      <c r="T511" t="s">
        <v>252</v>
      </c>
      <c r="U511" t="s">
        <v>253</v>
      </c>
      <c r="V511" t="s">
        <v>548</v>
      </c>
      <c r="W511" t="s">
        <v>549</v>
      </c>
      <c r="X511" t="s">
        <v>351</v>
      </c>
      <c r="AL511" t="s">
        <v>1366</v>
      </c>
      <c r="AM511" t="s">
        <v>307</v>
      </c>
      <c r="AN511" t="s">
        <v>259</v>
      </c>
      <c r="AO511" t="s">
        <v>260</v>
      </c>
      <c r="AQ511" t="s">
        <v>261</v>
      </c>
      <c r="AS511">
        <v>898.5</v>
      </c>
      <c r="AU511">
        <v>817.2</v>
      </c>
      <c r="AW511">
        <v>930</v>
      </c>
      <c r="AX511" t="s">
        <v>262</v>
      </c>
      <c r="BO511" t="s">
        <v>261</v>
      </c>
      <c r="BQ511">
        <v>0.89849999999999997</v>
      </c>
      <c r="BS511">
        <v>0.81720000000000004</v>
      </c>
      <c r="BU511">
        <v>0.93</v>
      </c>
      <c r="BV511" t="s">
        <v>263</v>
      </c>
      <c r="CM511" t="s">
        <v>264</v>
      </c>
      <c r="CN511" t="s">
        <v>264</v>
      </c>
      <c r="CP511" t="s">
        <v>265</v>
      </c>
      <c r="CQ511" t="s">
        <v>394</v>
      </c>
      <c r="DB511">
        <v>4</v>
      </c>
      <c r="DG511" t="s">
        <v>267</v>
      </c>
      <c r="DI511">
        <v>96</v>
      </c>
      <c r="DN511" t="s">
        <v>268</v>
      </c>
      <c r="DR511">
        <v>98082</v>
      </c>
      <c r="DS511">
        <v>2125</v>
      </c>
      <c r="EW511" t="s">
        <v>293</v>
      </c>
      <c r="FM511">
        <v>13.7</v>
      </c>
      <c r="FR511" t="s">
        <v>295</v>
      </c>
      <c r="GH511">
        <v>7.1</v>
      </c>
      <c r="GM511" t="s">
        <v>356</v>
      </c>
      <c r="GO511">
        <v>7.9</v>
      </c>
      <c r="GU511">
        <v>30.1</v>
      </c>
      <c r="GZ511" t="s">
        <v>296</v>
      </c>
      <c r="HH511" t="s">
        <v>272</v>
      </c>
      <c r="IE511" t="s">
        <v>1472</v>
      </c>
      <c r="IF511">
        <v>3752</v>
      </c>
      <c r="IG511" t="s">
        <v>1473</v>
      </c>
      <c r="IH511" t="s">
        <v>1474</v>
      </c>
      <c r="II511">
        <v>1983</v>
      </c>
      <c r="IJ511" t="s">
        <v>1475</v>
      </c>
    </row>
    <row r="512" spans="1:244" x14ac:dyDescent="0.45">
      <c r="A512">
        <v>1183097</v>
      </c>
      <c r="B512">
        <v>148929</v>
      </c>
      <c r="C512">
        <v>7447394</v>
      </c>
      <c r="D512" t="s">
        <v>1162</v>
      </c>
      <c r="F512" t="s">
        <v>245</v>
      </c>
      <c r="G512" t="s">
        <v>246</v>
      </c>
      <c r="N512" t="s">
        <v>1183</v>
      </c>
      <c r="O512" t="s">
        <v>1184</v>
      </c>
      <c r="P512" t="s">
        <v>249</v>
      </c>
      <c r="Q512" t="s">
        <v>250</v>
      </c>
      <c r="R512" t="s">
        <v>251</v>
      </c>
      <c r="T512" t="s">
        <v>252</v>
      </c>
      <c r="U512" t="s">
        <v>253</v>
      </c>
      <c r="V512" t="s">
        <v>418</v>
      </c>
      <c r="W512" t="s">
        <v>419</v>
      </c>
      <c r="X512" t="s">
        <v>393</v>
      </c>
      <c r="Z512" t="s">
        <v>421</v>
      </c>
      <c r="AB512">
        <v>7</v>
      </c>
      <c r="AG512" t="s">
        <v>598</v>
      </c>
      <c r="AM512" t="s">
        <v>258</v>
      </c>
      <c r="AN512" t="s">
        <v>259</v>
      </c>
      <c r="AO512" t="s">
        <v>260</v>
      </c>
      <c r="AQ512" t="s">
        <v>261</v>
      </c>
      <c r="AU512">
        <v>1000</v>
      </c>
      <c r="AW512">
        <v>10000</v>
      </c>
      <c r="AX512" t="s">
        <v>262</v>
      </c>
      <c r="BO512" t="s">
        <v>261</v>
      </c>
      <c r="BS512">
        <v>1</v>
      </c>
      <c r="BU512">
        <v>10</v>
      </c>
      <c r="BV512" t="s">
        <v>263</v>
      </c>
      <c r="CM512" t="s">
        <v>264</v>
      </c>
      <c r="CN512" t="s">
        <v>264</v>
      </c>
      <c r="CP512" t="s">
        <v>265</v>
      </c>
      <c r="CQ512" t="s">
        <v>394</v>
      </c>
      <c r="DB512">
        <v>4</v>
      </c>
      <c r="DG512" t="s">
        <v>267</v>
      </c>
      <c r="DI512">
        <v>96</v>
      </c>
      <c r="DN512" t="s">
        <v>268</v>
      </c>
      <c r="DS512">
        <v>388</v>
      </c>
      <c r="DT512" t="s">
        <v>1185</v>
      </c>
      <c r="EW512" t="s">
        <v>293</v>
      </c>
      <c r="FK512" t="s">
        <v>1186</v>
      </c>
      <c r="FM512">
        <v>25</v>
      </c>
      <c r="FR512" t="s">
        <v>295</v>
      </c>
      <c r="GU512">
        <v>36</v>
      </c>
      <c r="GZ512" t="s">
        <v>296</v>
      </c>
      <c r="HH512" t="s">
        <v>272</v>
      </c>
      <c r="ID512" t="s">
        <v>1187</v>
      </c>
      <c r="IE512" t="s">
        <v>1188</v>
      </c>
      <c r="IF512">
        <v>16111</v>
      </c>
      <c r="IG512" t="s">
        <v>1189</v>
      </c>
      <c r="IH512" t="s">
        <v>1190</v>
      </c>
      <c r="II512">
        <v>1995</v>
      </c>
      <c r="IJ512" t="s">
        <v>1191</v>
      </c>
    </row>
    <row r="513" spans="1:244" x14ac:dyDescent="0.45">
      <c r="A513">
        <v>1304660</v>
      </c>
      <c r="B513">
        <v>761309</v>
      </c>
      <c r="C513">
        <v>7447394</v>
      </c>
      <c r="D513" t="s">
        <v>1162</v>
      </c>
      <c r="F513" t="s">
        <v>245</v>
      </c>
      <c r="G513" t="s">
        <v>246</v>
      </c>
      <c r="N513" t="s">
        <v>1230</v>
      </c>
      <c r="O513" t="s">
        <v>248</v>
      </c>
      <c r="P513" t="s">
        <v>249</v>
      </c>
      <c r="Q513" t="s">
        <v>250</v>
      </c>
      <c r="R513" t="s">
        <v>251</v>
      </c>
      <c r="T513" t="s">
        <v>252</v>
      </c>
      <c r="U513" t="s">
        <v>253</v>
      </c>
      <c r="V513" t="s">
        <v>1231</v>
      </c>
      <c r="W513" t="s">
        <v>1232</v>
      </c>
      <c r="X513" t="s">
        <v>1233</v>
      </c>
      <c r="Z513" t="s">
        <v>919</v>
      </c>
      <c r="AM513" t="s">
        <v>258</v>
      </c>
      <c r="AN513" t="s">
        <v>259</v>
      </c>
      <c r="AO513" t="s">
        <v>260</v>
      </c>
      <c r="AP513">
        <v>6</v>
      </c>
      <c r="AQ513" t="s">
        <v>261</v>
      </c>
      <c r="AS513">
        <v>150.4</v>
      </c>
      <c r="AU513">
        <v>141.4</v>
      </c>
      <c r="AW513">
        <v>160.1</v>
      </c>
      <c r="AX513" t="s">
        <v>356</v>
      </c>
      <c r="BO513" t="s">
        <v>261</v>
      </c>
      <c r="BQ513">
        <v>150.4</v>
      </c>
      <c r="BS513">
        <v>141.4</v>
      </c>
      <c r="BU513">
        <v>160.1</v>
      </c>
      <c r="BV513" t="s">
        <v>263</v>
      </c>
      <c r="CM513" t="s">
        <v>264</v>
      </c>
      <c r="CN513" t="s">
        <v>264</v>
      </c>
      <c r="CP513" t="s">
        <v>265</v>
      </c>
      <c r="CQ513" t="s">
        <v>394</v>
      </c>
      <c r="DB513">
        <v>2</v>
      </c>
      <c r="DG513" t="s">
        <v>267</v>
      </c>
      <c r="DI513">
        <v>48</v>
      </c>
      <c r="DN513" t="s">
        <v>268</v>
      </c>
      <c r="DP513" t="s">
        <v>1234</v>
      </c>
      <c r="DS513">
        <v>4771</v>
      </c>
      <c r="DT513" t="s">
        <v>1235</v>
      </c>
      <c r="EW513" t="s">
        <v>293</v>
      </c>
      <c r="FA513" t="s">
        <v>397</v>
      </c>
      <c r="FK513" t="s">
        <v>1353</v>
      </c>
      <c r="FM513">
        <v>22</v>
      </c>
      <c r="FR513" t="s">
        <v>295</v>
      </c>
      <c r="GO513">
        <v>8</v>
      </c>
      <c r="GU513">
        <v>35</v>
      </c>
      <c r="GZ513" t="s">
        <v>362</v>
      </c>
      <c r="HH513" t="s">
        <v>272</v>
      </c>
      <c r="ID513" t="s">
        <v>1354</v>
      </c>
      <c r="IE513" t="s">
        <v>1238</v>
      </c>
      <c r="IF513">
        <v>97270</v>
      </c>
      <c r="IG513" t="s">
        <v>1239</v>
      </c>
      <c r="IH513" t="s">
        <v>1240</v>
      </c>
      <c r="II513">
        <v>2006</v>
      </c>
      <c r="IJ513" t="s">
        <v>1241</v>
      </c>
    </row>
    <row r="514" spans="1:244" x14ac:dyDescent="0.45">
      <c r="A514">
        <v>1312730</v>
      </c>
      <c r="B514">
        <v>770198</v>
      </c>
      <c r="C514">
        <v>7447394</v>
      </c>
      <c r="D514" t="s">
        <v>1162</v>
      </c>
      <c r="E514" t="s">
        <v>622</v>
      </c>
      <c r="F514" t="s">
        <v>272</v>
      </c>
      <c r="G514" t="s">
        <v>246</v>
      </c>
      <c r="N514" t="s">
        <v>1298</v>
      </c>
      <c r="O514" t="s">
        <v>1299</v>
      </c>
      <c r="P514" t="s">
        <v>249</v>
      </c>
      <c r="Q514" t="s">
        <v>250</v>
      </c>
      <c r="R514" t="s">
        <v>251</v>
      </c>
      <c r="T514" t="s">
        <v>252</v>
      </c>
      <c r="U514" t="s">
        <v>371</v>
      </c>
      <c r="V514" t="s">
        <v>372</v>
      </c>
      <c r="W514" t="s">
        <v>1300</v>
      </c>
      <c r="X514" t="s">
        <v>1301</v>
      </c>
      <c r="Z514" t="s">
        <v>649</v>
      </c>
      <c r="AD514">
        <v>2</v>
      </c>
      <c r="AF514">
        <v>3</v>
      </c>
      <c r="AG514" t="s">
        <v>267</v>
      </c>
      <c r="AM514" t="s">
        <v>317</v>
      </c>
      <c r="AN514" t="s">
        <v>259</v>
      </c>
      <c r="AO514" t="s">
        <v>260</v>
      </c>
      <c r="AP514" t="s">
        <v>559</v>
      </c>
      <c r="AQ514" t="s">
        <v>261</v>
      </c>
      <c r="AS514">
        <v>0.14000000000000001</v>
      </c>
      <c r="AX514" t="s">
        <v>356</v>
      </c>
      <c r="BO514" t="s">
        <v>261</v>
      </c>
      <c r="BQ514">
        <v>0.14000000000000001</v>
      </c>
      <c r="BV514" t="s">
        <v>263</v>
      </c>
      <c r="CM514" t="s">
        <v>264</v>
      </c>
      <c r="CN514" t="s">
        <v>264</v>
      </c>
      <c r="CP514" t="s">
        <v>265</v>
      </c>
      <c r="DB514">
        <v>4</v>
      </c>
      <c r="DG514" t="s">
        <v>267</v>
      </c>
      <c r="DI514">
        <v>96</v>
      </c>
      <c r="DN514" t="s">
        <v>268</v>
      </c>
      <c r="DP514" t="s">
        <v>1220</v>
      </c>
      <c r="DS514">
        <v>20391</v>
      </c>
      <c r="DT514" t="s">
        <v>1302</v>
      </c>
      <c r="EW514" t="s">
        <v>293</v>
      </c>
      <c r="FA514" t="s">
        <v>1476</v>
      </c>
      <c r="FK514" t="s">
        <v>1477</v>
      </c>
      <c r="FM514">
        <v>25</v>
      </c>
      <c r="FR514" t="s">
        <v>295</v>
      </c>
      <c r="GG514" t="s">
        <v>288</v>
      </c>
      <c r="GH514">
        <v>80</v>
      </c>
      <c r="GM514" t="s">
        <v>1224</v>
      </c>
      <c r="GQ514">
        <v>7.5</v>
      </c>
      <c r="GS514">
        <v>8.5</v>
      </c>
      <c r="GU514">
        <v>25</v>
      </c>
      <c r="GZ514" t="s">
        <v>900</v>
      </c>
      <c r="HH514" t="s">
        <v>272</v>
      </c>
      <c r="ID514" t="s">
        <v>1478</v>
      </c>
      <c r="IE514" t="s">
        <v>1306</v>
      </c>
      <c r="IF514">
        <v>117932</v>
      </c>
      <c r="IG514" t="s">
        <v>1307</v>
      </c>
      <c r="IH514" t="s">
        <v>1308</v>
      </c>
      <c r="II514">
        <v>2008</v>
      </c>
      <c r="IJ514" t="s">
        <v>1309</v>
      </c>
    </row>
    <row r="515" spans="1:244" x14ac:dyDescent="0.45">
      <c r="A515">
        <v>1242778</v>
      </c>
      <c r="B515">
        <v>233390</v>
      </c>
      <c r="C515">
        <v>7447394</v>
      </c>
      <c r="D515" t="s">
        <v>1162</v>
      </c>
      <c r="F515" t="s">
        <v>245</v>
      </c>
      <c r="G515" t="s">
        <v>246</v>
      </c>
      <c r="N515" t="s">
        <v>1451</v>
      </c>
      <c r="O515" t="s">
        <v>1452</v>
      </c>
      <c r="P515" t="s">
        <v>249</v>
      </c>
      <c r="Q515" t="s">
        <v>250</v>
      </c>
      <c r="R515" t="s">
        <v>251</v>
      </c>
      <c r="T515" t="s">
        <v>252</v>
      </c>
      <c r="U515" t="s">
        <v>253</v>
      </c>
      <c r="V515" t="s">
        <v>1453</v>
      </c>
      <c r="W515" t="s">
        <v>1454</v>
      </c>
      <c r="X515" t="s">
        <v>1455</v>
      </c>
      <c r="Z515" t="s">
        <v>1456</v>
      </c>
      <c r="AJ515" t="s">
        <v>285</v>
      </c>
      <c r="AL515" t="s">
        <v>1457</v>
      </c>
      <c r="AM515" t="s">
        <v>317</v>
      </c>
      <c r="AN515" t="s">
        <v>259</v>
      </c>
      <c r="AO515" t="s">
        <v>260</v>
      </c>
      <c r="AP515">
        <v>8</v>
      </c>
      <c r="AQ515" t="s">
        <v>504</v>
      </c>
      <c r="AS515">
        <v>2.4</v>
      </c>
      <c r="AX515" t="s">
        <v>422</v>
      </c>
      <c r="BO515" t="s">
        <v>504</v>
      </c>
      <c r="BQ515">
        <v>2.4</v>
      </c>
      <c r="BV515" t="s">
        <v>263</v>
      </c>
      <c r="CM515" t="s">
        <v>264</v>
      </c>
      <c r="CN515" t="s">
        <v>264</v>
      </c>
      <c r="CP515" t="s">
        <v>265</v>
      </c>
      <c r="CQ515" t="s">
        <v>394</v>
      </c>
      <c r="DB515">
        <v>3</v>
      </c>
      <c r="DG515" t="s">
        <v>267</v>
      </c>
      <c r="DI515">
        <v>72</v>
      </c>
      <c r="DN515" t="s">
        <v>268</v>
      </c>
      <c r="DP515" t="s">
        <v>1258</v>
      </c>
      <c r="DR515">
        <v>101204</v>
      </c>
      <c r="DS515">
        <v>10767</v>
      </c>
      <c r="DT515" t="s">
        <v>1458</v>
      </c>
      <c r="EW515" t="s">
        <v>293</v>
      </c>
      <c r="FA515" t="s">
        <v>1159</v>
      </c>
      <c r="FK515" t="s">
        <v>1459</v>
      </c>
      <c r="FM515">
        <v>15</v>
      </c>
      <c r="FR515" t="s">
        <v>295</v>
      </c>
      <c r="GH515">
        <v>8.9</v>
      </c>
      <c r="GM515" t="s">
        <v>356</v>
      </c>
      <c r="GO515">
        <v>7.9</v>
      </c>
      <c r="GU515">
        <v>30</v>
      </c>
      <c r="GZ515" t="s">
        <v>296</v>
      </c>
      <c r="HH515" t="s">
        <v>272</v>
      </c>
      <c r="ID515" t="s">
        <v>1460</v>
      </c>
      <c r="IE515" t="s">
        <v>1461</v>
      </c>
      <c r="IF515">
        <v>77856</v>
      </c>
      <c r="IG515" t="s">
        <v>1462</v>
      </c>
      <c r="IH515" t="s">
        <v>1463</v>
      </c>
      <c r="II515">
        <v>2002</v>
      </c>
      <c r="IJ515" t="s">
        <v>1464</v>
      </c>
    </row>
    <row r="516" spans="1:244" x14ac:dyDescent="0.45">
      <c r="A516">
        <v>1298026</v>
      </c>
      <c r="B516">
        <v>753452</v>
      </c>
      <c r="C516">
        <v>7447394</v>
      </c>
      <c r="D516" t="s">
        <v>1162</v>
      </c>
      <c r="F516" t="s">
        <v>245</v>
      </c>
      <c r="G516" t="s">
        <v>246</v>
      </c>
      <c r="N516" t="s">
        <v>1280</v>
      </c>
      <c r="O516" t="s">
        <v>498</v>
      </c>
      <c r="P516" t="s">
        <v>249</v>
      </c>
      <c r="Q516" t="s">
        <v>250</v>
      </c>
      <c r="R516" t="s">
        <v>251</v>
      </c>
      <c r="T516" t="s">
        <v>252</v>
      </c>
      <c r="U516" t="s">
        <v>499</v>
      </c>
      <c r="V516" t="s">
        <v>1281</v>
      </c>
      <c r="W516" t="s">
        <v>1282</v>
      </c>
      <c r="X516" t="s">
        <v>1283</v>
      </c>
      <c r="Z516" t="s">
        <v>1248</v>
      </c>
      <c r="AL516" t="s">
        <v>1249</v>
      </c>
      <c r="AM516" t="s">
        <v>317</v>
      </c>
      <c r="AN516" t="s">
        <v>259</v>
      </c>
      <c r="AO516" t="s">
        <v>260</v>
      </c>
      <c r="AP516">
        <v>6</v>
      </c>
      <c r="AQ516" t="s">
        <v>261</v>
      </c>
      <c r="AS516">
        <v>0.47</v>
      </c>
      <c r="AU516">
        <v>0.33</v>
      </c>
      <c r="AW516">
        <v>0.66</v>
      </c>
      <c r="AX516" t="s">
        <v>356</v>
      </c>
      <c r="BO516" t="s">
        <v>261</v>
      </c>
      <c r="BQ516">
        <v>0.47</v>
      </c>
      <c r="BS516">
        <v>0.33</v>
      </c>
      <c r="BU516">
        <v>0.66</v>
      </c>
      <c r="BV516" t="s">
        <v>263</v>
      </c>
      <c r="CM516" t="s">
        <v>264</v>
      </c>
      <c r="CN516" t="s">
        <v>264</v>
      </c>
      <c r="CP516" t="s">
        <v>265</v>
      </c>
      <c r="CQ516" t="s">
        <v>394</v>
      </c>
      <c r="DB516">
        <v>4</v>
      </c>
      <c r="DG516" t="s">
        <v>267</v>
      </c>
      <c r="DI516">
        <v>96</v>
      </c>
      <c r="DN516" t="s">
        <v>268</v>
      </c>
      <c r="DP516" t="s">
        <v>1220</v>
      </c>
      <c r="DS516">
        <v>2851</v>
      </c>
      <c r="DT516" t="s">
        <v>1250</v>
      </c>
      <c r="EW516" t="s">
        <v>293</v>
      </c>
      <c r="FA516" t="s">
        <v>1222</v>
      </c>
      <c r="FK516" t="s">
        <v>1479</v>
      </c>
      <c r="FM516">
        <v>16</v>
      </c>
      <c r="FR516" t="s">
        <v>295</v>
      </c>
      <c r="HH516" t="s">
        <v>272</v>
      </c>
      <c r="ID516" t="s">
        <v>1480</v>
      </c>
      <c r="IE516" t="s">
        <v>1253</v>
      </c>
      <c r="IF516">
        <v>115536</v>
      </c>
      <c r="IG516" t="s">
        <v>1254</v>
      </c>
      <c r="IH516" t="s">
        <v>1255</v>
      </c>
      <c r="II516">
        <v>2007</v>
      </c>
      <c r="IJ516" t="s">
        <v>1256</v>
      </c>
    </row>
    <row r="517" spans="1:244" x14ac:dyDescent="0.45">
      <c r="A517">
        <v>1183068</v>
      </c>
      <c r="B517">
        <v>148900</v>
      </c>
      <c r="C517">
        <v>7447394</v>
      </c>
      <c r="D517" t="s">
        <v>1162</v>
      </c>
      <c r="F517" t="s">
        <v>245</v>
      </c>
      <c r="G517" t="s">
        <v>246</v>
      </c>
      <c r="N517" t="s">
        <v>1183</v>
      </c>
      <c r="O517" t="s">
        <v>1184</v>
      </c>
      <c r="P517" t="s">
        <v>249</v>
      </c>
      <c r="Q517" t="s">
        <v>250</v>
      </c>
      <c r="R517" t="s">
        <v>251</v>
      </c>
      <c r="T517" t="s">
        <v>252</v>
      </c>
      <c r="U517" t="s">
        <v>253</v>
      </c>
      <c r="V517" t="s">
        <v>418</v>
      </c>
      <c r="W517" t="s">
        <v>419</v>
      </c>
      <c r="X517" t="s">
        <v>393</v>
      </c>
      <c r="Z517" t="s">
        <v>983</v>
      </c>
      <c r="AB517">
        <v>1</v>
      </c>
      <c r="AG517" t="s">
        <v>598</v>
      </c>
      <c r="AM517" t="s">
        <v>317</v>
      </c>
      <c r="AN517" t="s">
        <v>259</v>
      </c>
      <c r="AO517" t="s">
        <v>260</v>
      </c>
      <c r="AQ517" t="s">
        <v>261</v>
      </c>
      <c r="AR517" t="s">
        <v>515</v>
      </c>
      <c r="AS517">
        <v>125</v>
      </c>
      <c r="AX517" t="s">
        <v>262</v>
      </c>
      <c r="BO517" t="s">
        <v>261</v>
      </c>
      <c r="BP517" t="s">
        <v>515</v>
      </c>
      <c r="BQ517">
        <v>0.125</v>
      </c>
      <c r="BV517" t="s">
        <v>263</v>
      </c>
      <c r="CM517" t="s">
        <v>264</v>
      </c>
      <c r="CN517" t="s">
        <v>264</v>
      </c>
      <c r="CP517" t="s">
        <v>265</v>
      </c>
      <c r="CQ517" t="s">
        <v>394</v>
      </c>
      <c r="DB517">
        <v>1</v>
      </c>
      <c r="DG517" t="s">
        <v>267</v>
      </c>
      <c r="DI517">
        <v>24</v>
      </c>
      <c r="DN517" t="s">
        <v>268</v>
      </c>
      <c r="DS517">
        <v>388</v>
      </c>
      <c r="DT517" t="s">
        <v>1185</v>
      </c>
      <c r="EW517" t="s">
        <v>293</v>
      </c>
      <c r="FM517">
        <v>25</v>
      </c>
      <c r="FR517" t="s">
        <v>295</v>
      </c>
      <c r="GU517">
        <v>36</v>
      </c>
      <c r="GZ517" t="s">
        <v>296</v>
      </c>
      <c r="HH517" t="s">
        <v>272</v>
      </c>
      <c r="IE517" t="s">
        <v>1188</v>
      </c>
      <c r="IF517">
        <v>16111</v>
      </c>
      <c r="IG517" t="s">
        <v>1189</v>
      </c>
      <c r="IH517" t="s">
        <v>1190</v>
      </c>
      <c r="II517">
        <v>1995</v>
      </c>
      <c r="IJ517" t="s">
        <v>1191</v>
      </c>
    </row>
    <row r="518" spans="1:244" x14ac:dyDescent="0.45">
      <c r="A518">
        <v>1310811</v>
      </c>
      <c r="B518">
        <v>768047</v>
      </c>
      <c r="C518">
        <v>7447394</v>
      </c>
      <c r="D518" t="s">
        <v>1162</v>
      </c>
      <c r="F518" t="s">
        <v>327</v>
      </c>
      <c r="G518" t="s">
        <v>246</v>
      </c>
      <c r="N518" t="s">
        <v>1481</v>
      </c>
      <c r="O518" t="s">
        <v>578</v>
      </c>
      <c r="P518" t="s">
        <v>249</v>
      </c>
      <c r="Q518" t="s">
        <v>250</v>
      </c>
      <c r="R518" t="s">
        <v>251</v>
      </c>
      <c r="T518" t="s">
        <v>252</v>
      </c>
      <c r="U518" t="s">
        <v>499</v>
      </c>
      <c r="V518" t="s">
        <v>1217</v>
      </c>
      <c r="W518" t="s">
        <v>1218</v>
      </c>
      <c r="X518" t="s">
        <v>1482</v>
      </c>
      <c r="Z518" t="s">
        <v>649</v>
      </c>
      <c r="AA518" t="s">
        <v>289</v>
      </c>
      <c r="AB518">
        <v>7</v>
      </c>
      <c r="AG518" t="s">
        <v>267</v>
      </c>
      <c r="AM518" t="s">
        <v>317</v>
      </c>
      <c r="AN518" t="s">
        <v>259</v>
      </c>
      <c r="AO518" t="s">
        <v>260</v>
      </c>
      <c r="AQ518" t="s">
        <v>504</v>
      </c>
      <c r="AS518">
        <v>120</v>
      </c>
      <c r="AU518">
        <v>98</v>
      </c>
      <c r="AW518">
        <v>120</v>
      </c>
      <c r="AX518" t="s">
        <v>262</v>
      </c>
      <c r="BO518" t="s">
        <v>504</v>
      </c>
      <c r="BQ518">
        <v>0.12</v>
      </c>
      <c r="BS518">
        <v>9.8000000000000004E-2</v>
      </c>
      <c r="BU518">
        <v>0.12</v>
      </c>
      <c r="BV518" t="s">
        <v>263</v>
      </c>
      <c r="CM518" t="s">
        <v>264</v>
      </c>
      <c r="CN518" t="s">
        <v>264</v>
      </c>
      <c r="CP518" t="s">
        <v>265</v>
      </c>
      <c r="CQ518" t="s">
        <v>394</v>
      </c>
      <c r="DB518">
        <v>4</v>
      </c>
      <c r="DG518" t="s">
        <v>267</v>
      </c>
      <c r="DI518">
        <v>96</v>
      </c>
      <c r="DN518" t="s">
        <v>268</v>
      </c>
      <c r="DP518" t="s">
        <v>1220</v>
      </c>
      <c r="DS518">
        <v>18591</v>
      </c>
      <c r="DT518" t="s">
        <v>1221</v>
      </c>
      <c r="EW518" t="s">
        <v>293</v>
      </c>
      <c r="FA518" t="s">
        <v>1222</v>
      </c>
      <c r="FK518" t="s">
        <v>1483</v>
      </c>
      <c r="FO518">
        <v>20.399999999999999</v>
      </c>
      <c r="FQ518">
        <v>21.2</v>
      </c>
      <c r="FR518" t="s">
        <v>295</v>
      </c>
      <c r="GG518" t="s">
        <v>288</v>
      </c>
      <c r="GH518">
        <v>95</v>
      </c>
      <c r="GM518" t="s">
        <v>1224</v>
      </c>
      <c r="GQ518">
        <v>8</v>
      </c>
      <c r="GS518">
        <v>8.1999999999999993</v>
      </c>
      <c r="GW518">
        <v>30</v>
      </c>
      <c r="GY518">
        <v>32</v>
      </c>
      <c r="GZ518" t="s">
        <v>296</v>
      </c>
      <c r="HH518" t="s">
        <v>272</v>
      </c>
      <c r="ID518" t="s">
        <v>1484</v>
      </c>
      <c r="IE518" t="s">
        <v>1226</v>
      </c>
      <c r="IF518">
        <v>101781</v>
      </c>
      <c r="IG518" t="s">
        <v>1227</v>
      </c>
      <c r="IH518" t="s">
        <v>1228</v>
      </c>
      <c r="II518">
        <v>2006</v>
      </c>
      <c r="IJ518" t="s">
        <v>1229</v>
      </c>
    </row>
    <row r="519" spans="1:244" x14ac:dyDescent="0.45">
      <c r="A519">
        <v>1183081</v>
      </c>
      <c r="B519">
        <v>148913</v>
      </c>
      <c r="C519">
        <v>7447394</v>
      </c>
      <c r="D519" t="s">
        <v>1162</v>
      </c>
      <c r="F519" t="s">
        <v>245</v>
      </c>
      <c r="G519" t="s">
        <v>246</v>
      </c>
      <c r="N519" t="s">
        <v>1183</v>
      </c>
      <c r="O519" t="s">
        <v>1184</v>
      </c>
      <c r="P519" t="s">
        <v>249</v>
      </c>
      <c r="Q519" t="s">
        <v>250</v>
      </c>
      <c r="R519" t="s">
        <v>251</v>
      </c>
      <c r="T519" t="s">
        <v>252</v>
      </c>
      <c r="U519" t="s">
        <v>253</v>
      </c>
      <c r="V519" t="s">
        <v>418</v>
      </c>
      <c r="W519" t="s">
        <v>419</v>
      </c>
      <c r="X519" t="s">
        <v>393</v>
      </c>
      <c r="Z519" t="s">
        <v>649</v>
      </c>
      <c r="AB519">
        <v>6</v>
      </c>
      <c r="AG519" t="s">
        <v>1271</v>
      </c>
      <c r="AL519" t="s">
        <v>1272</v>
      </c>
      <c r="AM519" t="s">
        <v>317</v>
      </c>
      <c r="AN519" t="s">
        <v>259</v>
      </c>
      <c r="AO519" t="s">
        <v>260</v>
      </c>
      <c r="AQ519" t="s">
        <v>261</v>
      </c>
      <c r="AS519">
        <v>2500</v>
      </c>
      <c r="AX519" t="s">
        <v>262</v>
      </c>
      <c r="BO519" t="s">
        <v>261</v>
      </c>
      <c r="BQ519">
        <v>2.5</v>
      </c>
      <c r="BV519" t="s">
        <v>263</v>
      </c>
      <c r="CM519" t="s">
        <v>264</v>
      </c>
      <c r="CN519" t="s">
        <v>264</v>
      </c>
      <c r="CP519" t="s">
        <v>265</v>
      </c>
      <c r="CQ519" t="s">
        <v>394</v>
      </c>
      <c r="DB519">
        <v>2</v>
      </c>
      <c r="DG519" t="s">
        <v>267</v>
      </c>
      <c r="DI519">
        <v>48</v>
      </c>
      <c r="DN519" t="s">
        <v>268</v>
      </c>
      <c r="DS519">
        <v>388</v>
      </c>
      <c r="DT519" t="s">
        <v>1185</v>
      </c>
      <c r="EW519" t="s">
        <v>293</v>
      </c>
      <c r="FM519">
        <v>25</v>
      </c>
      <c r="FR519" t="s">
        <v>295</v>
      </c>
      <c r="GU519">
        <v>36</v>
      </c>
      <c r="GZ519" t="s">
        <v>296</v>
      </c>
      <c r="HH519" t="s">
        <v>272</v>
      </c>
      <c r="IE519" t="s">
        <v>1188</v>
      </c>
      <c r="IF519">
        <v>16111</v>
      </c>
      <c r="IG519" t="s">
        <v>1189</v>
      </c>
      <c r="IH519" t="s">
        <v>1190</v>
      </c>
      <c r="II519">
        <v>1995</v>
      </c>
      <c r="IJ519" t="s">
        <v>1191</v>
      </c>
    </row>
    <row r="520" spans="1:244" x14ac:dyDescent="0.45">
      <c r="A520">
        <v>1226471</v>
      </c>
      <c r="B520">
        <v>219647</v>
      </c>
      <c r="C520">
        <v>7447394</v>
      </c>
      <c r="D520" t="s">
        <v>1162</v>
      </c>
      <c r="E520" t="s">
        <v>386</v>
      </c>
      <c r="F520" t="s">
        <v>245</v>
      </c>
      <c r="G520" t="s">
        <v>246</v>
      </c>
      <c r="N520" t="s">
        <v>302</v>
      </c>
      <c r="O520" t="s">
        <v>303</v>
      </c>
      <c r="P520" t="s">
        <v>249</v>
      </c>
      <c r="Q520" t="s">
        <v>250</v>
      </c>
      <c r="R520" t="s">
        <v>251</v>
      </c>
      <c r="T520" t="s">
        <v>252</v>
      </c>
      <c r="U520" t="s">
        <v>253</v>
      </c>
      <c r="V520" t="s">
        <v>304</v>
      </c>
      <c r="W520" t="s">
        <v>305</v>
      </c>
      <c r="X520" t="s">
        <v>306</v>
      </c>
      <c r="Z520" t="s">
        <v>1057</v>
      </c>
      <c r="AL520" t="s">
        <v>1440</v>
      </c>
      <c r="AM520" t="s">
        <v>317</v>
      </c>
      <c r="AN520" t="s">
        <v>259</v>
      </c>
      <c r="AO520" t="s">
        <v>260</v>
      </c>
      <c r="AQ520" t="s">
        <v>261</v>
      </c>
      <c r="AS520">
        <v>6.24</v>
      </c>
      <c r="AX520" t="s">
        <v>356</v>
      </c>
      <c r="BO520" t="s">
        <v>261</v>
      </c>
      <c r="BQ520">
        <v>6.24</v>
      </c>
      <c r="BV520" t="s">
        <v>263</v>
      </c>
      <c r="CM520" t="s">
        <v>264</v>
      </c>
      <c r="CN520" t="s">
        <v>264</v>
      </c>
      <c r="CP520" t="s">
        <v>265</v>
      </c>
      <c r="CQ520" t="s">
        <v>394</v>
      </c>
      <c r="DB520">
        <v>2</v>
      </c>
      <c r="DG520" t="s">
        <v>267</v>
      </c>
      <c r="DI520">
        <v>48</v>
      </c>
      <c r="DN520" t="s">
        <v>268</v>
      </c>
      <c r="DR520">
        <v>338212</v>
      </c>
      <c r="DS520">
        <v>732</v>
      </c>
      <c r="DT520" t="s">
        <v>1211</v>
      </c>
      <c r="EW520" t="s">
        <v>293</v>
      </c>
      <c r="GU520">
        <v>36</v>
      </c>
      <c r="GZ520" t="s">
        <v>900</v>
      </c>
      <c r="HH520" t="s">
        <v>272</v>
      </c>
      <c r="IE520" t="s">
        <v>1212</v>
      </c>
      <c r="IF520">
        <v>51641</v>
      </c>
      <c r="IG520" t="s">
        <v>1213</v>
      </c>
      <c r="IH520" t="s">
        <v>1214</v>
      </c>
      <c r="II520">
        <v>2000</v>
      </c>
      <c r="IJ520" t="s">
        <v>1215</v>
      </c>
    </row>
    <row r="521" spans="1:244" x14ac:dyDescent="0.45">
      <c r="A521">
        <v>1226470</v>
      </c>
      <c r="B521">
        <v>219646</v>
      </c>
      <c r="C521">
        <v>7447394</v>
      </c>
      <c r="D521" t="s">
        <v>1162</v>
      </c>
      <c r="E521" t="s">
        <v>386</v>
      </c>
      <c r="F521" t="s">
        <v>245</v>
      </c>
      <c r="G521" t="s">
        <v>246</v>
      </c>
      <c r="N521" t="s">
        <v>302</v>
      </c>
      <c r="O521" t="s">
        <v>303</v>
      </c>
      <c r="P521" t="s">
        <v>249</v>
      </c>
      <c r="Q521" t="s">
        <v>250</v>
      </c>
      <c r="R521" t="s">
        <v>251</v>
      </c>
      <c r="T521" t="s">
        <v>252</v>
      </c>
      <c r="U521" t="s">
        <v>253</v>
      </c>
      <c r="V521" t="s">
        <v>304</v>
      </c>
      <c r="W521" t="s">
        <v>305</v>
      </c>
      <c r="X521" t="s">
        <v>306</v>
      </c>
      <c r="Z521" t="s">
        <v>1057</v>
      </c>
      <c r="AL521" t="s">
        <v>1440</v>
      </c>
      <c r="AM521" t="s">
        <v>317</v>
      </c>
      <c r="AN521" t="s">
        <v>259</v>
      </c>
      <c r="AO521" t="s">
        <v>260</v>
      </c>
      <c r="AQ521" t="s">
        <v>261</v>
      </c>
      <c r="AS521">
        <v>13.41</v>
      </c>
      <c r="AX521" t="s">
        <v>356</v>
      </c>
      <c r="BO521" t="s">
        <v>261</v>
      </c>
      <c r="BQ521">
        <v>13.41</v>
      </c>
      <c r="BV521" t="s">
        <v>263</v>
      </c>
      <c r="CM521" t="s">
        <v>264</v>
      </c>
      <c r="CN521" t="s">
        <v>264</v>
      </c>
      <c r="CP521" t="s">
        <v>265</v>
      </c>
      <c r="CQ521" t="s">
        <v>394</v>
      </c>
      <c r="DB521">
        <v>1</v>
      </c>
      <c r="DG521" t="s">
        <v>267</v>
      </c>
      <c r="DI521">
        <v>24</v>
      </c>
      <c r="DN521" t="s">
        <v>268</v>
      </c>
      <c r="DR521">
        <v>338212</v>
      </c>
      <c r="DS521">
        <v>732</v>
      </c>
      <c r="DT521" t="s">
        <v>1211</v>
      </c>
      <c r="EW521" t="s">
        <v>293</v>
      </c>
      <c r="GU521">
        <v>36</v>
      </c>
      <c r="GZ521" t="s">
        <v>900</v>
      </c>
      <c r="HH521" t="s">
        <v>272</v>
      </c>
      <c r="IE521" t="s">
        <v>1212</v>
      </c>
      <c r="IF521">
        <v>51641</v>
      </c>
      <c r="IG521" t="s">
        <v>1213</v>
      </c>
      <c r="IH521" t="s">
        <v>1214</v>
      </c>
      <c r="II521">
        <v>2000</v>
      </c>
      <c r="IJ521" t="s">
        <v>1215</v>
      </c>
    </row>
    <row r="522" spans="1:244" x14ac:dyDescent="0.45">
      <c r="A522">
        <v>1183062</v>
      </c>
      <c r="B522">
        <v>148894</v>
      </c>
      <c r="C522">
        <v>7447394</v>
      </c>
      <c r="D522" t="s">
        <v>1162</v>
      </c>
      <c r="F522" t="s">
        <v>245</v>
      </c>
      <c r="G522" t="s">
        <v>246</v>
      </c>
      <c r="N522" t="s">
        <v>1183</v>
      </c>
      <c r="O522" t="s">
        <v>1184</v>
      </c>
      <c r="P522" t="s">
        <v>249</v>
      </c>
      <c r="Q522" t="s">
        <v>250</v>
      </c>
      <c r="R522" t="s">
        <v>251</v>
      </c>
      <c r="T522" t="s">
        <v>252</v>
      </c>
      <c r="U522" t="s">
        <v>253</v>
      </c>
      <c r="V522" t="s">
        <v>418</v>
      </c>
      <c r="W522" t="s">
        <v>419</v>
      </c>
      <c r="X522" t="s">
        <v>393</v>
      </c>
      <c r="Z522" t="s">
        <v>1046</v>
      </c>
      <c r="AB522">
        <v>1</v>
      </c>
      <c r="AG522" t="s">
        <v>598</v>
      </c>
      <c r="AM522" t="s">
        <v>317</v>
      </c>
      <c r="AN522" t="s">
        <v>259</v>
      </c>
      <c r="AO522" t="s">
        <v>260</v>
      </c>
      <c r="AQ522" t="s">
        <v>261</v>
      </c>
      <c r="AR522" t="s">
        <v>515</v>
      </c>
      <c r="AS522">
        <v>6</v>
      </c>
      <c r="AX522" t="s">
        <v>262</v>
      </c>
      <c r="BO522" t="s">
        <v>261</v>
      </c>
      <c r="BP522" t="s">
        <v>515</v>
      </c>
      <c r="BQ522">
        <v>6.0000000000000001E-3</v>
      </c>
      <c r="BV522" t="s">
        <v>263</v>
      </c>
      <c r="CM522" t="s">
        <v>264</v>
      </c>
      <c r="CN522" t="s">
        <v>264</v>
      </c>
      <c r="CP522" t="s">
        <v>265</v>
      </c>
      <c r="CQ522" t="s">
        <v>394</v>
      </c>
      <c r="DB522">
        <v>1</v>
      </c>
      <c r="DG522" t="s">
        <v>267</v>
      </c>
      <c r="DI522">
        <v>24</v>
      </c>
      <c r="DN522" t="s">
        <v>268</v>
      </c>
      <c r="DS522">
        <v>388</v>
      </c>
      <c r="DT522" t="s">
        <v>1185</v>
      </c>
      <c r="EW522" t="s">
        <v>293</v>
      </c>
      <c r="FM522">
        <v>25</v>
      </c>
      <c r="FR522" t="s">
        <v>295</v>
      </c>
      <c r="GU522">
        <v>36</v>
      </c>
      <c r="GZ522" t="s">
        <v>296</v>
      </c>
      <c r="HH522" t="s">
        <v>272</v>
      </c>
      <c r="IE522" t="s">
        <v>1188</v>
      </c>
      <c r="IF522">
        <v>16111</v>
      </c>
      <c r="IG522" t="s">
        <v>1189</v>
      </c>
      <c r="IH522" t="s">
        <v>1190</v>
      </c>
      <c r="II522">
        <v>1995</v>
      </c>
      <c r="IJ522" t="s">
        <v>1191</v>
      </c>
    </row>
    <row r="523" spans="1:244" x14ac:dyDescent="0.45">
      <c r="A523">
        <v>1183061</v>
      </c>
      <c r="B523">
        <v>148893</v>
      </c>
      <c r="C523">
        <v>7447394</v>
      </c>
      <c r="D523" t="s">
        <v>1162</v>
      </c>
      <c r="F523" t="s">
        <v>245</v>
      </c>
      <c r="G523" t="s">
        <v>246</v>
      </c>
      <c r="N523" t="s">
        <v>1183</v>
      </c>
      <c r="O523" t="s">
        <v>1184</v>
      </c>
      <c r="P523" t="s">
        <v>249</v>
      </c>
      <c r="Q523" t="s">
        <v>250</v>
      </c>
      <c r="R523" t="s">
        <v>251</v>
      </c>
      <c r="T523" t="s">
        <v>252</v>
      </c>
      <c r="U523" t="s">
        <v>253</v>
      </c>
      <c r="V523" t="s">
        <v>418</v>
      </c>
      <c r="W523" t="s">
        <v>419</v>
      </c>
      <c r="X523" t="s">
        <v>393</v>
      </c>
      <c r="Z523" t="s">
        <v>525</v>
      </c>
      <c r="AM523" t="s">
        <v>317</v>
      </c>
      <c r="AN523" t="s">
        <v>259</v>
      </c>
      <c r="AO523" t="s">
        <v>260</v>
      </c>
      <c r="AQ523" t="s">
        <v>261</v>
      </c>
      <c r="AR523" t="s">
        <v>515</v>
      </c>
      <c r="AS523">
        <v>1</v>
      </c>
      <c r="AX523" t="s">
        <v>262</v>
      </c>
      <c r="BO523" t="s">
        <v>261</v>
      </c>
      <c r="BP523" t="s">
        <v>515</v>
      </c>
      <c r="BQ523">
        <v>1E-3</v>
      </c>
      <c r="BV523" t="s">
        <v>263</v>
      </c>
      <c r="CM523" t="s">
        <v>264</v>
      </c>
      <c r="CN523" t="s">
        <v>264</v>
      </c>
      <c r="CP523" t="s">
        <v>265</v>
      </c>
      <c r="CQ523" t="s">
        <v>394</v>
      </c>
      <c r="DB523">
        <v>2</v>
      </c>
      <c r="DG523" t="s">
        <v>267</v>
      </c>
      <c r="DI523">
        <v>48</v>
      </c>
      <c r="DN523" t="s">
        <v>268</v>
      </c>
      <c r="DS523">
        <v>388</v>
      </c>
      <c r="DT523" t="s">
        <v>1185</v>
      </c>
      <c r="EW523" t="s">
        <v>293</v>
      </c>
      <c r="FM523">
        <v>25</v>
      </c>
      <c r="FR523" t="s">
        <v>295</v>
      </c>
      <c r="GU523">
        <v>36</v>
      </c>
      <c r="GZ523" t="s">
        <v>296</v>
      </c>
      <c r="HH523" t="s">
        <v>272</v>
      </c>
      <c r="IE523" t="s">
        <v>1188</v>
      </c>
      <c r="IF523">
        <v>16111</v>
      </c>
      <c r="IG523" t="s">
        <v>1189</v>
      </c>
      <c r="IH523" t="s">
        <v>1190</v>
      </c>
      <c r="II523">
        <v>1995</v>
      </c>
      <c r="IJ523" t="s">
        <v>1191</v>
      </c>
    </row>
    <row r="524" spans="1:244" x14ac:dyDescent="0.45">
      <c r="A524">
        <v>1183064</v>
      </c>
      <c r="B524">
        <v>148896</v>
      </c>
      <c r="C524">
        <v>7447394</v>
      </c>
      <c r="D524" t="s">
        <v>1162</v>
      </c>
      <c r="F524" t="s">
        <v>245</v>
      </c>
      <c r="G524" t="s">
        <v>246</v>
      </c>
      <c r="N524" t="s">
        <v>1183</v>
      </c>
      <c r="O524" t="s">
        <v>1184</v>
      </c>
      <c r="P524" t="s">
        <v>249</v>
      </c>
      <c r="Q524" t="s">
        <v>250</v>
      </c>
      <c r="R524" t="s">
        <v>251</v>
      </c>
      <c r="T524" t="s">
        <v>252</v>
      </c>
      <c r="U524" t="s">
        <v>253</v>
      </c>
      <c r="V524" t="s">
        <v>418</v>
      </c>
      <c r="W524" t="s">
        <v>419</v>
      </c>
      <c r="X524" t="s">
        <v>393</v>
      </c>
      <c r="Z524" t="s">
        <v>1046</v>
      </c>
      <c r="AB524">
        <v>3</v>
      </c>
      <c r="AG524" t="s">
        <v>598</v>
      </c>
      <c r="AM524" t="s">
        <v>317</v>
      </c>
      <c r="AN524" t="s">
        <v>259</v>
      </c>
      <c r="AO524" t="s">
        <v>260</v>
      </c>
      <c r="AQ524" t="s">
        <v>261</v>
      </c>
      <c r="AR524" t="s">
        <v>515</v>
      </c>
      <c r="AS524">
        <v>120</v>
      </c>
      <c r="AX524" t="s">
        <v>262</v>
      </c>
      <c r="BO524" t="s">
        <v>261</v>
      </c>
      <c r="BP524" t="s">
        <v>515</v>
      </c>
      <c r="BQ524">
        <v>0.12</v>
      </c>
      <c r="BV524" t="s">
        <v>263</v>
      </c>
      <c r="CM524" t="s">
        <v>264</v>
      </c>
      <c r="CN524" t="s">
        <v>264</v>
      </c>
      <c r="CP524" t="s">
        <v>265</v>
      </c>
      <c r="CQ524" t="s">
        <v>394</v>
      </c>
      <c r="DB524">
        <v>1</v>
      </c>
      <c r="DG524" t="s">
        <v>267</v>
      </c>
      <c r="DI524">
        <v>24</v>
      </c>
      <c r="DN524" t="s">
        <v>268</v>
      </c>
      <c r="DS524">
        <v>388</v>
      </c>
      <c r="DT524" t="s">
        <v>1185</v>
      </c>
      <c r="EW524" t="s">
        <v>293</v>
      </c>
      <c r="FM524">
        <v>25</v>
      </c>
      <c r="FR524" t="s">
        <v>295</v>
      </c>
      <c r="GU524">
        <v>36</v>
      </c>
      <c r="GZ524" t="s">
        <v>296</v>
      </c>
      <c r="HH524" t="s">
        <v>272</v>
      </c>
      <c r="IE524" t="s">
        <v>1188</v>
      </c>
      <c r="IF524">
        <v>16111</v>
      </c>
      <c r="IG524" t="s">
        <v>1189</v>
      </c>
      <c r="IH524" t="s">
        <v>1190</v>
      </c>
      <c r="II524">
        <v>1995</v>
      </c>
      <c r="IJ524" t="s">
        <v>1191</v>
      </c>
    </row>
    <row r="525" spans="1:244" x14ac:dyDescent="0.45">
      <c r="A525">
        <v>1312735</v>
      </c>
      <c r="B525">
        <v>770203</v>
      </c>
      <c r="C525">
        <v>7447394</v>
      </c>
      <c r="D525" t="s">
        <v>1162</v>
      </c>
      <c r="E525" t="s">
        <v>622</v>
      </c>
      <c r="F525" t="s">
        <v>272</v>
      </c>
      <c r="G525" t="s">
        <v>246</v>
      </c>
      <c r="N525" t="s">
        <v>1298</v>
      </c>
      <c r="O525" t="s">
        <v>1299</v>
      </c>
      <c r="P525" t="s">
        <v>249</v>
      </c>
      <c r="Q525" t="s">
        <v>250</v>
      </c>
      <c r="R525" t="s">
        <v>251</v>
      </c>
      <c r="T525" t="s">
        <v>252</v>
      </c>
      <c r="U525" t="s">
        <v>371</v>
      </c>
      <c r="V525" t="s">
        <v>372</v>
      </c>
      <c r="W525" t="s">
        <v>1300</v>
      </c>
      <c r="X525" t="s">
        <v>1301</v>
      </c>
      <c r="Z525" t="s">
        <v>649</v>
      </c>
      <c r="AD525">
        <v>2</v>
      </c>
      <c r="AF525">
        <v>3</v>
      </c>
      <c r="AG525" t="s">
        <v>267</v>
      </c>
      <c r="AM525" t="s">
        <v>317</v>
      </c>
      <c r="AN525" t="s">
        <v>259</v>
      </c>
      <c r="AO525" t="s">
        <v>260</v>
      </c>
      <c r="AP525" t="s">
        <v>559</v>
      </c>
      <c r="AQ525" t="s">
        <v>261</v>
      </c>
      <c r="AS525">
        <v>0.18</v>
      </c>
      <c r="AX525" t="s">
        <v>356</v>
      </c>
      <c r="BO525" t="s">
        <v>261</v>
      </c>
      <c r="BQ525">
        <v>0.18</v>
      </c>
      <c r="BV525" t="s">
        <v>263</v>
      </c>
      <c r="CM525" t="s">
        <v>264</v>
      </c>
      <c r="CN525" t="s">
        <v>264</v>
      </c>
      <c r="CP525" t="s">
        <v>265</v>
      </c>
      <c r="DB525">
        <v>4</v>
      </c>
      <c r="DG525" t="s">
        <v>267</v>
      </c>
      <c r="DI525">
        <v>96</v>
      </c>
      <c r="DN525" t="s">
        <v>268</v>
      </c>
      <c r="DP525" t="s">
        <v>1220</v>
      </c>
      <c r="DS525">
        <v>20391</v>
      </c>
      <c r="DT525" t="s">
        <v>1302</v>
      </c>
      <c r="EW525" t="s">
        <v>293</v>
      </c>
      <c r="FA525" t="s">
        <v>1485</v>
      </c>
      <c r="FK525" t="s">
        <v>1486</v>
      </c>
      <c r="FM525">
        <v>25</v>
      </c>
      <c r="FR525" t="s">
        <v>295</v>
      </c>
      <c r="GG525" t="s">
        <v>288</v>
      </c>
      <c r="GH525">
        <v>80</v>
      </c>
      <c r="GM525" t="s">
        <v>1224</v>
      </c>
      <c r="GQ525">
        <v>7.5</v>
      </c>
      <c r="GS525">
        <v>8.5</v>
      </c>
      <c r="GU525">
        <v>25</v>
      </c>
      <c r="GZ525" t="s">
        <v>900</v>
      </c>
      <c r="HH525" t="s">
        <v>272</v>
      </c>
      <c r="ID525" t="s">
        <v>1487</v>
      </c>
      <c r="IE525" t="s">
        <v>1306</v>
      </c>
      <c r="IF525">
        <v>117932</v>
      </c>
      <c r="IG525" t="s">
        <v>1307</v>
      </c>
      <c r="IH525" t="s">
        <v>1308</v>
      </c>
      <c r="II525">
        <v>2008</v>
      </c>
      <c r="IJ525" t="s">
        <v>1309</v>
      </c>
    </row>
    <row r="526" spans="1:244" x14ac:dyDescent="0.45">
      <c r="A526">
        <v>2142309</v>
      </c>
      <c r="B526">
        <v>2267992</v>
      </c>
      <c r="C526">
        <v>7447394</v>
      </c>
      <c r="D526" t="s">
        <v>1162</v>
      </c>
      <c r="E526" t="s">
        <v>386</v>
      </c>
      <c r="F526" t="s">
        <v>327</v>
      </c>
      <c r="G526" t="s">
        <v>272</v>
      </c>
      <c r="N526" t="s">
        <v>1163</v>
      </c>
      <c r="O526" t="s">
        <v>1164</v>
      </c>
      <c r="P526" t="s">
        <v>249</v>
      </c>
      <c r="Q526" t="s">
        <v>250</v>
      </c>
      <c r="R526" t="s">
        <v>251</v>
      </c>
      <c r="T526" t="s">
        <v>389</v>
      </c>
      <c r="U526" t="s">
        <v>390</v>
      </c>
      <c r="V526" t="s">
        <v>1010</v>
      </c>
      <c r="W526" t="s">
        <v>1165</v>
      </c>
      <c r="X526" t="s">
        <v>1166</v>
      </c>
      <c r="Z526" t="s">
        <v>315</v>
      </c>
      <c r="AI526">
        <v>4</v>
      </c>
      <c r="AJ526" t="s">
        <v>354</v>
      </c>
      <c r="AK526" t="s">
        <v>517</v>
      </c>
      <c r="AM526" t="s">
        <v>287</v>
      </c>
      <c r="AN526" t="s">
        <v>259</v>
      </c>
      <c r="AO526" t="s">
        <v>260</v>
      </c>
      <c r="AP526">
        <v>7</v>
      </c>
      <c r="AQ526" t="s">
        <v>504</v>
      </c>
      <c r="AR526" t="s">
        <v>515</v>
      </c>
      <c r="AS526">
        <v>4</v>
      </c>
      <c r="AX526" t="s">
        <v>1167</v>
      </c>
      <c r="BO526" t="s">
        <v>504</v>
      </c>
      <c r="BP526" t="s">
        <v>515</v>
      </c>
      <c r="BQ526">
        <v>0.53780799999999995</v>
      </c>
      <c r="BV526" t="s">
        <v>263</v>
      </c>
      <c r="CM526" t="s">
        <v>264</v>
      </c>
      <c r="CN526" t="s">
        <v>264</v>
      </c>
      <c r="CP526" t="s">
        <v>265</v>
      </c>
      <c r="CQ526" t="s">
        <v>394</v>
      </c>
      <c r="DB526">
        <v>4</v>
      </c>
      <c r="DG526" t="s">
        <v>267</v>
      </c>
      <c r="DI526">
        <v>96</v>
      </c>
      <c r="DN526" t="s">
        <v>268</v>
      </c>
      <c r="DR526">
        <v>1352461</v>
      </c>
      <c r="DS526">
        <v>34567</v>
      </c>
      <c r="DT526" t="s">
        <v>1168</v>
      </c>
      <c r="DV526">
        <v>96</v>
      </c>
      <c r="EA526" t="s">
        <v>268</v>
      </c>
      <c r="EC526">
        <v>4</v>
      </c>
      <c r="EH526" t="s">
        <v>267</v>
      </c>
      <c r="EJ526">
        <v>96</v>
      </c>
      <c r="EO526" t="s">
        <v>268</v>
      </c>
      <c r="EQ526">
        <v>4</v>
      </c>
      <c r="EV526" t="s">
        <v>267</v>
      </c>
      <c r="EW526" t="s">
        <v>293</v>
      </c>
      <c r="EZ526">
        <v>50</v>
      </c>
      <c r="FA526" t="s">
        <v>1488</v>
      </c>
      <c r="FK526" t="s">
        <v>899</v>
      </c>
      <c r="GU526">
        <v>30</v>
      </c>
      <c r="GZ526" t="s">
        <v>296</v>
      </c>
      <c r="HH526" t="s">
        <v>272</v>
      </c>
      <c r="ID526" t="s">
        <v>901</v>
      </c>
      <c r="IE526" t="s">
        <v>1170</v>
      </c>
      <c r="IF526">
        <v>166161</v>
      </c>
      <c r="IG526" t="s">
        <v>1171</v>
      </c>
      <c r="IH526" t="s">
        <v>1172</v>
      </c>
      <c r="II526">
        <v>2012</v>
      </c>
      <c r="IJ526" t="s">
        <v>1173</v>
      </c>
    </row>
    <row r="527" spans="1:244" x14ac:dyDescent="0.45">
      <c r="A527">
        <v>1277749</v>
      </c>
      <c r="B527">
        <v>730972</v>
      </c>
      <c r="C527">
        <v>7447394</v>
      </c>
      <c r="D527" t="s">
        <v>1162</v>
      </c>
      <c r="E527" t="s">
        <v>439</v>
      </c>
      <c r="F527" t="s">
        <v>245</v>
      </c>
      <c r="G527" t="s">
        <v>246</v>
      </c>
      <c r="N527" t="s">
        <v>968</v>
      </c>
      <c r="O527" t="s">
        <v>969</v>
      </c>
      <c r="P527" t="s">
        <v>249</v>
      </c>
      <c r="Q527" t="s">
        <v>250</v>
      </c>
      <c r="R527" t="s">
        <v>251</v>
      </c>
      <c r="T527" t="s">
        <v>252</v>
      </c>
      <c r="U527" t="s">
        <v>253</v>
      </c>
      <c r="V527" t="s">
        <v>418</v>
      </c>
      <c r="W527" t="s">
        <v>419</v>
      </c>
      <c r="X527" t="s">
        <v>970</v>
      </c>
      <c r="Z527" t="s">
        <v>649</v>
      </c>
      <c r="AL527" t="s">
        <v>1174</v>
      </c>
      <c r="AM527" t="s">
        <v>258</v>
      </c>
      <c r="AN527" t="s">
        <v>259</v>
      </c>
      <c r="AO527" t="s">
        <v>260</v>
      </c>
      <c r="AQ527" t="s">
        <v>261</v>
      </c>
      <c r="AS527">
        <v>0.72</v>
      </c>
      <c r="AU527">
        <v>0.24</v>
      </c>
      <c r="AW527">
        <v>2.16</v>
      </c>
      <c r="AX527" t="s">
        <v>356</v>
      </c>
      <c r="BO527" t="s">
        <v>261</v>
      </c>
      <c r="BQ527">
        <v>0.72</v>
      </c>
      <c r="BS527">
        <v>0.24</v>
      </c>
      <c r="BU527">
        <v>2.16</v>
      </c>
      <c r="BV527" t="s">
        <v>263</v>
      </c>
      <c r="CM527" t="s">
        <v>264</v>
      </c>
      <c r="CN527" t="s">
        <v>264</v>
      </c>
      <c r="CP527" t="s">
        <v>265</v>
      </c>
      <c r="CQ527" t="s">
        <v>394</v>
      </c>
      <c r="DB527">
        <v>4</v>
      </c>
      <c r="DG527" t="s">
        <v>267</v>
      </c>
      <c r="DI527">
        <v>96</v>
      </c>
      <c r="DN527" t="s">
        <v>268</v>
      </c>
      <c r="DP527" t="s">
        <v>1175</v>
      </c>
      <c r="DS527">
        <v>1010</v>
      </c>
      <c r="DT527" t="s">
        <v>1176</v>
      </c>
      <c r="EW527" t="s">
        <v>293</v>
      </c>
      <c r="FK527" t="s">
        <v>1489</v>
      </c>
      <c r="FM527">
        <v>20</v>
      </c>
      <c r="FR527" t="s">
        <v>295</v>
      </c>
      <c r="GG527" t="s">
        <v>288</v>
      </c>
      <c r="GH527">
        <v>90</v>
      </c>
      <c r="GM527" t="s">
        <v>900</v>
      </c>
      <c r="GO527">
        <v>8</v>
      </c>
      <c r="GU527">
        <v>20</v>
      </c>
      <c r="GZ527" t="s">
        <v>296</v>
      </c>
      <c r="HH527" t="s">
        <v>272</v>
      </c>
      <c r="ID527" t="s">
        <v>1490</v>
      </c>
      <c r="IE527" t="s">
        <v>1179</v>
      </c>
      <c r="IF527">
        <v>4973</v>
      </c>
      <c r="IG527" t="s">
        <v>1180</v>
      </c>
      <c r="IH527" t="s">
        <v>1181</v>
      </c>
      <c r="II527">
        <v>1982</v>
      </c>
      <c r="IJ527" t="s">
        <v>1182</v>
      </c>
    </row>
    <row r="528" spans="1:244" x14ac:dyDescent="0.45">
      <c r="A528">
        <v>2142302</v>
      </c>
      <c r="B528">
        <v>2267978</v>
      </c>
      <c r="C528">
        <v>7447394</v>
      </c>
      <c r="D528" t="s">
        <v>1162</v>
      </c>
      <c r="E528" t="s">
        <v>386</v>
      </c>
      <c r="F528" t="s">
        <v>327</v>
      </c>
      <c r="G528" t="s">
        <v>272</v>
      </c>
      <c r="N528" t="s">
        <v>1163</v>
      </c>
      <c r="O528" t="s">
        <v>1164</v>
      </c>
      <c r="P528" t="s">
        <v>249</v>
      </c>
      <c r="Q528" t="s">
        <v>250</v>
      </c>
      <c r="R528" t="s">
        <v>251</v>
      </c>
      <c r="T528" t="s">
        <v>389</v>
      </c>
      <c r="U528" t="s">
        <v>390</v>
      </c>
      <c r="V528" t="s">
        <v>1010</v>
      </c>
      <c r="W528" t="s">
        <v>1165</v>
      </c>
      <c r="X528" t="s">
        <v>1166</v>
      </c>
      <c r="Z528" t="s">
        <v>315</v>
      </c>
      <c r="AI528">
        <v>4</v>
      </c>
      <c r="AJ528" t="s">
        <v>354</v>
      </c>
      <c r="AK528" t="s">
        <v>517</v>
      </c>
      <c r="AM528" t="s">
        <v>287</v>
      </c>
      <c r="AN528" t="s">
        <v>259</v>
      </c>
      <c r="AO528" t="s">
        <v>260</v>
      </c>
      <c r="AP528">
        <v>7</v>
      </c>
      <c r="AQ528" t="s">
        <v>504</v>
      </c>
      <c r="AT528" t="s">
        <v>288</v>
      </c>
      <c r="AU528">
        <v>4</v>
      </c>
      <c r="AV528" t="s">
        <v>289</v>
      </c>
      <c r="AW528">
        <v>6</v>
      </c>
      <c r="AX528" t="s">
        <v>1167</v>
      </c>
      <c r="BO528" t="s">
        <v>504</v>
      </c>
      <c r="BR528" t="s">
        <v>288</v>
      </c>
      <c r="BS528">
        <v>0.53780799999999995</v>
      </c>
      <c r="BT528" t="s">
        <v>289</v>
      </c>
      <c r="BU528">
        <v>0.80671199999999998</v>
      </c>
      <c r="BV528" t="s">
        <v>263</v>
      </c>
      <c r="CM528" t="s">
        <v>264</v>
      </c>
      <c r="CN528" t="s">
        <v>264</v>
      </c>
      <c r="CP528" t="s">
        <v>265</v>
      </c>
      <c r="CQ528" t="s">
        <v>394</v>
      </c>
      <c r="DB528">
        <v>4</v>
      </c>
      <c r="DG528" t="s">
        <v>267</v>
      </c>
      <c r="DI528">
        <v>96</v>
      </c>
      <c r="DN528" t="s">
        <v>268</v>
      </c>
      <c r="DR528">
        <v>1352461</v>
      </c>
      <c r="DS528">
        <v>34567</v>
      </c>
      <c r="DT528" t="s">
        <v>1168</v>
      </c>
      <c r="DV528">
        <v>96</v>
      </c>
      <c r="EA528" t="s">
        <v>268</v>
      </c>
      <c r="EC528">
        <v>4</v>
      </c>
      <c r="EH528" t="s">
        <v>267</v>
      </c>
      <c r="EJ528">
        <v>96</v>
      </c>
      <c r="EO528" t="s">
        <v>268</v>
      </c>
      <c r="EQ528">
        <v>4</v>
      </c>
      <c r="EV528" t="s">
        <v>267</v>
      </c>
      <c r="EW528" t="s">
        <v>293</v>
      </c>
      <c r="EZ528">
        <v>50</v>
      </c>
      <c r="FA528" t="s">
        <v>1491</v>
      </c>
      <c r="FK528" t="s">
        <v>899</v>
      </c>
      <c r="GU528">
        <v>30</v>
      </c>
      <c r="GZ528" t="s">
        <v>296</v>
      </c>
      <c r="HH528" t="s">
        <v>272</v>
      </c>
      <c r="ID528" t="s">
        <v>901</v>
      </c>
      <c r="IE528" t="s">
        <v>1170</v>
      </c>
      <c r="IF528">
        <v>166161</v>
      </c>
      <c r="IG528" t="s">
        <v>1171</v>
      </c>
      <c r="IH528" t="s">
        <v>1172</v>
      </c>
      <c r="II528">
        <v>2012</v>
      </c>
      <c r="IJ528" t="s">
        <v>1173</v>
      </c>
    </row>
    <row r="529" spans="1:244" x14ac:dyDescent="0.45">
      <c r="A529">
        <v>1304662</v>
      </c>
      <c r="B529">
        <v>761311</v>
      </c>
      <c r="C529">
        <v>7447394</v>
      </c>
      <c r="D529" t="s">
        <v>1162</v>
      </c>
      <c r="F529" t="s">
        <v>245</v>
      </c>
      <c r="G529" t="s">
        <v>246</v>
      </c>
      <c r="N529" t="s">
        <v>1230</v>
      </c>
      <c r="O529" t="s">
        <v>248</v>
      </c>
      <c r="P529" t="s">
        <v>249</v>
      </c>
      <c r="Q529" t="s">
        <v>250</v>
      </c>
      <c r="R529" t="s">
        <v>251</v>
      </c>
      <c r="T529" t="s">
        <v>252</v>
      </c>
      <c r="U529" t="s">
        <v>253</v>
      </c>
      <c r="V529" t="s">
        <v>1231</v>
      </c>
      <c r="W529" t="s">
        <v>1232</v>
      </c>
      <c r="X529" t="s">
        <v>1233</v>
      </c>
      <c r="Z529" t="s">
        <v>919</v>
      </c>
      <c r="AM529" t="s">
        <v>258</v>
      </c>
      <c r="AN529" t="s">
        <v>259</v>
      </c>
      <c r="AO529" t="s">
        <v>260</v>
      </c>
      <c r="AP529">
        <v>6</v>
      </c>
      <c r="AQ529" t="s">
        <v>261</v>
      </c>
      <c r="AS529">
        <v>130.1</v>
      </c>
      <c r="AU529">
        <v>121.7</v>
      </c>
      <c r="AW529">
        <v>139</v>
      </c>
      <c r="AX529" t="s">
        <v>356</v>
      </c>
      <c r="BO529" t="s">
        <v>261</v>
      </c>
      <c r="BQ529">
        <v>130.1</v>
      </c>
      <c r="BS529">
        <v>121.7</v>
      </c>
      <c r="BU529">
        <v>139</v>
      </c>
      <c r="BV529" t="s">
        <v>263</v>
      </c>
      <c r="CM529" t="s">
        <v>264</v>
      </c>
      <c r="CN529" t="s">
        <v>264</v>
      </c>
      <c r="CP529" t="s">
        <v>265</v>
      </c>
      <c r="CQ529" t="s">
        <v>394</v>
      </c>
      <c r="DB529">
        <v>4</v>
      </c>
      <c r="DG529" t="s">
        <v>267</v>
      </c>
      <c r="DI529">
        <v>96</v>
      </c>
      <c r="DN529" t="s">
        <v>268</v>
      </c>
      <c r="DP529" t="s">
        <v>1234</v>
      </c>
      <c r="DS529">
        <v>4771</v>
      </c>
      <c r="DT529" t="s">
        <v>1235</v>
      </c>
      <c r="EW529" t="s">
        <v>293</v>
      </c>
      <c r="FA529" t="s">
        <v>397</v>
      </c>
      <c r="FK529" t="s">
        <v>1353</v>
      </c>
      <c r="FM529">
        <v>22</v>
      </c>
      <c r="FR529" t="s">
        <v>295</v>
      </c>
      <c r="GO529">
        <v>8</v>
      </c>
      <c r="GU529">
        <v>35</v>
      </c>
      <c r="GZ529" t="s">
        <v>362</v>
      </c>
      <c r="HH529" t="s">
        <v>272</v>
      </c>
      <c r="ID529" t="s">
        <v>1354</v>
      </c>
      <c r="IE529" t="s">
        <v>1238</v>
      </c>
      <c r="IF529">
        <v>97270</v>
      </c>
      <c r="IG529" t="s">
        <v>1239</v>
      </c>
      <c r="IH529" t="s">
        <v>1240</v>
      </c>
      <c r="II529">
        <v>2006</v>
      </c>
      <c r="IJ529" t="s">
        <v>1241</v>
      </c>
    </row>
    <row r="530" spans="1:244" x14ac:dyDescent="0.45">
      <c r="A530">
        <v>1053892</v>
      </c>
      <c r="B530">
        <v>194183</v>
      </c>
      <c r="C530">
        <v>7447394</v>
      </c>
      <c r="D530" t="s">
        <v>1162</v>
      </c>
      <c r="F530" t="s">
        <v>245</v>
      </c>
      <c r="G530" t="s">
        <v>246</v>
      </c>
      <c r="N530" t="s">
        <v>1492</v>
      </c>
      <c r="O530" t="s">
        <v>1493</v>
      </c>
      <c r="P530" t="s">
        <v>249</v>
      </c>
      <c r="Q530" t="s">
        <v>250</v>
      </c>
      <c r="R530" t="s">
        <v>251</v>
      </c>
      <c r="T530" t="s">
        <v>252</v>
      </c>
      <c r="U530" t="s">
        <v>253</v>
      </c>
      <c r="V530" t="s">
        <v>281</v>
      </c>
      <c r="W530" t="s">
        <v>282</v>
      </c>
      <c r="X530" t="s">
        <v>1494</v>
      </c>
      <c r="Z530" t="s">
        <v>1046</v>
      </c>
      <c r="AB530">
        <v>1</v>
      </c>
      <c r="AG530" t="s">
        <v>598</v>
      </c>
      <c r="AM530" t="s">
        <v>317</v>
      </c>
      <c r="AN530" t="s">
        <v>259</v>
      </c>
      <c r="AO530" t="s">
        <v>260</v>
      </c>
      <c r="AQ530" t="s">
        <v>261</v>
      </c>
      <c r="AS530">
        <v>95.7</v>
      </c>
      <c r="AU530">
        <v>45.4</v>
      </c>
      <c r="AW530">
        <v>233.4</v>
      </c>
      <c r="AX530" t="s">
        <v>262</v>
      </c>
      <c r="BO530" t="s">
        <v>261</v>
      </c>
      <c r="BQ530">
        <v>9.5699999999999993E-2</v>
      </c>
      <c r="BS530">
        <v>4.5400000000000003E-2</v>
      </c>
      <c r="BU530">
        <v>0.2334</v>
      </c>
      <c r="BV530" t="s">
        <v>263</v>
      </c>
      <c r="CM530" t="s">
        <v>264</v>
      </c>
      <c r="CN530" t="s">
        <v>264</v>
      </c>
      <c r="CP530" t="s">
        <v>265</v>
      </c>
      <c r="CQ530" t="s">
        <v>394</v>
      </c>
      <c r="DB530">
        <v>4</v>
      </c>
      <c r="DG530" t="s">
        <v>267</v>
      </c>
      <c r="DI530">
        <v>96</v>
      </c>
      <c r="DN530" t="s">
        <v>268</v>
      </c>
      <c r="DR530">
        <v>29965</v>
      </c>
      <c r="DS530">
        <v>339</v>
      </c>
      <c r="EW530" t="s">
        <v>293</v>
      </c>
      <c r="FM530">
        <v>8.5</v>
      </c>
      <c r="FR530" t="s">
        <v>295</v>
      </c>
      <c r="GO530">
        <v>8.1</v>
      </c>
      <c r="HH530" t="s">
        <v>272</v>
      </c>
      <c r="IE530" t="s">
        <v>1472</v>
      </c>
      <c r="IF530">
        <v>3752</v>
      </c>
      <c r="IG530" t="s">
        <v>1473</v>
      </c>
      <c r="IH530" t="s">
        <v>1474</v>
      </c>
      <c r="II530">
        <v>1983</v>
      </c>
      <c r="IJ530" t="s">
        <v>1475</v>
      </c>
    </row>
    <row r="531" spans="1:244" x14ac:dyDescent="0.45">
      <c r="A531">
        <v>2142112</v>
      </c>
      <c r="B531">
        <v>2267554</v>
      </c>
      <c r="C531">
        <v>7447394</v>
      </c>
      <c r="D531" t="s">
        <v>1162</v>
      </c>
      <c r="E531" t="s">
        <v>386</v>
      </c>
      <c r="F531" t="s">
        <v>327</v>
      </c>
      <c r="G531" t="s">
        <v>272</v>
      </c>
      <c r="N531" t="s">
        <v>1163</v>
      </c>
      <c r="O531" t="s">
        <v>1164</v>
      </c>
      <c r="P531" t="s">
        <v>249</v>
      </c>
      <c r="Q531" t="s">
        <v>250</v>
      </c>
      <c r="R531" t="s">
        <v>251</v>
      </c>
      <c r="T531" t="s">
        <v>389</v>
      </c>
      <c r="U531" t="s">
        <v>390</v>
      </c>
      <c r="V531" t="s">
        <v>1010</v>
      </c>
      <c r="W531" t="s">
        <v>1165</v>
      </c>
      <c r="X531" t="s">
        <v>1166</v>
      </c>
      <c r="Z531" t="s">
        <v>315</v>
      </c>
      <c r="AI531">
        <v>4</v>
      </c>
      <c r="AJ531" t="s">
        <v>354</v>
      </c>
      <c r="AK531" t="s">
        <v>517</v>
      </c>
      <c r="AM531" t="s">
        <v>287</v>
      </c>
      <c r="AN531" t="s">
        <v>259</v>
      </c>
      <c r="AO531" t="s">
        <v>260</v>
      </c>
      <c r="AP531">
        <v>7</v>
      </c>
      <c r="AQ531" t="s">
        <v>504</v>
      </c>
      <c r="AS531">
        <v>334.24</v>
      </c>
      <c r="AU531">
        <v>280.60000000000002</v>
      </c>
      <c r="AW531">
        <v>396.1</v>
      </c>
      <c r="AX531" t="s">
        <v>262</v>
      </c>
      <c r="BO531" t="s">
        <v>504</v>
      </c>
      <c r="BQ531">
        <v>0.33423999999999998</v>
      </c>
      <c r="BS531">
        <v>0.28060000000000002</v>
      </c>
      <c r="BU531">
        <v>0.39610000000000001</v>
      </c>
      <c r="BV531" t="s">
        <v>263</v>
      </c>
      <c r="CM531" t="s">
        <v>264</v>
      </c>
      <c r="CN531" t="s">
        <v>264</v>
      </c>
      <c r="CP531" t="s">
        <v>265</v>
      </c>
      <c r="CQ531" t="s">
        <v>394</v>
      </c>
      <c r="DB531">
        <v>4</v>
      </c>
      <c r="DG531" t="s">
        <v>267</v>
      </c>
      <c r="DI531">
        <v>96</v>
      </c>
      <c r="DN531" t="s">
        <v>268</v>
      </c>
      <c r="DR531">
        <v>1352461</v>
      </c>
      <c r="DS531">
        <v>34567</v>
      </c>
      <c r="DT531" t="s">
        <v>1168</v>
      </c>
      <c r="DV531">
        <v>96</v>
      </c>
      <c r="EA531" t="s">
        <v>268</v>
      </c>
      <c r="EC531">
        <v>4</v>
      </c>
      <c r="EH531" t="s">
        <v>267</v>
      </c>
      <c r="EJ531">
        <v>96</v>
      </c>
      <c r="EO531" t="s">
        <v>268</v>
      </c>
      <c r="EQ531">
        <v>4</v>
      </c>
      <c r="EV531" t="s">
        <v>267</v>
      </c>
      <c r="EW531" t="s">
        <v>293</v>
      </c>
      <c r="EZ531">
        <v>50</v>
      </c>
      <c r="FA531" t="s">
        <v>1495</v>
      </c>
      <c r="GU531">
        <v>30</v>
      </c>
      <c r="GZ531" t="s">
        <v>296</v>
      </c>
      <c r="HH531" t="s">
        <v>272</v>
      </c>
      <c r="IE531" t="s">
        <v>1170</v>
      </c>
      <c r="IF531">
        <v>166161</v>
      </c>
      <c r="IG531" t="s">
        <v>1171</v>
      </c>
      <c r="IH531" t="s">
        <v>1172</v>
      </c>
      <c r="II531">
        <v>2012</v>
      </c>
      <c r="IJ531" t="s">
        <v>1173</v>
      </c>
    </row>
    <row r="532" spans="1:244" x14ac:dyDescent="0.45">
      <c r="A532">
        <v>1242779</v>
      </c>
      <c r="B532">
        <v>233391</v>
      </c>
      <c r="C532">
        <v>7447394</v>
      </c>
      <c r="D532" t="s">
        <v>1162</v>
      </c>
      <c r="F532" t="s">
        <v>245</v>
      </c>
      <c r="G532" t="s">
        <v>246</v>
      </c>
      <c r="N532" t="s">
        <v>1451</v>
      </c>
      <c r="O532" t="s">
        <v>1452</v>
      </c>
      <c r="P532" t="s">
        <v>249</v>
      </c>
      <c r="Q532" t="s">
        <v>250</v>
      </c>
      <c r="R532" t="s">
        <v>251</v>
      </c>
      <c r="T532" t="s">
        <v>252</v>
      </c>
      <c r="U532" t="s">
        <v>253</v>
      </c>
      <c r="V532" t="s">
        <v>1453</v>
      </c>
      <c r="W532" t="s">
        <v>1454</v>
      </c>
      <c r="X532" t="s">
        <v>1455</v>
      </c>
      <c r="Z532" t="s">
        <v>1456</v>
      </c>
      <c r="AJ532" t="s">
        <v>285</v>
      </c>
      <c r="AL532" t="s">
        <v>1457</v>
      </c>
      <c r="AM532" t="s">
        <v>317</v>
      </c>
      <c r="AN532" t="s">
        <v>259</v>
      </c>
      <c r="AO532" t="s">
        <v>260</v>
      </c>
      <c r="AP532">
        <v>8</v>
      </c>
      <c r="AQ532" t="s">
        <v>504</v>
      </c>
      <c r="AS532">
        <v>2</v>
      </c>
      <c r="AX532" t="s">
        <v>422</v>
      </c>
      <c r="BO532" t="s">
        <v>504</v>
      </c>
      <c r="BQ532">
        <v>2</v>
      </c>
      <c r="BV532" t="s">
        <v>263</v>
      </c>
      <c r="CM532" t="s">
        <v>264</v>
      </c>
      <c r="CN532" t="s">
        <v>264</v>
      </c>
      <c r="CP532" t="s">
        <v>265</v>
      </c>
      <c r="CQ532" t="s">
        <v>394</v>
      </c>
      <c r="DB532">
        <v>4</v>
      </c>
      <c r="DG532" t="s">
        <v>267</v>
      </c>
      <c r="DI532">
        <v>96</v>
      </c>
      <c r="DN532" t="s">
        <v>268</v>
      </c>
      <c r="DP532" t="s">
        <v>1258</v>
      </c>
      <c r="DR532">
        <v>101204</v>
      </c>
      <c r="DS532">
        <v>10767</v>
      </c>
      <c r="DT532" t="s">
        <v>1458</v>
      </c>
      <c r="EW532" t="s">
        <v>293</v>
      </c>
      <c r="FA532" t="s">
        <v>1159</v>
      </c>
      <c r="FK532" t="s">
        <v>1459</v>
      </c>
      <c r="FM532">
        <v>15</v>
      </c>
      <c r="FR532" t="s">
        <v>295</v>
      </c>
      <c r="GH532">
        <v>8.9</v>
      </c>
      <c r="GM532" t="s">
        <v>356</v>
      </c>
      <c r="GO532">
        <v>7.9</v>
      </c>
      <c r="GU532">
        <v>30</v>
      </c>
      <c r="GZ532" t="s">
        <v>296</v>
      </c>
      <c r="HH532" t="s">
        <v>272</v>
      </c>
      <c r="ID532" t="s">
        <v>1460</v>
      </c>
      <c r="IE532" t="s">
        <v>1461</v>
      </c>
      <c r="IF532">
        <v>77856</v>
      </c>
      <c r="IG532" t="s">
        <v>1462</v>
      </c>
      <c r="IH532" t="s">
        <v>1463</v>
      </c>
      <c r="II532">
        <v>2002</v>
      </c>
      <c r="IJ532" t="s">
        <v>1464</v>
      </c>
    </row>
    <row r="533" spans="1:244" x14ac:dyDescent="0.45">
      <c r="A533">
        <v>1183086</v>
      </c>
      <c r="B533">
        <v>148918</v>
      </c>
      <c r="C533">
        <v>7447394</v>
      </c>
      <c r="D533" t="s">
        <v>1162</v>
      </c>
      <c r="F533" t="s">
        <v>245</v>
      </c>
      <c r="G533" t="s">
        <v>246</v>
      </c>
      <c r="N533" t="s">
        <v>1183</v>
      </c>
      <c r="O533" t="s">
        <v>1184</v>
      </c>
      <c r="P533" t="s">
        <v>249</v>
      </c>
      <c r="Q533" t="s">
        <v>250</v>
      </c>
      <c r="R533" t="s">
        <v>251</v>
      </c>
      <c r="T533" t="s">
        <v>252</v>
      </c>
      <c r="U533" t="s">
        <v>253</v>
      </c>
      <c r="V533" t="s">
        <v>418</v>
      </c>
      <c r="W533" t="s">
        <v>419</v>
      </c>
      <c r="X533" t="s">
        <v>393</v>
      </c>
      <c r="Z533" t="s">
        <v>421</v>
      </c>
      <c r="AB533">
        <v>2</v>
      </c>
      <c r="AG533" t="s">
        <v>598</v>
      </c>
      <c r="AM533" t="s">
        <v>317</v>
      </c>
      <c r="AN533" t="s">
        <v>259</v>
      </c>
      <c r="AO533" t="s">
        <v>260</v>
      </c>
      <c r="AQ533" t="s">
        <v>261</v>
      </c>
      <c r="AU533">
        <v>100</v>
      </c>
      <c r="AW533">
        <v>1000</v>
      </c>
      <c r="AX533" t="s">
        <v>262</v>
      </c>
      <c r="BO533" t="s">
        <v>261</v>
      </c>
      <c r="BS533">
        <v>0.1</v>
      </c>
      <c r="BU533">
        <v>1</v>
      </c>
      <c r="BV533" t="s">
        <v>263</v>
      </c>
      <c r="CM533" t="s">
        <v>264</v>
      </c>
      <c r="CN533" t="s">
        <v>264</v>
      </c>
      <c r="CP533" t="s">
        <v>265</v>
      </c>
      <c r="CQ533" t="s">
        <v>394</v>
      </c>
      <c r="DB533">
        <v>1</v>
      </c>
      <c r="DG533" t="s">
        <v>267</v>
      </c>
      <c r="DI533">
        <v>24</v>
      </c>
      <c r="DN533" t="s">
        <v>268</v>
      </c>
      <c r="DS533">
        <v>388</v>
      </c>
      <c r="DT533" t="s">
        <v>1185</v>
      </c>
      <c r="EW533" t="s">
        <v>293</v>
      </c>
      <c r="FK533" t="s">
        <v>1186</v>
      </c>
      <c r="FM533">
        <v>25</v>
      </c>
      <c r="FR533" t="s">
        <v>295</v>
      </c>
      <c r="GU533">
        <v>36</v>
      </c>
      <c r="GZ533" t="s">
        <v>296</v>
      </c>
      <c r="HH533" t="s">
        <v>272</v>
      </c>
      <c r="ID533" t="s">
        <v>1187</v>
      </c>
      <c r="IE533" t="s">
        <v>1188</v>
      </c>
      <c r="IF533">
        <v>16111</v>
      </c>
      <c r="IG533" t="s">
        <v>1189</v>
      </c>
      <c r="IH533" t="s">
        <v>1190</v>
      </c>
      <c r="II533">
        <v>1995</v>
      </c>
      <c r="IJ533" t="s">
        <v>1191</v>
      </c>
    </row>
    <row r="534" spans="1:244" x14ac:dyDescent="0.45">
      <c r="A534">
        <v>1209152</v>
      </c>
      <c r="B534">
        <v>199455</v>
      </c>
      <c r="C534">
        <v>7447394</v>
      </c>
      <c r="D534" t="s">
        <v>1162</v>
      </c>
      <c r="F534" t="s">
        <v>327</v>
      </c>
      <c r="G534" t="s">
        <v>246</v>
      </c>
      <c r="N534" t="s">
        <v>1401</v>
      </c>
      <c r="O534" t="s">
        <v>1299</v>
      </c>
      <c r="P534" t="s">
        <v>249</v>
      </c>
      <c r="Q534" t="s">
        <v>250</v>
      </c>
      <c r="R534" t="s">
        <v>251</v>
      </c>
      <c r="T534" t="s">
        <v>252</v>
      </c>
      <c r="U534" t="s">
        <v>371</v>
      </c>
      <c r="V534" t="s">
        <v>372</v>
      </c>
      <c r="W534" t="s">
        <v>1402</v>
      </c>
      <c r="X534" t="s">
        <v>1403</v>
      </c>
      <c r="Z534" t="s">
        <v>649</v>
      </c>
      <c r="AB534">
        <v>3</v>
      </c>
      <c r="AG534" t="s">
        <v>267</v>
      </c>
      <c r="AM534" t="s">
        <v>258</v>
      </c>
      <c r="AN534" t="s">
        <v>259</v>
      </c>
      <c r="AO534" t="s">
        <v>260</v>
      </c>
      <c r="AQ534" t="s">
        <v>261</v>
      </c>
      <c r="AS534">
        <v>27.2</v>
      </c>
      <c r="AX534" t="s">
        <v>262</v>
      </c>
      <c r="BO534" t="s">
        <v>261</v>
      </c>
      <c r="BQ534">
        <v>2.7199999999999998E-2</v>
      </c>
      <c r="BV534" t="s">
        <v>263</v>
      </c>
      <c r="CM534" t="s">
        <v>264</v>
      </c>
      <c r="CN534" t="s">
        <v>264</v>
      </c>
      <c r="CP534" t="s">
        <v>265</v>
      </c>
      <c r="CQ534" t="s">
        <v>394</v>
      </c>
      <c r="DB534">
        <v>4</v>
      </c>
      <c r="DG534" t="s">
        <v>267</v>
      </c>
      <c r="DI534">
        <v>96</v>
      </c>
      <c r="DN534" t="s">
        <v>268</v>
      </c>
      <c r="DR534">
        <v>236552</v>
      </c>
      <c r="DS534">
        <v>59434</v>
      </c>
      <c r="EW534" t="s">
        <v>293</v>
      </c>
      <c r="FA534" t="s">
        <v>1496</v>
      </c>
      <c r="FO534">
        <v>13</v>
      </c>
      <c r="FQ534">
        <v>15</v>
      </c>
      <c r="FR534" t="s">
        <v>295</v>
      </c>
      <c r="GJ534">
        <v>7.54</v>
      </c>
      <c r="GL534">
        <v>8.2100000000000009</v>
      </c>
      <c r="GM534" t="s">
        <v>356</v>
      </c>
      <c r="GQ534">
        <v>7.75</v>
      </c>
      <c r="GS534">
        <v>7.85</v>
      </c>
      <c r="GW534">
        <v>36</v>
      </c>
      <c r="GY534">
        <v>38</v>
      </c>
      <c r="GZ534" t="s">
        <v>296</v>
      </c>
      <c r="HH534" t="s">
        <v>272</v>
      </c>
      <c r="IE534" t="s">
        <v>1497</v>
      </c>
      <c r="IF534">
        <v>19130</v>
      </c>
      <c r="IG534" t="s">
        <v>1498</v>
      </c>
      <c r="IH534" t="s">
        <v>1499</v>
      </c>
      <c r="II534">
        <v>1989</v>
      </c>
      <c r="IJ534" t="s">
        <v>1500</v>
      </c>
    </row>
    <row r="535" spans="1:244" x14ac:dyDescent="0.45">
      <c r="A535">
        <v>1183079</v>
      </c>
      <c r="B535">
        <v>148911</v>
      </c>
      <c r="C535">
        <v>7447394</v>
      </c>
      <c r="D535" t="s">
        <v>1162</v>
      </c>
      <c r="F535" t="s">
        <v>245</v>
      </c>
      <c r="G535" t="s">
        <v>246</v>
      </c>
      <c r="N535" t="s">
        <v>1183</v>
      </c>
      <c r="O535" t="s">
        <v>1184</v>
      </c>
      <c r="P535" t="s">
        <v>249</v>
      </c>
      <c r="Q535" t="s">
        <v>250</v>
      </c>
      <c r="R535" t="s">
        <v>251</v>
      </c>
      <c r="T535" t="s">
        <v>252</v>
      </c>
      <c r="U535" t="s">
        <v>253</v>
      </c>
      <c r="V535" t="s">
        <v>418</v>
      </c>
      <c r="W535" t="s">
        <v>419</v>
      </c>
      <c r="X535" t="s">
        <v>393</v>
      </c>
      <c r="Z535" t="s">
        <v>421</v>
      </c>
      <c r="AB535">
        <v>15</v>
      </c>
      <c r="AG535" t="s">
        <v>598</v>
      </c>
      <c r="AM535" t="s">
        <v>258</v>
      </c>
      <c r="AN535" t="s">
        <v>259</v>
      </c>
      <c r="AO535" t="s">
        <v>260</v>
      </c>
      <c r="AQ535" t="s">
        <v>261</v>
      </c>
      <c r="AR535" t="s">
        <v>515</v>
      </c>
      <c r="AS535">
        <v>1450</v>
      </c>
      <c r="AX535" t="s">
        <v>262</v>
      </c>
      <c r="BO535" t="s">
        <v>261</v>
      </c>
      <c r="BP535" t="s">
        <v>515</v>
      </c>
      <c r="BQ535">
        <v>1.45</v>
      </c>
      <c r="BV535" t="s">
        <v>263</v>
      </c>
      <c r="CM535" t="s">
        <v>264</v>
      </c>
      <c r="CN535" t="s">
        <v>264</v>
      </c>
      <c r="CP535" t="s">
        <v>265</v>
      </c>
      <c r="CQ535" t="s">
        <v>394</v>
      </c>
      <c r="DB535">
        <v>4</v>
      </c>
      <c r="DG535" t="s">
        <v>267</v>
      </c>
      <c r="DI535">
        <v>96</v>
      </c>
      <c r="DN535" t="s">
        <v>268</v>
      </c>
      <c r="DS535">
        <v>388</v>
      </c>
      <c r="DT535" t="s">
        <v>1185</v>
      </c>
      <c r="EW535" t="s">
        <v>293</v>
      </c>
      <c r="FM535">
        <v>25</v>
      </c>
      <c r="FR535" t="s">
        <v>295</v>
      </c>
      <c r="GU535">
        <v>36</v>
      </c>
      <c r="GZ535" t="s">
        <v>296</v>
      </c>
      <c r="HH535" t="s">
        <v>272</v>
      </c>
      <c r="IE535" t="s">
        <v>1188</v>
      </c>
      <c r="IF535">
        <v>16111</v>
      </c>
      <c r="IG535" t="s">
        <v>1189</v>
      </c>
      <c r="IH535" t="s">
        <v>1190</v>
      </c>
      <c r="II535">
        <v>1995</v>
      </c>
      <c r="IJ535" t="s">
        <v>1191</v>
      </c>
    </row>
    <row r="536" spans="1:244" x14ac:dyDescent="0.45">
      <c r="A536">
        <v>2142114</v>
      </c>
      <c r="B536">
        <v>2267556</v>
      </c>
      <c r="C536">
        <v>7447394</v>
      </c>
      <c r="D536" t="s">
        <v>1162</v>
      </c>
      <c r="E536" t="s">
        <v>386</v>
      </c>
      <c r="F536" t="s">
        <v>327</v>
      </c>
      <c r="G536" t="s">
        <v>272</v>
      </c>
      <c r="N536" t="s">
        <v>1163</v>
      </c>
      <c r="O536" t="s">
        <v>1164</v>
      </c>
      <c r="P536" t="s">
        <v>249</v>
      </c>
      <c r="Q536" t="s">
        <v>250</v>
      </c>
      <c r="R536" t="s">
        <v>251</v>
      </c>
      <c r="T536" t="s">
        <v>389</v>
      </c>
      <c r="U536" t="s">
        <v>390</v>
      </c>
      <c r="V536" t="s">
        <v>1010</v>
      </c>
      <c r="W536" t="s">
        <v>1165</v>
      </c>
      <c r="X536" t="s">
        <v>1166</v>
      </c>
      <c r="Z536" t="s">
        <v>315</v>
      </c>
      <c r="AI536">
        <v>4</v>
      </c>
      <c r="AJ536" t="s">
        <v>354</v>
      </c>
      <c r="AK536" t="s">
        <v>517</v>
      </c>
      <c r="AM536" t="s">
        <v>287</v>
      </c>
      <c r="AN536" t="s">
        <v>259</v>
      </c>
      <c r="AO536" t="s">
        <v>260</v>
      </c>
      <c r="AP536">
        <v>7</v>
      </c>
      <c r="AQ536" t="s">
        <v>504</v>
      </c>
      <c r="AS536">
        <v>741.83</v>
      </c>
      <c r="AU536">
        <v>612.70000000000005</v>
      </c>
      <c r="AW536">
        <v>995.3</v>
      </c>
      <c r="AX536" t="s">
        <v>262</v>
      </c>
      <c r="BO536" t="s">
        <v>504</v>
      </c>
      <c r="BQ536">
        <v>0.74182999999999999</v>
      </c>
      <c r="BS536">
        <v>0.61270000000000002</v>
      </c>
      <c r="BU536">
        <v>0.99529999999999996</v>
      </c>
      <c r="BV536" t="s">
        <v>263</v>
      </c>
      <c r="CM536" t="s">
        <v>264</v>
      </c>
      <c r="CN536" t="s">
        <v>264</v>
      </c>
      <c r="CP536" t="s">
        <v>265</v>
      </c>
      <c r="CQ536" t="s">
        <v>394</v>
      </c>
      <c r="DB536">
        <v>4</v>
      </c>
      <c r="DG536" t="s">
        <v>267</v>
      </c>
      <c r="DI536">
        <v>96</v>
      </c>
      <c r="DN536" t="s">
        <v>268</v>
      </c>
      <c r="DR536">
        <v>1352461</v>
      </c>
      <c r="DS536">
        <v>34567</v>
      </c>
      <c r="DT536" t="s">
        <v>1168</v>
      </c>
      <c r="DV536">
        <v>96</v>
      </c>
      <c r="EA536" t="s">
        <v>268</v>
      </c>
      <c r="EC536">
        <v>4</v>
      </c>
      <c r="EH536" t="s">
        <v>267</v>
      </c>
      <c r="EJ536">
        <v>96</v>
      </c>
      <c r="EO536" t="s">
        <v>268</v>
      </c>
      <c r="EQ536">
        <v>4</v>
      </c>
      <c r="EV536" t="s">
        <v>267</v>
      </c>
      <c r="EW536" t="s">
        <v>293</v>
      </c>
      <c r="EZ536">
        <v>50</v>
      </c>
      <c r="FA536" t="s">
        <v>1501</v>
      </c>
      <c r="GU536">
        <v>30</v>
      </c>
      <c r="GZ536" t="s">
        <v>296</v>
      </c>
      <c r="HH536" t="s">
        <v>272</v>
      </c>
      <c r="IE536" t="s">
        <v>1170</v>
      </c>
      <c r="IF536">
        <v>166161</v>
      </c>
      <c r="IG536" t="s">
        <v>1171</v>
      </c>
      <c r="IH536" t="s">
        <v>1172</v>
      </c>
      <c r="II536">
        <v>2012</v>
      </c>
      <c r="IJ536" t="s">
        <v>1173</v>
      </c>
    </row>
    <row r="537" spans="1:244" x14ac:dyDescent="0.45">
      <c r="A537">
        <v>1312983</v>
      </c>
      <c r="B537">
        <v>770479</v>
      </c>
      <c r="C537">
        <v>7447394</v>
      </c>
      <c r="D537" t="s">
        <v>1162</v>
      </c>
      <c r="F537" t="s">
        <v>861</v>
      </c>
      <c r="G537" t="s">
        <v>246</v>
      </c>
      <c r="N537" t="s">
        <v>829</v>
      </c>
      <c r="O537" t="s">
        <v>631</v>
      </c>
      <c r="P537" t="s">
        <v>249</v>
      </c>
      <c r="Q537" t="s">
        <v>250</v>
      </c>
      <c r="R537" t="s">
        <v>251</v>
      </c>
      <c r="T537" t="s">
        <v>389</v>
      </c>
      <c r="U537" t="s">
        <v>632</v>
      </c>
      <c r="V537" t="s">
        <v>830</v>
      </c>
      <c r="W537" t="s">
        <v>831</v>
      </c>
      <c r="X537" t="s">
        <v>832</v>
      </c>
      <c r="Z537" t="s">
        <v>525</v>
      </c>
      <c r="AA537" t="s">
        <v>515</v>
      </c>
      <c r="AB537">
        <v>1</v>
      </c>
      <c r="AG537" t="s">
        <v>267</v>
      </c>
      <c r="AM537" t="s">
        <v>317</v>
      </c>
      <c r="AN537" t="s">
        <v>259</v>
      </c>
      <c r="AO537" t="s">
        <v>260</v>
      </c>
      <c r="AP537">
        <v>7</v>
      </c>
      <c r="AQ537" t="s">
        <v>504</v>
      </c>
      <c r="AS537">
        <v>108</v>
      </c>
      <c r="AU537">
        <v>99.1</v>
      </c>
      <c r="AW537">
        <v>118</v>
      </c>
      <c r="AX537" t="s">
        <v>262</v>
      </c>
      <c r="BO537" t="s">
        <v>504</v>
      </c>
      <c r="BQ537">
        <v>0.108</v>
      </c>
      <c r="BS537">
        <v>9.9099999999999994E-2</v>
      </c>
      <c r="BU537">
        <v>0.11799999999999999</v>
      </c>
      <c r="BV537" t="s">
        <v>263</v>
      </c>
      <c r="CM537" t="s">
        <v>264</v>
      </c>
      <c r="CN537" t="s">
        <v>264</v>
      </c>
      <c r="CP537" t="s">
        <v>265</v>
      </c>
      <c r="CQ537" t="s">
        <v>394</v>
      </c>
      <c r="DB537">
        <v>4</v>
      </c>
      <c r="DG537" t="s">
        <v>267</v>
      </c>
      <c r="DI537">
        <v>96</v>
      </c>
      <c r="DN537" t="s">
        <v>268</v>
      </c>
      <c r="DP537" t="s">
        <v>1234</v>
      </c>
      <c r="DR537">
        <v>88015</v>
      </c>
      <c r="DS537">
        <v>649</v>
      </c>
      <c r="DT537" t="s">
        <v>1502</v>
      </c>
      <c r="EW537" t="s">
        <v>293</v>
      </c>
      <c r="FK537" t="s">
        <v>1503</v>
      </c>
      <c r="FO537">
        <v>24.4</v>
      </c>
      <c r="FQ537">
        <v>24.7</v>
      </c>
      <c r="FR537" t="s">
        <v>295</v>
      </c>
      <c r="FV537">
        <v>1632</v>
      </c>
      <c r="FX537">
        <v>1824</v>
      </c>
      <c r="FY537" t="s">
        <v>356</v>
      </c>
      <c r="GC537">
        <v>43.5</v>
      </c>
      <c r="GE537">
        <v>48</v>
      </c>
      <c r="GF537" t="s">
        <v>356</v>
      </c>
      <c r="GJ537">
        <v>8.01</v>
      </c>
      <c r="GL537">
        <v>9.57</v>
      </c>
      <c r="GM537" t="s">
        <v>356</v>
      </c>
      <c r="GQ537">
        <v>7.97</v>
      </c>
      <c r="GS537">
        <v>8.68</v>
      </c>
      <c r="GU537">
        <v>10</v>
      </c>
      <c r="GZ537" t="s">
        <v>296</v>
      </c>
      <c r="HH537" t="s">
        <v>883</v>
      </c>
      <c r="HL537">
        <v>3.86</v>
      </c>
      <c r="HN537">
        <v>4.1100000000000003</v>
      </c>
      <c r="HO537" t="s">
        <v>356</v>
      </c>
      <c r="ID537" t="s">
        <v>1504</v>
      </c>
      <c r="IE537" t="s">
        <v>1505</v>
      </c>
      <c r="IF537">
        <v>107036</v>
      </c>
      <c r="IG537" t="s">
        <v>1506</v>
      </c>
      <c r="IH537" t="s">
        <v>1507</v>
      </c>
      <c r="II537">
        <v>2008</v>
      </c>
      <c r="IJ537" t="s">
        <v>1508</v>
      </c>
    </row>
    <row r="538" spans="1:244" x14ac:dyDescent="0.45">
      <c r="A538">
        <v>2140678</v>
      </c>
      <c r="B538">
        <v>2263526</v>
      </c>
      <c r="C538">
        <v>7447394</v>
      </c>
      <c r="D538" t="s">
        <v>1162</v>
      </c>
      <c r="F538" t="s">
        <v>245</v>
      </c>
      <c r="G538" t="s">
        <v>272</v>
      </c>
      <c r="N538" t="s">
        <v>630</v>
      </c>
      <c r="O538" t="s">
        <v>631</v>
      </c>
      <c r="P538" t="s">
        <v>249</v>
      </c>
      <c r="Q538" t="s">
        <v>250</v>
      </c>
      <c r="R538" t="s">
        <v>251</v>
      </c>
      <c r="T538" t="s">
        <v>389</v>
      </c>
      <c r="U538" t="s">
        <v>632</v>
      </c>
      <c r="V538" t="s">
        <v>633</v>
      </c>
      <c r="W538" t="s">
        <v>634</v>
      </c>
      <c r="X538" t="s">
        <v>635</v>
      </c>
      <c r="Z538" t="s">
        <v>1034</v>
      </c>
      <c r="AI538">
        <v>2</v>
      </c>
      <c r="AJ538" t="s">
        <v>354</v>
      </c>
      <c r="AL538" t="s">
        <v>1509</v>
      </c>
      <c r="AM538" t="s">
        <v>258</v>
      </c>
      <c r="AN538" t="s">
        <v>259</v>
      </c>
      <c r="AO538" t="s">
        <v>260</v>
      </c>
      <c r="AP538">
        <v>5</v>
      </c>
      <c r="AQ538" t="s">
        <v>504</v>
      </c>
      <c r="AT538" t="s">
        <v>288</v>
      </c>
      <c r="AU538">
        <v>108.7</v>
      </c>
      <c r="AV538" t="s">
        <v>289</v>
      </c>
      <c r="AW538">
        <v>200</v>
      </c>
      <c r="AX538" t="s">
        <v>262</v>
      </c>
      <c r="BO538" t="s">
        <v>504</v>
      </c>
      <c r="BR538" t="s">
        <v>288</v>
      </c>
      <c r="BS538">
        <v>0.1087</v>
      </c>
      <c r="BT538" t="s">
        <v>289</v>
      </c>
      <c r="BU538">
        <v>0.2</v>
      </c>
      <c r="BV538" t="s">
        <v>263</v>
      </c>
      <c r="CM538" t="s">
        <v>264</v>
      </c>
      <c r="CN538" t="s">
        <v>264</v>
      </c>
      <c r="CP538" t="s">
        <v>265</v>
      </c>
      <c r="CQ538" t="s">
        <v>394</v>
      </c>
      <c r="DB538">
        <v>2</v>
      </c>
      <c r="DG538" t="s">
        <v>267</v>
      </c>
      <c r="DI538">
        <v>48</v>
      </c>
      <c r="DN538" t="s">
        <v>268</v>
      </c>
      <c r="DP538" t="s">
        <v>1510</v>
      </c>
      <c r="DR538">
        <v>136180</v>
      </c>
      <c r="DS538">
        <v>376</v>
      </c>
      <c r="DT538" t="s">
        <v>1511</v>
      </c>
      <c r="DV538">
        <v>48</v>
      </c>
      <c r="EA538" t="s">
        <v>268</v>
      </c>
      <c r="EC538">
        <v>2</v>
      </c>
      <c r="EH538" t="s">
        <v>267</v>
      </c>
      <c r="EJ538">
        <v>48</v>
      </c>
      <c r="EO538" t="s">
        <v>268</v>
      </c>
      <c r="EQ538">
        <v>2</v>
      </c>
      <c r="EV538" t="s">
        <v>267</v>
      </c>
      <c r="EW538" t="s">
        <v>1512</v>
      </c>
      <c r="EY538" t="s">
        <v>377</v>
      </c>
      <c r="EZ538">
        <v>10</v>
      </c>
      <c r="FA538" t="s">
        <v>1513</v>
      </c>
      <c r="FK538" t="s">
        <v>899</v>
      </c>
      <c r="FM538">
        <v>20</v>
      </c>
      <c r="FR538" t="s">
        <v>295</v>
      </c>
      <c r="GA538">
        <v>1.1399999999999999</v>
      </c>
      <c r="GF538" t="s">
        <v>1514</v>
      </c>
      <c r="GH538">
        <v>0.19</v>
      </c>
      <c r="GM538" t="s">
        <v>1515</v>
      </c>
      <c r="GO538">
        <v>7.49</v>
      </c>
      <c r="GU538">
        <v>30</v>
      </c>
      <c r="GZ538" t="s">
        <v>296</v>
      </c>
      <c r="HH538" t="s">
        <v>883</v>
      </c>
      <c r="HJ538">
        <v>4.3</v>
      </c>
      <c r="HO538" t="s">
        <v>356</v>
      </c>
      <c r="ID538" t="s">
        <v>1516</v>
      </c>
      <c r="IE538" t="s">
        <v>1517</v>
      </c>
      <c r="IF538">
        <v>166133</v>
      </c>
      <c r="IG538" t="s">
        <v>1518</v>
      </c>
      <c r="IH538" t="s">
        <v>1519</v>
      </c>
      <c r="II538">
        <v>2013</v>
      </c>
      <c r="IJ538" t="s">
        <v>1520</v>
      </c>
    </row>
    <row r="539" spans="1:244" x14ac:dyDescent="0.45">
      <c r="A539">
        <v>1207253</v>
      </c>
      <c r="B539">
        <v>180324</v>
      </c>
      <c r="C539">
        <v>7447394</v>
      </c>
      <c r="D539" t="s">
        <v>1162</v>
      </c>
      <c r="E539" t="s">
        <v>622</v>
      </c>
      <c r="F539" t="s">
        <v>245</v>
      </c>
      <c r="G539" t="s">
        <v>246</v>
      </c>
      <c r="N539" t="s">
        <v>1521</v>
      </c>
      <c r="O539" t="s">
        <v>1522</v>
      </c>
      <c r="P539" t="s">
        <v>249</v>
      </c>
      <c r="Q539" t="s">
        <v>250</v>
      </c>
      <c r="R539" t="s">
        <v>251</v>
      </c>
      <c r="T539" t="s">
        <v>252</v>
      </c>
      <c r="U539" t="s">
        <v>499</v>
      </c>
      <c r="V539" t="s">
        <v>1281</v>
      </c>
      <c r="W539" t="s">
        <v>1282</v>
      </c>
      <c r="X539" t="s">
        <v>351</v>
      </c>
      <c r="Z539" t="s">
        <v>649</v>
      </c>
      <c r="AM539" t="s">
        <v>317</v>
      </c>
      <c r="AN539" t="s">
        <v>259</v>
      </c>
      <c r="AO539" t="s">
        <v>260</v>
      </c>
      <c r="AQ539" t="s">
        <v>261</v>
      </c>
      <c r="AS539">
        <v>28.5</v>
      </c>
      <c r="AU539">
        <v>8.3000000000000007</v>
      </c>
      <c r="AW539">
        <v>98</v>
      </c>
      <c r="AX539" t="s">
        <v>262</v>
      </c>
      <c r="BO539" t="s">
        <v>261</v>
      </c>
      <c r="BQ539">
        <v>2.8500000000000001E-2</v>
      </c>
      <c r="BS539">
        <v>8.3000000000000001E-3</v>
      </c>
      <c r="BU539">
        <v>9.8000000000000004E-2</v>
      </c>
      <c r="BV539" t="s">
        <v>263</v>
      </c>
      <c r="CM539" t="s">
        <v>264</v>
      </c>
      <c r="CN539" t="s">
        <v>264</v>
      </c>
      <c r="CP539" t="s">
        <v>265</v>
      </c>
      <c r="CQ539" t="s">
        <v>394</v>
      </c>
      <c r="DB539">
        <v>4</v>
      </c>
      <c r="DG539" t="s">
        <v>267</v>
      </c>
      <c r="DI539">
        <v>96</v>
      </c>
      <c r="DN539" t="s">
        <v>268</v>
      </c>
      <c r="DR539">
        <v>371471</v>
      </c>
      <c r="DS539">
        <v>7687</v>
      </c>
      <c r="DT539" t="s">
        <v>1523</v>
      </c>
      <c r="EW539" t="s">
        <v>293</v>
      </c>
      <c r="FM539">
        <v>21</v>
      </c>
      <c r="FR539" t="s">
        <v>295</v>
      </c>
      <c r="GU539">
        <v>5</v>
      </c>
      <c r="GZ539" t="s">
        <v>296</v>
      </c>
      <c r="HB539">
        <v>500</v>
      </c>
      <c r="HG539" t="s">
        <v>1524</v>
      </c>
      <c r="HH539" t="s">
        <v>272</v>
      </c>
      <c r="IE539" t="s">
        <v>1525</v>
      </c>
      <c r="IF539">
        <v>19001</v>
      </c>
      <c r="IG539" t="s">
        <v>1526</v>
      </c>
      <c r="IH539" t="s">
        <v>1527</v>
      </c>
      <c r="II539">
        <v>1998</v>
      </c>
      <c r="IJ539" t="s">
        <v>1528</v>
      </c>
    </row>
    <row r="540" spans="1:244" x14ac:dyDescent="0.45">
      <c r="A540">
        <v>2140681</v>
      </c>
      <c r="B540">
        <v>2263528</v>
      </c>
      <c r="C540">
        <v>7447394</v>
      </c>
      <c r="D540" t="s">
        <v>1162</v>
      </c>
      <c r="F540" t="s">
        <v>245</v>
      </c>
      <c r="G540" t="s">
        <v>272</v>
      </c>
      <c r="N540" t="s">
        <v>630</v>
      </c>
      <c r="O540" t="s">
        <v>631</v>
      </c>
      <c r="P540" t="s">
        <v>249</v>
      </c>
      <c r="Q540" t="s">
        <v>250</v>
      </c>
      <c r="R540" t="s">
        <v>251</v>
      </c>
      <c r="T540" t="s">
        <v>389</v>
      </c>
      <c r="U540" t="s">
        <v>632</v>
      </c>
      <c r="V540" t="s">
        <v>633</v>
      </c>
      <c r="W540" t="s">
        <v>634</v>
      </c>
      <c r="X540" t="s">
        <v>635</v>
      </c>
      <c r="Z540" t="s">
        <v>1034</v>
      </c>
      <c r="AI540">
        <v>2</v>
      </c>
      <c r="AJ540" t="s">
        <v>354</v>
      </c>
      <c r="AL540" t="s">
        <v>1509</v>
      </c>
      <c r="AM540" t="s">
        <v>258</v>
      </c>
      <c r="AN540" t="s">
        <v>259</v>
      </c>
      <c r="AO540" t="s">
        <v>260</v>
      </c>
      <c r="AP540">
        <v>5</v>
      </c>
      <c r="AQ540" t="s">
        <v>504</v>
      </c>
      <c r="AT540" t="s">
        <v>288</v>
      </c>
      <c r="AU540">
        <v>107.8</v>
      </c>
      <c r="AV540" t="s">
        <v>289</v>
      </c>
      <c r="AW540">
        <v>200</v>
      </c>
      <c r="AX540" t="s">
        <v>262</v>
      </c>
      <c r="BO540" t="s">
        <v>504</v>
      </c>
      <c r="BR540" t="s">
        <v>288</v>
      </c>
      <c r="BS540">
        <v>0.10780000000000001</v>
      </c>
      <c r="BT540" t="s">
        <v>289</v>
      </c>
      <c r="BU540">
        <v>0.2</v>
      </c>
      <c r="BV540" t="s">
        <v>263</v>
      </c>
      <c r="CM540" t="s">
        <v>264</v>
      </c>
      <c r="CN540" t="s">
        <v>264</v>
      </c>
      <c r="CP540" t="s">
        <v>265</v>
      </c>
      <c r="CQ540" t="s">
        <v>394</v>
      </c>
      <c r="DB540">
        <v>2</v>
      </c>
      <c r="DG540" t="s">
        <v>267</v>
      </c>
      <c r="DI540">
        <v>48</v>
      </c>
      <c r="DN540" t="s">
        <v>268</v>
      </c>
      <c r="DP540" t="s">
        <v>1510</v>
      </c>
      <c r="DR540">
        <v>136180</v>
      </c>
      <c r="DS540">
        <v>376</v>
      </c>
      <c r="DT540" t="s">
        <v>1511</v>
      </c>
      <c r="DV540">
        <v>48</v>
      </c>
      <c r="EA540" t="s">
        <v>268</v>
      </c>
      <c r="EC540">
        <v>2</v>
      </c>
      <c r="EH540" t="s">
        <v>267</v>
      </c>
      <c r="EJ540">
        <v>48</v>
      </c>
      <c r="EO540" t="s">
        <v>268</v>
      </c>
      <c r="EQ540">
        <v>2</v>
      </c>
      <c r="EV540" t="s">
        <v>267</v>
      </c>
      <c r="EW540" t="s">
        <v>1512</v>
      </c>
      <c r="EY540" t="s">
        <v>377</v>
      </c>
      <c r="EZ540">
        <v>10</v>
      </c>
      <c r="FA540" t="s">
        <v>1529</v>
      </c>
      <c r="FK540" t="s">
        <v>899</v>
      </c>
      <c r="FM540">
        <v>20</v>
      </c>
      <c r="FR540" t="s">
        <v>295</v>
      </c>
      <c r="GA540">
        <v>0.17</v>
      </c>
      <c r="GF540" t="s">
        <v>1514</v>
      </c>
      <c r="GH540">
        <v>0.24</v>
      </c>
      <c r="GM540" t="s">
        <v>1515</v>
      </c>
      <c r="GO540">
        <v>6.88</v>
      </c>
      <c r="GU540">
        <v>5</v>
      </c>
      <c r="GZ540" t="s">
        <v>296</v>
      </c>
      <c r="HH540" t="s">
        <v>883</v>
      </c>
      <c r="HJ540">
        <v>5.4</v>
      </c>
      <c r="HO540" t="s">
        <v>356</v>
      </c>
      <c r="ID540" t="s">
        <v>1516</v>
      </c>
      <c r="IE540" t="s">
        <v>1517</v>
      </c>
      <c r="IF540">
        <v>166133</v>
      </c>
      <c r="IG540" t="s">
        <v>1518</v>
      </c>
      <c r="IH540" t="s">
        <v>1519</v>
      </c>
      <c r="II540">
        <v>2013</v>
      </c>
      <c r="IJ540" t="s">
        <v>1520</v>
      </c>
    </row>
    <row r="541" spans="1:244" x14ac:dyDescent="0.45">
      <c r="A541">
        <v>1202376</v>
      </c>
      <c r="B541">
        <v>128159</v>
      </c>
      <c r="C541">
        <v>7447394</v>
      </c>
      <c r="D541" t="s">
        <v>1162</v>
      </c>
      <c r="F541" t="s">
        <v>327</v>
      </c>
      <c r="G541" t="s">
        <v>246</v>
      </c>
      <c r="N541" t="s">
        <v>829</v>
      </c>
      <c r="O541" t="s">
        <v>631</v>
      </c>
      <c r="P541" t="s">
        <v>249</v>
      </c>
      <c r="Q541" t="s">
        <v>250</v>
      </c>
      <c r="R541" t="s">
        <v>251</v>
      </c>
      <c r="T541" t="s">
        <v>389</v>
      </c>
      <c r="U541" t="s">
        <v>632</v>
      </c>
      <c r="V541" t="s">
        <v>830</v>
      </c>
      <c r="W541" t="s">
        <v>831</v>
      </c>
      <c r="X541" t="s">
        <v>832</v>
      </c>
      <c r="Z541" t="s">
        <v>525</v>
      </c>
      <c r="AA541" t="s">
        <v>515</v>
      </c>
      <c r="AB541">
        <v>24</v>
      </c>
      <c r="AG541" t="s">
        <v>268</v>
      </c>
      <c r="AM541" t="s">
        <v>258</v>
      </c>
      <c r="AN541" t="s">
        <v>259</v>
      </c>
      <c r="AO541" t="s">
        <v>260</v>
      </c>
      <c r="AQ541" t="s">
        <v>504</v>
      </c>
      <c r="AS541">
        <v>69.400000000000006</v>
      </c>
      <c r="AU541">
        <v>60.7</v>
      </c>
      <c r="AW541">
        <v>79.45</v>
      </c>
      <c r="AX541" t="s">
        <v>262</v>
      </c>
      <c r="BO541" t="s">
        <v>504</v>
      </c>
      <c r="BQ541">
        <v>6.9400000000000003E-2</v>
      </c>
      <c r="BS541">
        <v>6.0699999999999997E-2</v>
      </c>
      <c r="BU541">
        <v>7.9450000000000007E-2</v>
      </c>
      <c r="BV541" t="s">
        <v>263</v>
      </c>
      <c r="CM541" t="s">
        <v>264</v>
      </c>
      <c r="CN541" t="s">
        <v>264</v>
      </c>
      <c r="CP541" t="s">
        <v>265</v>
      </c>
      <c r="CQ541" t="s">
        <v>394</v>
      </c>
      <c r="DB541">
        <v>4</v>
      </c>
      <c r="DG541" t="s">
        <v>267</v>
      </c>
      <c r="DI541">
        <v>96</v>
      </c>
      <c r="DN541" t="s">
        <v>268</v>
      </c>
      <c r="DR541">
        <v>88015</v>
      </c>
      <c r="DS541">
        <v>649</v>
      </c>
      <c r="DT541" t="s">
        <v>1530</v>
      </c>
      <c r="EW541" t="s">
        <v>293</v>
      </c>
      <c r="FO541">
        <v>24</v>
      </c>
      <c r="FQ541">
        <v>25.1</v>
      </c>
      <c r="FR541" t="s">
        <v>295</v>
      </c>
      <c r="GJ541">
        <v>7.4</v>
      </c>
      <c r="GL541">
        <v>9.8000000000000007</v>
      </c>
      <c r="GM541" t="s">
        <v>356</v>
      </c>
      <c r="GQ541">
        <v>7.9</v>
      </c>
      <c r="GS541">
        <v>8.8000000000000007</v>
      </c>
      <c r="GW541">
        <v>15</v>
      </c>
      <c r="GY541">
        <v>16</v>
      </c>
      <c r="GZ541" t="s">
        <v>296</v>
      </c>
      <c r="HH541" t="s">
        <v>272</v>
      </c>
      <c r="IE541" t="s">
        <v>1531</v>
      </c>
      <c r="IF541">
        <v>18395</v>
      </c>
      <c r="IG541" t="s">
        <v>1532</v>
      </c>
      <c r="IH541" t="s">
        <v>1533</v>
      </c>
      <c r="II541">
        <v>1997</v>
      </c>
      <c r="IJ541" t="s">
        <v>1534</v>
      </c>
    </row>
    <row r="542" spans="1:244" x14ac:dyDescent="0.45">
      <c r="A542">
        <v>2140684</v>
      </c>
      <c r="B542">
        <v>2263531</v>
      </c>
      <c r="C542">
        <v>7447394</v>
      </c>
      <c r="D542" t="s">
        <v>1162</v>
      </c>
      <c r="F542" t="s">
        <v>245</v>
      </c>
      <c r="G542" t="s">
        <v>272</v>
      </c>
      <c r="N542" t="s">
        <v>630</v>
      </c>
      <c r="O542" t="s">
        <v>631</v>
      </c>
      <c r="P542" t="s">
        <v>249</v>
      </c>
      <c r="Q542" t="s">
        <v>250</v>
      </c>
      <c r="R542" t="s">
        <v>251</v>
      </c>
      <c r="T542" t="s">
        <v>389</v>
      </c>
      <c r="U542" t="s">
        <v>632</v>
      </c>
      <c r="V542" t="s">
        <v>633</v>
      </c>
      <c r="W542" t="s">
        <v>634</v>
      </c>
      <c r="X542" t="s">
        <v>635</v>
      </c>
      <c r="Z542" t="s">
        <v>1034</v>
      </c>
      <c r="AI542">
        <v>2</v>
      </c>
      <c r="AJ542" t="s">
        <v>354</v>
      </c>
      <c r="AL542" t="s">
        <v>1509</v>
      </c>
      <c r="AM542" t="s">
        <v>258</v>
      </c>
      <c r="AN542" t="s">
        <v>259</v>
      </c>
      <c r="AO542" t="s">
        <v>260</v>
      </c>
      <c r="AP542">
        <v>5</v>
      </c>
      <c r="AQ542" t="s">
        <v>504</v>
      </c>
      <c r="AT542" t="s">
        <v>288</v>
      </c>
      <c r="AU542">
        <v>108.7</v>
      </c>
      <c r="AV542" t="s">
        <v>289</v>
      </c>
      <c r="AW542">
        <v>200</v>
      </c>
      <c r="AX542" t="s">
        <v>262</v>
      </c>
      <c r="BO542" t="s">
        <v>504</v>
      </c>
      <c r="BR542" t="s">
        <v>288</v>
      </c>
      <c r="BS542">
        <v>0.1087</v>
      </c>
      <c r="BT542" t="s">
        <v>289</v>
      </c>
      <c r="BU542">
        <v>0.2</v>
      </c>
      <c r="BV542" t="s">
        <v>263</v>
      </c>
      <c r="CM542" t="s">
        <v>264</v>
      </c>
      <c r="CN542" t="s">
        <v>264</v>
      </c>
      <c r="CP542" t="s">
        <v>265</v>
      </c>
      <c r="CQ542" t="s">
        <v>394</v>
      </c>
      <c r="DB542">
        <v>2</v>
      </c>
      <c r="DG542" t="s">
        <v>267</v>
      </c>
      <c r="DI542">
        <v>48</v>
      </c>
      <c r="DN542" t="s">
        <v>268</v>
      </c>
      <c r="DP542" t="s">
        <v>1510</v>
      </c>
      <c r="DR542">
        <v>136180</v>
      </c>
      <c r="DS542">
        <v>376</v>
      </c>
      <c r="DT542" t="s">
        <v>1511</v>
      </c>
      <c r="DV542">
        <v>48</v>
      </c>
      <c r="EA542" t="s">
        <v>268</v>
      </c>
      <c r="EC542">
        <v>2</v>
      </c>
      <c r="EH542" t="s">
        <v>267</v>
      </c>
      <c r="EJ542">
        <v>48</v>
      </c>
      <c r="EO542" t="s">
        <v>268</v>
      </c>
      <c r="EQ542">
        <v>2</v>
      </c>
      <c r="EV542" t="s">
        <v>267</v>
      </c>
      <c r="EW542" t="s">
        <v>1512</v>
      </c>
      <c r="EY542" t="s">
        <v>377</v>
      </c>
      <c r="EZ542">
        <v>10</v>
      </c>
      <c r="FA542" t="s">
        <v>1529</v>
      </c>
      <c r="FK542" t="s">
        <v>899</v>
      </c>
      <c r="FM542">
        <v>20</v>
      </c>
      <c r="FR542" t="s">
        <v>295</v>
      </c>
      <c r="GA542">
        <v>0.5</v>
      </c>
      <c r="GF542" t="s">
        <v>1514</v>
      </c>
      <c r="GH542">
        <v>0.19</v>
      </c>
      <c r="GM542" t="s">
        <v>1515</v>
      </c>
      <c r="GO542">
        <v>7.21</v>
      </c>
      <c r="GU542">
        <v>15</v>
      </c>
      <c r="GZ542" t="s">
        <v>296</v>
      </c>
      <c r="HH542" t="s">
        <v>883</v>
      </c>
      <c r="HJ542">
        <v>5.4</v>
      </c>
      <c r="HO542" t="s">
        <v>356</v>
      </c>
      <c r="ID542" t="s">
        <v>1516</v>
      </c>
      <c r="IE542" t="s">
        <v>1517</v>
      </c>
      <c r="IF542">
        <v>166133</v>
      </c>
      <c r="IG542" t="s">
        <v>1518</v>
      </c>
      <c r="IH542" t="s">
        <v>1519</v>
      </c>
      <c r="II542">
        <v>2013</v>
      </c>
      <c r="IJ542" t="s">
        <v>1520</v>
      </c>
    </row>
    <row r="543" spans="1:244" x14ac:dyDescent="0.45">
      <c r="A543">
        <v>1312982</v>
      </c>
      <c r="B543">
        <v>770478</v>
      </c>
      <c r="C543">
        <v>7447394</v>
      </c>
      <c r="D543" t="s">
        <v>1162</v>
      </c>
      <c r="F543" t="s">
        <v>861</v>
      </c>
      <c r="G543" t="s">
        <v>246</v>
      </c>
      <c r="N543" t="s">
        <v>829</v>
      </c>
      <c r="O543" t="s">
        <v>631</v>
      </c>
      <c r="P543" t="s">
        <v>249</v>
      </c>
      <c r="Q543" t="s">
        <v>250</v>
      </c>
      <c r="R543" t="s">
        <v>251</v>
      </c>
      <c r="T543" t="s">
        <v>389</v>
      </c>
      <c r="U543" t="s">
        <v>632</v>
      </c>
      <c r="V543" t="s">
        <v>830</v>
      </c>
      <c r="W543" t="s">
        <v>831</v>
      </c>
      <c r="X543" t="s">
        <v>832</v>
      </c>
      <c r="Z543" t="s">
        <v>525</v>
      </c>
      <c r="AA543" t="s">
        <v>515</v>
      </c>
      <c r="AB543">
        <v>1</v>
      </c>
      <c r="AG543" t="s">
        <v>267</v>
      </c>
      <c r="AM543" t="s">
        <v>317</v>
      </c>
      <c r="AN543" t="s">
        <v>259</v>
      </c>
      <c r="AO543" t="s">
        <v>260</v>
      </c>
      <c r="AP543">
        <v>7</v>
      </c>
      <c r="AQ543" t="s">
        <v>504</v>
      </c>
      <c r="AS543">
        <v>76.2</v>
      </c>
      <c r="AU543">
        <v>73.400000000000006</v>
      </c>
      <c r="AW543">
        <v>78.7</v>
      </c>
      <c r="AX543" t="s">
        <v>262</v>
      </c>
      <c r="BO543" t="s">
        <v>504</v>
      </c>
      <c r="BQ543">
        <v>7.6200000000000004E-2</v>
      </c>
      <c r="BS543">
        <v>7.3400000000000007E-2</v>
      </c>
      <c r="BU543">
        <v>7.8700000000000006E-2</v>
      </c>
      <c r="BV543" t="s">
        <v>263</v>
      </c>
      <c r="CM543" t="s">
        <v>264</v>
      </c>
      <c r="CN543" t="s">
        <v>264</v>
      </c>
      <c r="CP543" t="s">
        <v>265</v>
      </c>
      <c r="CQ543" t="s">
        <v>394</v>
      </c>
      <c r="DB543">
        <v>4</v>
      </c>
      <c r="DG543" t="s">
        <v>267</v>
      </c>
      <c r="DI543">
        <v>96</v>
      </c>
      <c r="DN543" t="s">
        <v>268</v>
      </c>
      <c r="DP543" t="s">
        <v>1234</v>
      </c>
      <c r="DR543">
        <v>88015</v>
      </c>
      <c r="DS543">
        <v>649</v>
      </c>
      <c r="DT543" t="s">
        <v>1502</v>
      </c>
      <c r="EW543" t="s">
        <v>293</v>
      </c>
      <c r="FK543" t="s">
        <v>1535</v>
      </c>
      <c r="FO543">
        <v>24.6</v>
      </c>
      <c r="FQ543">
        <v>24.9</v>
      </c>
      <c r="FR543" t="s">
        <v>295</v>
      </c>
      <c r="FV543">
        <v>1168</v>
      </c>
      <c r="FX543">
        <v>1264</v>
      </c>
      <c r="FY543" t="s">
        <v>356</v>
      </c>
      <c r="GC543">
        <v>32</v>
      </c>
      <c r="GE543">
        <v>37</v>
      </c>
      <c r="GF543" t="s">
        <v>356</v>
      </c>
      <c r="GJ543">
        <v>8.07</v>
      </c>
      <c r="GL543">
        <v>8.64</v>
      </c>
      <c r="GM543" t="s">
        <v>356</v>
      </c>
      <c r="GQ543">
        <v>7.88</v>
      </c>
      <c r="GS543">
        <v>8.49</v>
      </c>
      <c r="GU543">
        <v>10</v>
      </c>
      <c r="GZ543" t="s">
        <v>296</v>
      </c>
      <c r="HH543" t="s">
        <v>883</v>
      </c>
      <c r="HL543">
        <v>2.5</v>
      </c>
      <c r="HN543">
        <v>3.02</v>
      </c>
      <c r="HO543" t="s">
        <v>356</v>
      </c>
      <c r="ID543" t="s">
        <v>1536</v>
      </c>
      <c r="IE543" t="s">
        <v>1505</v>
      </c>
      <c r="IF543">
        <v>107036</v>
      </c>
      <c r="IG543" t="s">
        <v>1506</v>
      </c>
      <c r="IH543" t="s">
        <v>1507</v>
      </c>
      <c r="II543">
        <v>2008</v>
      </c>
      <c r="IJ543" t="s">
        <v>1508</v>
      </c>
    </row>
    <row r="544" spans="1:244" x14ac:dyDescent="0.45">
      <c r="A544">
        <v>2140666</v>
      </c>
      <c r="B544">
        <v>2263499</v>
      </c>
      <c r="C544">
        <v>7447394</v>
      </c>
      <c r="D544" t="s">
        <v>1162</v>
      </c>
      <c r="F544" t="s">
        <v>245</v>
      </c>
      <c r="G544" t="s">
        <v>272</v>
      </c>
      <c r="N544" t="s">
        <v>630</v>
      </c>
      <c r="O544" t="s">
        <v>631</v>
      </c>
      <c r="P544" t="s">
        <v>249</v>
      </c>
      <c r="Q544" t="s">
        <v>250</v>
      </c>
      <c r="R544" t="s">
        <v>251</v>
      </c>
      <c r="T544" t="s">
        <v>389</v>
      </c>
      <c r="U544" t="s">
        <v>632</v>
      </c>
      <c r="V544" t="s">
        <v>633</v>
      </c>
      <c r="W544" t="s">
        <v>634</v>
      </c>
      <c r="X544" t="s">
        <v>635</v>
      </c>
      <c r="Z544" t="s">
        <v>1034</v>
      </c>
      <c r="AI544">
        <v>2</v>
      </c>
      <c r="AJ544" t="s">
        <v>354</v>
      </c>
      <c r="AL544" t="s">
        <v>1509</v>
      </c>
      <c r="AM544" t="s">
        <v>258</v>
      </c>
      <c r="AN544" t="s">
        <v>259</v>
      </c>
      <c r="AO544" t="s">
        <v>260</v>
      </c>
      <c r="AP544">
        <v>5</v>
      </c>
      <c r="AQ544" t="s">
        <v>504</v>
      </c>
      <c r="AT544" t="s">
        <v>288</v>
      </c>
      <c r="AU544">
        <v>0</v>
      </c>
      <c r="AV544" t="s">
        <v>289</v>
      </c>
      <c r="AW544">
        <v>41.8</v>
      </c>
      <c r="AX544" t="s">
        <v>262</v>
      </c>
      <c r="BO544" t="s">
        <v>504</v>
      </c>
      <c r="BR544" t="s">
        <v>288</v>
      </c>
      <c r="BS544">
        <v>0</v>
      </c>
      <c r="BT544" t="s">
        <v>289</v>
      </c>
      <c r="BU544">
        <v>4.1799999999999997E-2</v>
      </c>
      <c r="BV544" t="s">
        <v>263</v>
      </c>
      <c r="CM544" t="s">
        <v>264</v>
      </c>
      <c r="CN544" t="s">
        <v>264</v>
      </c>
      <c r="CP544" t="s">
        <v>265</v>
      </c>
      <c r="CQ544" t="s">
        <v>394</v>
      </c>
      <c r="DB544">
        <v>2</v>
      </c>
      <c r="DG544" t="s">
        <v>267</v>
      </c>
      <c r="DI544">
        <v>48</v>
      </c>
      <c r="DN544" t="s">
        <v>268</v>
      </c>
      <c r="DP544" t="s">
        <v>1510</v>
      </c>
      <c r="DR544">
        <v>136180</v>
      </c>
      <c r="DS544">
        <v>376</v>
      </c>
      <c r="DT544" t="s">
        <v>1511</v>
      </c>
      <c r="DV544">
        <v>48</v>
      </c>
      <c r="EA544" t="s">
        <v>268</v>
      </c>
      <c r="EC544">
        <v>2</v>
      </c>
      <c r="EH544" t="s">
        <v>267</v>
      </c>
      <c r="EJ544">
        <v>48</v>
      </c>
      <c r="EO544" t="s">
        <v>268</v>
      </c>
      <c r="EQ544">
        <v>2</v>
      </c>
      <c r="EV544" t="s">
        <v>267</v>
      </c>
      <c r="EW544" t="s">
        <v>1512</v>
      </c>
      <c r="EY544" t="s">
        <v>377</v>
      </c>
      <c r="EZ544">
        <v>10</v>
      </c>
      <c r="FA544" t="s">
        <v>1537</v>
      </c>
      <c r="FK544" t="s">
        <v>899</v>
      </c>
      <c r="FM544">
        <v>20</v>
      </c>
      <c r="FR544" t="s">
        <v>295</v>
      </c>
      <c r="GA544">
        <v>0.17</v>
      </c>
      <c r="GF544" t="s">
        <v>1514</v>
      </c>
      <c r="GH544">
        <v>0.24</v>
      </c>
      <c r="GM544" t="s">
        <v>1515</v>
      </c>
      <c r="GO544">
        <v>6.88</v>
      </c>
      <c r="GU544">
        <v>5</v>
      </c>
      <c r="GZ544" t="s">
        <v>296</v>
      </c>
      <c r="HH544" t="s">
        <v>883</v>
      </c>
      <c r="HJ544">
        <v>0.6</v>
      </c>
      <c r="HO544" t="s">
        <v>356</v>
      </c>
      <c r="ID544" t="s">
        <v>1516</v>
      </c>
      <c r="IE544" t="s">
        <v>1517</v>
      </c>
      <c r="IF544">
        <v>166133</v>
      </c>
      <c r="IG544" t="s">
        <v>1518</v>
      </c>
      <c r="IH544" t="s">
        <v>1519</v>
      </c>
      <c r="II544">
        <v>2013</v>
      </c>
      <c r="IJ544" t="s">
        <v>1520</v>
      </c>
    </row>
    <row r="545" spans="1:244" x14ac:dyDescent="0.45">
      <c r="A545">
        <v>2145455</v>
      </c>
      <c r="B545">
        <v>2274198</v>
      </c>
      <c r="C545">
        <v>7447394</v>
      </c>
      <c r="D545" t="s">
        <v>1162</v>
      </c>
      <c r="E545" t="s">
        <v>1538</v>
      </c>
      <c r="F545" t="s">
        <v>327</v>
      </c>
      <c r="G545" t="s">
        <v>1539</v>
      </c>
      <c r="N545" t="s">
        <v>566</v>
      </c>
      <c r="O545" t="s">
        <v>388</v>
      </c>
      <c r="P545" t="s">
        <v>249</v>
      </c>
      <c r="Q545" t="s">
        <v>250</v>
      </c>
      <c r="R545" t="s">
        <v>251</v>
      </c>
      <c r="T545" t="s">
        <v>389</v>
      </c>
      <c r="U545" t="s">
        <v>390</v>
      </c>
      <c r="V545" t="s">
        <v>567</v>
      </c>
      <c r="W545" t="s">
        <v>568</v>
      </c>
      <c r="X545" t="s">
        <v>569</v>
      </c>
      <c r="AM545" t="s">
        <v>317</v>
      </c>
      <c r="AN545" t="s">
        <v>259</v>
      </c>
      <c r="AO545" t="s">
        <v>260</v>
      </c>
      <c r="AP545">
        <v>6</v>
      </c>
      <c r="AQ545" t="s">
        <v>261</v>
      </c>
      <c r="AS545">
        <v>2100</v>
      </c>
      <c r="AU545">
        <v>1800</v>
      </c>
      <c r="AW545">
        <v>2700</v>
      </c>
      <c r="AX545" t="s">
        <v>262</v>
      </c>
      <c r="BO545" t="s">
        <v>261</v>
      </c>
      <c r="BQ545">
        <v>2.1</v>
      </c>
      <c r="BS545">
        <v>1.8</v>
      </c>
      <c r="BU545">
        <v>2.7</v>
      </c>
      <c r="BV545" t="s">
        <v>263</v>
      </c>
      <c r="CM545" t="s">
        <v>264</v>
      </c>
      <c r="CN545" t="s">
        <v>264</v>
      </c>
      <c r="CP545" t="s">
        <v>265</v>
      </c>
      <c r="CQ545" t="s">
        <v>394</v>
      </c>
      <c r="DB545">
        <v>4</v>
      </c>
      <c r="DG545" t="s">
        <v>267</v>
      </c>
      <c r="DI545">
        <v>96</v>
      </c>
      <c r="DN545" t="s">
        <v>268</v>
      </c>
      <c r="DP545" t="s">
        <v>1540</v>
      </c>
      <c r="DS545">
        <v>212</v>
      </c>
      <c r="DT545" t="s">
        <v>1541</v>
      </c>
      <c r="DV545">
        <v>96</v>
      </c>
      <c r="EA545" t="s">
        <v>268</v>
      </c>
      <c r="EC545">
        <v>4</v>
      </c>
      <c r="EH545" t="s">
        <v>267</v>
      </c>
      <c r="EJ545">
        <v>96</v>
      </c>
      <c r="EO545" t="s">
        <v>268</v>
      </c>
      <c r="EQ545">
        <v>4</v>
      </c>
      <c r="EV545" t="s">
        <v>267</v>
      </c>
      <c r="EW545" t="s">
        <v>293</v>
      </c>
      <c r="EY545" t="s">
        <v>377</v>
      </c>
      <c r="FA545" t="s">
        <v>1542</v>
      </c>
      <c r="FM545">
        <v>22</v>
      </c>
      <c r="FR545" t="s">
        <v>295</v>
      </c>
      <c r="GO545">
        <v>8.1999999999999993</v>
      </c>
      <c r="GU545">
        <v>7</v>
      </c>
      <c r="GZ545" t="s">
        <v>296</v>
      </c>
      <c r="HH545" t="s">
        <v>272</v>
      </c>
      <c r="IE545" t="s">
        <v>1543</v>
      </c>
      <c r="IF545">
        <v>169337</v>
      </c>
      <c r="IG545" t="s">
        <v>1544</v>
      </c>
      <c r="IH545" t="s">
        <v>1545</v>
      </c>
      <c r="II545">
        <v>2010</v>
      </c>
      <c r="IJ545" t="s">
        <v>1546</v>
      </c>
    </row>
    <row r="546" spans="1:244" x14ac:dyDescent="0.45">
      <c r="A546">
        <v>2140696</v>
      </c>
      <c r="B546">
        <v>2263542</v>
      </c>
      <c r="C546">
        <v>7447394</v>
      </c>
      <c r="D546" t="s">
        <v>1162</v>
      </c>
      <c r="F546" t="s">
        <v>245</v>
      </c>
      <c r="G546" t="s">
        <v>272</v>
      </c>
      <c r="N546" t="s">
        <v>630</v>
      </c>
      <c r="O546" t="s">
        <v>631</v>
      </c>
      <c r="P546" t="s">
        <v>249</v>
      </c>
      <c r="Q546" t="s">
        <v>250</v>
      </c>
      <c r="R546" t="s">
        <v>251</v>
      </c>
      <c r="T546" t="s">
        <v>389</v>
      </c>
      <c r="U546" t="s">
        <v>632</v>
      </c>
      <c r="V546" t="s">
        <v>633</v>
      </c>
      <c r="W546" t="s">
        <v>634</v>
      </c>
      <c r="X546" t="s">
        <v>635</v>
      </c>
      <c r="Z546" t="s">
        <v>1034</v>
      </c>
      <c r="AI546">
        <v>2</v>
      </c>
      <c r="AJ546" t="s">
        <v>354</v>
      </c>
      <c r="AL546" t="s">
        <v>1509</v>
      </c>
      <c r="AM546" t="s">
        <v>258</v>
      </c>
      <c r="AN546" t="s">
        <v>259</v>
      </c>
      <c r="AO546" t="s">
        <v>260</v>
      </c>
      <c r="AP546">
        <v>5</v>
      </c>
      <c r="AQ546" t="s">
        <v>504</v>
      </c>
      <c r="AT546" t="s">
        <v>288</v>
      </c>
      <c r="AU546">
        <v>67.400000000000006</v>
      </c>
      <c r="AV546" t="s">
        <v>289</v>
      </c>
      <c r="AW546">
        <v>108.7</v>
      </c>
      <c r="AX546" t="s">
        <v>262</v>
      </c>
      <c r="BO546" t="s">
        <v>504</v>
      </c>
      <c r="BR546" t="s">
        <v>288</v>
      </c>
      <c r="BS546">
        <v>6.7400000000000002E-2</v>
      </c>
      <c r="BT546" t="s">
        <v>289</v>
      </c>
      <c r="BU546">
        <v>0.1087</v>
      </c>
      <c r="BV546" t="s">
        <v>263</v>
      </c>
      <c r="CM546" t="s">
        <v>264</v>
      </c>
      <c r="CN546" t="s">
        <v>264</v>
      </c>
      <c r="CP546" t="s">
        <v>265</v>
      </c>
      <c r="CQ546" t="s">
        <v>394</v>
      </c>
      <c r="DB546">
        <v>2</v>
      </c>
      <c r="DG546" t="s">
        <v>267</v>
      </c>
      <c r="DI546">
        <v>48</v>
      </c>
      <c r="DN546" t="s">
        <v>268</v>
      </c>
      <c r="DP546" t="s">
        <v>1510</v>
      </c>
      <c r="DR546">
        <v>136180</v>
      </c>
      <c r="DS546">
        <v>376</v>
      </c>
      <c r="DT546" t="s">
        <v>1511</v>
      </c>
      <c r="DV546">
        <v>48</v>
      </c>
      <c r="EA546" t="s">
        <v>268</v>
      </c>
      <c r="EC546">
        <v>2</v>
      </c>
      <c r="EH546" t="s">
        <v>267</v>
      </c>
      <c r="EJ546">
        <v>48</v>
      </c>
      <c r="EO546" t="s">
        <v>268</v>
      </c>
      <c r="EQ546">
        <v>2</v>
      </c>
      <c r="EV546" t="s">
        <v>267</v>
      </c>
      <c r="EW546" t="s">
        <v>1512</v>
      </c>
      <c r="EY546" t="s">
        <v>377</v>
      </c>
      <c r="EZ546">
        <v>10</v>
      </c>
      <c r="FA546" t="s">
        <v>1547</v>
      </c>
      <c r="FK546" t="s">
        <v>899</v>
      </c>
      <c r="FM546">
        <v>20</v>
      </c>
      <c r="FR546" t="s">
        <v>295</v>
      </c>
      <c r="GA546">
        <v>1.1399999999999999</v>
      </c>
      <c r="GF546" t="s">
        <v>1514</v>
      </c>
      <c r="GH546">
        <v>0.19</v>
      </c>
      <c r="GM546" t="s">
        <v>1515</v>
      </c>
      <c r="GO546">
        <v>7.49</v>
      </c>
      <c r="GU546">
        <v>30</v>
      </c>
      <c r="GZ546" t="s">
        <v>296</v>
      </c>
      <c r="HH546" t="s">
        <v>883</v>
      </c>
      <c r="HJ546">
        <v>1.4</v>
      </c>
      <c r="HO546" t="s">
        <v>356</v>
      </c>
      <c r="ID546" t="s">
        <v>1516</v>
      </c>
      <c r="IE546" t="s">
        <v>1517</v>
      </c>
      <c r="IF546">
        <v>166133</v>
      </c>
      <c r="IG546" t="s">
        <v>1518</v>
      </c>
      <c r="IH546" t="s">
        <v>1519</v>
      </c>
      <c r="II546">
        <v>2013</v>
      </c>
      <c r="IJ546" t="s">
        <v>1520</v>
      </c>
    </row>
    <row r="547" spans="1:244" x14ac:dyDescent="0.45">
      <c r="A547">
        <v>2140671</v>
      </c>
      <c r="B547">
        <v>2263516</v>
      </c>
      <c r="C547">
        <v>7447394</v>
      </c>
      <c r="D547" t="s">
        <v>1162</v>
      </c>
      <c r="F547" t="s">
        <v>245</v>
      </c>
      <c r="G547" t="s">
        <v>272</v>
      </c>
      <c r="N547" t="s">
        <v>630</v>
      </c>
      <c r="O547" t="s">
        <v>631</v>
      </c>
      <c r="P547" t="s">
        <v>249</v>
      </c>
      <c r="Q547" t="s">
        <v>250</v>
      </c>
      <c r="R547" t="s">
        <v>251</v>
      </c>
      <c r="T547" t="s">
        <v>389</v>
      </c>
      <c r="U547" t="s">
        <v>632</v>
      </c>
      <c r="V547" t="s">
        <v>633</v>
      </c>
      <c r="W547" t="s">
        <v>634</v>
      </c>
      <c r="X547" t="s">
        <v>635</v>
      </c>
      <c r="Z547" t="s">
        <v>1034</v>
      </c>
      <c r="AI547">
        <v>2</v>
      </c>
      <c r="AJ547" t="s">
        <v>354</v>
      </c>
      <c r="AL547" t="s">
        <v>1509</v>
      </c>
      <c r="AM547" t="s">
        <v>258</v>
      </c>
      <c r="AN547" t="s">
        <v>259</v>
      </c>
      <c r="AO547" t="s">
        <v>260</v>
      </c>
      <c r="AP547">
        <v>5</v>
      </c>
      <c r="AQ547" t="s">
        <v>504</v>
      </c>
      <c r="AT547" t="s">
        <v>288</v>
      </c>
      <c r="AU547">
        <v>67.400000000000006</v>
      </c>
      <c r="AV547" t="s">
        <v>289</v>
      </c>
      <c r="AW547">
        <v>100</v>
      </c>
      <c r="AX547" t="s">
        <v>262</v>
      </c>
      <c r="BO547" t="s">
        <v>504</v>
      </c>
      <c r="BR547" t="s">
        <v>288</v>
      </c>
      <c r="BS547">
        <v>6.7400000000000002E-2</v>
      </c>
      <c r="BT547" t="s">
        <v>289</v>
      </c>
      <c r="BU547">
        <v>0.1</v>
      </c>
      <c r="BV547" t="s">
        <v>263</v>
      </c>
      <c r="CM547" t="s">
        <v>264</v>
      </c>
      <c r="CN547" t="s">
        <v>264</v>
      </c>
      <c r="CP547" t="s">
        <v>265</v>
      </c>
      <c r="CQ547" t="s">
        <v>394</v>
      </c>
      <c r="DB547">
        <v>2</v>
      </c>
      <c r="DG547" t="s">
        <v>267</v>
      </c>
      <c r="DI547">
        <v>48</v>
      </c>
      <c r="DN547" t="s">
        <v>268</v>
      </c>
      <c r="DP547" t="s">
        <v>1510</v>
      </c>
      <c r="DR547">
        <v>136180</v>
      </c>
      <c r="DS547">
        <v>376</v>
      </c>
      <c r="DT547" t="s">
        <v>1511</v>
      </c>
      <c r="DV547">
        <v>48</v>
      </c>
      <c r="EA547" t="s">
        <v>268</v>
      </c>
      <c r="EC547">
        <v>2</v>
      </c>
      <c r="EH547" t="s">
        <v>267</v>
      </c>
      <c r="EJ547">
        <v>48</v>
      </c>
      <c r="EO547" t="s">
        <v>268</v>
      </c>
      <c r="EQ547">
        <v>2</v>
      </c>
      <c r="EV547" t="s">
        <v>267</v>
      </c>
      <c r="EW547" t="s">
        <v>1512</v>
      </c>
      <c r="EY547" t="s">
        <v>377</v>
      </c>
      <c r="EZ547">
        <v>10</v>
      </c>
      <c r="FA547" t="s">
        <v>1513</v>
      </c>
      <c r="FK547" t="s">
        <v>899</v>
      </c>
      <c r="FM547">
        <v>20</v>
      </c>
      <c r="FR547" t="s">
        <v>295</v>
      </c>
      <c r="GA547">
        <v>0.17</v>
      </c>
      <c r="GF547" t="s">
        <v>1514</v>
      </c>
      <c r="GH547">
        <v>0.24</v>
      </c>
      <c r="GM547" t="s">
        <v>1515</v>
      </c>
      <c r="GO547">
        <v>6.88</v>
      </c>
      <c r="GU547">
        <v>5</v>
      </c>
      <c r="GZ547" t="s">
        <v>296</v>
      </c>
      <c r="HH547" t="s">
        <v>883</v>
      </c>
      <c r="HJ547">
        <v>4.3</v>
      </c>
      <c r="HO547" t="s">
        <v>356</v>
      </c>
      <c r="ID547" t="s">
        <v>1516</v>
      </c>
      <c r="IE547" t="s">
        <v>1517</v>
      </c>
      <c r="IF547">
        <v>166133</v>
      </c>
      <c r="IG547" t="s">
        <v>1518</v>
      </c>
      <c r="IH547" t="s">
        <v>1519</v>
      </c>
      <c r="II547">
        <v>2013</v>
      </c>
      <c r="IJ547" t="s">
        <v>1520</v>
      </c>
    </row>
    <row r="548" spans="1:244" x14ac:dyDescent="0.45">
      <c r="A548">
        <v>2140664</v>
      </c>
      <c r="B548">
        <v>2263491</v>
      </c>
      <c r="C548">
        <v>7447394</v>
      </c>
      <c r="D548" t="s">
        <v>1162</v>
      </c>
      <c r="F548" t="s">
        <v>245</v>
      </c>
      <c r="G548" t="s">
        <v>272</v>
      </c>
      <c r="N548" t="s">
        <v>630</v>
      </c>
      <c r="O548" t="s">
        <v>631</v>
      </c>
      <c r="P548" t="s">
        <v>249</v>
      </c>
      <c r="Q548" t="s">
        <v>250</v>
      </c>
      <c r="R548" t="s">
        <v>251</v>
      </c>
      <c r="T548" t="s">
        <v>389</v>
      </c>
      <c r="U548" t="s">
        <v>632</v>
      </c>
      <c r="V548" t="s">
        <v>633</v>
      </c>
      <c r="W548" t="s">
        <v>634</v>
      </c>
      <c r="X548" t="s">
        <v>635</v>
      </c>
      <c r="Z548" t="s">
        <v>1034</v>
      </c>
      <c r="AI548">
        <v>2</v>
      </c>
      <c r="AJ548" t="s">
        <v>354</v>
      </c>
      <c r="AL548" t="s">
        <v>1509</v>
      </c>
      <c r="AM548" t="s">
        <v>258</v>
      </c>
      <c r="AN548" t="s">
        <v>259</v>
      </c>
      <c r="AO548" t="s">
        <v>260</v>
      </c>
      <c r="AP548">
        <v>5</v>
      </c>
      <c r="AQ548" t="s">
        <v>504</v>
      </c>
      <c r="AS548">
        <v>67.400000000000006</v>
      </c>
      <c r="AU548">
        <v>43.2</v>
      </c>
      <c r="AW548">
        <v>92.9</v>
      </c>
      <c r="AX548" t="s">
        <v>262</v>
      </c>
      <c r="BO548" t="s">
        <v>504</v>
      </c>
      <c r="BQ548">
        <v>6.7400000000000002E-2</v>
      </c>
      <c r="BS548">
        <v>4.3200000000000002E-2</v>
      </c>
      <c r="BU548">
        <v>9.2899999999999996E-2</v>
      </c>
      <c r="BV548" t="s">
        <v>263</v>
      </c>
      <c r="CM548" t="s">
        <v>264</v>
      </c>
      <c r="CN548" t="s">
        <v>264</v>
      </c>
      <c r="CP548" t="s">
        <v>265</v>
      </c>
      <c r="CQ548" t="s">
        <v>394</v>
      </c>
      <c r="DB548">
        <v>2</v>
      </c>
      <c r="DG548" t="s">
        <v>267</v>
      </c>
      <c r="DI548">
        <v>48</v>
      </c>
      <c r="DN548" t="s">
        <v>268</v>
      </c>
      <c r="DP548" t="s">
        <v>1510</v>
      </c>
      <c r="DR548">
        <v>136180</v>
      </c>
      <c r="DS548">
        <v>376</v>
      </c>
      <c r="DT548" t="s">
        <v>1511</v>
      </c>
      <c r="DV548">
        <v>48</v>
      </c>
      <c r="EA548" t="s">
        <v>268</v>
      </c>
      <c r="EC548">
        <v>2</v>
      </c>
      <c r="EH548" t="s">
        <v>267</v>
      </c>
      <c r="EJ548">
        <v>48</v>
      </c>
      <c r="EO548" t="s">
        <v>268</v>
      </c>
      <c r="EQ548">
        <v>2</v>
      </c>
      <c r="EV548" t="s">
        <v>267</v>
      </c>
      <c r="EW548" t="s">
        <v>1512</v>
      </c>
      <c r="EY548" t="s">
        <v>377</v>
      </c>
      <c r="EZ548">
        <v>10</v>
      </c>
      <c r="FA548" t="s">
        <v>1548</v>
      </c>
      <c r="FM548">
        <v>20</v>
      </c>
      <c r="FR548" t="s">
        <v>295</v>
      </c>
      <c r="GA548">
        <v>0.5</v>
      </c>
      <c r="GF548" t="s">
        <v>1514</v>
      </c>
      <c r="GH548">
        <v>0.19</v>
      </c>
      <c r="GM548" t="s">
        <v>1515</v>
      </c>
      <c r="GO548">
        <v>7.21</v>
      </c>
      <c r="GU548">
        <v>15</v>
      </c>
      <c r="GZ548" t="s">
        <v>296</v>
      </c>
      <c r="HH548" t="s">
        <v>883</v>
      </c>
      <c r="HI548" t="s">
        <v>289</v>
      </c>
      <c r="HJ548">
        <v>0.1</v>
      </c>
      <c r="HO548" t="s">
        <v>356</v>
      </c>
      <c r="ID548" t="s">
        <v>1549</v>
      </c>
      <c r="IE548" t="s">
        <v>1517</v>
      </c>
      <c r="IF548">
        <v>166133</v>
      </c>
      <c r="IG548" t="s">
        <v>1518</v>
      </c>
      <c r="IH548" t="s">
        <v>1519</v>
      </c>
      <c r="II548">
        <v>2013</v>
      </c>
      <c r="IJ548" t="s">
        <v>1520</v>
      </c>
    </row>
    <row r="549" spans="1:244" x14ac:dyDescent="0.45">
      <c r="A549">
        <v>2306126</v>
      </c>
      <c r="B549">
        <v>2737274</v>
      </c>
      <c r="C549">
        <v>7447394</v>
      </c>
      <c r="D549" t="s">
        <v>1162</v>
      </c>
      <c r="E549" t="s">
        <v>811</v>
      </c>
      <c r="F549" t="s">
        <v>327</v>
      </c>
      <c r="G549" t="s">
        <v>1550</v>
      </c>
      <c r="N549" t="s">
        <v>369</v>
      </c>
      <c r="O549" t="s">
        <v>370</v>
      </c>
      <c r="P549" t="s">
        <v>249</v>
      </c>
      <c r="Q549" t="s">
        <v>250</v>
      </c>
      <c r="R549" t="s">
        <v>251</v>
      </c>
      <c r="T549" t="s">
        <v>252</v>
      </c>
      <c r="U549" t="s">
        <v>371</v>
      </c>
      <c r="V549" t="s">
        <v>372</v>
      </c>
      <c r="W549" t="s">
        <v>373</v>
      </c>
      <c r="X549" t="s">
        <v>374</v>
      </c>
      <c r="Z549" t="s">
        <v>421</v>
      </c>
      <c r="AB549">
        <v>24</v>
      </c>
      <c r="AG549" t="s">
        <v>268</v>
      </c>
      <c r="AI549">
        <v>6</v>
      </c>
      <c r="AJ549" t="s">
        <v>354</v>
      </c>
      <c r="AM549" t="s">
        <v>307</v>
      </c>
      <c r="AN549" t="s">
        <v>259</v>
      </c>
      <c r="AO549" t="s">
        <v>260</v>
      </c>
      <c r="AP549">
        <v>5</v>
      </c>
      <c r="AQ549" t="s">
        <v>261</v>
      </c>
      <c r="AS549">
        <v>181</v>
      </c>
      <c r="AU549">
        <v>146</v>
      </c>
      <c r="AW549">
        <v>250</v>
      </c>
      <c r="AX549" t="s">
        <v>262</v>
      </c>
      <c r="BO549" t="s">
        <v>261</v>
      </c>
      <c r="BQ549">
        <v>0.18099999999999999</v>
      </c>
      <c r="BS549">
        <v>0.14599999999999999</v>
      </c>
      <c r="BU549">
        <v>0.25</v>
      </c>
      <c r="BV549" t="s">
        <v>263</v>
      </c>
      <c r="CM549" t="s">
        <v>264</v>
      </c>
      <c r="CN549" t="s">
        <v>264</v>
      </c>
      <c r="CP549" t="s">
        <v>265</v>
      </c>
      <c r="CQ549" t="s">
        <v>394</v>
      </c>
      <c r="DB549">
        <v>4</v>
      </c>
      <c r="DG549" t="s">
        <v>267</v>
      </c>
      <c r="DI549">
        <v>96</v>
      </c>
      <c r="DN549" t="s">
        <v>268</v>
      </c>
      <c r="DR549">
        <v>110441</v>
      </c>
      <c r="DS549">
        <v>142</v>
      </c>
      <c r="DT549" t="s">
        <v>1551</v>
      </c>
      <c r="DV549">
        <v>96</v>
      </c>
      <c r="EA549" t="s">
        <v>268</v>
      </c>
      <c r="EC549">
        <v>4</v>
      </c>
      <c r="EH549" t="s">
        <v>267</v>
      </c>
      <c r="EJ549">
        <v>96</v>
      </c>
      <c r="EO549" t="s">
        <v>268</v>
      </c>
      <c r="EQ549">
        <v>4</v>
      </c>
      <c r="EV549" t="s">
        <v>267</v>
      </c>
      <c r="EW549" t="s">
        <v>293</v>
      </c>
      <c r="EY549" t="s">
        <v>377</v>
      </c>
      <c r="EZ549">
        <v>5</v>
      </c>
      <c r="FA549" t="s">
        <v>1552</v>
      </c>
      <c r="FO549">
        <v>20</v>
      </c>
      <c r="FQ549">
        <v>25</v>
      </c>
      <c r="FR549" t="s">
        <v>295</v>
      </c>
      <c r="GQ549">
        <v>7.8</v>
      </c>
      <c r="GS549">
        <v>8.1999999999999993</v>
      </c>
      <c r="GU549">
        <v>30</v>
      </c>
      <c r="GZ549" t="s">
        <v>296</v>
      </c>
      <c r="HH549" t="s">
        <v>272</v>
      </c>
      <c r="ID549" t="s">
        <v>1553</v>
      </c>
      <c r="IE549" t="s">
        <v>1554</v>
      </c>
      <c r="IF549">
        <v>11331</v>
      </c>
      <c r="IG549" t="s">
        <v>1555</v>
      </c>
      <c r="IH549" t="s">
        <v>1556</v>
      </c>
      <c r="II549">
        <v>1985</v>
      </c>
      <c r="IJ549" t="s">
        <v>1557</v>
      </c>
    </row>
    <row r="550" spans="1:244" x14ac:dyDescent="0.45">
      <c r="A550">
        <v>2140708</v>
      </c>
      <c r="B550">
        <v>2263588</v>
      </c>
      <c r="C550">
        <v>7447394</v>
      </c>
      <c r="D550" t="s">
        <v>1162</v>
      </c>
      <c r="F550" t="s">
        <v>245</v>
      </c>
      <c r="G550" t="s">
        <v>272</v>
      </c>
      <c r="N550" t="s">
        <v>630</v>
      </c>
      <c r="O550" t="s">
        <v>631</v>
      </c>
      <c r="P550" t="s">
        <v>249</v>
      </c>
      <c r="Q550" t="s">
        <v>250</v>
      </c>
      <c r="R550" t="s">
        <v>251</v>
      </c>
      <c r="T550" t="s">
        <v>389</v>
      </c>
      <c r="U550" t="s">
        <v>632</v>
      </c>
      <c r="V550" t="s">
        <v>633</v>
      </c>
      <c r="W550" t="s">
        <v>634</v>
      </c>
      <c r="X550" t="s">
        <v>635</v>
      </c>
      <c r="Z550" t="s">
        <v>1034</v>
      </c>
      <c r="AI550">
        <v>2</v>
      </c>
      <c r="AJ550" t="s">
        <v>354</v>
      </c>
      <c r="AL550" t="s">
        <v>1509</v>
      </c>
      <c r="AM550" t="s">
        <v>258</v>
      </c>
      <c r="AN550" t="s">
        <v>259</v>
      </c>
      <c r="AO550" t="s">
        <v>260</v>
      </c>
      <c r="AP550">
        <v>5</v>
      </c>
      <c r="AQ550" t="s">
        <v>504</v>
      </c>
      <c r="AT550" t="s">
        <v>288</v>
      </c>
      <c r="AU550">
        <v>67.400000000000006</v>
      </c>
      <c r="AV550" t="s">
        <v>289</v>
      </c>
      <c r="AW550">
        <v>108.7</v>
      </c>
      <c r="AX550" t="s">
        <v>262</v>
      </c>
      <c r="BO550" t="s">
        <v>504</v>
      </c>
      <c r="BR550" t="s">
        <v>288</v>
      </c>
      <c r="BS550">
        <v>6.7400000000000002E-2</v>
      </c>
      <c r="BT550" t="s">
        <v>289</v>
      </c>
      <c r="BU550">
        <v>0.1087</v>
      </c>
      <c r="BV550" t="s">
        <v>263</v>
      </c>
      <c r="CM550" t="s">
        <v>264</v>
      </c>
      <c r="CN550" t="s">
        <v>264</v>
      </c>
      <c r="CP550" t="s">
        <v>265</v>
      </c>
      <c r="CQ550" t="s">
        <v>394</v>
      </c>
      <c r="DB550">
        <v>2</v>
      </c>
      <c r="DG550" t="s">
        <v>267</v>
      </c>
      <c r="DI550">
        <v>48</v>
      </c>
      <c r="DN550" t="s">
        <v>268</v>
      </c>
      <c r="DP550" t="s">
        <v>1510</v>
      </c>
      <c r="DR550">
        <v>136180</v>
      </c>
      <c r="DS550">
        <v>376</v>
      </c>
      <c r="DT550" t="s">
        <v>1511</v>
      </c>
      <c r="DV550">
        <v>48</v>
      </c>
      <c r="EA550" t="s">
        <v>268</v>
      </c>
      <c r="EC550">
        <v>2</v>
      </c>
      <c r="EH550" t="s">
        <v>267</v>
      </c>
      <c r="EJ550">
        <v>48</v>
      </c>
      <c r="EO550" t="s">
        <v>268</v>
      </c>
      <c r="EQ550">
        <v>2</v>
      </c>
      <c r="EV550" t="s">
        <v>267</v>
      </c>
      <c r="EW550" t="s">
        <v>1512</v>
      </c>
      <c r="EY550" t="s">
        <v>377</v>
      </c>
      <c r="EZ550">
        <v>10</v>
      </c>
      <c r="FA550" t="s">
        <v>1558</v>
      </c>
      <c r="FK550" t="s">
        <v>899</v>
      </c>
      <c r="FM550">
        <v>20</v>
      </c>
      <c r="FR550" t="s">
        <v>295</v>
      </c>
      <c r="GA550">
        <v>0.5</v>
      </c>
      <c r="GF550" t="s">
        <v>1514</v>
      </c>
      <c r="GH550">
        <v>0.19</v>
      </c>
      <c r="GM550" t="s">
        <v>1515</v>
      </c>
      <c r="GO550">
        <v>7.21</v>
      </c>
      <c r="GU550">
        <v>15</v>
      </c>
      <c r="GZ550" t="s">
        <v>296</v>
      </c>
      <c r="HH550" t="s">
        <v>883</v>
      </c>
      <c r="HJ550">
        <v>2.2000000000000002</v>
      </c>
      <c r="HO550" t="s">
        <v>356</v>
      </c>
      <c r="ID550" t="s">
        <v>1516</v>
      </c>
      <c r="IE550" t="s">
        <v>1517</v>
      </c>
      <c r="IF550">
        <v>166133</v>
      </c>
      <c r="IG550" t="s">
        <v>1518</v>
      </c>
      <c r="IH550" t="s">
        <v>1519</v>
      </c>
      <c r="II550">
        <v>2013</v>
      </c>
      <c r="IJ550" t="s">
        <v>1520</v>
      </c>
    </row>
    <row r="551" spans="1:244" x14ac:dyDescent="0.45">
      <c r="A551">
        <v>2140686</v>
      </c>
      <c r="B551">
        <v>2263533</v>
      </c>
      <c r="C551">
        <v>7447394</v>
      </c>
      <c r="D551" t="s">
        <v>1162</v>
      </c>
      <c r="F551" t="s">
        <v>245</v>
      </c>
      <c r="G551" t="s">
        <v>272</v>
      </c>
      <c r="N551" t="s">
        <v>630</v>
      </c>
      <c r="O551" t="s">
        <v>631</v>
      </c>
      <c r="P551" t="s">
        <v>249</v>
      </c>
      <c r="Q551" t="s">
        <v>250</v>
      </c>
      <c r="R551" t="s">
        <v>251</v>
      </c>
      <c r="T551" t="s">
        <v>389</v>
      </c>
      <c r="U551" t="s">
        <v>632</v>
      </c>
      <c r="V551" t="s">
        <v>633</v>
      </c>
      <c r="W551" t="s">
        <v>634</v>
      </c>
      <c r="X551" t="s">
        <v>635</v>
      </c>
      <c r="Z551" t="s">
        <v>1034</v>
      </c>
      <c r="AI551">
        <v>2</v>
      </c>
      <c r="AJ551" t="s">
        <v>354</v>
      </c>
      <c r="AL551" t="s">
        <v>1509</v>
      </c>
      <c r="AM551" t="s">
        <v>258</v>
      </c>
      <c r="AN551" t="s">
        <v>259</v>
      </c>
      <c r="AO551" t="s">
        <v>260</v>
      </c>
      <c r="AP551">
        <v>5</v>
      </c>
      <c r="AQ551" t="s">
        <v>504</v>
      </c>
      <c r="AT551" t="s">
        <v>288</v>
      </c>
      <c r="AU551">
        <v>67.400000000000006</v>
      </c>
      <c r="AV551" t="s">
        <v>289</v>
      </c>
      <c r="AW551">
        <v>108.7</v>
      </c>
      <c r="AX551" t="s">
        <v>262</v>
      </c>
      <c r="BO551" t="s">
        <v>504</v>
      </c>
      <c r="BR551" t="s">
        <v>288</v>
      </c>
      <c r="BS551">
        <v>6.7400000000000002E-2</v>
      </c>
      <c r="BT551" t="s">
        <v>289</v>
      </c>
      <c r="BU551">
        <v>0.1087</v>
      </c>
      <c r="BV551" t="s">
        <v>263</v>
      </c>
      <c r="CM551" t="s">
        <v>264</v>
      </c>
      <c r="CN551" t="s">
        <v>264</v>
      </c>
      <c r="CP551" t="s">
        <v>265</v>
      </c>
      <c r="CQ551" t="s">
        <v>394</v>
      </c>
      <c r="DB551">
        <v>2</v>
      </c>
      <c r="DG551" t="s">
        <v>267</v>
      </c>
      <c r="DI551">
        <v>48</v>
      </c>
      <c r="DN551" t="s">
        <v>268</v>
      </c>
      <c r="DP551" t="s">
        <v>1510</v>
      </c>
      <c r="DR551">
        <v>136180</v>
      </c>
      <c r="DS551">
        <v>376</v>
      </c>
      <c r="DT551" t="s">
        <v>1511</v>
      </c>
      <c r="DV551">
        <v>48</v>
      </c>
      <c r="EA551" t="s">
        <v>268</v>
      </c>
      <c r="EC551">
        <v>2</v>
      </c>
      <c r="EH551" t="s">
        <v>267</v>
      </c>
      <c r="EJ551">
        <v>48</v>
      </c>
      <c r="EO551" t="s">
        <v>268</v>
      </c>
      <c r="EQ551">
        <v>2</v>
      </c>
      <c r="EV551" t="s">
        <v>267</v>
      </c>
      <c r="EW551" t="s">
        <v>1512</v>
      </c>
      <c r="EY551" t="s">
        <v>377</v>
      </c>
      <c r="EZ551">
        <v>10</v>
      </c>
      <c r="FA551" t="s">
        <v>1559</v>
      </c>
      <c r="FK551" t="s">
        <v>899</v>
      </c>
      <c r="FM551">
        <v>20</v>
      </c>
      <c r="FR551" t="s">
        <v>295</v>
      </c>
      <c r="GA551">
        <v>1.1399999999999999</v>
      </c>
      <c r="GF551" t="s">
        <v>1514</v>
      </c>
      <c r="GH551">
        <v>0.19</v>
      </c>
      <c r="GM551" t="s">
        <v>1515</v>
      </c>
      <c r="GO551">
        <v>7.49</v>
      </c>
      <c r="GU551">
        <v>30</v>
      </c>
      <c r="GZ551" t="s">
        <v>296</v>
      </c>
      <c r="HH551" t="s">
        <v>883</v>
      </c>
      <c r="HJ551">
        <v>2.5</v>
      </c>
      <c r="HO551" t="s">
        <v>356</v>
      </c>
      <c r="ID551" t="s">
        <v>1516</v>
      </c>
      <c r="IE551" t="s">
        <v>1517</v>
      </c>
      <c r="IF551">
        <v>166133</v>
      </c>
      <c r="IG551" t="s">
        <v>1518</v>
      </c>
      <c r="IH551" t="s">
        <v>1519</v>
      </c>
      <c r="II551">
        <v>2013</v>
      </c>
      <c r="IJ551" t="s">
        <v>1520</v>
      </c>
    </row>
    <row r="552" spans="1:244" x14ac:dyDescent="0.45">
      <c r="A552">
        <v>1312979</v>
      </c>
      <c r="B552">
        <v>770475</v>
      </c>
      <c r="C552">
        <v>7447394</v>
      </c>
      <c r="D552" t="s">
        <v>1162</v>
      </c>
      <c r="F552" t="s">
        <v>861</v>
      </c>
      <c r="G552" t="s">
        <v>246</v>
      </c>
      <c r="N552" t="s">
        <v>829</v>
      </c>
      <c r="O552" t="s">
        <v>631</v>
      </c>
      <c r="P552" t="s">
        <v>249</v>
      </c>
      <c r="Q552" t="s">
        <v>250</v>
      </c>
      <c r="R552" t="s">
        <v>251</v>
      </c>
      <c r="T552" t="s">
        <v>389</v>
      </c>
      <c r="U552" t="s">
        <v>632</v>
      </c>
      <c r="V552" t="s">
        <v>830</v>
      </c>
      <c r="W552" t="s">
        <v>831</v>
      </c>
      <c r="X552" t="s">
        <v>832</v>
      </c>
      <c r="Z552" t="s">
        <v>525</v>
      </c>
      <c r="AA552" t="s">
        <v>515</v>
      </c>
      <c r="AB552">
        <v>1</v>
      </c>
      <c r="AG552" t="s">
        <v>267</v>
      </c>
      <c r="AM552" t="s">
        <v>317</v>
      </c>
      <c r="AN552" t="s">
        <v>259</v>
      </c>
      <c r="AO552" t="s">
        <v>260</v>
      </c>
      <c r="AP552">
        <v>7</v>
      </c>
      <c r="AQ552" t="s">
        <v>504</v>
      </c>
      <c r="AS552">
        <v>104</v>
      </c>
      <c r="AU552">
        <v>94.2</v>
      </c>
      <c r="AW552">
        <v>109</v>
      </c>
      <c r="AX552" t="s">
        <v>262</v>
      </c>
      <c r="BO552" t="s">
        <v>504</v>
      </c>
      <c r="BQ552">
        <v>0.104</v>
      </c>
      <c r="BS552">
        <v>9.4200000000000006E-2</v>
      </c>
      <c r="BU552">
        <v>0.109</v>
      </c>
      <c r="BV552" t="s">
        <v>263</v>
      </c>
      <c r="CM552" t="s">
        <v>264</v>
      </c>
      <c r="CN552" t="s">
        <v>264</v>
      </c>
      <c r="CP552" t="s">
        <v>265</v>
      </c>
      <c r="CQ552" t="s">
        <v>394</v>
      </c>
      <c r="DB552">
        <v>4</v>
      </c>
      <c r="DG552" t="s">
        <v>267</v>
      </c>
      <c r="DI552">
        <v>96</v>
      </c>
      <c r="DN552" t="s">
        <v>268</v>
      </c>
      <c r="DP552" t="s">
        <v>1234</v>
      </c>
      <c r="DR552">
        <v>88015</v>
      </c>
      <c r="DS552">
        <v>649</v>
      </c>
      <c r="DT552" t="s">
        <v>1502</v>
      </c>
      <c r="EW552" t="s">
        <v>293</v>
      </c>
      <c r="FK552" t="s">
        <v>1560</v>
      </c>
      <c r="FO552">
        <v>24.5</v>
      </c>
      <c r="FQ552">
        <v>25.3</v>
      </c>
      <c r="FR552" t="s">
        <v>295</v>
      </c>
      <c r="FV552">
        <v>1064</v>
      </c>
      <c r="FX552">
        <v>1088</v>
      </c>
      <c r="FY552" t="s">
        <v>356</v>
      </c>
      <c r="GC552">
        <v>58.4</v>
      </c>
      <c r="GE552">
        <v>58.7</v>
      </c>
      <c r="GF552" t="s">
        <v>356</v>
      </c>
      <c r="GJ552">
        <v>7.57</v>
      </c>
      <c r="GL552">
        <v>8.36</v>
      </c>
      <c r="GM552" t="s">
        <v>356</v>
      </c>
      <c r="GQ552">
        <v>8.25</v>
      </c>
      <c r="GS552">
        <v>8.5</v>
      </c>
      <c r="GU552">
        <v>5</v>
      </c>
      <c r="GZ552" t="s">
        <v>296</v>
      </c>
      <c r="HH552" t="s">
        <v>883</v>
      </c>
      <c r="HL552">
        <v>2.77</v>
      </c>
      <c r="HN552">
        <v>3.06</v>
      </c>
      <c r="HO552" t="s">
        <v>356</v>
      </c>
      <c r="ID552" t="s">
        <v>1561</v>
      </c>
      <c r="IE552" t="s">
        <v>1505</v>
      </c>
      <c r="IF552">
        <v>107036</v>
      </c>
      <c r="IG552" t="s">
        <v>1506</v>
      </c>
      <c r="IH552" t="s">
        <v>1507</v>
      </c>
      <c r="II552">
        <v>2008</v>
      </c>
      <c r="IJ552" t="s">
        <v>1508</v>
      </c>
    </row>
    <row r="553" spans="1:244" x14ac:dyDescent="0.45">
      <c r="A553">
        <v>2140676</v>
      </c>
      <c r="B553">
        <v>2263524</v>
      </c>
      <c r="C553">
        <v>7447394</v>
      </c>
      <c r="D553" t="s">
        <v>1162</v>
      </c>
      <c r="F553" t="s">
        <v>245</v>
      </c>
      <c r="G553" t="s">
        <v>272</v>
      </c>
      <c r="N553" t="s">
        <v>630</v>
      </c>
      <c r="O553" t="s">
        <v>631</v>
      </c>
      <c r="P553" t="s">
        <v>249</v>
      </c>
      <c r="Q553" t="s">
        <v>250</v>
      </c>
      <c r="R553" t="s">
        <v>251</v>
      </c>
      <c r="T553" t="s">
        <v>389</v>
      </c>
      <c r="U553" t="s">
        <v>632</v>
      </c>
      <c r="V553" t="s">
        <v>633</v>
      </c>
      <c r="W553" t="s">
        <v>634</v>
      </c>
      <c r="X553" t="s">
        <v>635</v>
      </c>
      <c r="Z553" t="s">
        <v>1034</v>
      </c>
      <c r="AI553">
        <v>2</v>
      </c>
      <c r="AJ553" t="s">
        <v>354</v>
      </c>
      <c r="AL553" t="s">
        <v>1509</v>
      </c>
      <c r="AM553" t="s">
        <v>258</v>
      </c>
      <c r="AN553" t="s">
        <v>259</v>
      </c>
      <c r="AO553" t="s">
        <v>260</v>
      </c>
      <c r="AP553">
        <v>5</v>
      </c>
      <c r="AQ553" t="s">
        <v>504</v>
      </c>
      <c r="AT553" t="s">
        <v>288</v>
      </c>
      <c r="AU553">
        <v>41.8</v>
      </c>
      <c r="AV553" t="s">
        <v>289</v>
      </c>
      <c r="AW553">
        <v>67.400000000000006</v>
      </c>
      <c r="AX553" t="s">
        <v>262</v>
      </c>
      <c r="BO553" t="s">
        <v>504</v>
      </c>
      <c r="BR553" t="s">
        <v>288</v>
      </c>
      <c r="BS553">
        <v>4.1799999999999997E-2</v>
      </c>
      <c r="BT553" t="s">
        <v>289</v>
      </c>
      <c r="BU553">
        <v>6.7400000000000002E-2</v>
      </c>
      <c r="BV553" t="s">
        <v>263</v>
      </c>
      <c r="CM553" t="s">
        <v>264</v>
      </c>
      <c r="CN553" t="s">
        <v>264</v>
      </c>
      <c r="CP553" t="s">
        <v>265</v>
      </c>
      <c r="CQ553" t="s">
        <v>394</v>
      </c>
      <c r="DB553">
        <v>2</v>
      </c>
      <c r="DG553" t="s">
        <v>267</v>
      </c>
      <c r="DI553">
        <v>48</v>
      </c>
      <c r="DN553" t="s">
        <v>268</v>
      </c>
      <c r="DP553" t="s">
        <v>1510</v>
      </c>
      <c r="DR553">
        <v>136180</v>
      </c>
      <c r="DS553">
        <v>376</v>
      </c>
      <c r="DT553" t="s">
        <v>1511</v>
      </c>
      <c r="DV553">
        <v>48</v>
      </c>
      <c r="EA553" t="s">
        <v>268</v>
      </c>
      <c r="EC553">
        <v>2</v>
      </c>
      <c r="EH553" t="s">
        <v>267</v>
      </c>
      <c r="EJ553">
        <v>48</v>
      </c>
      <c r="EO553" t="s">
        <v>268</v>
      </c>
      <c r="EQ553">
        <v>2</v>
      </c>
      <c r="EV553" t="s">
        <v>267</v>
      </c>
      <c r="EW553" t="s">
        <v>1512</v>
      </c>
      <c r="EY553" t="s">
        <v>377</v>
      </c>
      <c r="EZ553">
        <v>10</v>
      </c>
      <c r="FA553" t="s">
        <v>1537</v>
      </c>
      <c r="FK553" t="s">
        <v>899</v>
      </c>
      <c r="FM553">
        <v>20</v>
      </c>
      <c r="FR553" t="s">
        <v>295</v>
      </c>
      <c r="GA553">
        <v>1.1399999999999999</v>
      </c>
      <c r="GF553" t="s">
        <v>1514</v>
      </c>
      <c r="GH553">
        <v>0.19</v>
      </c>
      <c r="GM553" t="s">
        <v>1515</v>
      </c>
      <c r="GO553">
        <v>7.49</v>
      </c>
      <c r="GU553">
        <v>30</v>
      </c>
      <c r="GZ553" t="s">
        <v>296</v>
      </c>
      <c r="HH553" t="s">
        <v>883</v>
      </c>
      <c r="HJ553">
        <v>0.6</v>
      </c>
      <c r="HO553" t="s">
        <v>356</v>
      </c>
      <c r="ID553" t="s">
        <v>1516</v>
      </c>
      <c r="IE553" t="s">
        <v>1517</v>
      </c>
      <c r="IF553">
        <v>166133</v>
      </c>
      <c r="IG553" t="s">
        <v>1518</v>
      </c>
      <c r="IH553" t="s">
        <v>1519</v>
      </c>
      <c r="II553">
        <v>2013</v>
      </c>
      <c r="IJ553" t="s">
        <v>1520</v>
      </c>
    </row>
    <row r="554" spans="1:244" x14ac:dyDescent="0.45">
      <c r="A554">
        <v>2140707</v>
      </c>
      <c r="B554">
        <v>2263587</v>
      </c>
      <c r="C554">
        <v>7447394</v>
      </c>
      <c r="D554" t="s">
        <v>1162</v>
      </c>
      <c r="F554" t="s">
        <v>245</v>
      </c>
      <c r="G554" t="s">
        <v>272</v>
      </c>
      <c r="N554" t="s">
        <v>630</v>
      </c>
      <c r="O554" t="s">
        <v>631</v>
      </c>
      <c r="P554" t="s">
        <v>249</v>
      </c>
      <c r="Q554" t="s">
        <v>250</v>
      </c>
      <c r="R554" t="s">
        <v>251</v>
      </c>
      <c r="T554" t="s">
        <v>389</v>
      </c>
      <c r="U554" t="s">
        <v>632</v>
      </c>
      <c r="V554" t="s">
        <v>633</v>
      </c>
      <c r="W554" t="s">
        <v>634</v>
      </c>
      <c r="X554" t="s">
        <v>635</v>
      </c>
      <c r="Z554" t="s">
        <v>1034</v>
      </c>
      <c r="AI554">
        <v>2</v>
      </c>
      <c r="AJ554" t="s">
        <v>354</v>
      </c>
      <c r="AL554" t="s">
        <v>1509</v>
      </c>
      <c r="AM554" t="s">
        <v>258</v>
      </c>
      <c r="AN554" t="s">
        <v>259</v>
      </c>
      <c r="AO554" t="s">
        <v>260</v>
      </c>
      <c r="AP554">
        <v>5</v>
      </c>
      <c r="AQ554" t="s">
        <v>504</v>
      </c>
      <c r="AT554" t="s">
        <v>288</v>
      </c>
      <c r="AU554">
        <v>108.7</v>
      </c>
      <c r="AV554" t="s">
        <v>289</v>
      </c>
      <c r="AW554">
        <v>200</v>
      </c>
      <c r="AX554" t="s">
        <v>262</v>
      </c>
      <c r="BO554" t="s">
        <v>504</v>
      </c>
      <c r="BR554" t="s">
        <v>288</v>
      </c>
      <c r="BS554">
        <v>0.1087</v>
      </c>
      <c r="BT554" t="s">
        <v>289</v>
      </c>
      <c r="BU554">
        <v>0.2</v>
      </c>
      <c r="BV554" t="s">
        <v>263</v>
      </c>
      <c r="CM554" t="s">
        <v>264</v>
      </c>
      <c r="CN554" t="s">
        <v>264</v>
      </c>
      <c r="CP554" t="s">
        <v>265</v>
      </c>
      <c r="CQ554" t="s">
        <v>394</v>
      </c>
      <c r="DB554">
        <v>2</v>
      </c>
      <c r="DG554" t="s">
        <v>267</v>
      </c>
      <c r="DI554">
        <v>48</v>
      </c>
      <c r="DN554" t="s">
        <v>268</v>
      </c>
      <c r="DP554" t="s">
        <v>1510</v>
      </c>
      <c r="DR554">
        <v>136180</v>
      </c>
      <c r="DS554">
        <v>376</v>
      </c>
      <c r="DT554" t="s">
        <v>1511</v>
      </c>
      <c r="DV554">
        <v>48</v>
      </c>
      <c r="EA554" t="s">
        <v>268</v>
      </c>
      <c r="EC554">
        <v>2</v>
      </c>
      <c r="EH554" t="s">
        <v>267</v>
      </c>
      <c r="EJ554">
        <v>48</v>
      </c>
      <c r="EO554" t="s">
        <v>268</v>
      </c>
      <c r="EQ554">
        <v>2</v>
      </c>
      <c r="EV554" t="s">
        <v>267</v>
      </c>
      <c r="EW554" t="s">
        <v>1512</v>
      </c>
      <c r="EY554" t="s">
        <v>377</v>
      </c>
      <c r="EZ554">
        <v>10</v>
      </c>
      <c r="FA554" t="s">
        <v>1562</v>
      </c>
      <c r="FK554" t="s">
        <v>899</v>
      </c>
      <c r="FM554">
        <v>20</v>
      </c>
      <c r="FR554" t="s">
        <v>295</v>
      </c>
      <c r="GA554">
        <v>0.5</v>
      </c>
      <c r="GF554" t="s">
        <v>1514</v>
      </c>
      <c r="GH554">
        <v>0.19</v>
      </c>
      <c r="GM554" t="s">
        <v>1515</v>
      </c>
      <c r="GO554">
        <v>7.21</v>
      </c>
      <c r="GU554">
        <v>15</v>
      </c>
      <c r="GZ554" t="s">
        <v>296</v>
      </c>
      <c r="HH554" t="s">
        <v>883</v>
      </c>
      <c r="HJ554">
        <v>0.5</v>
      </c>
      <c r="HO554" t="s">
        <v>356</v>
      </c>
      <c r="ID554" t="s">
        <v>1516</v>
      </c>
      <c r="IE554" t="s">
        <v>1517</v>
      </c>
      <c r="IF554">
        <v>166133</v>
      </c>
      <c r="IG554" t="s">
        <v>1518</v>
      </c>
      <c r="IH554" t="s">
        <v>1519</v>
      </c>
      <c r="II554">
        <v>2013</v>
      </c>
      <c r="IJ554" t="s">
        <v>1520</v>
      </c>
    </row>
    <row r="555" spans="1:244" x14ac:dyDescent="0.45">
      <c r="A555">
        <v>2140683</v>
      </c>
      <c r="B555">
        <v>2263530</v>
      </c>
      <c r="C555">
        <v>7447394</v>
      </c>
      <c r="D555" t="s">
        <v>1162</v>
      </c>
      <c r="F555" t="s">
        <v>245</v>
      </c>
      <c r="G555" t="s">
        <v>272</v>
      </c>
      <c r="N555" t="s">
        <v>630</v>
      </c>
      <c r="O555" t="s">
        <v>631</v>
      </c>
      <c r="P555" t="s">
        <v>249</v>
      </c>
      <c r="Q555" t="s">
        <v>250</v>
      </c>
      <c r="R555" t="s">
        <v>251</v>
      </c>
      <c r="T555" t="s">
        <v>389</v>
      </c>
      <c r="U555" t="s">
        <v>632</v>
      </c>
      <c r="V555" t="s">
        <v>633</v>
      </c>
      <c r="W555" t="s">
        <v>634</v>
      </c>
      <c r="X555" t="s">
        <v>635</v>
      </c>
      <c r="Z555" t="s">
        <v>1034</v>
      </c>
      <c r="AI555">
        <v>2</v>
      </c>
      <c r="AJ555" t="s">
        <v>354</v>
      </c>
      <c r="AL555" t="s">
        <v>1509</v>
      </c>
      <c r="AM555" t="s">
        <v>258</v>
      </c>
      <c r="AN555" t="s">
        <v>259</v>
      </c>
      <c r="AO555" t="s">
        <v>260</v>
      </c>
      <c r="AP555">
        <v>5</v>
      </c>
      <c r="AQ555" t="s">
        <v>504</v>
      </c>
      <c r="AR555" t="s">
        <v>515</v>
      </c>
      <c r="AS555">
        <v>67.400000000000006</v>
      </c>
      <c r="AX555" t="s">
        <v>262</v>
      </c>
      <c r="BO555" t="s">
        <v>504</v>
      </c>
      <c r="BP555" t="s">
        <v>515</v>
      </c>
      <c r="BQ555">
        <v>6.7400000000000002E-2</v>
      </c>
      <c r="BV555" t="s">
        <v>263</v>
      </c>
      <c r="CM555" t="s">
        <v>264</v>
      </c>
      <c r="CN555" t="s">
        <v>264</v>
      </c>
      <c r="CP555" t="s">
        <v>265</v>
      </c>
      <c r="CQ555" t="s">
        <v>394</v>
      </c>
      <c r="DB555">
        <v>2</v>
      </c>
      <c r="DG555" t="s">
        <v>267</v>
      </c>
      <c r="DI555">
        <v>48</v>
      </c>
      <c r="DN555" t="s">
        <v>268</v>
      </c>
      <c r="DP555" t="s">
        <v>1510</v>
      </c>
      <c r="DR555">
        <v>136180</v>
      </c>
      <c r="DS555">
        <v>376</v>
      </c>
      <c r="DT555" t="s">
        <v>1511</v>
      </c>
      <c r="DV555">
        <v>48</v>
      </c>
      <c r="EA555" t="s">
        <v>268</v>
      </c>
      <c r="EC555">
        <v>2</v>
      </c>
      <c r="EH555" t="s">
        <v>267</v>
      </c>
      <c r="EJ555">
        <v>48</v>
      </c>
      <c r="EO555" t="s">
        <v>268</v>
      </c>
      <c r="EQ555">
        <v>2</v>
      </c>
      <c r="EV555" t="s">
        <v>267</v>
      </c>
      <c r="EW555" t="s">
        <v>1512</v>
      </c>
      <c r="EY555" t="s">
        <v>377</v>
      </c>
      <c r="EZ555">
        <v>10</v>
      </c>
      <c r="FA555" t="s">
        <v>1559</v>
      </c>
      <c r="FK555" t="s">
        <v>899</v>
      </c>
      <c r="FM555">
        <v>20</v>
      </c>
      <c r="FR555" t="s">
        <v>295</v>
      </c>
      <c r="GA555">
        <v>0.5</v>
      </c>
      <c r="GF555" t="s">
        <v>1514</v>
      </c>
      <c r="GH555">
        <v>0.19</v>
      </c>
      <c r="GM555" t="s">
        <v>1515</v>
      </c>
      <c r="GO555">
        <v>7.21</v>
      </c>
      <c r="GU555">
        <v>15</v>
      </c>
      <c r="GZ555" t="s">
        <v>296</v>
      </c>
      <c r="HH555" t="s">
        <v>883</v>
      </c>
      <c r="HJ555">
        <v>2.5</v>
      </c>
      <c r="HO555" t="s">
        <v>356</v>
      </c>
      <c r="ID555" t="s">
        <v>1516</v>
      </c>
      <c r="IE555" t="s">
        <v>1517</v>
      </c>
      <c r="IF555">
        <v>166133</v>
      </c>
      <c r="IG555" t="s">
        <v>1518</v>
      </c>
      <c r="IH555" t="s">
        <v>1519</v>
      </c>
      <c r="II555">
        <v>2013</v>
      </c>
      <c r="IJ555" t="s">
        <v>1520</v>
      </c>
    </row>
    <row r="556" spans="1:244" x14ac:dyDescent="0.45">
      <c r="A556">
        <v>2140710</v>
      </c>
      <c r="B556">
        <v>2263590</v>
      </c>
      <c r="C556">
        <v>7447394</v>
      </c>
      <c r="D556" t="s">
        <v>1162</v>
      </c>
      <c r="F556" t="s">
        <v>245</v>
      </c>
      <c r="G556" t="s">
        <v>272</v>
      </c>
      <c r="N556" t="s">
        <v>630</v>
      </c>
      <c r="O556" t="s">
        <v>631</v>
      </c>
      <c r="P556" t="s">
        <v>249</v>
      </c>
      <c r="Q556" t="s">
        <v>250</v>
      </c>
      <c r="R556" t="s">
        <v>251</v>
      </c>
      <c r="T556" t="s">
        <v>389</v>
      </c>
      <c r="U556" t="s">
        <v>632</v>
      </c>
      <c r="V556" t="s">
        <v>633</v>
      </c>
      <c r="W556" t="s">
        <v>634</v>
      </c>
      <c r="X556" t="s">
        <v>635</v>
      </c>
      <c r="Z556" t="s">
        <v>1034</v>
      </c>
      <c r="AI556">
        <v>2</v>
      </c>
      <c r="AJ556" t="s">
        <v>354</v>
      </c>
      <c r="AL556" t="s">
        <v>1509</v>
      </c>
      <c r="AM556" t="s">
        <v>258</v>
      </c>
      <c r="AN556" t="s">
        <v>259</v>
      </c>
      <c r="AO556" t="s">
        <v>260</v>
      </c>
      <c r="AP556">
        <v>5</v>
      </c>
      <c r="AQ556" t="s">
        <v>504</v>
      </c>
      <c r="AT556" t="s">
        <v>288</v>
      </c>
      <c r="AU556">
        <v>108.7</v>
      </c>
      <c r="AV556" t="s">
        <v>289</v>
      </c>
      <c r="AW556">
        <v>150</v>
      </c>
      <c r="AX556" t="s">
        <v>262</v>
      </c>
      <c r="BO556" t="s">
        <v>504</v>
      </c>
      <c r="BR556" t="s">
        <v>288</v>
      </c>
      <c r="BS556">
        <v>0.1087</v>
      </c>
      <c r="BT556" t="s">
        <v>289</v>
      </c>
      <c r="BU556">
        <v>0.15</v>
      </c>
      <c r="BV556" t="s">
        <v>263</v>
      </c>
      <c r="CM556" t="s">
        <v>264</v>
      </c>
      <c r="CN556" t="s">
        <v>264</v>
      </c>
      <c r="CP556" t="s">
        <v>265</v>
      </c>
      <c r="CQ556" t="s">
        <v>394</v>
      </c>
      <c r="DB556">
        <v>2</v>
      </c>
      <c r="DG556" t="s">
        <v>267</v>
      </c>
      <c r="DI556">
        <v>48</v>
      </c>
      <c r="DN556" t="s">
        <v>268</v>
      </c>
      <c r="DP556" t="s">
        <v>1510</v>
      </c>
      <c r="DR556">
        <v>136180</v>
      </c>
      <c r="DS556">
        <v>376</v>
      </c>
      <c r="DT556" t="s">
        <v>1511</v>
      </c>
      <c r="DV556">
        <v>48</v>
      </c>
      <c r="EA556" t="s">
        <v>268</v>
      </c>
      <c r="EC556">
        <v>2</v>
      </c>
      <c r="EH556" t="s">
        <v>267</v>
      </c>
      <c r="EJ556">
        <v>48</v>
      </c>
      <c r="EO556" t="s">
        <v>268</v>
      </c>
      <c r="EQ556">
        <v>2</v>
      </c>
      <c r="EV556" t="s">
        <v>267</v>
      </c>
      <c r="EW556" t="s">
        <v>1512</v>
      </c>
      <c r="EY556" t="s">
        <v>377</v>
      </c>
      <c r="EZ556">
        <v>10</v>
      </c>
      <c r="FA556" t="s">
        <v>1558</v>
      </c>
      <c r="FK556" t="s">
        <v>899</v>
      </c>
      <c r="FM556">
        <v>20</v>
      </c>
      <c r="FR556" t="s">
        <v>295</v>
      </c>
      <c r="GA556">
        <v>1.1399999999999999</v>
      </c>
      <c r="GF556" t="s">
        <v>1514</v>
      </c>
      <c r="GH556">
        <v>0.19</v>
      </c>
      <c r="GM556" t="s">
        <v>1515</v>
      </c>
      <c r="GO556">
        <v>7.49</v>
      </c>
      <c r="GU556">
        <v>30</v>
      </c>
      <c r="GZ556" t="s">
        <v>296</v>
      </c>
      <c r="HH556" t="s">
        <v>883</v>
      </c>
      <c r="HJ556">
        <v>2.2000000000000002</v>
      </c>
      <c r="HO556" t="s">
        <v>356</v>
      </c>
      <c r="ID556" t="s">
        <v>1516</v>
      </c>
      <c r="IE556" t="s">
        <v>1517</v>
      </c>
      <c r="IF556">
        <v>166133</v>
      </c>
      <c r="IG556" t="s">
        <v>1518</v>
      </c>
      <c r="IH556" t="s">
        <v>1519</v>
      </c>
      <c r="II556">
        <v>2013</v>
      </c>
      <c r="IJ556" t="s">
        <v>1520</v>
      </c>
    </row>
    <row r="557" spans="1:244" x14ac:dyDescent="0.45">
      <c r="A557">
        <v>2140709</v>
      </c>
      <c r="B557">
        <v>2263589</v>
      </c>
      <c r="C557">
        <v>7447394</v>
      </c>
      <c r="D557" t="s">
        <v>1162</v>
      </c>
      <c r="F557" t="s">
        <v>245</v>
      </c>
      <c r="G557" t="s">
        <v>272</v>
      </c>
      <c r="N557" t="s">
        <v>630</v>
      </c>
      <c r="O557" t="s">
        <v>631</v>
      </c>
      <c r="P557" t="s">
        <v>249</v>
      </c>
      <c r="Q557" t="s">
        <v>250</v>
      </c>
      <c r="R557" t="s">
        <v>251</v>
      </c>
      <c r="T557" t="s">
        <v>389</v>
      </c>
      <c r="U557" t="s">
        <v>632</v>
      </c>
      <c r="V557" t="s">
        <v>633</v>
      </c>
      <c r="W557" t="s">
        <v>634</v>
      </c>
      <c r="X557" t="s">
        <v>635</v>
      </c>
      <c r="Z557" t="s">
        <v>1034</v>
      </c>
      <c r="AI557">
        <v>2</v>
      </c>
      <c r="AJ557" t="s">
        <v>354</v>
      </c>
      <c r="AL557" t="s">
        <v>1509</v>
      </c>
      <c r="AM557" t="s">
        <v>258</v>
      </c>
      <c r="AN557" t="s">
        <v>259</v>
      </c>
      <c r="AO557" t="s">
        <v>260</v>
      </c>
      <c r="AP557">
        <v>5</v>
      </c>
      <c r="AQ557" t="s">
        <v>504</v>
      </c>
      <c r="AT557" t="s">
        <v>288</v>
      </c>
      <c r="AU557">
        <v>67.400000000000006</v>
      </c>
      <c r="AV557" t="s">
        <v>289</v>
      </c>
      <c r="AW557">
        <v>108.7</v>
      </c>
      <c r="AX557" t="s">
        <v>262</v>
      </c>
      <c r="BO557" t="s">
        <v>504</v>
      </c>
      <c r="BR557" t="s">
        <v>288</v>
      </c>
      <c r="BS557">
        <v>6.7400000000000002E-2</v>
      </c>
      <c r="BT557" t="s">
        <v>289</v>
      </c>
      <c r="BU557">
        <v>0.1087</v>
      </c>
      <c r="BV557" t="s">
        <v>263</v>
      </c>
      <c r="CM557" t="s">
        <v>264</v>
      </c>
      <c r="CN557" t="s">
        <v>264</v>
      </c>
      <c r="CP557" t="s">
        <v>265</v>
      </c>
      <c r="CQ557" t="s">
        <v>394</v>
      </c>
      <c r="DB557">
        <v>2</v>
      </c>
      <c r="DG557" t="s">
        <v>267</v>
      </c>
      <c r="DI557">
        <v>48</v>
      </c>
      <c r="DN557" t="s">
        <v>268</v>
      </c>
      <c r="DP557" t="s">
        <v>1510</v>
      </c>
      <c r="DR557">
        <v>136180</v>
      </c>
      <c r="DS557">
        <v>376</v>
      </c>
      <c r="DT557" t="s">
        <v>1511</v>
      </c>
      <c r="DV557">
        <v>48</v>
      </c>
      <c r="EA557" t="s">
        <v>268</v>
      </c>
      <c r="EC557">
        <v>2</v>
      </c>
      <c r="EH557" t="s">
        <v>267</v>
      </c>
      <c r="EJ557">
        <v>48</v>
      </c>
      <c r="EO557" t="s">
        <v>268</v>
      </c>
      <c r="EQ557">
        <v>2</v>
      </c>
      <c r="EV557" t="s">
        <v>267</v>
      </c>
      <c r="EW557" t="s">
        <v>1512</v>
      </c>
      <c r="EY557" t="s">
        <v>377</v>
      </c>
      <c r="EZ557">
        <v>10</v>
      </c>
      <c r="FA557" t="s">
        <v>1562</v>
      </c>
      <c r="FK557" t="s">
        <v>899</v>
      </c>
      <c r="FM557">
        <v>20</v>
      </c>
      <c r="FR557" t="s">
        <v>295</v>
      </c>
      <c r="GA557">
        <v>1.1399999999999999</v>
      </c>
      <c r="GF557" t="s">
        <v>1514</v>
      </c>
      <c r="GH557">
        <v>0.19</v>
      </c>
      <c r="GM557" t="s">
        <v>1515</v>
      </c>
      <c r="GO557">
        <v>7.49</v>
      </c>
      <c r="GU557">
        <v>30</v>
      </c>
      <c r="GZ557" t="s">
        <v>296</v>
      </c>
      <c r="HH557" t="s">
        <v>883</v>
      </c>
      <c r="HJ557">
        <v>0.5</v>
      </c>
      <c r="HO557" t="s">
        <v>356</v>
      </c>
      <c r="ID557" t="s">
        <v>1516</v>
      </c>
      <c r="IE557" t="s">
        <v>1517</v>
      </c>
      <c r="IF557">
        <v>166133</v>
      </c>
      <c r="IG557" t="s">
        <v>1518</v>
      </c>
      <c r="IH557" t="s">
        <v>1519</v>
      </c>
      <c r="II557">
        <v>2013</v>
      </c>
      <c r="IJ557" t="s">
        <v>1520</v>
      </c>
    </row>
    <row r="558" spans="1:244" x14ac:dyDescent="0.45">
      <c r="A558">
        <v>2140695</v>
      </c>
      <c r="B558">
        <v>2263541</v>
      </c>
      <c r="C558">
        <v>7447394</v>
      </c>
      <c r="D558" t="s">
        <v>1162</v>
      </c>
      <c r="F558" t="s">
        <v>245</v>
      </c>
      <c r="G558" t="s">
        <v>272</v>
      </c>
      <c r="N558" t="s">
        <v>630</v>
      </c>
      <c r="O558" t="s">
        <v>631</v>
      </c>
      <c r="P558" t="s">
        <v>249</v>
      </c>
      <c r="Q558" t="s">
        <v>250</v>
      </c>
      <c r="R558" t="s">
        <v>251</v>
      </c>
      <c r="T558" t="s">
        <v>389</v>
      </c>
      <c r="U558" t="s">
        <v>632</v>
      </c>
      <c r="V558" t="s">
        <v>633</v>
      </c>
      <c r="W558" t="s">
        <v>634</v>
      </c>
      <c r="X558" t="s">
        <v>635</v>
      </c>
      <c r="Z558" t="s">
        <v>1034</v>
      </c>
      <c r="AI558">
        <v>2</v>
      </c>
      <c r="AJ558" t="s">
        <v>354</v>
      </c>
      <c r="AL558" t="s">
        <v>1509</v>
      </c>
      <c r="AM558" t="s">
        <v>258</v>
      </c>
      <c r="AN558" t="s">
        <v>259</v>
      </c>
      <c r="AO558" t="s">
        <v>260</v>
      </c>
      <c r="AP558">
        <v>5</v>
      </c>
      <c r="AQ558" t="s">
        <v>504</v>
      </c>
      <c r="AT558" t="s">
        <v>288</v>
      </c>
      <c r="AU558">
        <v>200</v>
      </c>
      <c r="AV558" t="s">
        <v>289</v>
      </c>
      <c r="AW558">
        <v>300</v>
      </c>
      <c r="AX558" t="s">
        <v>262</v>
      </c>
      <c r="BO558" t="s">
        <v>504</v>
      </c>
      <c r="BR558" t="s">
        <v>288</v>
      </c>
      <c r="BS558">
        <v>0.2</v>
      </c>
      <c r="BT558" t="s">
        <v>289</v>
      </c>
      <c r="BU558">
        <v>0.3</v>
      </c>
      <c r="BV558" t="s">
        <v>263</v>
      </c>
      <c r="CM558" t="s">
        <v>264</v>
      </c>
      <c r="CN558" t="s">
        <v>264</v>
      </c>
      <c r="CP558" t="s">
        <v>265</v>
      </c>
      <c r="CQ558" t="s">
        <v>394</v>
      </c>
      <c r="DB558">
        <v>2</v>
      </c>
      <c r="DG558" t="s">
        <v>267</v>
      </c>
      <c r="DI558">
        <v>48</v>
      </c>
      <c r="DN558" t="s">
        <v>268</v>
      </c>
      <c r="DP558" t="s">
        <v>1510</v>
      </c>
      <c r="DR558">
        <v>136180</v>
      </c>
      <c r="DS558">
        <v>376</v>
      </c>
      <c r="DT558" t="s">
        <v>1511</v>
      </c>
      <c r="DV558">
        <v>48</v>
      </c>
      <c r="EA558" t="s">
        <v>268</v>
      </c>
      <c r="EC558">
        <v>2</v>
      </c>
      <c r="EH558" t="s">
        <v>267</v>
      </c>
      <c r="EJ558">
        <v>48</v>
      </c>
      <c r="EO558" t="s">
        <v>268</v>
      </c>
      <c r="EQ558">
        <v>2</v>
      </c>
      <c r="EV558" t="s">
        <v>267</v>
      </c>
      <c r="EW558" t="s">
        <v>1512</v>
      </c>
      <c r="EY558" t="s">
        <v>377</v>
      </c>
      <c r="EZ558">
        <v>10</v>
      </c>
      <c r="FA558" t="s">
        <v>1563</v>
      </c>
      <c r="FK558" t="s">
        <v>899</v>
      </c>
      <c r="FM558">
        <v>20</v>
      </c>
      <c r="FR558" t="s">
        <v>295</v>
      </c>
      <c r="GA558">
        <v>0.5</v>
      </c>
      <c r="GF558" t="s">
        <v>1514</v>
      </c>
      <c r="GH558">
        <v>0.19</v>
      </c>
      <c r="GM558" t="s">
        <v>1515</v>
      </c>
      <c r="GO558">
        <v>7.21</v>
      </c>
      <c r="GU558">
        <v>15</v>
      </c>
      <c r="GZ558" t="s">
        <v>296</v>
      </c>
      <c r="HH558" t="s">
        <v>883</v>
      </c>
      <c r="HJ558">
        <v>6.7</v>
      </c>
      <c r="HO558" t="s">
        <v>356</v>
      </c>
      <c r="ID558" t="s">
        <v>1516</v>
      </c>
      <c r="IE558" t="s">
        <v>1517</v>
      </c>
      <c r="IF558">
        <v>166133</v>
      </c>
      <c r="IG558" t="s">
        <v>1518</v>
      </c>
      <c r="IH558" t="s">
        <v>1519</v>
      </c>
      <c r="II558">
        <v>2013</v>
      </c>
      <c r="IJ558" t="s">
        <v>1520</v>
      </c>
    </row>
    <row r="559" spans="1:244" x14ac:dyDescent="0.45">
      <c r="A559">
        <v>2140698</v>
      </c>
      <c r="B559">
        <v>2263544</v>
      </c>
      <c r="C559">
        <v>7447394</v>
      </c>
      <c r="D559" t="s">
        <v>1162</v>
      </c>
      <c r="F559" t="s">
        <v>245</v>
      </c>
      <c r="G559" t="s">
        <v>272</v>
      </c>
      <c r="N559" t="s">
        <v>630</v>
      </c>
      <c r="O559" t="s">
        <v>631</v>
      </c>
      <c r="P559" t="s">
        <v>249</v>
      </c>
      <c r="Q559" t="s">
        <v>250</v>
      </c>
      <c r="R559" t="s">
        <v>251</v>
      </c>
      <c r="T559" t="s">
        <v>389</v>
      </c>
      <c r="U559" t="s">
        <v>632</v>
      </c>
      <c r="V559" t="s">
        <v>633</v>
      </c>
      <c r="W559" t="s">
        <v>634</v>
      </c>
      <c r="X559" t="s">
        <v>635</v>
      </c>
      <c r="Z559" t="s">
        <v>1034</v>
      </c>
      <c r="AI559">
        <v>2</v>
      </c>
      <c r="AJ559" t="s">
        <v>354</v>
      </c>
      <c r="AL559" t="s">
        <v>1509</v>
      </c>
      <c r="AM559" t="s">
        <v>258</v>
      </c>
      <c r="AN559" t="s">
        <v>259</v>
      </c>
      <c r="AO559" t="s">
        <v>260</v>
      </c>
      <c r="AP559">
        <v>5</v>
      </c>
      <c r="AQ559" t="s">
        <v>504</v>
      </c>
      <c r="AT559" t="s">
        <v>288</v>
      </c>
      <c r="AU559">
        <v>108.7</v>
      </c>
      <c r="AV559" t="s">
        <v>289</v>
      </c>
      <c r="AW559">
        <v>200</v>
      </c>
      <c r="AX559" t="s">
        <v>262</v>
      </c>
      <c r="BO559" t="s">
        <v>504</v>
      </c>
      <c r="BR559" t="s">
        <v>288</v>
      </c>
      <c r="BS559">
        <v>0.1087</v>
      </c>
      <c r="BT559" t="s">
        <v>289</v>
      </c>
      <c r="BU559">
        <v>0.2</v>
      </c>
      <c r="BV559" t="s">
        <v>263</v>
      </c>
      <c r="CM559" t="s">
        <v>264</v>
      </c>
      <c r="CN559" t="s">
        <v>264</v>
      </c>
      <c r="CP559" t="s">
        <v>265</v>
      </c>
      <c r="CQ559" t="s">
        <v>394</v>
      </c>
      <c r="DB559">
        <v>2</v>
      </c>
      <c r="DG559" t="s">
        <v>267</v>
      </c>
      <c r="DI559">
        <v>48</v>
      </c>
      <c r="DN559" t="s">
        <v>268</v>
      </c>
      <c r="DP559" t="s">
        <v>1510</v>
      </c>
      <c r="DR559">
        <v>136180</v>
      </c>
      <c r="DS559">
        <v>376</v>
      </c>
      <c r="DT559" t="s">
        <v>1511</v>
      </c>
      <c r="DV559">
        <v>48</v>
      </c>
      <c r="EA559" t="s">
        <v>268</v>
      </c>
      <c r="EC559">
        <v>2</v>
      </c>
      <c r="EH559" t="s">
        <v>267</v>
      </c>
      <c r="EJ559">
        <v>48</v>
      </c>
      <c r="EO559" t="s">
        <v>268</v>
      </c>
      <c r="EQ559">
        <v>2</v>
      </c>
      <c r="EV559" t="s">
        <v>267</v>
      </c>
      <c r="EW559" t="s">
        <v>1512</v>
      </c>
      <c r="EY559" t="s">
        <v>377</v>
      </c>
      <c r="EZ559">
        <v>10</v>
      </c>
      <c r="FA559" t="s">
        <v>1563</v>
      </c>
      <c r="FK559" t="s">
        <v>899</v>
      </c>
      <c r="FM559">
        <v>20</v>
      </c>
      <c r="FR559" t="s">
        <v>295</v>
      </c>
      <c r="GA559">
        <v>1.1399999999999999</v>
      </c>
      <c r="GF559" t="s">
        <v>1514</v>
      </c>
      <c r="GH559">
        <v>0.19</v>
      </c>
      <c r="GM559" t="s">
        <v>1515</v>
      </c>
      <c r="GO559">
        <v>7.49</v>
      </c>
      <c r="GU559">
        <v>30</v>
      </c>
      <c r="GZ559" t="s">
        <v>296</v>
      </c>
      <c r="HH559" t="s">
        <v>883</v>
      </c>
      <c r="HJ559">
        <v>6.7</v>
      </c>
      <c r="HO559" t="s">
        <v>356</v>
      </c>
      <c r="ID559" t="s">
        <v>1516</v>
      </c>
      <c r="IE559" t="s">
        <v>1517</v>
      </c>
      <c r="IF559">
        <v>166133</v>
      </c>
      <c r="IG559" t="s">
        <v>1518</v>
      </c>
      <c r="IH559" t="s">
        <v>1519</v>
      </c>
      <c r="II559">
        <v>2013</v>
      </c>
      <c r="IJ559" t="s">
        <v>1520</v>
      </c>
    </row>
    <row r="560" spans="1:244" x14ac:dyDescent="0.45">
      <c r="A560">
        <v>2140704</v>
      </c>
      <c r="B560">
        <v>2263580</v>
      </c>
      <c r="C560">
        <v>7447394</v>
      </c>
      <c r="D560" t="s">
        <v>1162</v>
      </c>
      <c r="F560" t="s">
        <v>245</v>
      </c>
      <c r="G560" t="s">
        <v>272</v>
      </c>
      <c r="N560" t="s">
        <v>630</v>
      </c>
      <c r="O560" t="s">
        <v>631</v>
      </c>
      <c r="P560" t="s">
        <v>249</v>
      </c>
      <c r="Q560" t="s">
        <v>250</v>
      </c>
      <c r="R560" t="s">
        <v>251</v>
      </c>
      <c r="T560" t="s">
        <v>389</v>
      </c>
      <c r="U560" t="s">
        <v>632</v>
      </c>
      <c r="V560" t="s">
        <v>633</v>
      </c>
      <c r="W560" t="s">
        <v>634</v>
      </c>
      <c r="X560" t="s">
        <v>635</v>
      </c>
      <c r="Z560" t="s">
        <v>1034</v>
      </c>
      <c r="AI560">
        <v>2</v>
      </c>
      <c r="AJ560" t="s">
        <v>354</v>
      </c>
      <c r="AL560" t="s">
        <v>1509</v>
      </c>
      <c r="AM560" t="s">
        <v>258</v>
      </c>
      <c r="AN560" t="s">
        <v>259</v>
      </c>
      <c r="AO560" t="s">
        <v>260</v>
      </c>
      <c r="AP560">
        <v>5</v>
      </c>
      <c r="AQ560" t="s">
        <v>504</v>
      </c>
      <c r="AT560" t="s">
        <v>288</v>
      </c>
      <c r="AU560">
        <v>41.8</v>
      </c>
      <c r="AV560" t="s">
        <v>289</v>
      </c>
      <c r="AW560">
        <v>67.400000000000006</v>
      </c>
      <c r="AX560" t="s">
        <v>262</v>
      </c>
      <c r="BO560" t="s">
        <v>504</v>
      </c>
      <c r="BR560" t="s">
        <v>288</v>
      </c>
      <c r="BS560">
        <v>4.1799999999999997E-2</v>
      </c>
      <c r="BT560" t="s">
        <v>289</v>
      </c>
      <c r="BU560">
        <v>6.7400000000000002E-2</v>
      </c>
      <c r="BV560" t="s">
        <v>263</v>
      </c>
      <c r="CM560" t="s">
        <v>264</v>
      </c>
      <c r="CN560" t="s">
        <v>264</v>
      </c>
      <c r="CP560" t="s">
        <v>265</v>
      </c>
      <c r="CQ560" t="s">
        <v>394</v>
      </c>
      <c r="DB560">
        <v>2</v>
      </c>
      <c r="DG560" t="s">
        <v>267</v>
      </c>
      <c r="DI560">
        <v>48</v>
      </c>
      <c r="DN560" t="s">
        <v>268</v>
      </c>
      <c r="DP560" t="s">
        <v>1510</v>
      </c>
      <c r="DR560">
        <v>136180</v>
      </c>
      <c r="DS560">
        <v>376</v>
      </c>
      <c r="DT560" t="s">
        <v>1511</v>
      </c>
      <c r="DV560">
        <v>48</v>
      </c>
      <c r="EA560" t="s">
        <v>268</v>
      </c>
      <c r="EC560">
        <v>2</v>
      </c>
      <c r="EH560" t="s">
        <v>267</v>
      </c>
      <c r="EJ560">
        <v>48</v>
      </c>
      <c r="EO560" t="s">
        <v>268</v>
      </c>
      <c r="EQ560">
        <v>2</v>
      </c>
      <c r="EV560" t="s">
        <v>267</v>
      </c>
      <c r="EW560" t="s">
        <v>1512</v>
      </c>
      <c r="EY560" t="s">
        <v>377</v>
      </c>
      <c r="EZ560">
        <v>10</v>
      </c>
      <c r="FA560" t="s">
        <v>1558</v>
      </c>
      <c r="FK560" t="s">
        <v>899</v>
      </c>
      <c r="FM560">
        <v>20</v>
      </c>
      <c r="FR560" t="s">
        <v>295</v>
      </c>
      <c r="GA560">
        <v>0.17</v>
      </c>
      <c r="GF560" t="s">
        <v>1514</v>
      </c>
      <c r="GH560">
        <v>0.24</v>
      </c>
      <c r="GM560" t="s">
        <v>1515</v>
      </c>
      <c r="GO560">
        <v>6.88</v>
      </c>
      <c r="GU560">
        <v>5</v>
      </c>
      <c r="GZ560" t="s">
        <v>296</v>
      </c>
      <c r="HH560" t="s">
        <v>883</v>
      </c>
      <c r="HJ560">
        <v>2.2000000000000002</v>
      </c>
      <c r="HO560" t="s">
        <v>356</v>
      </c>
      <c r="ID560" t="s">
        <v>1516</v>
      </c>
      <c r="IE560" t="s">
        <v>1517</v>
      </c>
      <c r="IF560">
        <v>166133</v>
      </c>
      <c r="IG560" t="s">
        <v>1518</v>
      </c>
      <c r="IH560" t="s">
        <v>1519</v>
      </c>
      <c r="II560">
        <v>2013</v>
      </c>
      <c r="IJ560" t="s">
        <v>1520</v>
      </c>
    </row>
    <row r="561" spans="1:244" x14ac:dyDescent="0.45">
      <c r="A561">
        <v>2140690</v>
      </c>
      <c r="B561">
        <v>2263536</v>
      </c>
      <c r="C561">
        <v>7447394</v>
      </c>
      <c r="D561" t="s">
        <v>1162</v>
      </c>
      <c r="F561" t="s">
        <v>245</v>
      </c>
      <c r="G561" t="s">
        <v>272</v>
      </c>
      <c r="N561" t="s">
        <v>630</v>
      </c>
      <c r="O561" t="s">
        <v>631</v>
      </c>
      <c r="P561" t="s">
        <v>249</v>
      </c>
      <c r="Q561" t="s">
        <v>250</v>
      </c>
      <c r="R561" t="s">
        <v>251</v>
      </c>
      <c r="T561" t="s">
        <v>389</v>
      </c>
      <c r="U561" t="s">
        <v>632</v>
      </c>
      <c r="V561" t="s">
        <v>633</v>
      </c>
      <c r="W561" t="s">
        <v>634</v>
      </c>
      <c r="X561" t="s">
        <v>635</v>
      </c>
      <c r="Z561" t="s">
        <v>1034</v>
      </c>
      <c r="AI561">
        <v>2</v>
      </c>
      <c r="AJ561" t="s">
        <v>354</v>
      </c>
      <c r="AL561" t="s">
        <v>1509</v>
      </c>
      <c r="AM561" t="s">
        <v>258</v>
      </c>
      <c r="AN561" t="s">
        <v>259</v>
      </c>
      <c r="AO561" t="s">
        <v>260</v>
      </c>
      <c r="AP561">
        <v>5</v>
      </c>
      <c r="AQ561" t="s">
        <v>504</v>
      </c>
      <c r="AT561" t="s">
        <v>288</v>
      </c>
      <c r="AU561">
        <v>41.8</v>
      </c>
      <c r="AV561" t="s">
        <v>289</v>
      </c>
      <c r="AW561">
        <v>67.400000000000006</v>
      </c>
      <c r="AX561" t="s">
        <v>262</v>
      </c>
      <c r="BO561" t="s">
        <v>504</v>
      </c>
      <c r="BR561" t="s">
        <v>288</v>
      </c>
      <c r="BS561">
        <v>4.1799999999999997E-2</v>
      </c>
      <c r="BT561" t="s">
        <v>289</v>
      </c>
      <c r="BU561">
        <v>6.7400000000000002E-2</v>
      </c>
      <c r="BV561" t="s">
        <v>263</v>
      </c>
      <c r="CM561" t="s">
        <v>264</v>
      </c>
      <c r="CN561" t="s">
        <v>264</v>
      </c>
      <c r="CP561" t="s">
        <v>265</v>
      </c>
      <c r="CQ561" t="s">
        <v>394</v>
      </c>
      <c r="DB561">
        <v>2</v>
      </c>
      <c r="DG561" t="s">
        <v>267</v>
      </c>
      <c r="DI561">
        <v>48</v>
      </c>
      <c r="DN561" t="s">
        <v>268</v>
      </c>
      <c r="DP561" t="s">
        <v>1510</v>
      </c>
      <c r="DR561">
        <v>136180</v>
      </c>
      <c r="DS561">
        <v>376</v>
      </c>
      <c r="DT561" t="s">
        <v>1511</v>
      </c>
      <c r="DV561">
        <v>48</v>
      </c>
      <c r="EA561" t="s">
        <v>268</v>
      </c>
      <c r="EC561">
        <v>2</v>
      </c>
      <c r="EH561" t="s">
        <v>267</v>
      </c>
      <c r="EJ561">
        <v>48</v>
      </c>
      <c r="EO561" t="s">
        <v>268</v>
      </c>
      <c r="EQ561">
        <v>2</v>
      </c>
      <c r="EV561" t="s">
        <v>267</v>
      </c>
      <c r="EW561" t="s">
        <v>1512</v>
      </c>
      <c r="EY561" t="s">
        <v>377</v>
      </c>
      <c r="EZ561">
        <v>10</v>
      </c>
      <c r="FA561" t="s">
        <v>1547</v>
      </c>
      <c r="FK561" t="s">
        <v>899</v>
      </c>
      <c r="FM561">
        <v>20</v>
      </c>
      <c r="FR561" t="s">
        <v>295</v>
      </c>
      <c r="GA561">
        <v>0.17</v>
      </c>
      <c r="GF561" t="s">
        <v>1514</v>
      </c>
      <c r="GH561">
        <v>0.24</v>
      </c>
      <c r="GM561" t="s">
        <v>1515</v>
      </c>
      <c r="GO561">
        <v>6.88</v>
      </c>
      <c r="GU561">
        <v>5</v>
      </c>
      <c r="GZ561" t="s">
        <v>296</v>
      </c>
      <c r="HH561" t="s">
        <v>883</v>
      </c>
      <c r="HJ561">
        <v>1.4</v>
      </c>
      <c r="HO561" t="s">
        <v>356</v>
      </c>
      <c r="ID561" t="s">
        <v>1516</v>
      </c>
      <c r="IE561" t="s">
        <v>1517</v>
      </c>
      <c r="IF561">
        <v>166133</v>
      </c>
      <c r="IG561" t="s">
        <v>1518</v>
      </c>
      <c r="IH561" t="s">
        <v>1519</v>
      </c>
      <c r="II561">
        <v>2013</v>
      </c>
      <c r="IJ561" t="s">
        <v>1520</v>
      </c>
    </row>
    <row r="562" spans="1:244" x14ac:dyDescent="0.45">
      <c r="A562">
        <v>1202375</v>
      </c>
      <c r="B562">
        <v>76832</v>
      </c>
      <c r="C562">
        <v>7447394</v>
      </c>
      <c r="D562" t="s">
        <v>1162</v>
      </c>
      <c r="F562" t="s">
        <v>327</v>
      </c>
      <c r="G562" t="s">
        <v>246</v>
      </c>
      <c r="N562" t="s">
        <v>829</v>
      </c>
      <c r="O562" t="s">
        <v>631</v>
      </c>
      <c r="P562" t="s">
        <v>249</v>
      </c>
      <c r="Q562" t="s">
        <v>250</v>
      </c>
      <c r="R562" t="s">
        <v>251</v>
      </c>
      <c r="T562" t="s">
        <v>389</v>
      </c>
      <c r="U562" t="s">
        <v>632</v>
      </c>
      <c r="V562" t="s">
        <v>830</v>
      </c>
      <c r="W562" t="s">
        <v>831</v>
      </c>
      <c r="X562" t="s">
        <v>832</v>
      </c>
      <c r="Z562" t="s">
        <v>525</v>
      </c>
      <c r="AA562" t="s">
        <v>515</v>
      </c>
      <c r="AB562">
        <v>24</v>
      </c>
      <c r="AG562" t="s">
        <v>268</v>
      </c>
      <c r="AM562" t="s">
        <v>317</v>
      </c>
      <c r="AN562" t="s">
        <v>259</v>
      </c>
      <c r="AO562" t="s">
        <v>260</v>
      </c>
      <c r="AQ562" t="s">
        <v>504</v>
      </c>
      <c r="AS562">
        <v>83</v>
      </c>
      <c r="AU562">
        <v>75.31</v>
      </c>
      <c r="AW562">
        <v>91.68</v>
      </c>
      <c r="AX562" t="s">
        <v>262</v>
      </c>
      <c r="BO562" t="s">
        <v>504</v>
      </c>
      <c r="BQ562">
        <v>8.3000000000000004E-2</v>
      </c>
      <c r="BS562">
        <v>7.5310000000000002E-2</v>
      </c>
      <c r="BU562">
        <v>9.1679999999999998E-2</v>
      </c>
      <c r="BV562" t="s">
        <v>263</v>
      </c>
      <c r="CM562" t="s">
        <v>264</v>
      </c>
      <c r="CN562" t="s">
        <v>264</v>
      </c>
      <c r="CP562" t="s">
        <v>265</v>
      </c>
      <c r="CQ562" t="s">
        <v>394</v>
      </c>
      <c r="DB562">
        <v>2</v>
      </c>
      <c r="DG562" t="s">
        <v>267</v>
      </c>
      <c r="DI562">
        <v>48</v>
      </c>
      <c r="DN562" t="s">
        <v>268</v>
      </c>
      <c r="DR562">
        <v>88015</v>
      </c>
      <c r="DS562">
        <v>649</v>
      </c>
      <c r="DT562" t="s">
        <v>1530</v>
      </c>
      <c r="EW562" t="s">
        <v>293</v>
      </c>
      <c r="FO562">
        <v>24.1</v>
      </c>
      <c r="FQ562">
        <v>24.6</v>
      </c>
      <c r="FR562" t="s">
        <v>295</v>
      </c>
      <c r="GJ562">
        <v>7.5</v>
      </c>
      <c r="GL562">
        <v>8.8000000000000007</v>
      </c>
      <c r="GM562" t="s">
        <v>356</v>
      </c>
      <c r="GQ562">
        <v>7.9</v>
      </c>
      <c r="GS562">
        <v>8.6999999999999993</v>
      </c>
      <c r="GU562">
        <v>14</v>
      </c>
      <c r="GZ562" t="s">
        <v>296</v>
      </c>
      <c r="HH562" t="s">
        <v>272</v>
      </c>
      <c r="IE562" t="s">
        <v>1531</v>
      </c>
      <c r="IF562">
        <v>18395</v>
      </c>
      <c r="IG562" t="s">
        <v>1532</v>
      </c>
      <c r="IH562" t="s">
        <v>1533</v>
      </c>
      <c r="II562">
        <v>1997</v>
      </c>
      <c r="IJ562" t="s">
        <v>1534</v>
      </c>
    </row>
    <row r="563" spans="1:244" x14ac:dyDescent="0.45">
      <c r="A563">
        <v>2142464</v>
      </c>
      <c r="B563">
        <v>2268384</v>
      </c>
      <c r="C563">
        <v>7447394</v>
      </c>
      <c r="D563" t="s">
        <v>1162</v>
      </c>
      <c r="F563" t="s">
        <v>327</v>
      </c>
      <c r="G563" t="s">
        <v>272</v>
      </c>
      <c r="N563" t="s">
        <v>1564</v>
      </c>
      <c r="O563" t="s">
        <v>1565</v>
      </c>
      <c r="P563" t="s">
        <v>249</v>
      </c>
      <c r="Q563" t="s">
        <v>250</v>
      </c>
      <c r="R563" t="s">
        <v>251</v>
      </c>
      <c r="T563" t="s">
        <v>252</v>
      </c>
      <c r="U563" t="s">
        <v>253</v>
      </c>
      <c r="V563" t="s">
        <v>254</v>
      </c>
      <c r="W563" t="s">
        <v>1566</v>
      </c>
      <c r="X563" t="s">
        <v>1567</v>
      </c>
      <c r="Z563" t="s">
        <v>649</v>
      </c>
      <c r="AJ563" t="s">
        <v>285</v>
      </c>
      <c r="AL563" t="s">
        <v>1568</v>
      </c>
      <c r="AM563" t="s">
        <v>258</v>
      </c>
      <c r="AN563" t="s">
        <v>259</v>
      </c>
      <c r="AO563" t="s">
        <v>260</v>
      </c>
      <c r="AP563">
        <v>6</v>
      </c>
      <c r="AQ563" t="s">
        <v>504</v>
      </c>
      <c r="AS563">
        <v>52.99</v>
      </c>
      <c r="AU563">
        <v>27.39</v>
      </c>
      <c r="AW563">
        <v>102.52</v>
      </c>
      <c r="AX563" t="s">
        <v>1167</v>
      </c>
      <c r="AY563" t="s">
        <v>1569</v>
      </c>
      <c r="BA563">
        <v>5.58</v>
      </c>
      <c r="BC563">
        <v>2.33</v>
      </c>
      <c r="BE563">
        <v>13.37</v>
      </c>
      <c r="BF563" t="s">
        <v>1167</v>
      </c>
      <c r="BG563" t="s">
        <v>261</v>
      </c>
      <c r="BI563">
        <v>63.23</v>
      </c>
      <c r="BK563">
        <v>34.020000000000003</v>
      </c>
      <c r="BM563">
        <v>117.51</v>
      </c>
      <c r="BN563" t="s">
        <v>1167</v>
      </c>
      <c r="BO563" t="s">
        <v>504</v>
      </c>
      <c r="BQ563">
        <v>7.1246114800000004</v>
      </c>
      <c r="BS563">
        <v>3.6826402800000002</v>
      </c>
      <c r="BU563">
        <v>13.78401904</v>
      </c>
      <c r="BV563" t="s">
        <v>263</v>
      </c>
      <c r="BW563" t="s">
        <v>1569</v>
      </c>
      <c r="BY563">
        <v>0.75024215999999999</v>
      </c>
      <c r="CA563">
        <v>0.31327315999999999</v>
      </c>
      <c r="CC563">
        <v>1.7976232400000001</v>
      </c>
      <c r="CD563" t="s">
        <v>263</v>
      </c>
      <c r="CE563" t="s">
        <v>261</v>
      </c>
      <c r="CG563">
        <v>8.5013999600000005</v>
      </c>
      <c r="CI563">
        <v>4.5740570399999996</v>
      </c>
      <c r="CK563">
        <v>15.799454519999999</v>
      </c>
      <c r="CL563" t="s">
        <v>263</v>
      </c>
      <c r="CM563" t="s">
        <v>264</v>
      </c>
      <c r="CN563" t="s">
        <v>264</v>
      </c>
      <c r="CP563" t="s">
        <v>265</v>
      </c>
      <c r="CQ563" t="s">
        <v>394</v>
      </c>
      <c r="CR563" t="s">
        <v>394</v>
      </c>
      <c r="CS563" t="s">
        <v>394</v>
      </c>
      <c r="DB563">
        <v>4</v>
      </c>
      <c r="DG563" t="s">
        <v>267</v>
      </c>
      <c r="DI563">
        <v>96</v>
      </c>
      <c r="DN563" t="s">
        <v>268</v>
      </c>
      <c r="DR563">
        <v>6763</v>
      </c>
      <c r="DS563">
        <v>76</v>
      </c>
      <c r="DT563" t="s">
        <v>1570</v>
      </c>
      <c r="DV563">
        <v>96</v>
      </c>
      <c r="EA563" t="s">
        <v>268</v>
      </c>
      <c r="EC563">
        <v>4</v>
      </c>
      <c r="EH563" t="s">
        <v>267</v>
      </c>
      <c r="EJ563">
        <v>96</v>
      </c>
      <c r="EO563" t="s">
        <v>268</v>
      </c>
      <c r="EQ563">
        <v>4</v>
      </c>
      <c r="EV563" t="s">
        <v>267</v>
      </c>
      <c r="EW563" t="s">
        <v>293</v>
      </c>
      <c r="EY563" t="s">
        <v>377</v>
      </c>
      <c r="EZ563">
        <v>7</v>
      </c>
      <c r="FK563" t="s">
        <v>1571</v>
      </c>
      <c r="FM563">
        <v>20.3</v>
      </c>
      <c r="FR563" t="s">
        <v>295</v>
      </c>
      <c r="GA563">
        <v>241</v>
      </c>
      <c r="GF563" t="s">
        <v>572</v>
      </c>
      <c r="GH563">
        <v>6.5</v>
      </c>
      <c r="GM563" t="s">
        <v>356</v>
      </c>
      <c r="GO563">
        <v>7.28</v>
      </c>
      <c r="GU563">
        <v>30</v>
      </c>
      <c r="GZ563" t="s">
        <v>296</v>
      </c>
      <c r="HH563" t="s">
        <v>883</v>
      </c>
      <c r="HJ563">
        <v>5.2</v>
      </c>
      <c r="HO563" t="s">
        <v>356</v>
      </c>
      <c r="ID563" t="s">
        <v>1572</v>
      </c>
      <c r="IE563" t="s">
        <v>1573</v>
      </c>
      <c r="IF563">
        <v>156036</v>
      </c>
      <c r="IG563" t="s">
        <v>1574</v>
      </c>
      <c r="IH563" t="s">
        <v>1575</v>
      </c>
      <c r="II563">
        <v>2011</v>
      </c>
      <c r="IJ563" t="s">
        <v>1576</v>
      </c>
    </row>
    <row r="564" spans="1:244" x14ac:dyDescent="0.45">
      <c r="A564">
        <v>2140702</v>
      </c>
      <c r="B564">
        <v>2263575</v>
      </c>
      <c r="C564">
        <v>7447394</v>
      </c>
      <c r="D564" t="s">
        <v>1162</v>
      </c>
      <c r="F564" t="s">
        <v>245</v>
      </c>
      <c r="G564" t="s">
        <v>272</v>
      </c>
      <c r="N564" t="s">
        <v>630</v>
      </c>
      <c r="O564" t="s">
        <v>631</v>
      </c>
      <c r="P564" t="s">
        <v>249</v>
      </c>
      <c r="Q564" t="s">
        <v>250</v>
      </c>
      <c r="R564" t="s">
        <v>251</v>
      </c>
      <c r="T564" t="s">
        <v>389</v>
      </c>
      <c r="U564" t="s">
        <v>632</v>
      </c>
      <c r="V564" t="s">
        <v>633</v>
      </c>
      <c r="W564" t="s">
        <v>634</v>
      </c>
      <c r="X564" t="s">
        <v>635</v>
      </c>
      <c r="Z564" t="s">
        <v>1034</v>
      </c>
      <c r="AI564">
        <v>2</v>
      </c>
      <c r="AJ564" t="s">
        <v>354</v>
      </c>
      <c r="AL564" t="s">
        <v>1509</v>
      </c>
      <c r="AM564" t="s">
        <v>258</v>
      </c>
      <c r="AN564" t="s">
        <v>259</v>
      </c>
      <c r="AO564" t="s">
        <v>260</v>
      </c>
      <c r="AP564">
        <v>5</v>
      </c>
      <c r="AQ564" t="s">
        <v>504</v>
      </c>
      <c r="AT564" t="s">
        <v>288</v>
      </c>
      <c r="AU564">
        <v>67.400000000000006</v>
      </c>
      <c r="AV564" t="s">
        <v>289</v>
      </c>
      <c r="AW564">
        <v>108.7</v>
      </c>
      <c r="AX564" t="s">
        <v>262</v>
      </c>
      <c r="BO564" t="s">
        <v>504</v>
      </c>
      <c r="BR564" t="s">
        <v>288</v>
      </c>
      <c r="BS564">
        <v>6.7400000000000002E-2</v>
      </c>
      <c r="BT564" t="s">
        <v>289</v>
      </c>
      <c r="BU564">
        <v>0.1087</v>
      </c>
      <c r="BV564" t="s">
        <v>263</v>
      </c>
      <c r="CM564" t="s">
        <v>264</v>
      </c>
      <c r="CN564" t="s">
        <v>264</v>
      </c>
      <c r="CP564" t="s">
        <v>265</v>
      </c>
      <c r="CQ564" t="s">
        <v>394</v>
      </c>
      <c r="DB564">
        <v>2</v>
      </c>
      <c r="DG564" t="s">
        <v>267</v>
      </c>
      <c r="DI564">
        <v>48</v>
      </c>
      <c r="DN564" t="s">
        <v>268</v>
      </c>
      <c r="DP564" t="s">
        <v>1510</v>
      </c>
      <c r="DR564">
        <v>136180</v>
      </c>
      <c r="DS564">
        <v>376</v>
      </c>
      <c r="DT564" t="s">
        <v>1511</v>
      </c>
      <c r="DV564">
        <v>48</v>
      </c>
      <c r="EA564" t="s">
        <v>268</v>
      </c>
      <c r="EC564">
        <v>2</v>
      </c>
      <c r="EH564" t="s">
        <v>267</v>
      </c>
      <c r="EJ564">
        <v>48</v>
      </c>
      <c r="EO564" t="s">
        <v>268</v>
      </c>
      <c r="EQ564">
        <v>2</v>
      </c>
      <c r="EV564" t="s">
        <v>267</v>
      </c>
      <c r="EW564" t="s">
        <v>1512</v>
      </c>
      <c r="EY564" t="s">
        <v>377</v>
      </c>
      <c r="EZ564">
        <v>10</v>
      </c>
      <c r="FA564" t="s">
        <v>1562</v>
      </c>
      <c r="FK564" t="s">
        <v>899</v>
      </c>
      <c r="FM564">
        <v>20</v>
      </c>
      <c r="FR564" t="s">
        <v>295</v>
      </c>
      <c r="GA564">
        <v>0.17</v>
      </c>
      <c r="GF564" t="s">
        <v>1514</v>
      </c>
      <c r="GH564">
        <v>0.24</v>
      </c>
      <c r="GM564" t="s">
        <v>1515</v>
      </c>
      <c r="GO564">
        <v>6.88</v>
      </c>
      <c r="GU564">
        <v>5</v>
      </c>
      <c r="GZ564" t="s">
        <v>296</v>
      </c>
      <c r="HH564" t="s">
        <v>883</v>
      </c>
      <c r="HJ564">
        <v>0.5</v>
      </c>
      <c r="HO564" t="s">
        <v>356</v>
      </c>
      <c r="ID564" t="s">
        <v>1516</v>
      </c>
      <c r="IE564" t="s">
        <v>1517</v>
      </c>
      <c r="IF564">
        <v>166133</v>
      </c>
      <c r="IG564" t="s">
        <v>1518</v>
      </c>
      <c r="IH564" t="s">
        <v>1519</v>
      </c>
      <c r="II564">
        <v>2013</v>
      </c>
      <c r="IJ564" t="s">
        <v>1520</v>
      </c>
    </row>
    <row r="565" spans="1:244" x14ac:dyDescent="0.45">
      <c r="A565">
        <v>1312986</v>
      </c>
      <c r="B565">
        <v>770482</v>
      </c>
      <c r="C565">
        <v>7447394</v>
      </c>
      <c r="D565" t="s">
        <v>1162</v>
      </c>
      <c r="F565" t="s">
        <v>861</v>
      </c>
      <c r="G565" t="s">
        <v>246</v>
      </c>
      <c r="N565" t="s">
        <v>829</v>
      </c>
      <c r="O565" t="s">
        <v>631</v>
      </c>
      <c r="P565" t="s">
        <v>249</v>
      </c>
      <c r="Q565" t="s">
        <v>250</v>
      </c>
      <c r="R565" t="s">
        <v>251</v>
      </c>
      <c r="T565" t="s">
        <v>389</v>
      </c>
      <c r="U565" t="s">
        <v>632</v>
      </c>
      <c r="V565" t="s">
        <v>830</v>
      </c>
      <c r="W565" t="s">
        <v>831</v>
      </c>
      <c r="X565" t="s">
        <v>832</v>
      </c>
      <c r="Z565" t="s">
        <v>525</v>
      </c>
      <c r="AA565" t="s">
        <v>515</v>
      </c>
      <c r="AB565">
        <v>1</v>
      </c>
      <c r="AG565" t="s">
        <v>267</v>
      </c>
      <c r="AM565" t="s">
        <v>317</v>
      </c>
      <c r="AN565" t="s">
        <v>259</v>
      </c>
      <c r="AO565" t="s">
        <v>260</v>
      </c>
      <c r="AP565">
        <v>7</v>
      </c>
      <c r="AQ565" t="s">
        <v>504</v>
      </c>
      <c r="AS565">
        <v>111</v>
      </c>
      <c r="AU565">
        <v>93.4</v>
      </c>
      <c r="AW565">
        <v>131</v>
      </c>
      <c r="AX565" t="s">
        <v>262</v>
      </c>
      <c r="BO565" t="s">
        <v>504</v>
      </c>
      <c r="BQ565">
        <v>0.111</v>
      </c>
      <c r="BS565">
        <v>9.3399999999999997E-2</v>
      </c>
      <c r="BU565">
        <v>0.13100000000000001</v>
      </c>
      <c r="BV565" t="s">
        <v>263</v>
      </c>
      <c r="CM565" t="s">
        <v>264</v>
      </c>
      <c r="CN565" t="s">
        <v>264</v>
      </c>
      <c r="CP565" t="s">
        <v>265</v>
      </c>
      <c r="CQ565" t="s">
        <v>394</v>
      </c>
      <c r="DB565">
        <v>4</v>
      </c>
      <c r="DG565" t="s">
        <v>267</v>
      </c>
      <c r="DI565">
        <v>96</v>
      </c>
      <c r="DN565" t="s">
        <v>268</v>
      </c>
      <c r="DP565" t="s">
        <v>1234</v>
      </c>
      <c r="DR565">
        <v>88015</v>
      </c>
      <c r="DS565">
        <v>649</v>
      </c>
      <c r="DT565" t="s">
        <v>1502</v>
      </c>
      <c r="EW565" t="s">
        <v>293</v>
      </c>
      <c r="FK565" t="s">
        <v>1577</v>
      </c>
      <c r="FO565">
        <v>24.6</v>
      </c>
      <c r="FQ565">
        <v>24.7</v>
      </c>
      <c r="FR565" t="s">
        <v>295</v>
      </c>
      <c r="FV565">
        <v>1880</v>
      </c>
      <c r="FX565">
        <v>2000</v>
      </c>
      <c r="FY565" t="s">
        <v>356</v>
      </c>
      <c r="GC565">
        <v>22</v>
      </c>
      <c r="GE565">
        <v>23</v>
      </c>
      <c r="GF565" t="s">
        <v>356</v>
      </c>
      <c r="GJ565">
        <v>8.02</v>
      </c>
      <c r="GL565">
        <v>9.06</v>
      </c>
      <c r="GM565" t="s">
        <v>356</v>
      </c>
      <c r="GQ565">
        <v>8.0500000000000007</v>
      </c>
      <c r="GS565">
        <v>8.6300000000000008</v>
      </c>
      <c r="GU565">
        <v>10</v>
      </c>
      <c r="GZ565" t="s">
        <v>296</v>
      </c>
      <c r="HH565" t="s">
        <v>883</v>
      </c>
      <c r="HL565">
        <v>5.53</v>
      </c>
      <c r="HN565">
        <v>5.68</v>
      </c>
      <c r="HO565" t="s">
        <v>356</v>
      </c>
      <c r="ID565" t="s">
        <v>1578</v>
      </c>
      <c r="IE565" t="s">
        <v>1505</v>
      </c>
      <c r="IF565">
        <v>107036</v>
      </c>
      <c r="IG565" t="s">
        <v>1506</v>
      </c>
      <c r="IH565" t="s">
        <v>1507</v>
      </c>
      <c r="II565">
        <v>2008</v>
      </c>
      <c r="IJ565" t="s">
        <v>1508</v>
      </c>
    </row>
    <row r="566" spans="1:244" x14ac:dyDescent="0.45">
      <c r="A566">
        <v>2140693</v>
      </c>
      <c r="B566">
        <v>2263539</v>
      </c>
      <c r="C566">
        <v>7447394</v>
      </c>
      <c r="D566" t="s">
        <v>1162</v>
      </c>
      <c r="F566" t="s">
        <v>245</v>
      </c>
      <c r="G566" t="s">
        <v>272</v>
      </c>
      <c r="N566" t="s">
        <v>630</v>
      </c>
      <c r="O566" t="s">
        <v>631</v>
      </c>
      <c r="P566" t="s">
        <v>249</v>
      </c>
      <c r="Q566" t="s">
        <v>250</v>
      </c>
      <c r="R566" t="s">
        <v>251</v>
      </c>
      <c r="T566" t="s">
        <v>389</v>
      </c>
      <c r="U566" t="s">
        <v>632</v>
      </c>
      <c r="V566" t="s">
        <v>633</v>
      </c>
      <c r="W566" t="s">
        <v>634</v>
      </c>
      <c r="X566" t="s">
        <v>635</v>
      </c>
      <c r="Z566" t="s">
        <v>1034</v>
      </c>
      <c r="AI566">
        <v>2</v>
      </c>
      <c r="AJ566" t="s">
        <v>354</v>
      </c>
      <c r="AL566" t="s">
        <v>1509</v>
      </c>
      <c r="AM566" t="s">
        <v>258</v>
      </c>
      <c r="AN566" t="s">
        <v>259</v>
      </c>
      <c r="AO566" t="s">
        <v>260</v>
      </c>
      <c r="AP566">
        <v>5</v>
      </c>
      <c r="AQ566" t="s">
        <v>504</v>
      </c>
      <c r="AT566" t="s">
        <v>288</v>
      </c>
      <c r="AU566">
        <v>108.7</v>
      </c>
      <c r="AV566" t="s">
        <v>289</v>
      </c>
      <c r="AW566">
        <v>200</v>
      </c>
      <c r="AX566" t="s">
        <v>262</v>
      </c>
      <c r="BO566" t="s">
        <v>504</v>
      </c>
      <c r="BR566" t="s">
        <v>288</v>
      </c>
      <c r="BS566">
        <v>0.1087</v>
      </c>
      <c r="BT566" t="s">
        <v>289</v>
      </c>
      <c r="BU566">
        <v>0.2</v>
      </c>
      <c r="BV566" t="s">
        <v>263</v>
      </c>
      <c r="CM566" t="s">
        <v>264</v>
      </c>
      <c r="CN566" t="s">
        <v>264</v>
      </c>
      <c r="CP566" t="s">
        <v>265</v>
      </c>
      <c r="CQ566" t="s">
        <v>394</v>
      </c>
      <c r="DB566">
        <v>2</v>
      </c>
      <c r="DG566" t="s">
        <v>267</v>
      </c>
      <c r="DI566">
        <v>48</v>
      </c>
      <c r="DN566" t="s">
        <v>268</v>
      </c>
      <c r="DP566" t="s">
        <v>1510</v>
      </c>
      <c r="DR566">
        <v>136180</v>
      </c>
      <c r="DS566">
        <v>376</v>
      </c>
      <c r="DT566" t="s">
        <v>1511</v>
      </c>
      <c r="DV566">
        <v>48</v>
      </c>
      <c r="EA566" t="s">
        <v>268</v>
      </c>
      <c r="EC566">
        <v>2</v>
      </c>
      <c r="EH566" t="s">
        <v>267</v>
      </c>
      <c r="EJ566">
        <v>48</v>
      </c>
      <c r="EO566" t="s">
        <v>268</v>
      </c>
      <c r="EQ566">
        <v>2</v>
      </c>
      <c r="EV566" t="s">
        <v>267</v>
      </c>
      <c r="EW566" t="s">
        <v>1512</v>
      </c>
      <c r="EY566" t="s">
        <v>377</v>
      </c>
      <c r="EZ566">
        <v>10</v>
      </c>
      <c r="FA566" t="s">
        <v>1547</v>
      </c>
      <c r="FK566" t="s">
        <v>899</v>
      </c>
      <c r="FM566">
        <v>20</v>
      </c>
      <c r="FR566" t="s">
        <v>295</v>
      </c>
      <c r="GA566">
        <v>0.5</v>
      </c>
      <c r="GF566" t="s">
        <v>1514</v>
      </c>
      <c r="GH566">
        <v>0.19</v>
      </c>
      <c r="GM566" t="s">
        <v>1515</v>
      </c>
      <c r="GO566">
        <v>7.21</v>
      </c>
      <c r="GU566">
        <v>15</v>
      </c>
      <c r="GZ566" t="s">
        <v>296</v>
      </c>
      <c r="HH566" t="s">
        <v>883</v>
      </c>
      <c r="HJ566">
        <v>1.4</v>
      </c>
      <c r="HO566" t="s">
        <v>356</v>
      </c>
      <c r="ID566" t="s">
        <v>1516</v>
      </c>
      <c r="IE566" t="s">
        <v>1517</v>
      </c>
      <c r="IF566">
        <v>166133</v>
      </c>
      <c r="IG566" t="s">
        <v>1518</v>
      </c>
      <c r="IH566" t="s">
        <v>1519</v>
      </c>
      <c r="II566">
        <v>2013</v>
      </c>
      <c r="IJ566" t="s">
        <v>1520</v>
      </c>
    </row>
    <row r="567" spans="1:244" x14ac:dyDescent="0.45">
      <c r="A567">
        <v>1300832</v>
      </c>
      <c r="B567">
        <v>756507</v>
      </c>
      <c r="C567">
        <v>7447394</v>
      </c>
      <c r="D567" t="s">
        <v>1162</v>
      </c>
      <c r="E567" t="s">
        <v>386</v>
      </c>
      <c r="F567" t="s">
        <v>245</v>
      </c>
      <c r="G567" t="s">
        <v>246</v>
      </c>
      <c r="N567" t="s">
        <v>387</v>
      </c>
      <c r="O567" t="s">
        <v>388</v>
      </c>
      <c r="P567" t="s">
        <v>249</v>
      </c>
      <c r="Q567" t="s">
        <v>250</v>
      </c>
      <c r="R567" t="s">
        <v>251</v>
      </c>
      <c r="T567" t="s">
        <v>389</v>
      </c>
      <c r="U567" t="s">
        <v>390</v>
      </c>
      <c r="V567" t="s">
        <v>391</v>
      </c>
      <c r="W567" t="s">
        <v>392</v>
      </c>
      <c r="X567" t="s">
        <v>393</v>
      </c>
      <c r="Z567" t="s">
        <v>315</v>
      </c>
      <c r="AM567" t="s">
        <v>287</v>
      </c>
      <c r="AN567" t="s">
        <v>259</v>
      </c>
      <c r="AO567" t="s">
        <v>260</v>
      </c>
      <c r="AP567">
        <v>2</v>
      </c>
      <c r="AQ567" t="s">
        <v>261</v>
      </c>
      <c r="AS567">
        <v>813</v>
      </c>
      <c r="AX567" t="s">
        <v>262</v>
      </c>
      <c r="BO567" t="s">
        <v>261</v>
      </c>
      <c r="BQ567">
        <v>0.81299999999999994</v>
      </c>
      <c r="BV567" t="s">
        <v>263</v>
      </c>
      <c r="CM567" t="s">
        <v>264</v>
      </c>
      <c r="CN567" t="s">
        <v>264</v>
      </c>
      <c r="CP567" t="s">
        <v>265</v>
      </c>
      <c r="CQ567" t="s">
        <v>394</v>
      </c>
      <c r="DB567">
        <v>4</v>
      </c>
      <c r="DG567" t="s">
        <v>267</v>
      </c>
      <c r="DI567">
        <v>96</v>
      </c>
      <c r="DN567" t="s">
        <v>268</v>
      </c>
      <c r="DP567" t="s">
        <v>1579</v>
      </c>
      <c r="DR567">
        <v>158387</v>
      </c>
      <c r="DS567">
        <v>6038</v>
      </c>
      <c r="DT567" t="s">
        <v>396</v>
      </c>
      <c r="EW567" t="s">
        <v>293</v>
      </c>
      <c r="FA567" t="s">
        <v>397</v>
      </c>
      <c r="FK567" t="s">
        <v>1580</v>
      </c>
      <c r="FM567">
        <v>25</v>
      </c>
      <c r="FR567" t="s">
        <v>295</v>
      </c>
      <c r="GQ567">
        <v>8.1</v>
      </c>
      <c r="GS567">
        <v>8.4</v>
      </c>
      <c r="GU567">
        <v>33</v>
      </c>
      <c r="GZ567" t="s">
        <v>296</v>
      </c>
      <c r="HH567" t="s">
        <v>272</v>
      </c>
      <c r="ID567" t="s">
        <v>1581</v>
      </c>
      <c r="IE567" t="s">
        <v>400</v>
      </c>
      <c r="IF567">
        <v>115854</v>
      </c>
      <c r="IG567" t="s">
        <v>401</v>
      </c>
      <c r="IH567" t="s">
        <v>402</v>
      </c>
      <c r="II567">
        <v>2008</v>
      </c>
      <c r="IJ567" t="s">
        <v>403</v>
      </c>
    </row>
    <row r="568" spans="1:244" x14ac:dyDescent="0.45">
      <c r="A568">
        <v>2140673</v>
      </c>
      <c r="B568">
        <v>2263518</v>
      </c>
      <c r="C568">
        <v>7447394</v>
      </c>
      <c r="D568" t="s">
        <v>1162</v>
      </c>
      <c r="F568" t="s">
        <v>245</v>
      </c>
      <c r="G568" t="s">
        <v>272</v>
      </c>
      <c r="N568" t="s">
        <v>630</v>
      </c>
      <c r="O568" t="s">
        <v>631</v>
      </c>
      <c r="P568" t="s">
        <v>249</v>
      </c>
      <c r="Q568" t="s">
        <v>250</v>
      </c>
      <c r="R568" t="s">
        <v>251</v>
      </c>
      <c r="T568" t="s">
        <v>389</v>
      </c>
      <c r="U568" t="s">
        <v>632</v>
      </c>
      <c r="V568" t="s">
        <v>633</v>
      </c>
      <c r="W568" t="s">
        <v>634</v>
      </c>
      <c r="X568" t="s">
        <v>635</v>
      </c>
      <c r="Z568" t="s">
        <v>1034</v>
      </c>
      <c r="AI568">
        <v>2</v>
      </c>
      <c r="AJ568" t="s">
        <v>354</v>
      </c>
      <c r="AL568" t="s">
        <v>1509</v>
      </c>
      <c r="AM568" t="s">
        <v>258</v>
      </c>
      <c r="AN568" t="s">
        <v>259</v>
      </c>
      <c r="AO568" t="s">
        <v>260</v>
      </c>
      <c r="AP568">
        <v>5</v>
      </c>
      <c r="AQ568" t="s">
        <v>504</v>
      </c>
      <c r="AT568" t="s">
        <v>288</v>
      </c>
      <c r="AU568">
        <v>108.7</v>
      </c>
      <c r="AV568" t="s">
        <v>289</v>
      </c>
      <c r="AW568">
        <v>200</v>
      </c>
      <c r="AX568" t="s">
        <v>262</v>
      </c>
      <c r="BO568" t="s">
        <v>504</v>
      </c>
      <c r="BR568" t="s">
        <v>288</v>
      </c>
      <c r="BS568">
        <v>0.1087</v>
      </c>
      <c r="BT568" t="s">
        <v>289</v>
      </c>
      <c r="BU568">
        <v>0.2</v>
      </c>
      <c r="BV568" t="s">
        <v>263</v>
      </c>
      <c r="CM568" t="s">
        <v>264</v>
      </c>
      <c r="CN568" t="s">
        <v>264</v>
      </c>
      <c r="CP568" t="s">
        <v>265</v>
      </c>
      <c r="CQ568" t="s">
        <v>394</v>
      </c>
      <c r="DB568">
        <v>2</v>
      </c>
      <c r="DG568" t="s">
        <v>267</v>
      </c>
      <c r="DI568">
        <v>48</v>
      </c>
      <c r="DN568" t="s">
        <v>268</v>
      </c>
      <c r="DP568" t="s">
        <v>1510</v>
      </c>
      <c r="DR568">
        <v>136180</v>
      </c>
      <c r="DS568">
        <v>376</v>
      </c>
      <c r="DT568" t="s">
        <v>1511</v>
      </c>
      <c r="DV568">
        <v>48</v>
      </c>
      <c r="EA568" t="s">
        <v>268</v>
      </c>
      <c r="EC568">
        <v>2</v>
      </c>
      <c r="EH568" t="s">
        <v>267</v>
      </c>
      <c r="EJ568">
        <v>48</v>
      </c>
      <c r="EO568" t="s">
        <v>268</v>
      </c>
      <c r="EQ568">
        <v>2</v>
      </c>
      <c r="EV568" t="s">
        <v>267</v>
      </c>
      <c r="EW568" t="s">
        <v>1512</v>
      </c>
      <c r="EY568" t="s">
        <v>377</v>
      </c>
      <c r="EZ568">
        <v>10</v>
      </c>
      <c r="FA568" t="s">
        <v>1537</v>
      </c>
      <c r="FK568" t="s">
        <v>899</v>
      </c>
      <c r="FM568">
        <v>20</v>
      </c>
      <c r="FR568" t="s">
        <v>295</v>
      </c>
      <c r="GA568">
        <v>0.5</v>
      </c>
      <c r="GF568" t="s">
        <v>1514</v>
      </c>
      <c r="GH568">
        <v>0.19</v>
      </c>
      <c r="GM568" t="s">
        <v>1515</v>
      </c>
      <c r="GO568">
        <v>7.21</v>
      </c>
      <c r="GU568">
        <v>15</v>
      </c>
      <c r="GZ568" t="s">
        <v>296</v>
      </c>
      <c r="HH568" t="s">
        <v>883</v>
      </c>
      <c r="HJ568">
        <v>0.6</v>
      </c>
      <c r="HO568" t="s">
        <v>356</v>
      </c>
      <c r="ID568" t="s">
        <v>1516</v>
      </c>
      <c r="IE568" t="s">
        <v>1517</v>
      </c>
      <c r="IF568">
        <v>166133</v>
      </c>
      <c r="IG568" t="s">
        <v>1518</v>
      </c>
      <c r="IH568" t="s">
        <v>1519</v>
      </c>
      <c r="II568">
        <v>2013</v>
      </c>
      <c r="IJ568" t="s">
        <v>1520</v>
      </c>
    </row>
    <row r="569" spans="1:244" x14ac:dyDescent="0.45">
      <c r="A569">
        <v>2140685</v>
      </c>
      <c r="B569">
        <v>2263532</v>
      </c>
      <c r="C569">
        <v>7447394</v>
      </c>
      <c r="D569" t="s">
        <v>1162</v>
      </c>
      <c r="F569" t="s">
        <v>245</v>
      </c>
      <c r="G569" t="s">
        <v>272</v>
      </c>
      <c r="N569" t="s">
        <v>630</v>
      </c>
      <c r="O569" t="s">
        <v>631</v>
      </c>
      <c r="P569" t="s">
        <v>249</v>
      </c>
      <c r="Q569" t="s">
        <v>250</v>
      </c>
      <c r="R569" t="s">
        <v>251</v>
      </c>
      <c r="T569" t="s">
        <v>389</v>
      </c>
      <c r="U569" t="s">
        <v>632</v>
      </c>
      <c r="V569" t="s">
        <v>633</v>
      </c>
      <c r="W569" t="s">
        <v>634</v>
      </c>
      <c r="X569" t="s">
        <v>635</v>
      </c>
      <c r="Z569" t="s">
        <v>1034</v>
      </c>
      <c r="AI569">
        <v>2</v>
      </c>
      <c r="AJ569" t="s">
        <v>354</v>
      </c>
      <c r="AL569" t="s">
        <v>1509</v>
      </c>
      <c r="AM569" t="s">
        <v>258</v>
      </c>
      <c r="AN569" t="s">
        <v>259</v>
      </c>
      <c r="AO569" t="s">
        <v>260</v>
      </c>
      <c r="AP569">
        <v>5</v>
      </c>
      <c r="AQ569" t="s">
        <v>504</v>
      </c>
      <c r="AT569" t="s">
        <v>288</v>
      </c>
      <c r="AU569">
        <v>300</v>
      </c>
      <c r="AV569" t="s">
        <v>289</v>
      </c>
      <c r="AW569">
        <v>400</v>
      </c>
      <c r="AX569" t="s">
        <v>262</v>
      </c>
      <c r="BO569" t="s">
        <v>504</v>
      </c>
      <c r="BR569" t="s">
        <v>288</v>
      </c>
      <c r="BS569">
        <v>0.3</v>
      </c>
      <c r="BT569" t="s">
        <v>289</v>
      </c>
      <c r="BU569">
        <v>0.4</v>
      </c>
      <c r="BV569" t="s">
        <v>263</v>
      </c>
      <c r="CM569" t="s">
        <v>264</v>
      </c>
      <c r="CN569" t="s">
        <v>264</v>
      </c>
      <c r="CP569" t="s">
        <v>265</v>
      </c>
      <c r="CQ569" t="s">
        <v>394</v>
      </c>
      <c r="DB569">
        <v>2</v>
      </c>
      <c r="DG569" t="s">
        <v>267</v>
      </c>
      <c r="DI569">
        <v>48</v>
      </c>
      <c r="DN569" t="s">
        <v>268</v>
      </c>
      <c r="DP569" t="s">
        <v>1510</v>
      </c>
      <c r="DR569">
        <v>136180</v>
      </c>
      <c r="DS569">
        <v>376</v>
      </c>
      <c r="DT569" t="s">
        <v>1511</v>
      </c>
      <c r="DV569">
        <v>48</v>
      </c>
      <c r="EA569" t="s">
        <v>268</v>
      </c>
      <c r="EC569">
        <v>2</v>
      </c>
      <c r="EH569" t="s">
        <v>267</v>
      </c>
      <c r="EJ569">
        <v>48</v>
      </c>
      <c r="EO569" t="s">
        <v>268</v>
      </c>
      <c r="EQ569">
        <v>2</v>
      </c>
      <c r="EV569" t="s">
        <v>267</v>
      </c>
      <c r="EW569" t="s">
        <v>1512</v>
      </c>
      <c r="EY569" t="s">
        <v>377</v>
      </c>
      <c r="EZ569">
        <v>10</v>
      </c>
      <c r="FA569" t="s">
        <v>1582</v>
      </c>
      <c r="FK569" t="s">
        <v>899</v>
      </c>
      <c r="FM569">
        <v>20</v>
      </c>
      <c r="FR569" t="s">
        <v>295</v>
      </c>
      <c r="GA569">
        <v>0.5</v>
      </c>
      <c r="GF569" t="s">
        <v>1514</v>
      </c>
      <c r="GH569">
        <v>0.19</v>
      </c>
      <c r="GM569" t="s">
        <v>1515</v>
      </c>
      <c r="GO569">
        <v>7.21</v>
      </c>
      <c r="GU569">
        <v>15</v>
      </c>
      <c r="GZ569" t="s">
        <v>296</v>
      </c>
      <c r="HH569" t="s">
        <v>883</v>
      </c>
      <c r="HJ569">
        <v>10.5</v>
      </c>
      <c r="HO569" t="s">
        <v>356</v>
      </c>
      <c r="ID569" t="s">
        <v>1516</v>
      </c>
      <c r="IE569" t="s">
        <v>1517</v>
      </c>
      <c r="IF569">
        <v>166133</v>
      </c>
      <c r="IG569" t="s">
        <v>1518</v>
      </c>
      <c r="IH569" t="s">
        <v>1519</v>
      </c>
      <c r="II569">
        <v>2013</v>
      </c>
      <c r="IJ569" t="s">
        <v>1520</v>
      </c>
    </row>
    <row r="570" spans="1:244" x14ac:dyDescent="0.45">
      <c r="A570">
        <v>2140680</v>
      </c>
      <c r="B570">
        <v>2263527</v>
      </c>
      <c r="C570">
        <v>7447394</v>
      </c>
      <c r="D570" t="s">
        <v>1162</v>
      </c>
      <c r="F570" t="s">
        <v>245</v>
      </c>
      <c r="G570" t="s">
        <v>272</v>
      </c>
      <c r="N570" t="s">
        <v>630</v>
      </c>
      <c r="O570" t="s">
        <v>631</v>
      </c>
      <c r="P570" t="s">
        <v>249</v>
      </c>
      <c r="Q570" t="s">
        <v>250</v>
      </c>
      <c r="R570" t="s">
        <v>251</v>
      </c>
      <c r="T570" t="s">
        <v>389</v>
      </c>
      <c r="U570" t="s">
        <v>632</v>
      </c>
      <c r="V570" t="s">
        <v>633</v>
      </c>
      <c r="W570" t="s">
        <v>634</v>
      </c>
      <c r="X570" t="s">
        <v>635</v>
      </c>
      <c r="Z570" t="s">
        <v>1034</v>
      </c>
      <c r="AI570">
        <v>2</v>
      </c>
      <c r="AJ570" t="s">
        <v>354</v>
      </c>
      <c r="AL570" t="s">
        <v>1509</v>
      </c>
      <c r="AM570" t="s">
        <v>258</v>
      </c>
      <c r="AN570" t="s">
        <v>259</v>
      </c>
      <c r="AO570" t="s">
        <v>260</v>
      </c>
      <c r="AP570">
        <v>5</v>
      </c>
      <c r="AQ570" t="s">
        <v>504</v>
      </c>
      <c r="AT570" t="s">
        <v>288</v>
      </c>
      <c r="AU570">
        <v>67.400000000000006</v>
      </c>
      <c r="AV570" t="s">
        <v>289</v>
      </c>
      <c r="AW570">
        <v>108.7</v>
      </c>
      <c r="AX570" t="s">
        <v>262</v>
      </c>
      <c r="BO570" t="s">
        <v>504</v>
      </c>
      <c r="BR570" t="s">
        <v>288</v>
      </c>
      <c r="BS570">
        <v>6.7400000000000002E-2</v>
      </c>
      <c r="BT570" t="s">
        <v>289</v>
      </c>
      <c r="BU570">
        <v>0.1087</v>
      </c>
      <c r="BV570" t="s">
        <v>263</v>
      </c>
      <c r="CM570" t="s">
        <v>264</v>
      </c>
      <c r="CN570" t="s">
        <v>264</v>
      </c>
      <c r="CP570" t="s">
        <v>265</v>
      </c>
      <c r="CQ570" t="s">
        <v>394</v>
      </c>
      <c r="DB570">
        <v>2</v>
      </c>
      <c r="DG570" t="s">
        <v>267</v>
      </c>
      <c r="DI570">
        <v>48</v>
      </c>
      <c r="DN570" t="s">
        <v>268</v>
      </c>
      <c r="DP570" t="s">
        <v>1510</v>
      </c>
      <c r="DR570">
        <v>136180</v>
      </c>
      <c r="DS570">
        <v>376</v>
      </c>
      <c r="DT570" t="s">
        <v>1511</v>
      </c>
      <c r="DV570">
        <v>48</v>
      </c>
      <c r="EA570" t="s">
        <v>268</v>
      </c>
      <c r="EC570">
        <v>2</v>
      </c>
      <c r="EH570" t="s">
        <v>267</v>
      </c>
      <c r="EJ570">
        <v>48</v>
      </c>
      <c r="EO570" t="s">
        <v>268</v>
      </c>
      <c r="EQ570">
        <v>2</v>
      </c>
      <c r="EV570" t="s">
        <v>267</v>
      </c>
      <c r="EW570" t="s">
        <v>1512</v>
      </c>
      <c r="EY570" t="s">
        <v>377</v>
      </c>
      <c r="EZ570">
        <v>10</v>
      </c>
      <c r="FA570" t="s">
        <v>1559</v>
      </c>
      <c r="FK570" t="s">
        <v>899</v>
      </c>
      <c r="FM570">
        <v>20</v>
      </c>
      <c r="FR570" t="s">
        <v>295</v>
      </c>
      <c r="GA570">
        <v>0.17</v>
      </c>
      <c r="GF570" t="s">
        <v>1514</v>
      </c>
      <c r="GH570">
        <v>0.24</v>
      </c>
      <c r="GM570" t="s">
        <v>1515</v>
      </c>
      <c r="GO570">
        <v>6.88</v>
      </c>
      <c r="GU570">
        <v>5</v>
      </c>
      <c r="GZ570" t="s">
        <v>296</v>
      </c>
      <c r="HH570" t="s">
        <v>883</v>
      </c>
      <c r="HJ570">
        <v>2.5</v>
      </c>
      <c r="HO570" t="s">
        <v>356</v>
      </c>
      <c r="ID570" t="s">
        <v>1516</v>
      </c>
      <c r="IE570" t="s">
        <v>1517</v>
      </c>
      <c r="IF570">
        <v>166133</v>
      </c>
      <c r="IG570" t="s">
        <v>1518</v>
      </c>
      <c r="IH570" t="s">
        <v>1519</v>
      </c>
      <c r="II570">
        <v>2013</v>
      </c>
      <c r="IJ570" t="s">
        <v>1520</v>
      </c>
    </row>
    <row r="571" spans="1:244" x14ac:dyDescent="0.45">
      <c r="A571">
        <v>2140675</v>
      </c>
      <c r="B571">
        <v>2263520</v>
      </c>
      <c r="C571">
        <v>7447394</v>
      </c>
      <c r="D571" t="s">
        <v>1162</v>
      </c>
      <c r="F571" t="s">
        <v>245</v>
      </c>
      <c r="G571" t="s">
        <v>272</v>
      </c>
      <c r="N571" t="s">
        <v>630</v>
      </c>
      <c r="O571" t="s">
        <v>631</v>
      </c>
      <c r="P571" t="s">
        <v>249</v>
      </c>
      <c r="Q571" t="s">
        <v>250</v>
      </c>
      <c r="R571" t="s">
        <v>251</v>
      </c>
      <c r="T571" t="s">
        <v>389</v>
      </c>
      <c r="U571" t="s">
        <v>632</v>
      </c>
      <c r="V571" t="s">
        <v>633</v>
      </c>
      <c r="W571" t="s">
        <v>634</v>
      </c>
      <c r="X571" t="s">
        <v>635</v>
      </c>
      <c r="Z571" t="s">
        <v>1034</v>
      </c>
      <c r="AI571">
        <v>2</v>
      </c>
      <c r="AJ571" t="s">
        <v>354</v>
      </c>
      <c r="AL571" t="s">
        <v>1509</v>
      </c>
      <c r="AM571" t="s">
        <v>258</v>
      </c>
      <c r="AN571" t="s">
        <v>259</v>
      </c>
      <c r="AO571" t="s">
        <v>260</v>
      </c>
      <c r="AP571">
        <v>5</v>
      </c>
      <c r="AQ571" t="s">
        <v>504</v>
      </c>
      <c r="AT571" t="s">
        <v>288</v>
      </c>
      <c r="AU571">
        <v>108.7</v>
      </c>
      <c r="AV571" t="s">
        <v>289</v>
      </c>
      <c r="AW571">
        <v>200</v>
      </c>
      <c r="AX571" t="s">
        <v>262</v>
      </c>
      <c r="BO571" t="s">
        <v>504</v>
      </c>
      <c r="BR571" t="s">
        <v>288</v>
      </c>
      <c r="BS571">
        <v>0.1087</v>
      </c>
      <c r="BT571" t="s">
        <v>289</v>
      </c>
      <c r="BU571">
        <v>0.2</v>
      </c>
      <c r="BV571" t="s">
        <v>263</v>
      </c>
      <c r="CM571" t="s">
        <v>264</v>
      </c>
      <c r="CN571" t="s">
        <v>264</v>
      </c>
      <c r="CP571" t="s">
        <v>265</v>
      </c>
      <c r="CQ571" t="s">
        <v>394</v>
      </c>
      <c r="DB571">
        <v>2</v>
      </c>
      <c r="DG571" t="s">
        <v>267</v>
      </c>
      <c r="DI571">
        <v>48</v>
      </c>
      <c r="DN571" t="s">
        <v>268</v>
      </c>
      <c r="DP571" t="s">
        <v>1510</v>
      </c>
      <c r="DR571">
        <v>136180</v>
      </c>
      <c r="DS571">
        <v>376</v>
      </c>
      <c r="DT571" t="s">
        <v>1511</v>
      </c>
      <c r="DV571">
        <v>48</v>
      </c>
      <c r="EA571" t="s">
        <v>268</v>
      </c>
      <c r="EC571">
        <v>2</v>
      </c>
      <c r="EH571" t="s">
        <v>267</v>
      </c>
      <c r="EJ571">
        <v>48</v>
      </c>
      <c r="EO571" t="s">
        <v>268</v>
      </c>
      <c r="EQ571">
        <v>2</v>
      </c>
      <c r="EV571" t="s">
        <v>267</v>
      </c>
      <c r="EW571" t="s">
        <v>1512</v>
      </c>
      <c r="EY571" t="s">
        <v>377</v>
      </c>
      <c r="EZ571">
        <v>10</v>
      </c>
      <c r="FA571" t="s">
        <v>1513</v>
      </c>
      <c r="FK571" t="s">
        <v>899</v>
      </c>
      <c r="FM571">
        <v>20</v>
      </c>
      <c r="FR571" t="s">
        <v>295</v>
      </c>
      <c r="GA571">
        <v>0.5</v>
      </c>
      <c r="GF571" t="s">
        <v>1514</v>
      </c>
      <c r="GH571">
        <v>0.19</v>
      </c>
      <c r="GM571" t="s">
        <v>1515</v>
      </c>
      <c r="GO571">
        <v>7.21</v>
      </c>
      <c r="GU571">
        <v>15</v>
      </c>
      <c r="GZ571" t="s">
        <v>296</v>
      </c>
      <c r="HH571" t="s">
        <v>883</v>
      </c>
      <c r="HJ571">
        <v>4.3</v>
      </c>
      <c r="HO571" t="s">
        <v>356</v>
      </c>
      <c r="ID571" t="s">
        <v>1516</v>
      </c>
      <c r="IE571" t="s">
        <v>1517</v>
      </c>
      <c r="IF571">
        <v>166133</v>
      </c>
      <c r="IG571" t="s">
        <v>1518</v>
      </c>
      <c r="IH571" t="s">
        <v>1519</v>
      </c>
      <c r="II571">
        <v>2013</v>
      </c>
      <c r="IJ571" t="s">
        <v>1520</v>
      </c>
    </row>
    <row r="572" spans="1:244" x14ac:dyDescent="0.45">
      <c r="A572">
        <v>1155956</v>
      </c>
      <c r="B572">
        <v>134620</v>
      </c>
      <c r="C572">
        <v>7447394</v>
      </c>
      <c r="D572" t="s">
        <v>1162</v>
      </c>
      <c r="F572" t="s">
        <v>245</v>
      </c>
      <c r="G572" t="s">
        <v>246</v>
      </c>
      <c r="I572">
        <v>99.9</v>
      </c>
      <c r="N572" t="s">
        <v>1583</v>
      </c>
      <c r="O572" t="s">
        <v>1584</v>
      </c>
      <c r="P572" t="s">
        <v>249</v>
      </c>
      <c r="Q572" t="s">
        <v>250</v>
      </c>
      <c r="R572" t="s">
        <v>251</v>
      </c>
      <c r="T572" t="s">
        <v>252</v>
      </c>
      <c r="U572" t="s">
        <v>253</v>
      </c>
      <c r="V572" t="s">
        <v>418</v>
      </c>
      <c r="W572" t="s">
        <v>1585</v>
      </c>
      <c r="X572" t="s">
        <v>1586</v>
      </c>
      <c r="Z572" t="s">
        <v>421</v>
      </c>
      <c r="AB572">
        <v>5</v>
      </c>
      <c r="AG572" t="s">
        <v>267</v>
      </c>
      <c r="AM572" t="s">
        <v>317</v>
      </c>
      <c r="AN572" t="s">
        <v>259</v>
      </c>
      <c r="AO572" t="s">
        <v>260</v>
      </c>
      <c r="AQ572" t="s">
        <v>261</v>
      </c>
      <c r="AS572">
        <v>832</v>
      </c>
      <c r="AU572">
        <v>726</v>
      </c>
      <c r="AW572">
        <v>955</v>
      </c>
      <c r="AX572" t="s">
        <v>262</v>
      </c>
      <c r="BO572" t="s">
        <v>261</v>
      </c>
      <c r="BQ572">
        <v>0.83199999999999996</v>
      </c>
      <c r="BS572">
        <v>0.72599999999999998</v>
      </c>
      <c r="BU572">
        <v>0.95499999999999996</v>
      </c>
      <c r="BV572" t="s">
        <v>263</v>
      </c>
      <c r="CM572" t="s">
        <v>264</v>
      </c>
      <c r="CN572" t="s">
        <v>264</v>
      </c>
      <c r="CP572" t="s">
        <v>265</v>
      </c>
      <c r="CQ572" t="s">
        <v>394</v>
      </c>
      <c r="DB572">
        <v>4</v>
      </c>
      <c r="DG572" t="s">
        <v>267</v>
      </c>
      <c r="DI572">
        <v>96</v>
      </c>
      <c r="DN572" t="s">
        <v>268</v>
      </c>
      <c r="DO572" t="s">
        <v>1587</v>
      </c>
      <c r="DQ572" t="s">
        <v>1588</v>
      </c>
      <c r="DR572">
        <v>64466</v>
      </c>
      <c r="DS572">
        <v>49914</v>
      </c>
      <c r="DT572" t="s">
        <v>1589</v>
      </c>
      <c r="EW572" t="s">
        <v>333</v>
      </c>
      <c r="FM572">
        <v>25</v>
      </c>
      <c r="FR572" t="s">
        <v>295</v>
      </c>
      <c r="GJ572">
        <v>4.3</v>
      </c>
      <c r="GL572">
        <v>5.6</v>
      </c>
      <c r="GM572" t="s">
        <v>356</v>
      </c>
      <c r="GQ572">
        <v>7.8</v>
      </c>
      <c r="GS572">
        <v>8.1</v>
      </c>
      <c r="GU572">
        <v>25</v>
      </c>
      <c r="GZ572" t="s">
        <v>296</v>
      </c>
      <c r="HH572" t="s">
        <v>272</v>
      </c>
      <c r="IE572" t="s">
        <v>1590</v>
      </c>
      <c r="IF572">
        <v>13513</v>
      </c>
      <c r="IG572" t="s">
        <v>1591</v>
      </c>
      <c r="IH572" t="s">
        <v>1592</v>
      </c>
      <c r="II572">
        <v>1994</v>
      </c>
      <c r="IJ572" t="s">
        <v>1593</v>
      </c>
    </row>
    <row r="573" spans="1:244" x14ac:dyDescent="0.45">
      <c r="A573">
        <v>2140692</v>
      </c>
      <c r="B573">
        <v>2263538</v>
      </c>
      <c r="C573">
        <v>7447394</v>
      </c>
      <c r="D573" t="s">
        <v>1162</v>
      </c>
      <c r="F573" t="s">
        <v>245</v>
      </c>
      <c r="G573" t="s">
        <v>272</v>
      </c>
      <c r="N573" t="s">
        <v>630</v>
      </c>
      <c r="O573" t="s">
        <v>631</v>
      </c>
      <c r="P573" t="s">
        <v>249</v>
      </c>
      <c r="Q573" t="s">
        <v>250</v>
      </c>
      <c r="R573" t="s">
        <v>251</v>
      </c>
      <c r="T573" t="s">
        <v>389</v>
      </c>
      <c r="U573" t="s">
        <v>632</v>
      </c>
      <c r="V573" t="s">
        <v>633</v>
      </c>
      <c r="W573" t="s">
        <v>634</v>
      </c>
      <c r="X573" t="s">
        <v>635</v>
      </c>
      <c r="Z573" t="s">
        <v>1034</v>
      </c>
      <c r="AI573">
        <v>2</v>
      </c>
      <c r="AJ573" t="s">
        <v>354</v>
      </c>
      <c r="AL573" t="s">
        <v>1509</v>
      </c>
      <c r="AM573" t="s">
        <v>258</v>
      </c>
      <c r="AN573" t="s">
        <v>259</v>
      </c>
      <c r="AO573" t="s">
        <v>260</v>
      </c>
      <c r="AP573">
        <v>5</v>
      </c>
      <c r="AQ573" t="s">
        <v>504</v>
      </c>
      <c r="AT573" t="s">
        <v>288</v>
      </c>
      <c r="AU573">
        <v>67.400000000000006</v>
      </c>
      <c r="AV573" t="s">
        <v>289</v>
      </c>
      <c r="AW573">
        <v>100</v>
      </c>
      <c r="AX573" t="s">
        <v>262</v>
      </c>
      <c r="BO573" t="s">
        <v>504</v>
      </c>
      <c r="BR573" t="s">
        <v>288</v>
      </c>
      <c r="BS573">
        <v>6.7400000000000002E-2</v>
      </c>
      <c r="BT573" t="s">
        <v>289</v>
      </c>
      <c r="BU573">
        <v>0.1</v>
      </c>
      <c r="BV573" t="s">
        <v>263</v>
      </c>
      <c r="CM573" t="s">
        <v>264</v>
      </c>
      <c r="CN573" t="s">
        <v>264</v>
      </c>
      <c r="CP573" t="s">
        <v>265</v>
      </c>
      <c r="CQ573" t="s">
        <v>394</v>
      </c>
      <c r="DB573">
        <v>2</v>
      </c>
      <c r="DG573" t="s">
        <v>267</v>
      </c>
      <c r="DI573">
        <v>48</v>
      </c>
      <c r="DN573" t="s">
        <v>268</v>
      </c>
      <c r="DP573" t="s">
        <v>1510</v>
      </c>
      <c r="DR573">
        <v>136180</v>
      </c>
      <c r="DS573">
        <v>376</v>
      </c>
      <c r="DT573" t="s">
        <v>1511</v>
      </c>
      <c r="DV573">
        <v>48</v>
      </c>
      <c r="EA573" t="s">
        <v>268</v>
      </c>
      <c r="EC573">
        <v>2</v>
      </c>
      <c r="EH573" t="s">
        <v>267</v>
      </c>
      <c r="EJ573">
        <v>48</v>
      </c>
      <c r="EO573" t="s">
        <v>268</v>
      </c>
      <c r="EQ573">
        <v>2</v>
      </c>
      <c r="EV573" t="s">
        <v>267</v>
      </c>
      <c r="EW573" t="s">
        <v>1512</v>
      </c>
      <c r="EY573" t="s">
        <v>377</v>
      </c>
      <c r="EZ573">
        <v>10</v>
      </c>
      <c r="FA573" t="s">
        <v>1563</v>
      </c>
      <c r="FK573" t="s">
        <v>899</v>
      </c>
      <c r="FM573">
        <v>20</v>
      </c>
      <c r="FR573" t="s">
        <v>295</v>
      </c>
      <c r="GA573">
        <v>0.17</v>
      </c>
      <c r="GF573" t="s">
        <v>1514</v>
      </c>
      <c r="GH573">
        <v>0.24</v>
      </c>
      <c r="GM573" t="s">
        <v>1515</v>
      </c>
      <c r="GO573">
        <v>6.88</v>
      </c>
      <c r="GU573">
        <v>5</v>
      </c>
      <c r="GZ573" t="s">
        <v>296</v>
      </c>
      <c r="HH573" t="s">
        <v>883</v>
      </c>
      <c r="HJ573">
        <v>6.7</v>
      </c>
      <c r="HO573" t="s">
        <v>356</v>
      </c>
      <c r="ID573" t="s">
        <v>1516</v>
      </c>
      <c r="IE573" t="s">
        <v>1517</v>
      </c>
      <c r="IF573">
        <v>166133</v>
      </c>
      <c r="IG573" t="s">
        <v>1518</v>
      </c>
      <c r="IH573" t="s">
        <v>1519</v>
      </c>
      <c r="II573">
        <v>2013</v>
      </c>
      <c r="IJ573" t="s">
        <v>1520</v>
      </c>
    </row>
    <row r="574" spans="1:244" x14ac:dyDescent="0.45">
      <c r="A574">
        <v>2140677</v>
      </c>
      <c r="B574">
        <v>2263525</v>
      </c>
      <c r="C574">
        <v>7447394</v>
      </c>
      <c r="D574" t="s">
        <v>1162</v>
      </c>
      <c r="F574" t="s">
        <v>245</v>
      </c>
      <c r="G574" t="s">
        <v>272</v>
      </c>
      <c r="N574" t="s">
        <v>630</v>
      </c>
      <c r="O574" t="s">
        <v>631</v>
      </c>
      <c r="P574" t="s">
        <v>249</v>
      </c>
      <c r="Q574" t="s">
        <v>250</v>
      </c>
      <c r="R574" t="s">
        <v>251</v>
      </c>
      <c r="T574" t="s">
        <v>389</v>
      </c>
      <c r="U574" t="s">
        <v>632</v>
      </c>
      <c r="V574" t="s">
        <v>633</v>
      </c>
      <c r="W574" t="s">
        <v>634</v>
      </c>
      <c r="X574" t="s">
        <v>635</v>
      </c>
      <c r="Z574" t="s">
        <v>1034</v>
      </c>
      <c r="AI574">
        <v>2</v>
      </c>
      <c r="AJ574" t="s">
        <v>354</v>
      </c>
      <c r="AL574" t="s">
        <v>1509</v>
      </c>
      <c r="AM574" t="s">
        <v>258</v>
      </c>
      <c r="AN574" t="s">
        <v>259</v>
      </c>
      <c r="AO574" t="s">
        <v>260</v>
      </c>
      <c r="AP574">
        <v>5</v>
      </c>
      <c r="AQ574" t="s">
        <v>504</v>
      </c>
      <c r="AT574" t="s">
        <v>288</v>
      </c>
      <c r="AU574">
        <v>41.8</v>
      </c>
      <c r="AV574" t="s">
        <v>289</v>
      </c>
      <c r="AW574">
        <v>67.400000000000006</v>
      </c>
      <c r="AX574" t="s">
        <v>262</v>
      </c>
      <c r="BO574" t="s">
        <v>504</v>
      </c>
      <c r="BR574" t="s">
        <v>288</v>
      </c>
      <c r="BS574">
        <v>4.1799999999999997E-2</v>
      </c>
      <c r="BT574" t="s">
        <v>289</v>
      </c>
      <c r="BU574">
        <v>6.7400000000000002E-2</v>
      </c>
      <c r="BV574" t="s">
        <v>263</v>
      </c>
      <c r="CM574" t="s">
        <v>264</v>
      </c>
      <c r="CN574" t="s">
        <v>264</v>
      </c>
      <c r="CP574" t="s">
        <v>265</v>
      </c>
      <c r="CQ574" t="s">
        <v>394</v>
      </c>
      <c r="DB574">
        <v>2</v>
      </c>
      <c r="DG574" t="s">
        <v>267</v>
      </c>
      <c r="DI574">
        <v>48</v>
      </c>
      <c r="DN574" t="s">
        <v>268</v>
      </c>
      <c r="DP574" t="s">
        <v>1510</v>
      </c>
      <c r="DR574">
        <v>136180</v>
      </c>
      <c r="DS574">
        <v>376</v>
      </c>
      <c r="DT574" t="s">
        <v>1511</v>
      </c>
      <c r="DV574">
        <v>48</v>
      </c>
      <c r="EA574" t="s">
        <v>268</v>
      </c>
      <c r="EC574">
        <v>2</v>
      </c>
      <c r="EH574" t="s">
        <v>267</v>
      </c>
      <c r="EJ574">
        <v>48</v>
      </c>
      <c r="EO574" t="s">
        <v>268</v>
      </c>
      <c r="EQ574">
        <v>2</v>
      </c>
      <c r="EV574" t="s">
        <v>267</v>
      </c>
      <c r="EW574" t="s">
        <v>1512</v>
      </c>
      <c r="EY574" t="s">
        <v>377</v>
      </c>
      <c r="EZ574">
        <v>10</v>
      </c>
      <c r="FA574" t="s">
        <v>1594</v>
      </c>
      <c r="FK574" t="s">
        <v>899</v>
      </c>
      <c r="FM574">
        <v>20</v>
      </c>
      <c r="FR574" t="s">
        <v>295</v>
      </c>
      <c r="GA574">
        <v>1.1399999999999999</v>
      </c>
      <c r="GF574" t="s">
        <v>1514</v>
      </c>
      <c r="GH574">
        <v>0.19</v>
      </c>
      <c r="GM574" t="s">
        <v>1515</v>
      </c>
      <c r="GO574">
        <v>7.49</v>
      </c>
      <c r="GU574">
        <v>30</v>
      </c>
      <c r="GZ574" t="s">
        <v>296</v>
      </c>
      <c r="HH574" t="s">
        <v>883</v>
      </c>
      <c r="HJ574">
        <v>1.6</v>
      </c>
      <c r="HO574" t="s">
        <v>356</v>
      </c>
      <c r="ID574" t="s">
        <v>1516</v>
      </c>
      <c r="IE574" t="s">
        <v>1517</v>
      </c>
      <c r="IF574">
        <v>166133</v>
      </c>
      <c r="IG574" t="s">
        <v>1518</v>
      </c>
      <c r="IH574" t="s">
        <v>1519</v>
      </c>
      <c r="II574">
        <v>2013</v>
      </c>
      <c r="IJ574" t="s">
        <v>1520</v>
      </c>
    </row>
    <row r="575" spans="1:244" x14ac:dyDescent="0.45">
      <c r="A575">
        <v>1207252</v>
      </c>
      <c r="B575">
        <v>180323</v>
      </c>
      <c r="C575">
        <v>7447394</v>
      </c>
      <c r="D575" t="s">
        <v>1162</v>
      </c>
      <c r="E575" t="s">
        <v>622</v>
      </c>
      <c r="F575" t="s">
        <v>245</v>
      </c>
      <c r="G575" t="s">
        <v>246</v>
      </c>
      <c r="N575" t="s">
        <v>1521</v>
      </c>
      <c r="O575" t="s">
        <v>1522</v>
      </c>
      <c r="P575" t="s">
        <v>249</v>
      </c>
      <c r="Q575" t="s">
        <v>250</v>
      </c>
      <c r="R575" t="s">
        <v>251</v>
      </c>
      <c r="T575" t="s">
        <v>252</v>
      </c>
      <c r="U575" t="s">
        <v>499</v>
      </c>
      <c r="V575" t="s">
        <v>1281</v>
      </c>
      <c r="W575" t="s">
        <v>1282</v>
      </c>
      <c r="X575" t="s">
        <v>351</v>
      </c>
      <c r="Z575" t="s">
        <v>649</v>
      </c>
      <c r="AM575" t="s">
        <v>317</v>
      </c>
      <c r="AN575" t="s">
        <v>259</v>
      </c>
      <c r="AO575" t="s">
        <v>260</v>
      </c>
      <c r="AQ575" t="s">
        <v>261</v>
      </c>
      <c r="AS575">
        <v>9</v>
      </c>
      <c r="AU575">
        <v>4.9000000000000004</v>
      </c>
      <c r="AW575">
        <v>16.5</v>
      </c>
      <c r="AX575" t="s">
        <v>262</v>
      </c>
      <c r="BO575" t="s">
        <v>261</v>
      </c>
      <c r="BQ575">
        <v>8.9999999999999993E-3</v>
      </c>
      <c r="BS575">
        <v>4.8999999999999998E-3</v>
      </c>
      <c r="BU575">
        <v>1.6500000000000001E-2</v>
      </c>
      <c r="BV575" t="s">
        <v>263</v>
      </c>
      <c r="CM575" t="s">
        <v>264</v>
      </c>
      <c r="CN575" t="s">
        <v>264</v>
      </c>
      <c r="CP575" t="s">
        <v>265</v>
      </c>
      <c r="CQ575" t="s">
        <v>394</v>
      </c>
      <c r="DB575">
        <v>4</v>
      </c>
      <c r="DG575" t="s">
        <v>267</v>
      </c>
      <c r="DI575">
        <v>96</v>
      </c>
      <c r="DN575" t="s">
        <v>268</v>
      </c>
      <c r="DR575">
        <v>371471</v>
      </c>
      <c r="DS575">
        <v>7687</v>
      </c>
      <c r="DT575" t="s">
        <v>1523</v>
      </c>
      <c r="EW575" t="s">
        <v>293</v>
      </c>
      <c r="FM575">
        <v>21</v>
      </c>
      <c r="FR575" t="s">
        <v>295</v>
      </c>
      <c r="GU575">
        <v>5</v>
      </c>
      <c r="GZ575" t="s">
        <v>296</v>
      </c>
      <c r="HB575">
        <v>500</v>
      </c>
      <c r="HG575" t="s">
        <v>1524</v>
      </c>
      <c r="HH575" t="s">
        <v>272</v>
      </c>
      <c r="IE575" t="s">
        <v>1525</v>
      </c>
      <c r="IF575">
        <v>19001</v>
      </c>
      <c r="IG575" t="s">
        <v>1526</v>
      </c>
      <c r="IH575" t="s">
        <v>1527</v>
      </c>
      <c r="II575">
        <v>1998</v>
      </c>
      <c r="IJ575" t="s">
        <v>1528</v>
      </c>
    </row>
    <row r="576" spans="1:244" x14ac:dyDescent="0.45">
      <c r="A576">
        <v>1312981</v>
      </c>
      <c r="B576">
        <v>770477</v>
      </c>
      <c r="C576">
        <v>7447394</v>
      </c>
      <c r="D576" t="s">
        <v>1162</v>
      </c>
      <c r="F576" t="s">
        <v>861</v>
      </c>
      <c r="G576" t="s">
        <v>246</v>
      </c>
      <c r="N576" t="s">
        <v>829</v>
      </c>
      <c r="O576" t="s">
        <v>631</v>
      </c>
      <c r="P576" t="s">
        <v>249</v>
      </c>
      <c r="Q576" t="s">
        <v>250</v>
      </c>
      <c r="R576" t="s">
        <v>251</v>
      </c>
      <c r="T576" t="s">
        <v>389</v>
      </c>
      <c r="U576" t="s">
        <v>632</v>
      </c>
      <c r="V576" t="s">
        <v>830</v>
      </c>
      <c r="W576" t="s">
        <v>831</v>
      </c>
      <c r="X576" t="s">
        <v>832</v>
      </c>
      <c r="Z576" t="s">
        <v>525</v>
      </c>
      <c r="AA576" t="s">
        <v>515</v>
      </c>
      <c r="AB576">
        <v>1</v>
      </c>
      <c r="AG576" t="s">
        <v>267</v>
      </c>
      <c r="AM576" t="s">
        <v>317</v>
      </c>
      <c r="AN576" t="s">
        <v>259</v>
      </c>
      <c r="AO576" t="s">
        <v>260</v>
      </c>
      <c r="AP576">
        <v>7</v>
      </c>
      <c r="AQ576" t="s">
        <v>504</v>
      </c>
      <c r="AS576">
        <v>58.1</v>
      </c>
      <c r="AU576">
        <v>52</v>
      </c>
      <c r="AW576">
        <v>64.900000000000006</v>
      </c>
      <c r="AX576" t="s">
        <v>262</v>
      </c>
      <c r="BO576" t="s">
        <v>504</v>
      </c>
      <c r="BQ576">
        <v>5.8099999999999999E-2</v>
      </c>
      <c r="BS576">
        <v>5.1999999999999998E-2</v>
      </c>
      <c r="BU576">
        <v>6.4899999999999999E-2</v>
      </c>
      <c r="BV576" t="s">
        <v>263</v>
      </c>
      <c r="CM576" t="s">
        <v>264</v>
      </c>
      <c r="CN576" t="s">
        <v>264</v>
      </c>
      <c r="CP576" t="s">
        <v>265</v>
      </c>
      <c r="CQ576" t="s">
        <v>394</v>
      </c>
      <c r="DB576">
        <v>4</v>
      </c>
      <c r="DG576" t="s">
        <v>267</v>
      </c>
      <c r="DI576">
        <v>96</v>
      </c>
      <c r="DN576" t="s">
        <v>268</v>
      </c>
      <c r="DP576" t="s">
        <v>1234</v>
      </c>
      <c r="DR576">
        <v>88015</v>
      </c>
      <c r="DS576">
        <v>649</v>
      </c>
      <c r="DT576" t="s">
        <v>1502</v>
      </c>
      <c r="EW576" t="s">
        <v>293</v>
      </c>
      <c r="FK576" t="s">
        <v>1595</v>
      </c>
      <c r="FM576">
        <v>25</v>
      </c>
      <c r="FR576" t="s">
        <v>295</v>
      </c>
      <c r="FV576">
        <v>2544</v>
      </c>
      <c r="FX576">
        <v>2848</v>
      </c>
      <c r="FY576" t="s">
        <v>356</v>
      </c>
      <c r="GC576">
        <v>69.5</v>
      </c>
      <c r="GE576">
        <v>80.5</v>
      </c>
      <c r="GF576" t="s">
        <v>356</v>
      </c>
      <c r="GJ576">
        <v>7.47</v>
      </c>
      <c r="GL576">
        <v>9.0500000000000007</v>
      </c>
      <c r="GM576" t="s">
        <v>356</v>
      </c>
      <c r="GQ576">
        <v>8.06</v>
      </c>
      <c r="GS576">
        <v>8.74</v>
      </c>
      <c r="GU576">
        <v>25</v>
      </c>
      <c r="GZ576" t="s">
        <v>296</v>
      </c>
      <c r="HH576" t="s">
        <v>883</v>
      </c>
      <c r="HL576">
        <v>1.4</v>
      </c>
      <c r="HN576">
        <v>1.6</v>
      </c>
      <c r="HO576" t="s">
        <v>356</v>
      </c>
      <c r="ID576" t="s">
        <v>1596</v>
      </c>
      <c r="IE576" t="s">
        <v>1505</v>
      </c>
      <c r="IF576">
        <v>107036</v>
      </c>
      <c r="IG576" t="s">
        <v>1506</v>
      </c>
      <c r="IH576" t="s">
        <v>1507</v>
      </c>
      <c r="II576">
        <v>2008</v>
      </c>
      <c r="IJ576" t="s">
        <v>1508</v>
      </c>
    </row>
    <row r="577" spans="1:244" x14ac:dyDescent="0.45">
      <c r="A577">
        <v>2140665</v>
      </c>
      <c r="B577">
        <v>2263492</v>
      </c>
      <c r="C577">
        <v>7447394</v>
      </c>
      <c r="D577" t="s">
        <v>1162</v>
      </c>
      <c r="F577" t="s">
        <v>245</v>
      </c>
      <c r="G577" t="s">
        <v>272</v>
      </c>
      <c r="N577" t="s">
        <v>630</v>
      </c>
      <c r="O577" t="s">
        <v>631</v>
      </c>
      <c r="P577" t="s">
        <v>249</v>
      </c>
      <c r="Q577" t="s">
        <v>250</v>
      </c>
      <c r="R577" t="s">
        <v>251</v>
      </c>
      <c r="T577" t="s">
        <v>389</v>
      </c>
      <c r="U577" t="s">
        <v>632</v>
      </c>
      <c r="V577" t="s">
        <v>633</v>
      </c>
      <c r="W577" t="s">
        <v>634</v>
      </c>
      <c r="X577" t="s">
        <v>635</v>
      </c>
      <c r="Z577" t="s">
        <v>1034</v>
      </c>
      <c r="AI577">
        <v>2</v>
      </c>
      <c r="AJ577" t="s">
        <v>354</v>
      </c>
      <c r="AL577" t="s">
        <v>1509</v>
      </c>
      <c r="AM577" t="s">
        <v>258</v>
      </c>
      <c r="AN577" t="s">
        <v>259</v>
      </c>
      <c r="AO577" t="s">
        <v>260</v>
      </c>
      <c r="AP577">
        <v>5</v>
      </c>
      <c r="AQ577" t="s">
        <v>504</v>
      </c>
      <c r="AS577">
        <v>108.7</v>
      </c>
      <c r="AU577">
        <v>79.3</v>
      </c>
      <c r="AW577">
        <v>128.19999999999999</v>
      </c>
      <c r="AX577" t="s">
        <v>262</v>
      </c>
      <c r="BO577" t="s">
        <v>504</v>
      </c>
      <c r="BQ577">
        <v>0.1087</v>
      </c>
      <c r="BS577">
        <v>7.9299999999999995E-2</v>
      </c>
      <c r="BU577">
        <v>0.12820000000000001</v>
      </c>
      <c r="BV577" t="s">
        <v>263</v>
      </c>
      <c r="CM577" t="s">
        <v>264</v>
      </c>
      <c r="CN577" t="s">
        <v>264</v>
      </c>
      <c r="CP577" t="s">
        <v>265</v>
      </c>
      <c r="CQ577" t="s">
        <v>394</v>
      </c>
      <c r="DB577">
        <v>2</v>
      </c>
      <c r="DG577" t="s">
        <v>267</v>
      </c>
      <c r="DI577">
        <v>48</v>
      </c>
      <c r="DN577" t="s">
        <v>268</v>
      </c>
      <c r="DP577" t="s">
        <v>1510</v>
      </c>
      <c r="DR577">
        <v>136180</v>
      </c>
      <c r="DS577">
        <v>376</v>
      </c>
      <c r="DT577" t="s">
        <v>1511</v>
      </c>
      <c r="DV577">
        <v>48</v>
      </c>
      <c r="EA577" t="s">
        <v>268</v>
      </c>
      <c r="EC577">
        <v>2</v>
      </c>
      <c r="EH577" t="s">
        <v>267</v>
      </c>
      <c r="EJ577">
        <v>48</v>
      </c>
      <c r="EO577" t="s">
        <v>268</v>
      </c>
      <c r="EQ577">
        <v>2</v>
      </c>
      <c r="EV577" t="s">
        <v>267</v>
      </c>
      <c r="EW577" t="s">
        <v>1512</v>
      </c>
      <c r="EY577" t="s">
        <v>377</v>
      </c>
      <c r="EZ577">
        <v>10</v>
      </c>
      <c r="FA577" t="s">
        <v>1548</v>
      </c>
      <c r="FM577">
        <v>20</v>
      </c>
      <c r="FR577" t="s">
        <v>295</v>
      </c>
      <c r="GA577">
        <v>1.1399999999999999</v>
      </c>
      <c r="GF577" t="s">
        <v>1514</v>
      </c>
      <c r="GH577">
        <v>0.19</v>
      </c>
      <c r="GM577" t="s">
        <v>1515</v>
      </c>
      <c r="GO577">
        <v>7.49</v>
      </c>
      <c r="GU577">
        <v>30</v>
      </c>
      <c r="GZ577" t="s">
        <v>296</v>
      </c>
      <c r="HH577" t="s">
        <v>883</v>
      </c>
      <c r="HI577" t="s">
        <v>289</v>
      </c>
      <c r="HJ577">
        <v>0.1</v>
      </c>
      <c r="HO577" t="s">
        <v>356</v>
      </c>
      <c r="ID577" t="s">
        <v>1549</v>
      </c>
      <c r="IE577" t="s">
        <v>1517</v>
      </c>
      <c r="IF577">
        <v>166133</v>
      </c>
      <c r="IG577" t="s">
        <v>1518</v>
      </c>
      <c r="IH577" t="s">
        <v>1519</v>
      </c>
      <c r="II577">
        <v>2013</v>
      </c>
      <c r="IJ577" t="s">
        <v>1520</v>
      </c>
    </row>
    <row r="578" spans="1:244" x14ac:dyDescent="0.45">
      <c r="A578">
        <v>2140694</v>
      </c>
      <c r="B578">
        <v>2263540</v>
      </c>
      <c r="C578">
        <v>7447394</v>
      </c>
      <c r="D578" t="s">
        <v>1162</v>
      </c>
      <c r="F578" t="s">
        <v>245</v>
      </c>
      <c r="G578" t="s">
        <v>272</v>
      </c>
      <c r="N578" t="s">
        <v>630</v>
      </c>
      <c r="O578" t="s">
        <v>631</v>
      </c>
      <c r="P578" t="s">
        <v>249</v>
      </c>
      <c r="Q578" t="s">
        <v>250</v>
      </c>
      <c r="R578" t="s">
        <v>251</v>
      </c>
      <c r="T578" t="s">
        <v>389</v>
      </c>
      <c r="U578" t="s">
        <v>632</v>
      </c>
      <c r="V578" t="s">
        <v>633</v>
      </c>
      <c r="W578" t="s">
        <v>634</v>
      </c>
      <c r="X578" t="s">
        <v>635</v>
      </c>
      <c r="Z578" t="s">
        <v>1034</v>
      </c>
      <c r="AI578">
        <v>2</v>
      </c>
      <c r="AJ578" t="s">
        <v>354</v>
      </c>
      <c r="AL578" t="s">
        <v>1509</v>
      </c>
      <c r="AM578" t="s">
        <v>258</v>
      </c>
      <c r="AN578" t="s">
        <v>259</v>
      </c>
      <c r="AO578" t="s">
        <v>260</v>
      </c>
      <c r="AP578">
        <v>5</v>
      </c>
      <c r="AQ578" t="s">
        <v>504</v>
      </c>
      <c r="AT578" t="s">
        <v>288</v>
      </c>
      <c r="AU578">
        <v>108.7</v>
      </c>
      <c r="AV578" t="s">
        <v>289</v>
      </c>
      <c r="AW578">
        <v>200</v>
      </c>
      <c r="AX578" t="s">
        <v>262</v>
      </c>
      <c r="BO578" t="s">
        <v>504</v>
      </c>
      <c r="BR578" t="s">
        <v>288</v>
      </c>
      <c r="BS578">
        <v>0.1087</v>
      </c>
      <c r="BT578" t="s">
        <v>289</v>
      </c>
      <c r="BU578">
        <v>0.2</v>
      </c>
      <c r="BV578" t="s">
        <v>263</v>
      </c>
      <c r="CM578" t="s">
        <v>264</v>
      </c>
      <c r="CN578" t="s">
        <v>264</v>
      </c>
      <c r="CP578" t="s">
        <v>265</v>
      </c>
      <c r="CQ578" t="s">
        <v>394</v>
      </c>
      <c r="DB578">
        <v>2</v>
      </c>
      <c r="DG578" t="s">
        <v>267</v>
      </c>
      <c r="DI578">
        <v>48</v>
      </c>
      <c r="DN578" t="s">
        <v>268</v>
      </c>
      <c r="DP578" t="s">
        <v>1510</v>
      </c>
      <c r="DR578">
        <v>136180</v>
      </c>
      <c r="DS578">
        <v>376</v>
      </c>
      <c r="DT578" t="s">
        <v>1511</v>
      </c>
      <c r="DV578">
        <v>48</v>
      </c>
      <c r="EA578" t="s">
        <v>268</v>
      </c>
      <c r="EC578">
        <v>2</v>
      </c>
      <c r="EH578" t="s">
        <v>267</v>
      </c>
      <c r="EJ578">
        <v>48</v>
      </c>
      <c r="EO578" t="s">
        <v>268</v>
      </c>
      <c r="EQ578">
        <v>2</v>
      </c>
      <c r="EV578" t="s">
        <v>267</v>
      </c>
      <c r="EW578" t="s">
        <v>1512</v>
      </c>
      <c r="EY578" t="s">
        <v>377</v>
      </c>
      <c r="EZ578">
        <v>10</v>
      </c>
      <c r="FA578" t="s">
        <v>1597</v>
      </c>
      <c r="FK578" t="s">
        <v>899</v>
      </c>
      <c r="FM578">
        <v>20</v>
      </c>
      <c r="FR578" t="s">
        <v>295</v>
      </c>
      <c r="GA578">
        <v>0.5</v>
      </c>
      <c r="GF578" t="s">
        <v>1514</v>
      </c>
      <c r="GH578">
        <v>0.19</v>
      </c>
      <c r="GM578" t="s">
        <v>1515</v>
      </c>
      <c r="GO578">
        <v>7.21</v>
      </c>
      <c r="GU578">
        <v>15</v>
      </c>
      <c r="GZ578" t="s">
        <v>296</v>
      </c>
      <c r="HH578" t="s">
        <v>883</v>
      </c>
      <c r="HJ578">
        <v>3.2</v>
      </c>
      <c r="HO578" t="s">
        <v>356</v>
      </c>
      <c r="ID578" t="s">
        <v>1516</v>
      </c>
      <c r="IE578" t="s">
        <v>1517</v>
      </c>
      <c r="IF578">
        <v>166133</v>
      </c>
      <c r="IG578" t="s">
        <v>1518</v>
      </c>
      <c r="IH578" t="s">
        <v>1519</v>
      </c>
      <c r="II578">
        <v>2013</v>
      </c>
      <c r="IJ578" t="s">
        <v>1520</v>
      </c>
    </row>
    <row r="579" spans="1:244" x14ac:dyDescent="0.45">
      <c r="A579">
        <v>2140682</v>
      </c>
      <c r="B579">
        <v>2263529</v>
      </c>
      <c r="C579">
        <v>7447394</v>
      </c>
      <c r="D579" t="s">
        <v>1162</v>
      </c>
      <c r="F579" t="s">
        <v>245</v>
      </c>
      <c r="G579" t="s">
        <v>272</v>
      </c>
      <c r="N579" t="s">
        <v>630</v>
      </c>
      <c r="O579" t="s">
        <v>631</v>
      </c>
      <c r="P579" t="s">
        <v>249</v>
      </c>
      <c r="Q579" t="s">
        <v>250</v>
      </c>
      <c r="R579" t="s">
        <v>251</v>
      </c>
      <c r="T579" t="s">
        <v>389</v>
      </c>
      <c r="U579" t="s">
        <v>632</v>
      </c>
      <c r="V579" t="s">
        <v>633</v>
      </c>
      <c r="W579" t="s">
        <v>634</v>
      </c>
      <c r="X579" t="s">
        <v>635</v>
      </c>
      <c r="Z579" t="s">
        <v>1034</v>
      </c>
      <c r="AI579">
        <v>2</v>
      </c>
      <c r="AJ579" t="s">
        <v>354</v>
      </c>
      <c r="AL579" t="s">
        <v>1509</v>
      </c>
      <c r="AM579" t="s">
        <v>258</v>
      </c>
      <c r="AN579" t="s">
        <v>259</v>
      </c>
      <c r="AO579" t="s">
        <v>260</v>
      </c>
      <c r="AP579">
        <v>5</v>
      </c>
      <c r="AQ579" t="s">
        <v>504</v>
      </c>
      <c r="AT579" t="s">
        <v>288</v>
      </c>
      <c r="AU579">
        <v>200</v>
      </c>
      <c r="AV579" t="s">
        <v>289</v>
      </c>
      <c r="AW579">
        <v>300</v>
      </c>
      <c r="AX579" t="s">
        <v>262</v>
      </c>
      <c r="BO579" t="s">
        <v>504</v>
      </c>
      <c r="BR579" t="s">
        <v>288</v>
      </c>
      <c r="BS579">
        <v>0.2</v>
      </c>
      <c r="BT579" t="s">
        <v>289</v>
      </c>
      <c r="BU579">
        <v>0.3</v>
      </c>
      <c r="BV579" t="s">
        <v>263</v>
      </c>
      <c r="CM579" t="s">
        <v>264</v>
      </c>
      <c r="CN579" t="s">
        <v>264</v>
      </c>
      <c r="CP579" t="s">
        <v>265</v>
      </c>
      <c r="CQ579" t="s">
        <v>394</v>
      </c>
      <c r="DB579">
        <v>2</v>
      </c>
      <c r="DG579" t="s">
        <v>267</v>
      </c>
      <c r="DI579">
        <v>48</v>
      </c>
      <c r="DN579" t="s">
        <v>268</v>
      </c>
      <c r="DP579" t="s">
        <v>1510</v>
      </c>
      <c r="DR579">
        <v>136180</v>
      </c>
      <c r="DS579">
        <v>376</v>
      </c>
      <c r="DT579" t="s">
        <v>1511</v>
      </c>
      <c r="DV579">
        <v>48</v>
      </c>
      <c r="EA579" t="s">
        <v>268</v>
      </c>
      <c r="EC579">
        <v>2</v>
      </c>
      <c r="EH579" t="s">
        <v>267</v>
      </c>
      <c r="EJ579">
        <v>48</v>
      </c>
      <c r="EO579" t="s">
        <v>268</v>
      </c>
      <c r="EQ579">
        <v>2</v>
      </c>
      <c r="EV579" t="s">
        <v>267</v>
      </c>
      <c r="EW579" t="s">
        <v>1512</v>
      </c>
      <c r="EY579" t="s">
        <v>377</v>
      </c>
      <c r="EZ579">
        <v>10</v>
      </c>
      <c r="FA579" t="s">
        <v>1582</v>
      </c>
      <c r="FK579" t="s">
        <v>899</v>
      </c>
      <c r="FM579">
        <v>20</v>
      </c>
      <c r="FR579" t="s">
        <v>295</v>
      </c>
      <c r="GA579">
        <v>0.17</v>
      </c>
      <c r="GF579" t="s">
        <v>1514</v>
      </c>
      <c r="GH579">
        <v>0.24</v>
      </c>
      <c r="GM579" t="s">
        <v>1515</v>
      </c>
      <c r="GO579">
        <v>6.88</v>
      </c>
      <c r="GU579">
        <v>5</v>
      </c>
      <c r="GZ579" t="s">
        <v>296</v>
      </c>
      <c r="HH579" t="s">
        <v>883</v>
      </c>
      <c r="HJ579">
        <v>10.5</v>
      </c>
      <c r="HO579" t="s">
        <v>356</v>
      </c>
      <c r="ID579" t="s">
        <v>1516</v>
      </c>
      <c r="IE579" t="s">
        <v>1517</v>
      </c>
      <c r="IF579">
        <v>166133</v>
      </c>
      <c r="IG579" t="s">
        <v>1518</v>
      </c>
      <c r="IH579" t="s">
        <v>1519</v>
      </c>
      <c r="II579">
        <v>2013</v>
      </c>
      <c r="IJ579" t="s">
        <v>1520</v>
      </c>
    </row>
    <row r="580" spans="1:244" x14ac:dyDescent="0.45">
      <c r="A580">
        <v>2140674</v>
      </c>
      <c r="B580">
        <v>2263519</v>
      </c>
      <c r="C580">
        <v>7447394</v>
      </c>
      <c r="D580" t="s">
        <v>1162</v>
      </c>
      <c r="F580" t="s">
        <v>245</v>
      </c>
      <c r="G580" t="s">
        <v>272</v>
      </c>
      <c r="N580" t="s">
        <v>630</v>
      </c>
      <c r="O580" t="s">
        <v>631</v>
      </c>
      <c r="P580" t="s">
        <v>249</v>
      </c>
      <c r="Q580" t="s">
        <v>250</v>
      </c>
      <c r="R580" t="s">
        <v>251</v>
      </c>
      <c r="T580" t="s">
        <v>389</v>
      </c>
      <c r="U580" t="s">
        <v>632</v>
      </c>
      <c r="V580" t="s">
        <v>633</v>
      </c>
      <c r="W580" t="s">
        <v>634</v>
      </c>
      <c r="X580" t="s">
        <v>635</v>
      </c>
      <c r="Z580" t="s">
        <v>1034</v>
      </c>
      <c r="AI580">
        <v>2</v>
      </c>
      <c r="AJ580" t="s">
        <v>354</v>
      </c>
      <c r="AL580" t="s">
        <v>1509</v>
      </c>
      <c r="AM580" t="s">
        <v>258</v>
      </c>
      <c r="AN580" t="s">
        <v>259</v>
      </c>
      <c r="AO580" t="s">
        <v>260</v>
      </c>
      <c r="AP580">
        <v>5</v>
      </c>
      <c r="AQ580" t="s">
        <v>504</v>
      </c>
      <c r="AT580" t="s">
        <v>288</v>
      </c>
      <c r="AU580">
        <v>108.7</v>
      </c>
      <c r="AV580" t="s">
        <v>289</v>
      </c>
      <c r="AW580">
        <v>200</v>
      </c>
      <c r="AX580" t="s">
        <v>262</v>
      </c>
      <c r="BO580" t="s">
        <v>504</v>
      </c>
      <c r="BR580" t="s">
        <v>288</v>
      </c>
      <c r="BS580">
        <v>0.1087</v>
      </c>
      <c r="BT580" t="s">
        <v>289</v>
      </c>
      <c r="BU580">
        <v>0.2</v>
      </c>
      <c r="BV580" t="s">
        <v>263</v>
      </c>
      <c r="CM580" t="s">
        <v>264</v>
      </c>
      <c r="CN580" t="s">
        <v>264</v>
      </c>
      <c r="CP580" t="s">
        <v>265</v>
      </c>
      <c r="CQ580" t="s">
        <v>394</v>
      </c>
      <c r="DB580">
        <v>2</v>
      </c>
      <c r="DG580" t="s">
        <v>267</v>
      </c>
      <c r="DI580">
        <v>48</v>
      </c>
      <c r="DN580" t="s">
        <v>268</v>
      </c>
      <c r="DP580" t="s">
        <v>1510</v>
      </c>
      <c r="DR580">
        <v>136180</v>
      </c>
      <c r="DS580">
        <v>376</v>
      </c>
      <c r="DT580" t="s">
        <v>1511</v>
      </c>
      <c r="DV580">
        <v>48</v>
      </c>
      <c r="EA580" t="s">
        <v>268</v>
      </c>
      <c r="EC580">
        <v>2</v>
      </c>
      <c r="EH580" t="s">
        <v>267</v>
      </c>
      <c r="EJ580">
        <v>48</v>
      </c>
      <c r="EO580" t="s">
        <v>268</v>
      </c>
      <c r="EQ580">
        <v>2</v>
      </c>
      <c r="EV580" t="s">
        <v>267</v>
      </c>
      <c r="EW580" t="s">
        <v>1512</v>
      </c>
      <c r="EY580" t="s">
        <v>377</v>
      </c>
      <c r="EZ580">
        <v>10</v>
      </c>
      <c r="FA580" t="s">
        <v>1594</v>
      </c>
      <c r="FK580" t="s">
        <v>899</v>
      </c>
      <c r="FM580">
        <v>20</v>
      </c>
      <c r="FR580" t="s">
        <v>295</v>
      </c>
      <c r="GA580">
        <v>0.5</v>
      </c>
      <c r="GF580" t="s">
        <v>1514</v>
      </c>
      <c r="GH580">
        <v>0.19</v>
      </c>
      <c r="GM580" t="s">
        <v>1515</v>
      </c>
      <c r="GO580">
        <v>7.21</v>
      </c>
      <c r="GU580">
        <v>15</v>
      </c>
      <c r="GZ580" t="s">
        <v>296</v>
      </c>
      <c r="HH580" t="s">
        <v>883</v>
      </c>
      <c r="HJ580">
        <v>1.6</v>
      </c>
      <c r="HO580" t="s">
        <v>356</v>
      </c>
      <c r="ID580" t="s">
        <v>1516</v>
      </c>
      <c r="IE580" t="s">
        <v>1517</v>
      </c>
      <c r="IF580">
        <v>166133</v>
      </c>
      <c r="IG580" t="s">
        <v>1518</v>
      </c>
      <c r="IH580" t="s">
        <v>1519</v>
      </c>
      <c r="II580">
        <v>2013</v>
      </c>
      <c r="IJ580" t="s">
        <v>1520</v>
      </c>
    </row>
    <row r="581" spans="1:244" x14ac:dyDescent="0.45">
      <c r="A581">
        <v>2140689</v>
      </c>
      <c r="B581">
        <v>2263535</v>
      </c>
      <c r="C581">
        <v>7447394</v>
      </c>
      <c r="D581" t="s">
        <v>1162</v>
      </c>
      <c r="F581" t="s">
        <v>245</v>
      </c>
      <c r="G581" t="s">
        <v>272</v>
      </c>
      <c r="N581" t="s">
        <v>630</v>
      </c>
      <c r="O581" t="s">
        <v>631</v>
      </c>
      <c r="P581" t="s">
        <v>249</v>
      </c>
      <c r="Q581" t="s">
        <v>250</v>
      </c>
      <c r="R581" t="s">
        <v>251</v>
      </c>
      <c r="T581" t="s">
        <v>389</v>
      </c>
      <c r="U581" t="s">
        <v>632</v>
      </c>
      <c r="V581" t="s">
        <v>633</v>
      </c>
      <c r="W581" t="s">
        <v>634</v>
      </c>
      <c r="X581" t="s">
        <v>635</v>
      </c>
      <c r="Z581" t="s">
        <v>1034</v>
      </c>
      <c r="AI581">
        <v>2</v>
      </c>
      <c r="AJ581" t="s">
        <v>354</v>
      </c>
      <c r="AL581" t="s">
        <v>1509</v>
      </c>
      <c r="AM581" t="s">
        <v>258</v>
      </c>
      <c r="AN581" t="s">
        <v>259</v>
      </c>
      <c r="AO581" t="s">
        <v>260</v>
      </c>
      <c r="AP581">
        <v>5</v>
      </c>
      <c r="AQ581" t="s">
        <v>504</v>
      </c>
      <c r="AT581" t="s">
        <v>288</v>
      </c>
      <c r="AU581">
        <v>300</v>
      </c>
      <c r="AV581" t="s">
        <v>289</v>
      </c>
      <c r="AW581">
        <v>400</v>
      </c>
      <c r="AX581" t="s">
        <v>262</v>
      </c>
      <c r="BO581" t="s">
        <v>504</v>
      </c>
      <c r="BR581" t="s">
        <v>288</v>
      </c>
      <c r="BS581">
        <v>0.3</v>
      </c>
      <c r="BT581" t="s">
        <v>289</v>
      </c>
      <c r="BU581">
        <v>0.4</v>
      </c>
      <c r="BV581" t="s">
        <v>263</v>
      </c>
      <c r="CM581" t="s">
        <v>264</v>
      </c>
      <c r="CN581" t="s">
        <v>264</v>
      </c>
      <c r="CP581" t="s">
        <v>265</v>
      </c>
      <c r="CQ581" t="s">
        <v>394</v>
      </c>
      <c r="DB581">
        <v>2</v>
      </c>
      <c r="DG581" t="s">
        <v>267</v>
      </c>
      <c r="DI581">
        <v>48</v>
      </c>
      <c r="DN581" t="s">
        <v>268</v>
      </c>
      <c r="DP581" t="s">
        <v>1510</v>
      </c>
      <c r="DR581">
        <v>136180</v>
      </c>
      <c r="DS581">
        <v>376</v>
      </c>
      <c r="DT581" t="s">
        <v>1511</v>
      </c>
      <c r="DV581">
        <v>48</v>
      </c>
      <c r="EA581" t="s">
        <v>268</v>
      </c>
      <c r="EC581">
        <v>2</v>
      </c>
      <c r="EH581" t="s">
        <v>267</v>
      </c>
      <c r="EJ581">
        <v>48</v>
      </c>
      <c r="EO581" t="s">
        <v>268</v>
      </c>
      <c r="EQ581">
        <v>2</v>
      </c>
      <c r="EV581" t="s">
        <v>267</v>
      </c>
      <c r="EW581" t="s">
        <v>1512</v>
      </c>
      <c r="EY581" t="s">
        <v>377</v>
      </c>
      <c r="EZ581">
        <v>10</v>
      </c>
      <c r="FA581" t="s">
        <v>1582</v>
      </c>
      <c r="FK581" t="s">
        <v>899</v>
      </c>
      <c r="FM581">
        <v>20</v>
      </c>
      <c r="FR581" t="s">
        <v>295</v>
      </c>
      <c r="GA581">
        <v>1.1399999999999999</v>
      </c>
      <c r="GF581" t="s">
        <v>1514</v>
      </c>
      <c r="GH581">
        <v>0.19</v>
      </c>
      <c r="GM581" t="s">
        <v>1515</v>
      </c>
      <c r="GO581">
        <v>7.49</v>
      </c>
      <c r="GU581">
        <v>30</v>
      </c>
      <c r="GZ581" t="s">
        <v>296</v>
      </c>
      <c r="HH581" t="s">
        <v>883</v>
      </c>
      <c r="HJ581">
        <v>10.5</v>
      </c>
      <c r="HO581" t="s">
        <v>356</v>
      </c>
      <c r="ID581" t="s">
        <v>1516</v>
      </c>
      <c r="IE581" t="s">
        <v>1517</v>
      </c>
      <c r="IF581">
        <v>166133</v>
      </c>
      <c r="IG581" t="s">
        <v>1518</v>
      </c>
      <c r="IH581" t="s">
        <v>1519</v>
      </c>
      <c r="II581">
        <v>2013</v>
      </c>
      <c r="IJ581" t="s">
        <v>1520</v>
      </c>
    </row>
    <row r="582" spans="1:244" x14ac:dyDescent="0.45">
      <c r="A582">
        <v>2140687</v>
      </c>
      <c r="B582">
        <v>2263534</v>
      </c>
      <c r="C582">
        <v>7447394</v>
      </c>
      <c r="D582" t="s">
        <v>1162</v>
      </c>
      <c r="F582" t="s">
        <v>245</v>
      </c>
      <c r="G582" t="s">
        <v>272</v>
      </c>
      <c r="N582" t="s">
        <v>630</v>
      </c>
      <c r="O582" t="s">
        <v>631</v>
      </c>
      <c r="P582" t="s">
        <v>249</v>
      </c>
      <c r="Q582" t="s">
        <v>250</v>
      </c>
      <c r="R582" t="s">
        <v>251</v>
      </c>
      <c r="T582" t="s">
        <v>389</v>
      </c>
      <c r="U582" t="s">
        <v>632</v>
      </c>
      <c r="V582" t="s">
        <v>633</v>
      </c>
      <c r="W582" t="s">
        <v>634</v>
      </c>
      <c r="X582" t="s">
        <v>635</v>
      </c>
      <c r="Z582" t="s">
        <v>1034</v>
      </c>
      <c r="AI582">
        <v>2</v>
      </c>
      <c r="AJ582" t="s">
        <v>354</v>
      </c>
      <c r="AL582" t="s">
        <v>1509</v>
      </c>
      <c r="AM582" t="s">
        <v>258</v>
      </c>
      <c r="AN582" t="s">
        <v>259</v>
      </c>
      <c r="AO582" t="s">
        <v>260</v>
      </c>
      <c r="AP582">
        <v>5</v>
      </c>
      <c r="AQ582" t="s">
        <v>504</v>
      </c>
      <c r="AT582" t="s">
        <v>288</v>
      </c>
      <c r="AU582">
        <v>67.400000000000006</v>
      </c>
      <c r="AV582" t="s">
        <v>289</v>
      </c>
      <c r="AW582">
        <v>108.7</v>
      </c>
      <c r="AX582" t="s">
        <v>262</v>
      </c>
      <c r="BO582" t="s">
        <v>504</v>
      </c>
      <c r="BR582" t="s">
        <v>288</v>
      </c>
      <c r="BS582">
        <v>6.7400000000000002E-2</v>
      </c>
      <c r="BT582" t="s">
        <v>289</v>
      </c>
      <c r="BU582">
        <v>0.1087</v>
      </c>
      <c r="BV582" t="s">
        <v>263</v>
      </c>
      <c r="CM582" t="s">
        <v>264</v>
      </c>
      <c r="CN582" t="s">
        <v>264</v>
      </c>
      <c r="CP582" t="s">
        <v>265</v>
      </c>
      <c r="CQ582" t="s">
        <v>394</v>
      </c>
      <c r="DB582">
        <v>2</v>
      </c>
      <c r="DG582" t="s">
        <v>267</v>
      </c>
      <c r="DI582">
        <v>48</v>
      </c>
      <c r="DN582" t="s">
        <v>268</v>
      </c>
      <c r="DP582" t="s">
        <v>1510</v>
      </c>
      <c r="DR582">
        <v>136180</v>
      </c>
      <c r="DS582">
        <v>376</v>
      </c>
      <c r="DT582" t="s">
        <v>1511</v>
      </c>
      <c r="DV582">
        <v>48</v>
      </c>
      <c r="EA582" t="s">
        <v>268</v>
      </c>
      <c r="EC582">
        <v>2</v>
      </c>
      <c r="EH582" t="s">
        <v>267</v>
      </c>
      <c r="EJ582">
        <v>48</v>
      </c>
      <c r="EO582" t="s">
        <v>268</v>
      </c>
      <c r="EQ582">
        <v>2</v>
      </c>
      <c r="EV582" t="s">
        <v>267</v>
      </c>
      <c r="EW582" t="s">
        <v>1512</v>
      </c>
      <c r="EY582" t="s">
        <v>377</v>
      </c>
      <c r="EZ582">
        <v>10</v>
      </c>
      <c r="FA582" t="s">
        <v>1529</v>
      </c>
      <c r="FK582" t="s">
        <v>899</v>
      </c>
      <c r="FM582">
        <v>20</v>
      </c>
      <c r="FR582" t="s">
        <v>295</v>
      </c>
      <c r="GA582">
        <v>1.1399999999999999</v>
      </c>
      <c r="GF582" t="s">
        <v>1514</v>
      </c>
      <c r="GH582">
        <v>0.19</v>
      </c>
      <c r="GM582" t="s">
        <v>1515</v>
      </c>
      <c r="GO582">
        <v>7.49</v>
      </c>
      <c r="GU582">
        <v>30</v>
      </c>
      <c r="GZ582" t="s">
        <v>296</v>
      </c>
      <c r="HH582" t="s">
        <v>883</v>
      </c>
      <c r="HJ582">
        <v>5.4</v>
      </c>
      <c r="HO582" t="s">
        <v>356</v>
      </c>
      <c r="ID582" t="s">
        <v>1516</v>
      </c>
      <c r="IE582" t="s">
        <v>1517</v>
      </c>
      <c r="IF582">
        <v>166133</v>
      </c>
      <c r="IG582" t="s">
        <v>1518</v>
      </c>
      <c r="IH582" t="s">
        <v>1519</v>
      </c>
      <c r="II582">
        <v>2013</v>
      </c>
      <c r="IJ582" t="s">
        <v>1520</v>
      </c>
    </row>
    <row r="583" spans="1:244" x14ac:dyDescent="0.45">
      <c r="A583">
        <v>2140697</v>
      </c>
      <c r="B583">
        <v>2263543</v>
      </c>
      <c r="C583">
        <v>7447394</v>
      </c>
      <c r="D583" t="s">
        <v>1162</v>
      </c>
      <c r="F583" t="s">
        <v>245</v>
      </c>
      <c r="G583" t="s">
        <v>272</v>
      </c>
      <c r="N583" t="s">
        <v>630</v>
      </c>
      <c r="O583" t="s">
        <v>631</v>
      </c>
      <c r="P583" t="s">
        <v>249</v>
      </c>
      <c r="Q583" t="s">
        <v>250</v>
      </c>
      <c r="R583" t="s">
        <v>251</v>
      </c>
      <c r="T583" t="s">
        <v>389</v>
      </c>
      <c r="U583" t="s">
        <v>632</v>
      </c>
      <c r="V583" t="s">
        <v>633</v>
      </c>
      <c r="W583" t="s">
        <v>634</v>
      </c>
      <c r="X583" t="s">
        <v>635</v>
      </c>
      <c r="Z583" t="s">
        <v>1034</v>
      </c>
      <c r="AI583">
        <v>2</v>
      </c>
      <c r="AJ583" t="s">
        <v>354</v>
      </c>
      <c r="AL583" t="s">
        <v>1509</v>
      </c>
      <c r="AM583" t="s">
        <v>258</v>
      </c>
      <c r="AN583" t="s">
        <v>259</v>
      </c>
      <c r="AO583" t="s">
        <v>260</v>
      </c>
      <c r="AP583">
        <v>5</v>
      </c>
      <c r="AQ583" t="s">
        <v>504</v>
      </c>
      <c r="AT583" t="s">
        <v>288</v>
      </c>
      <c r="AU583">
        <v>108.7</v>
      </c>
      <c r="AV583" t="s">
        <v>289</v>
      </c>
      <c r="AW583">
        <v>200</v>
      </c>
      <c r="AX583" t="s">
        <v>262</v>
      </c>
      <c r="BO583" t="s">
        <v>504</v>
      </c>
      <c r="BR583" t="s">
        <v>288</v>
      </c>
      <c r="BS583">
        <v>0.1087</v>
      </c>
      <c r="BT583" t="s">
        <v>289</v>
      </c>
      <c r="BU583">
        <v>0.2</v>
      </c>
      <c r="BV583" t="s">
        <v>263</v>
      </c>
      <c r="CM583" t="s">
        <v>264</v>
      </c>
      <c r="CN583" t="s">
        <v>264</v>
      </c>
      <c r="CP583" t="s">
        <v>265</v>
      </c>
      <c r="CQ583" t="s">
        <v>394</v>
      </c>
      <c r="DB583">
        <v>2</v>
      </c>
      <c r="DG583" t="s">
        <v>267</v>
      </c>
      <c r="DI583">
        <v>48</v>
      </c>
      <c r="DN583" t="s">
        <v>268</v>
      </c>
      <c r="DP583" t="s">
        <v>1510</v>
      </c>
      <c r="DR583">
        <v>136180</v>
      </c>
      <c r="DS583">
        <v>376</v>
      </c>
      <c r="DT583" t="s">
        <v>1511</v>
      </c>
      <c r="DV583">
        <v>48</v>
      </c>
      <c r="EA583" t="s">
        <v>268</v>
      </c>
      <c r="EC583">
        <v>2</v>
      </c>
      <c r="EH583" t="s">
        <v>267</v>
      </c>
      <c r="EJ583">
        <v>48</v>
      </c>
      <c r="EO583" t="s">
        <v>268</v>
      </c>
      <c r="EQ583">
        <v>2</v>
      </c>
      <c r="EV583" t="s">
        <v>267</v>
      </c>
      <c r="EW583" t="s">
        <v>1512</v>
      </c>
      <c r="EY583" t="s">
        <v>377</v>
      </c>
      <c r="EZ583">
        <v>10</v>
      </c>
      <c r="FA583" t="s">
        <v>1597</v>
      </c>
      <c r="FK583" t="s">
        <v>899</v>
      </c>
      <c r="FM583">
        <v>20</v>
      </c>
      <c r="FR583" t="s">
        <v>295</v>
      </c>
      <c r="GA583">
        <v>1.1399999999999999</v>
      </c>
      <c r="GF583" t="s">
        <v>1514</v>
      </c>
      <c r="GH583">
        <v>0.19</v>
      </c>
      <c r="GM583" t="s">
        <v>1515</v>
      </c>
      <c r="GO583">
        <v>7.49</v>
      </c>
      <c r="GU583">
        <v>30</v>
      </c>
      <c r="GZ583" t="s">
        <v>296</v>
      </c>
      <c r="HH583" t="s">
        <v>883</v>
      </c>
      <c r="HJ583">
        <v>3.2</v>
      </c>
      <c r="HO583" t="s">
        <v>356</v>
      </c>
      <c r="ID583" t="s">
        <v>1516</v>
      </c>
      <c r="IE583" t="s">
        <v>1517</v>
      </c>
      <c r="IF583">
        <v>166133</v>
      </c>
      <c r="IG583" t="s">
        <v>1518</v>
      </c>
      <c r="IH583" t="s">
        <v>1519</v>
      </c>
      <c r="II583">
        <v>2013</v>
      </c>
      <c r="IJ583" t="s">
        <v>1520</v>
      </c>
    </row>
    <row r="584" spans="1:244" x14ac:dyDescent="0.45">
      <c r="A584">
        <v>2140661</v>
      </c>
      <c r="B584">
        <v>2263489</v>
      </c>
      <c r="C584">
        <v>7447394</v>
      </c>
      <c r="D584" t="s">
        <v>1162</v>
      </c>
      <c r="F584" t="s">
        <v>245</v>
      </c>
      <c r="G584" t="s">
        <v>272</v>
      </c>
      <c r="N584" t="s">
        <v>630</v>
      </c>
      <c r="O584" t="s">
        <v>631</v>
      </c>
      <c r="P584" t="s">
        <v>249</v>
      </c>
      <c r="Q584" t="s">
        <v>250</v>
      </c>
      <c r="R584" t="s">
        <v>251</v>
      </c>
      <c r="T584" t="s">
        <v>389</v>
      </c>
      <c r="U584" t="s">
        <v>632</v>
      </c>
      <c r="V584" t="s">
        <v>633</v>
      </c>
      <c r="W584" t="s">
        <v>634</v>
      </c>
      <c r="X584" t="s">
        <v>635</v>
      </c>
      <c r="Z584" t="s">
        <v>1034</v>
      </c>
      <c r="AI584">
        <v>2</v>
      </c>
      <c r="AJ584" t="s">
        <v>354</v>
      </c>
      <c r="AL584" t="s">
        <v>1509</v>
      </c>
      <c r="AM584" t="s">
        <v>258</v>
      </c>
      <c r="AN584" t="s">
        <v>259</v>
      </c>
      <c r="AO584" t="s">
        <v>260</v>
      </c>
      <c r="AP584">
        <v>5</v>
      </c>
      <c r="AQ584" t="s">
        <v>504</v>
      </c>
      <c r="AS584">
        <v>41.8</v>
      </c>
      <c r="AU584">
        <v>33.200000000000003</v>
      </c>
      <c r="AW584">
        <v>52.2</v>
      </c>
      <c r="AX584" t="s">
        <v>262</v>
      </c>
      <c r="BO584" t="s">
        <v>504</v>
      </c>
      <c r="BQ584">
        <v>4.1799999999999997E-2</v>
      </c>
      <c r="BS584">
        <v>3.32E-2</v>
      </c>
      <c r="BU584">
        <v>5.2200000000000003E-2</v>
      </c>
      <c r="BV584" t="s">
        <v>263</v>
      </c>
      <c r="CM584" t="s">
        <v>264</v>
      </c>
      <c r="CN584" t="s">
        <v>264</v>
      </c>
      <c r="CP584" t="s">
        <v>265</v>
      </c>
      <c r="CQ584" t="s">
        <v>394</v>
      </c>
      <c r="DB584">
        <v>2</v>
      </c>
      <c r="DG584" t="s">
        <v>267</v>
      </c>
      <c r="DI584">
        <v>48</v>
      </c>
      <c r="DN584" t="s">
        <v>268</v>
      </c>
      <c r="DP584" t="s">
        <v>1510</v>
      </c>
      <c r="DR584">
        <v>136180</v>
      </c>
      <c r="DS584">
        <v>376</v>
      </c>
      <c r="DT584" t="s">
        <v>1511</v>
      </c>
      <c r="DV584">
        <v>48</v>
      </c>
      <c r="EA584" t="s">
        <v>268</v>
      </c>
      <c r="EC584">
        <v>2</v>
      </c>
      <c r="EH584" t="s">
        <v>267</v>
      </c>
      <c r="EJ584">
        <v>48</v>
      </c>
      <c r="EO584" t="s">
        <v>268</v>
      </c>
      <c r="EQ584">
        <v>2</v>
      </c>
      <c r="EV584" t="s">
        <v>267</v>
      </c>
      <c r="EW584" t="s">
        <v>1512</v>
      </c>
      <c r="EY584" t="s">
        <v>377</v>
      </c>
      <c r="EZ584">
        <v>10</v>
      </c>
      <c r="FA584" t="s">
        <v>1548</v>
      </c>
      <c r="FM584">
        <v>20</v>
      </c>
      <c r="FR584" t="s">
        <v>295</v>
      </c>
      <c r="GA584">
        <v>0.17</v>
      </c>
      <c r="GF584" t="s">
        <v>1514</v>
      </c>
      <c r="GH584">
        <v>0.24</v>
      </c>
      <c r="GM584" t="s">
        <v>1515</v>
      </c>
      <c r="GO584">
        <v>6.88</v>
      </c>
      <c r="GU584">
        <v>5</v>
      </c>
      <c r="GZ584" t="s">
        <v>296</v>
      </c>
      <c r="HH584" t="s">
        <v>883</v>
      </c>
      <c r="HI584" t="s">
        <v>289</v>
      </c>
      <c r="HJ584">
        <v>0.1</v>
      </c>
      <c r="HO584" t="s">
        <v>356</v>
      </c>
      <c r="ID584" t="s">
        <v>1549</v>
      </c>
      <c r="IE584" t="s">
        <v>1517</v>
      </c>
      <c r="IF584">
        <v>166133</v>
      </c>
      <c r="IG584" t="s">
        <v>1518</v>
      </c>
      <c r="IH584" t="s">
        <v>1519</v>
      </c>
      <c r="II584">
        <v>2013</v>
      </c>
      <c r="IJ584" t="s">
        <v>1520</v>
      </c>
    </row>
    <row r="585" spans="1:244" x14ac:dyDescent="0.45">
      <c r="A585">
        <v>2140691</v>
      </c>
      <c r="B585">
        <v>2263537</v>
      </c>
      <c r="C585">
        <v>7447394</v>
      </c>
      <c r="D585" t="s">
        <v>1162</v>
      </c>
      <c r="F585" t="s">
        <v>245</v>
      </c>
      <c r="G585" t="s">
        <v>272</v>
      </c>
      <c r="N585" t="s">
        <v>630</v>
      </c>
      <c r="O585" t="s">
        <v>631</v>
      </c>
      <c r="P585" t="s">
        <v>249</v>
      </c>
      <c r="Q585" t="s">
        <v>250</v>
      </c>
      <c r="R585" t="s">
        <v>251</v>
      </c>
      <c r="T585" t="s">
        <v>389</v>
      </c>
      <c r="U585" t="s">
        <v>632</v>
      </c>
      <c r="V585" t="s">
        <v>633</v>
      </c>
      <c r="W585" t="s">
        <v>634</v>
      </c>
      <c r="X585" t="s">
        <v>635</v>
      </c>
      <c r="Z585" t="s">
        <v>1034</v>
      </c>
      <c r="AI585">
        <v>2</v>
      </c>
      <c r="AJ585" t="s">
        <v>354</v>
      </c>
      <c r="AL585" t="s">
        <v>1509</v>
      </c>
      <c r="AM585" t="s">
        <v>258</v>
      </c>
      <c r="AN585" t="s">
        <v>259</v>
      </c>
      <c r="AO585" t="s">
        <v>260</v>
      </c>
      <c r="AP585">
        <v>5</v>
      </c>
      <c r="AQ585" t="s">
        <v>504</v>
      </c>
      <c r="AT585" t="s">
        <v>288</v>
      </c>
      <c r="AU585">
        <v>67.400000000000006</v>
      </c>
      <c r="AV585" t="s">
        <v>289</v>
      </c>
      <c r="AW585">
        <v>108.7</v>
      </c>
      <c r="AX585" t="s">
        <v>262</v>
      </c>
      <c r="BO585" t="s">
        <v>504</v>
      </c>
      <c r="BR585" t="s">
        <v>288</v>
      </c>
      <c r="BS585">
        <v>6.7400000000000002E-2</v>
      </c>
      <c r="BT585" t="s">
        <v>289</v>
      </c>
      <c r="BU585">
        <v>0.1087</v>
      </c>
      <c r="BV585" t="s">
        <v>263</v>
      </c>
      <c r="CM585" t="s">
        <v>264</v>
      </c>
      <c r="CN585" t="s">
        <v>264</v>
      </c>
      <c r="CP585" t="s">
        <v>265</v>
      </c>
      <c r="CQ585" t="s">
        <v>394</v>
      </c>
      <c r="DB585">
        <v>2</v>
      </c>
      <c r="DG585" t="s">
        <v>267</v>
      </c>
      <c r="DI585">
        <v>48</v>
      </c>
      <c r="DN585" t="s">
        <v>268</v>
      </c>
      <c r="DP585" t="s">
        <v>1510</v>
      </c>
      <c r="DR585">
        <v>136180</v>
      </c>
      <c r="DS585">
        <v>376</v>
      </c>
      <c r="DT585" t="s">
        <v>1511</v>
      </c>
      <c r="DV585">
        <v>48</v>
      </c>
      <c r="EA585" t="s">
        <v>268</v>
      </c>
      <c r="EC585">
        <v>2</v>
      </c>
      <c r="EH585" t="s">
        <v>267</v>
      </c>
      <c r="EJ585">
        <v>48</v>
      </c>
      <c r="EO585" t="s">
        <v>268</v>
      </c>
      <c r="EQ585">
        <v>2</v>
      </c>
      <c r="EV585" t="s">
        <v>267</v>
      </c>
      <c r="EW585" t="s">
        <v>1512</v>
      </c>
      <c r="EY585" t="s">
        <v>377</v>
      </c>
      <c r="EZ585">
        <v>10</v>
      </c>
      <c r="FA585" t="s">
        <v>1597</v>
      </c>
      <c r="FK585" t="s">
        <v>899</v>
      </c>
      <c r="FM585">
        <v>20</v>
      </c>
      <c r="FR585" t="s">
        <v>295</v>
      </c>
      <c r="GA585">
        <v>0.17</v>
      </c>
      <c r="GF585" t="s">
        <v>1514</v>
      </c>
      <c r="GH585">
        <v>0.24</v>
      </c>
      <c r="GM585" t="s">
        <v>1515</v>
      </c>
      <c r="GO585">
        <v>6.88</v>
      </c>
      <c r="GU585">
        <v>5</v>
      </c>
      <c r="GZ585" t="s">
        <v>296</v>
      </c>
      <c r="HH585" t="s">
        <v>883</v>
      </c>
      <c r="HJ585">
        <v>3.2</v>
      </c>
      <c r="HO585" t="s">
        <v>356</v>
      </c>
      <c r="ID585" t="s">
        <v>1516</v>
      </c>
      <c r="IE585" t="s">
        <v>1517</v>
      </c>
      <c r="IF585">
        <v>166133</v>
      </c>
      <c r="IG585" t="s">
        <v>1518</v>
      </c>
      <c r="IH585" t="s">
        <v>1519</v>
      </c>
      <c r="II585">
        <v>2013</v>
      </c>
      <c r="IJ585" t="s">
        <v>1520</v>
      </c>
    </row>
    <row r="586" spans="1:244" x14ac:dyDescent="0.45">
      <c r="A586">
        <v>2140670</v>
      </c>
      <c r="B586">
        <v>2263515</v>
      </c>
      <c r="C586">
        <v>7447394</v>
      </c>
      <c r="D586" t="s">
        <v>1162</v>
      </c>
      <c r="F586" t="s">
        <v>245</v>
      </c>
      <c r="G586" t="s">
        <v>272</v>
      </c>
      <c r="N586" t="s">
        <v>630</v>
      </c>
      <c r="O586" t="s">
        <v>631</v>
      </c>
      <c r="P586" t="s">
        <v>249</v>
      </c>
      <c r="Q586" t="s">
        <v>250</v>
      </c>
      <c r="R586" t="s">
        <v>251</v>
      </c>
      <c r="T586" t="s">
        <v>389</v>
      </c>
      <c r="U586" t="s">
        <v>632</v>
      </c>
      <c r="V586" t="s">
        <v>633</v>
      </c>
      <c r="W586" t="s">
        <v>634</v>
      </c>
      <c r="X586" t="s">
        <v>635</v>
      </c>
      <c r="Z586" t="s">
        <v>1034</v>
      </c>
      <c r="AI586">
        <v>2</v>
      </c>
      <c r="AJ586" t="s">
        <v>354</v>
      </c>
      <c r="AL586" t="s">
        <v>1509</v>
      </c>
      <c r="AM586" t="s">
        <v>258</v>
      </c>
      <c r="AN586" t="s">
        <v>259</v>
      </c>
      <c r="AO586" t="s">
        <v>260</v>
      </c>
      <c r="AP586">
        <v>5</v>
      </c>
      <c r="AQ586" t="s">
        <v>504</v>
      </c>
      <c r="AT586" t="s">
        <v>288</v>
      </c>
      <c r="AU586">
        <v>41.8</v>
      </c>
      <c r="AV586" t="s">
        <v>289</v>
      </c>
      <c r="AW586">
        <v>67.400000000000006</v>
      </c>
      <c r="AX586" t="s">
        <v>262</v>
      </c>
      <c r="BO586" t="s">
        <v>504</v>
      </c>
      <c r="BR586" t="s">
        <v>288</v>
      </c>
      <c r="BS586">
        <v>4.1799999999999997E-2</v>
      </c>
      <c r="BT586" t="s">
        <v>289</v>
      </c>
      <c r="BU586">
        <v>6.7400000000000002E-2</v>
      </c>
      <c r="BV586" t="s">
        <v>263</v>
      </c>
      <c r="CM586" t="s">
        <v>264</v>
      </c>
      <c r="CN586" t="s">
        <v>264</v>
      </c>
      <c r="CP586" t="s">
        <v>265</v>
      </c>
      <c r="CQ586" t="s">
        <v>394</v>
      </c>
      <c r="DB586">
        <v>2</v>
      </c>
      <c r="DG586" t="s">
        <v>267</v>
      </c>
      <c r="DI586">
        <v>48</v>
      </c>
      <c r="DN586" t="s">
        <v>268</v>
      </c>
      <c r="DP586" t="s">
        <v>1510</v>
      </c>
      <c r="DR586">
        <v>136180</v>
      </c>
      <c r="DS586">
        <v>376</v>
      </c>
      <c r="DT586" t="s">
        <v>1511</v>
      </c>
      <c r="DV586">
        <v>48</v>
      </c>
      <c r="EA586" t="s">
        <v>268</v>
      </c>
      <c r="EC586">
        <v>2</v>
      </c>
      <c r="EH586" t="s">
        <v>267</v>
      </c>
      <c r="EJ586">
        <v>48</v>
      </c>
      <c r="EO586" t="s">
        <v>268</v>
      </c>
      <c r="EQ586">
        <v>2</v>
      </c>
      <c r="EV586" t="s">
        <v>267</v>
      </c>
      <c r="EW586" t="s">
        <v>1512</v>
      </c>
      <c r="EY586" t="s">
        <v>377</v>
      </c>
      <c r="EZ586">
        <v>10</v>
      </c>
      <c r="FA586" t="s">
        <v>1594</v>
      </c>
      <c r="FK586" t="s">
        <v>899</v>
      </c>
      <c r="FM586">
        <v>20</v>
      </c>
      <c r="FR586" t="s">
        <v>295</v>
      </c>
      <c r="GA586">
        <v>0.17</v>
      </c>
      <c r="GF586" t="s">
        <v>1514</v>
      </c>
      <c r="GH586">
        <v>0.24</v>
      </c>
      <c r="GM586" t="s">
        <v>1515</v>
      </c>
      <c r="GO586">
        <v>6.88</v>
      </c>
      <c r="GU586">
        <v>5</v>
      </c>
      <c r="GZ586" t="s">
        <v>296</v>
      </c>
      <c r="HH586" t="s">
        <v>883</v>
      </c>
      <c r="HJ586">
        <v>1.6</v>
      </c>
      <c r="HO586" t="s">
        <v>356</v>
      </c>
      <c r="ID586" t="s">
        <v>1516</v>
      </c>
      <c r="IE586" t="s">
        <v>1517</v>
      </c>
      <c r="IF586">
        <v>166133</v>
      </c>
      <c r="IG586" t="s">
        <v>1518</v>
      </c>
      <c r="IH586" t="s">
        <v>1519</v>
      </c>
      <c r="II586">
        <v>2013</v>
      </c>
      <c r="IJ586" t="s">
        <v>1520</v>
      </c>
    </row>
    <row r="587" spans="1:244" x14ac:dyDescent="0.45">
      <c r="A587">
        <v>1312987</v>
      </c>
      <c r="B587">
        <v>770483</v>
      </c>
      <c r="C587">
        <v>7447394</v>
      </c>
      <c r="D587" t="s">
        <v>1162</v>
      </c>
      <c r="F587" t="s">
        <v>861</v>
      </c>
      <c r="G587" t="s">
        <v>246</v>
      </c>
      <c r="N587" t="s">
        <v>829</v>
      </c>
      <c r="O587" t="s">
        <v>631</v>
      </c>
      <c r="P587" t="s">
        <v>249</v>
      </c>
      <c r="Q587" t="s">
        <v>250</v>
      </c>
      <c r="R587" t="s">
        <v>251</v>
      </c>
      <c r="T587" t="s">
        <v>389</v>
      </c>
      <c r="U587" t="s">
        <v>632</v>
      </c>
      <c r="V587" t="s">
        <v>830</v>
      </c>
      <c r="W587" t="s">
        <v>831</v>
      </c>
      <c r="X587" t="s">
        <v>832</v>
      </c>
      <c r="Z587" t="s">
        <v>525</v>
      </c>
      <c r="AA587" t="s">
        <v>515</v>
      </c>
      <c r="AB587">
        <v>1</v>
      </c>
      <c r="AG587" t="s">
        <v>267</v>
      </c>
      <c r="AM587" t="s">
        <v>317</v>
      </c>
      <c r="AN587" t="s">
        <v>259</v>
      </c>
      <c r="AO587" t="s">
        <v>260</v>
      </c>
      <c r="AP587">
        <v>7</v>
      </c>
      <c r="AQ587" t="s">
        <v>504</v>
      </c>
      <c r="AS587">
        <v>166</v>
      </c>
      <c r="AU587">
        <v>154</v>
      </c>
      <c r="AW587">
        <v>179</v>
      </c>
      <c r="AX587" t="s">
        <v>262</v>
      </c>
      <c r="BO587" t="s">
        <v>504</v>
      </c>
      <c r="BQ587">
        <v>0.16600000000000001</v>
      </c>
      <c r="BS587">
        <v>0.154</v>
      </c>
      <c r="BU587">
        <v>0.17899999999999999</v>
      </c>
      <c r="BV587" t="s">
        <v>263</v>
      </c>
      <c r="CM587" t="s">
        <v>264</v>
      </c>
      <c r="CN587" t="s">
        <v>264</v>
      </c>
      <c r="CP587" t="s">
        <v>265</v>
      </c>
      <c r="CQ587" t="s">
        <v>394</v>
      </c>
      <c r="DB587">
        <v>4</v>
      </c>
      <c r="DG587" t="s">
        <v>267</v>
      </c>
      <c r="DI587">
        <v>96</v>
      </c>
      <c r="DN587" t="s">
        <v>268</v>
      </c>
      <c r="DP587" t="s">
        <v>1234</v>
      </c>
      <c r="DR587">
        <v>88015</v>
      </c>
      <c r="DS587">
        <v>649</v>
      </c>
      <c r="DT587" t="s">
        <v>1502</v>
      </c>
      <c r="EW587" t="s">
        <v>293</v>
      </c>
      <c r="FK587" t="s">
        <v>1598</v>
      </c>
      <c r="FO587">
        <v>24.9</v>
      </c>
      <c r="FQ587">
        <v>25.2</v>
      </c>
      <c r="FR587" t="s">
        <v>295</v>
      </c>
      <c r="FV587">
        <v>2080</v>
      </c>
      <c r="FX587">
        <v>2160</v>
      </c>
      <c r="FY587" t="s">
        <v>356</v>
      </c>
      <c r="GA587">
        <v>19</v>
      </c>
      <c r="GF587" t="s">
        <v>356</v>
      </c>
      <c r="GJ587">
        <v>7.81</v>
      </c>
      <c r="GL587">
        <v>8.31</v>
      </c>
      <c r="GM587" t="s">
        <v>356</v>
      </c>
      <c r="GQ587">
        <v>8.1199999999999992</v>
      </c>
      <c r="GS587">
        <v>8.4499999999999993</v>
      </c>
      <c r="GU587">
        <v>10</v>
      </c>
      <c r="GZ587" t="s">
        <v>296</v>
      </c>
      <c r="HH587" t="s">
        <v>883</v>
      </c>
      <c r="HL587">
        <v>8.6</v>
      </c>
      <c r="HN587">
        <v>9.3800000000000008</v>
      </c>
      <c r="HO587" t="s">
        <v>356</v>
      </c>
      <c r="ID587" t="s">
        <v>1599</v>
      </c>
      <c r="IE587" t="s">
        <v>1505</v>
      </c>
      <c r="IF587">
        <v>107036</v>
      </c>
      <c r="IG587" t="s">
        <v>1506</v>
      </c>
      <c r="IH587" t="s">
        <v>1507</v>
      </c>
      <c r="II587">
        <v>2008</v>
      </c>
      <c r="IJ587" t="s">
        <v>1508</v>
      </c>
    </row>
    <row r="588" spans="1:244" x14ac:dyDescent="0.45">
      <c r="A588">
        <v>1193934</v>
      </c>
      <c r="B588">
        <v>181507</v>
      </c>
      <c r="C588">
        <v>7447394</v>
      </c>
      <c r="D588" t="s">
        <v>1162</v>
      </c>
      <c r="F588" t="s">
        <v>245</v>
      </c>
      <c r="G588" t="s">
        <v>246</v>
      </c>
      <c r="N588" t="s">
        <v>630</v>
      </c>
      <c r="O588" t="s">
        <v>631</v>
      </c>
      <c r="P588" t="s">
        <v>249</v>
      </c>
      <c r="Q588" t="s">
        <v>250</v>
      </c>
      <c r="R588" t="s">
        <v>251</v>
      </c>
      <c r="T588" t="s">
        <v>389</v>
      </c>
      <c r="U588" t="s">
        <v>632</v>
      </c>
      <c r="V588" t="s">
        <v>633</v>
      </c>
      <c r="W588" t="s">
        <v>634</v>
      </c>
      <c r="X588" t="s">
        <v>635</v>
      </c>
      <c r="AM588" t="s">
        <v>317</v>
      </c>
      <c r="AN588" t="s">
        <v>259</v>
      </c>
      <c r="AO588" t="s">
        <v>260</v>
      </c>
      <c r="AQ588" t="s">
        <v>261</v>
      </c>
      <c r="AS588">
        <v>10</v>
      </c>
      <c r="AX588" t="s">
        <v>262</v>
      </c>
      <c r="BO588" t="s">
        <v>261</v>
      </c>
      <c r="BQ588">
        <v>0.01</v>
      </c>
      <c r="BV588" t="s">
        <v>263</v>
      </c>
      <c r="CM588" t="s">
        <v>264</v>
      </c>
      <c r="CN588" t="s">
        <v>264</v>
      </c>
      <c r="CP588" t="s">
        <v>265</v>
      </c>
      <c r="CQ588" t="s">
        <v>394</v>
      </c>
      <c r="DB588">
        <v>4</v>
      </c>
      <c r="DG588" t="s">
        <v>267</v>
      </c>
      <c r="DI588">
        <v>96</v>
      </c>
      <c r="DN588" t="s">
        <v>268</v>
      </c>
      <c r="DR588">
        <v>136180</v>
      </c>
      <c r="DS588">
        <v>376</v>
      </c>
      <c r="EW588" t="s">
        <v>293</v>
      </c>
      <c r="FO588">
        <v>13</v>
      </c>
      <c r="FQ588">
        <v>14</v>
      </c>
      <c r="FR588" t="s">
        <v>295</v>
      </c>
      <c r="GJ588">
        <v>7.5</v>
      </c>
      <c r="GL588">
        <v>8</v>
      </c>
      <c r="GM588" t="s">
        <v>356</v>
      </c>
      <c r="GQ588">
        <v>7.7</v>
      </c>
      <c r="GS588">
        <v>8.1</v>
      </c>
      <c r="GW588">
        <v>33</v>
      </c>
      <c r="GY588">
        <v>34</v>
      </c>
      <c r="GZ588" t="s">
        <v>296</v>
      </c>
      <c r="HH588" t="s">
        <v>272</v>
      </c>
      <c r="IE588" t="s">
        <v>1391</v>
      </c>
      <c r="IF588">
        <v>17398</v>
      </c>
      <c r="IG588" t="s">
        <v>1392</v>
      </c>
      <c r="IH588" t="s">
        <v>1393</v>
      </c>
      <c r="II588">
        <v>1989</v>
      </c>
      <c r="IJ588" t="s">
        <v>1394</v>
      </c>
    </row>
    <row r="589" spans="1:244" x14ac:dyDescent="0.45">
      <c r="A589">
        <v>1155957</v>
      </c>
      <c r="B589">
        <v>134621</v>
      </c>
      <c r="C589">
        <v>7447394</v>
      </c>
      <c r="D589" t="s">
        <v>1162</v>
      </c>
      <c r="F589" t="s">
        <v>245</v>
      </c>
      <c r="G589" t="s">
        <v>246</v>
      </c>
      <c r="I589">
        <v>99.9</v>
      </c>
      <c r="N589" t="s">
        <v>369</v>
      </c>
      <c r="O589" t="s">
        <v>370</v>
      </c>
      <c r="P589" t="s">
        <v>249</v>
      </c>
      <c r="Q589" t="s">
        <v>250</v>
      </c>
      <c r="R589" t="s">
        <v>251</v>
      </c>
      <c r="T589" t="s">
        <v>252</v>
      </c>
      <c r="U589" t="s">
        <v>371</v>
      </c>
      <c r="V589" t="s">
        <v>372</v>
      </c>
      <c r="W589" t="s">
        <v>373</v>
      </c>
      <c r="X589" t="s">
        <v>374</v>
      </c>
      <c r="Z589" t="s">
        <v>649</v>
      </c>
      <c r="AA589" t="s">
        <v>352</v>
      </c>
      <c r="AB589">
        <v>24</v>
      </c>
      <c r="AG589" t="s">
        <v>268</v>
      </c>
      <c r="AM589" t="s">
        <v>317</v>
      </c>
      <c r="AN589" t="s">
        <v>259</v>
      </c>
      <c r="AO589" t="s">
        <v>260</v>
      </c>
      <c r="AQ589" t="s">
        <v>261</v>
      </c>
      <c r="AS589">
        <v>153</v>
      </c>
      <c r="AU589">
        <v>134</v>
      </c>
      <c r="AW589">
        <v>175</v>
      </c>
      <c r="AX589" t="s">
        <v>262</v>
      </c>
      <c r="BO589" t="s">
        <v>261</v>
      </c>
      <c r="BQ589">
        <v>0.153</v>
      </c>
      <c r="BS589">
        <v>0.13400000000000001</v>
      </c>
      <c r="BU589">
        <v>0.17499999999999999</v>
      </c>
      <c r="BV589" t="s">
        <v>263</v>
      </c>
      <c r="CM589" t="s">
        <v>264</v>
      </c>
      <c r="CN589" t="s">
        <v>264</v>
      </c>
      <c r="CP589" t="s">
        <v>265</v>
      </c>
      <c r="CQ589" t="s">
        <v>394</v>
      </c>
      <c r="DB589">
        <v>4</v>
      </c>
      <c r="DG589" t="s">
        <v>267</v>
      </c>
      <c r="DI589">
        <v>96</v>
      </c>
      <c r="DN589" t="s">
        <v>268</v>
      </c>
      <c r="DO589" t="s">
        <v>1587</v>
      </c>
      <c r="DQ589" t="s">
        <v>1588</v>
      </c>
      <c r="DR589">
        <v>110441</v>
      </c>
      <c r="DS589">
        <v>142</v>
      </c>
      <c r="DT589" t="s">
        <v>1589</v>
      </c>
      <c r="EW589" t="s">
        <v>333</v>
      </c>
      <c r="FM589">
        <v>25</v>
      </c>
      <c r="FR589" t="s">
        <v>295</v>
      </c>
      <c r="GJ589">
        <v>4.3</v>
      </c>
      <c r="GL589">
        <v>5.9</v>
      </c>
      <c r="GM589" t="s">
        <v>356</v>
      </c>
      <c r="GQ589">
        <v>7.8</v>
      </c>
      <c r="GS589">
        <v>8.1</v>
      </c>
      <c r="GU589">
        <v>25</v>
      </c>
      <c r="GZ589" t="s">
        <v>296</v>
      </c>
      <c r="HH589" t="s">
        <v>272</v>
      </c>
      <c r="IE589" t="s">
        <v>1590</v>
      </c>
      <c r="IF589">
        <v>13513</v>
      </c>
      <c r="IG589" t="s">
        <v>1591</v>
      </c>
      <c r="IH589" t="s">
        <v>1592</v>
      </c>
      <c r="II589">
        <v>1994</v>
      </c>
      <c r="IJ589" t="s">
        <v>1593</v>
      </c>
    </row>
    <row r="590" spans="1:244" x14ac:dyDescent="0.45">
      <c r="A590">
        <v>1312980</v>
      </c>
      <c r="B590">
        <v>770476</v>
      </c>
      <c r="C590">
        <v>7447394</v>
      </c>
      <c r="D590" t="s">
        <v>1162</v>
      </c>
      <c r="F590" t="s">
        <v>861</v>
      </c>
      <c r="G590" t="s">
        <v>246</v>
      </c>
      <c r="N590" t="s">
        <v>829</v>
      </c>
      <c r="O590" t="s">
        <v>631</v>
      </c>
      <c r="P590" t="s">
        <v>249</v>
      </c>
      <c r="Q590" t="s">
        <v>250</v>
      </c>
      <c r="R590" t="s">
        <v>251</v>
      </c>
      <c r="T590" t="s">
        <v>389</v>
      </c>
      <c r="U590" t="s">
        <v>632</v>
      </c>
      <c r="V590" t="s">
        <v>830</v>
      </c>
      <c r="W590" t="s">
        <v>831</v>
      </c>
      <c r="X590" t="s">
        <v>832</v>
      </c>
      <c r="Z590" t="s">
        <v>525</v>
      </c>
      <c r="AA590" t="s">
        <v>515</v>
      </c>
      <c r="AB590">
        <v>1</v>
      </c>
      <c r="AG590" t="s">
        <v>267</v>
      </c>
      <c r="AM590" t="s">
        <v>317</v>
      </c>
      <c r="AN590" t="s">
        <v>259</v>
      </c>
      <c r="AO590" t="s">
        <v>260</v>
      </c>
      <c r="AP590">
        <v>7</v>
      </c>
      <c r="AQ590" t="s">
        <v>504</v>
      </c>
      <c r="AS590">
        <v>67.599999999999994</v>
      </c>
      <c r="AU590">
        <v>55.1</v>
      </c>
      <c r="AW590">
        <v>82.9</v>
      </c>
      <c r="AX590" t="s">
        <v>262</v>
      </c>
      <c r="BO590" t="s">
        <v>504</v>
      </c>
      <c r="BQ590">
        <v>6.7599999999999993E-2</v>
      </c>
      <c r="BS590">
        <v>5.5100000000000003E-2</v>
      </c>
      <c r="BU590">
        <v>8.2900000000000001E-2</v>
      </c>
      <c r="BV590" t="s">
        <v>263</v>
      </c>
      <c r="CM590" t="s">
        <v>264</v>
      </c>
      <c r="CN590" t="s">
        <v>264</v>
      </c>
      <c r="CP590" t="s">
        <v>265</v>
      </c>
      <c r="CQ590" t="s">
        <v>394</v>
      </c>
      <c r="DB590">
        <v>4</v>
      </c>
      <c r="DG590" t="s">
        <v>267</v>
      </c>
      <c r="DI590">
        <v>96</v>
      </c>
      <c r="DN590" t="s">
        <v>268</v>
      </c>
      <c r="DP590" t="s">
        <v>1234</v>
      </c>
      <c r="DR590">
        <v>88015</v>
      </c>
      <c r="DS590">
        <v>649</v>
      </c>
      <c r="DT590" t="s">
        <v>1502</v>
      </c>
      <c r="EW590" t="s">
        <v>293</v>
      </c>
      <c r="FK590" t="s">
        <v>1600</v>
      </c>
      <c r="FO590">
        <v>24.5</v>
      </c>
      <c r="FQ590">
        <v>25.2</v>
      </c>
      <c r="FR590" t="s">
        <v>295</v>
      </c>
      <c r="FV590">
        <v>1776</v>
      </c>
      <c r="FX590">
        <v>1872</v>
      </c>
      <c r="FY590" t="s">
        <v>356</v>
      </c>
      <c r="GC590">
        <v>54</v>
      </c>
      <c r="GE590">
        <v>68.5</v>
      </c>
      <c r="GF590" t="s">
        <v>356</v>
      </c>
      <c r="GJ590">
        <v>7.18</v>
      </c>
      <c r="GL590">
        <v>8.49</v>
      </c>
      <c r="GM590" t="s">
        <v>356</v>
      </c>
      <c r="GQ590">
        <v>8.25</v>
      </c>
      <c r="GS590">
        <v>8.6300000000000008</v>
      </c>
      <c r="GU590">
        <v>15</v>
      </c>
      <c r="GZ590" t="s">
        <v>296</v>
      </c>
      <c r="HH590" t="s">
        <v>883</v>
      </c>
      <c r="HL590">
        <v>2</v>
      </c>
      <c r="HN590">
        <v>2.2000000000000002</v>
      </c>
      <c r="HO590" t="s">
        <v>356</v>
      </c>
      <c r="ID590" t="s">
        <v>1601</v>
      </c>
      <c r="IE590" t="s">
        <v>1505</v>
      </c>
      <c r="IF590">
        <v>107036</v>
      </c>
      <c r="IG590" t="s">
        <v>1506</v>
      </c>
      <c r="IH590" t="s">
        <v>1507</v>
      </c>
      <c r="II590">
        <v>2008</v>
      </c>
      <c r="IJ590" t="s">
        <v>1508</v>
      </c>
    </row>
    <row r="591" spans="1:244" x14ac:dyDescent="0.45">
      <c r="A591">
        <v>1151418</v>
      </c>
      <c r="B591">
        <v>83987</v>
      </c>
      <c r="C591">
        <v>7487947</v>
      </c>
      <c r="D591" t="s">
        <v>1602</v>
      </c>
      <c r="F591" t="s">
        <v>327</v>
      </c>
      <c r="G591" t="s">
        <v>246</v>
      </c>
      <c r="N591" t="s">
        <v>1064</v>
      </c>
      <c r="O591" t="s">
        <v>1065</v>
      </c>
      <c r="P591" t="s">
        <v>249</v>
      </c>
      <c r="Q591" t="s">
        <v>250</v>
      </c>
      <c r="R591" t="s">
        <v>251</v>
      </c>
      <c r="T591" t="s">
        <v>252</v>
      </c>
      <c r="U591" t="s">
        <v>253</v>
      </c>
      <c r="V591" t="s">
        <v>304</v>
      </c>
      <c r="W591" t="s">
        <v>1066</v>
      </c>
      <c r="X591" t="s">
        <v>1067</v>
      </c>
      <c r="Z591" t="s">
        <v>284</v>
      </c>
      <c r="AB591">
        <v>5</v>
      </c>
      <c r="AG591" t="s">
        <v>598</v>
      </c>
      <c r="AM591" t="s">
        <v>317</v>
      </c>
      <c r="AN591" t="s">
        <v>259</v>
      </c>
      <c r="AO591" t="s">
        <v>260</v>
      </c>
      <c r="AQ591" t="s">
        <v>261</v>
      </c>
      <c r="AS591">
        <v>368</v>
      </c>
      <c r="AX591" t="s">
        <v>262</v>
      </c>
      <c r="BO591" t="s">
        <v>261</v>
      </c>
      <c r="BQ591">
        <v>0.36799999999999999</v>
      </c>
      <c r="BV591" t="s">
        <v>263</v>
      </c>
      <c r="CM591" t="s">
        <v>264</v>
      </c>
      <c r="CN591" t="s">
        <v>264</v>
      </c>
      <c r="CP591" t="s">
        <v>265</v>
      </c>
      <c r="CQ591" t="s">
        <v>266</v>
      </c>
      <c r="DB591">
        <v>1</v>
      </c>
      <c r="DG591" t="s">
        <v>267</v>
      </c>
      <c r="DI591">
        <v>24</v>
      </c>
      <c r="DN591" t="s">
        <v>268</v>
      </c>
      <c r="DP591" t="s">
        <v>1603</v>
      </c>
      <c r="DR591">
        <v>79674</v>
      </c>
      <c r="DS591">
        <v>648</v>
      </c>
      <c r="DT591" t="s">
        <v>1604</v>
      </c>
      <c r="EW591" t="s">
        <v>333</v>
      </c>
      <c r="FO591">
        <v>25.5</v>
      </c>
      <c r="FQ591">
        <v>27</v>
      </c>
      <c r="FR591" t="s">
        <v>295</v>
      </c>
      <c r="FT591">
        <v>400</v>
      </c>
      <c r="FY591" t="s">
        <v>572</v>
      </c>
      <c r="GJ591">
        <v>7</v>
      </c>
      <c r="GL591">
        <v>8</v>
      </c>
      <c r="GM591" t="s">
        <v>356</v>
      </c>
      <c r="GQ591">
        <v>7.5</v>
      </c>
      <c r="GS591">
        <v>8.5</v>
      </c>
      <c r="GU591">
        <v>12</v>
      </c>
      <c r="GZ591" t="s">
        <v>296</v>
      </c>
      <c r="HH591" t="s">
        <v>272</v>
      </c>
      <c r="IE591" t="s">
        <v>1605</v>
      </c>
      <c r="IF591">
        <v>12953</v>
      </c>
      <c r="IG591" t="s">
        <v>1606</v>
      </c>
      <c r="IH591" t="s">
        <v>1607</v>
      </c>
      <c r="II591">
        <v>1985</v>
      </c>
      <c r="IJ591" t="s">
        <v>1608</v>
      </c>
    </row>
    <row r="592" spans="1:244" x14ac:dyDescent="0.45">
      <c r="A592">
        <v>1111789</v>
      </c>
      <c r="B592">
        <v>29510</v>
      </c>
      <c r="C592">
        <v>7487947</v>
      </c>
      <c r="D592" t="s">
        <v>1602</v>
      </c>
      <c r="F592" t="s">
        <v>245</v>
      </c>
      <c r="G592" t="s">
        <v>246</v>
      </c>
      <c r="N592" t="s">
        <v>1609</v>
      </c>
      <c r="O592" t="s">
        <v>1610</v>
      </c>
      <c r="P592" t="s">
        <v>249</v>
      </c>
      <c r="Q592" t="s">
        <v>250</v>
      </c>
      <c r="R592" t="s">
        <v>251</v>
      </c>
      <c r="T592" t="s">
        <v>252</v>
      </c>
      <c r="U592" t="s">
        <v>253</v>
      </c>
      <c r="V592" t="s">
        <v>1611</v>
      </c>
      <c r="W592" t="s">
        <v>1612</v>
      </c>
      <c r="X592" t="s">
        <v>1613</v>
      </c>
      <c r="AM592" t="s">
        <v>317</v>
      </c>
      <c r="AN592" t="s">
        <v>259</v>
      </c>
      <c r="AO592" t="s">
        <v>260</v>
      </c>
      <c r="AQ592" t="s">
        <v>261</v>
      </c>
      <c r="AS592">
        <v>64</v>
      </c>
      <c r="AX592" t="s">
        <v>262</v>
      </c>
      <c r="BO592" t="s">
        <v>261</v>
      </c>
      <c r="BQ592">
        <v>6.4000000000000001E-2</v>
      </c>
      <c r="BV592" t="s">
        <v>263</v>
      </c>
      <c r="CM592" t="s">
        <v>264</v>
      </c>
      <c r="CN592" t="s">
        <v>264</v>
      </c>
      <c r="CP592" t="s">
        <v>265</v>
      </c>
      <c r="CQ592" t="s">
        <v>266</v>
      </c>
      <c r="DB592">
        <v>4</v>
      </c>
      <c r="DG592" t="s">
        <v>267</v>
      </c>
      <c r="DI592">
        <v>96</v>
      </c>
      <c r="DN592" t="s">
        <v>268</v>
      </c>
      <c r="DR592">
        <v>84662</v>
      </c>
      <c r="DS592">
        <v>1296</v>
      </c>
      <c r="DT592" t="s">
        <v>1614</v>
      </c>
      <c r="EW592" t="s">
        <v>333</v>
      </c>
      <c r="FA592" t="s">
        <v>1615</v>
      </c>
      <c r="FK592" t="s">
        <v>1616</v>
      </c>
      <c r="FO592">
        <v>20</v>
      </c>
      <c r="FQ592">
        <v>22</v>
      </c>
      <c r="FR592" t="s">
        <v>295</v>
      </c>
      <c r="GQ592">
        <v>8</v>
      </c>
      <c r="GS592">
        <v>8.4</v>
      </c>
      <c r="GU592">
        <v>21</v>
      </c>
      <c r="GZ592" t="s">
        <v>296</v>
      </c>
      <c r="HH592" t="s">
        <v>272</v>
      </c>
      <c r="ID592" t="s">
        <v>1617</v>
      </c>
      <c r="IE592" t="s">
        <v>1618</v>
      </c>
      <c r="IF592">
        <v>8436</v>
      </c>
      <c r="IG592" t="s">
        <v>1619</v>
      </c>
      <c r="IH592" t="s">
        <v>1620</v>
      </c>
      <c r="II592">
        <v>1974</v>
      </c>
      <c r="IJ592" t="s">
        <v>1621</v>
      </c>
    </row>
    <row r="593" spans="1:244" x14ac:dyDescent="0.45">
      <c r="A593">
        <v>2170783</v>
      </c>
      <c r="B593">
        <v>2336412</v>
      </c>
      <c r="C593">
        <v>7487947</v>
      </c>
      <c r="D593" t="s">
        <v>1602</v>
      </c>
      <c r="E593" t="s">
        <v>415</v>
      </c>
      <c r="F593" t="s">
        <v>245</v>
      </c>
      <c r="G593" t="s">
        <v>272</v>
      </c>
      <c r="N593" t="s">
        <v>416</v>
      </c>
      <c r="O593" t="s">
        <v>417</v>
      </c>
      <c r="P593" t="s">
        <v>249</v>
      </c>
      <c r="Q593" t="s">
        <v>250</v>
      </c>
      <c r="R593" t="s">
        <v>251</v>
      </c>
      <c r="T593" t="s">
        <v>252</v>
      </c>
      <c r="U593" t="s">
        <v>253</v>
      </c>
      <c r="V593" t="s">
        <v>418</v>
      </c>
      <c r="W593" t="s">
        <v>419</v>
      </c>
      <c r="X593" t="s">
        <v>420</v>
      </c>
      <c r="AJ593" t="s">
        <v>285</v>
      </c>
      <c r="AL593" t="s">
        <v>1622</v>
      </c>
      <c r="AM593" t="s">
        <v>287</v>
      </c>
      <c r="AN593" t="s">
        <v>259</v>
      </c>
      <c r="AO593" t="s">
        <v>260</v>
      </c>
      <c r="AP593">
        <v>6</v>
      </c>
      <c r="AQ593" t="s">
        <v>261</v>
      </c>
      <c r="AS593">
        <v>4.1000000000000002E-2</v>
      </c>
      <c r="AU593">
        <v>3.5999999999999997E-2</v>
      </c>
      <c r="AW593">
        <v>4.3999999999999997E-2</v>
      </c>
      <c r="AX593" t="s">
        <v>356</v>
      </c>
      <c r="BO593" t="s">
        <v>261</v>
      </c>
      <c r="BQ593">
        <v>4.1000000000000002E-2</v>
      </c>
      <c r="BS593">
        <v>3.5999999999999997E-2</v>
      </c>
      <c r="BU593">
        <v>4.3999999999999997E-2</v>
      </c>
      <c r="BV593" t="s">
        <v>263</v>
      </c>
      <c r="CM593" t="s">
        <v>264</v>
      </c>
      <c r="CN593" t="s">
        <v>264</v>
      </c>
      <c r="CP593" t="s">
        <v>265</v>
      </c>
      <c r="CQ593" t="s">
        <v>266</v>
      </c>
      <c r="DB593">
        <v>1</v>
      </c>
      <c r="DG593" t="s">
        <v>267</v>
      </c>
      <c r="DI593">
        <v>24</v>
      </c>
      <c r="DN593" t="s">
        <v>268</v>
      </c>
      <c r="DS593">
        <v>1009</v>
      </c>
      <c r="DV593">
        <v>96</v>
      </c>
      <c r="EA593" t="s">
        <v>268</v>
      </c>
      <c r="EC593">
        <v>4</v>
      </c>
      <c r="EH593" t="s">
        <v>267</v>
      </c>
      <c r="EJ593">
        <v>96</v>
      </c>
      <c r="EO593" t="s">
        <v>268</v>
      </c>
      <c r="EQ593">
        <v>4</v>
      </c>
      <c r="EV593" t="s">
        <v>267</v>
      </c>
      <c r="EW593" t="s">
        <v>293</v>
      </c>
      <c r="EZ593">
        <v>10</v>
      </c>
      <c r="FM593">
        <v>24.1</v>
      </c>
      <c r="FR593" t="s">
        <v>295</v>
      </c>
      <c r="GG593" t="s">
        <v>288</v>
      </c>
      <c r="GH593">
        <v>60</v>
      </c>
      <c r="GM593" t="s">
        <v>900</v>
      </c>
      <c r="GO593">
        <v>6.8</v>
      </c>
      <c r="GU593">
        <v>25</v>
      </c>
      <c r="GZ593" t="s">
        <v>296</v>
      </c>
      <c r="HH593" t="s">
        <v>272</v>
      </c>
      <c r="ID593" t="s">
        <v>1623</v>
      </c>
      <c r="IE593" t="s">
        <v>1624</v>
      </c>
      <c r="IF593">
        <v>172254</v>
      </c>
      <c r="IG593" t="s">
        <v>1625</v>
      </c>
      <c r="IH593" t="s">
        <v>1626</v>
      </c>
      <c r="II593">
        <v>2002</v>
      </c>
      <c r="IJ593" t="s">
        <v>1627</v>
      </c>
    </row>
    <row r="594" spans="1:244" x14ac:dyDescent="0.45">
      <c r="A594">
        <v>1071199</v>
      </c>
      <c r="B594">
        <v>22981</v>
      </c>
      <c r="C594">
        <v>7487947</v>
      </c>
      <c r="D594" t="s">
        <v>1602</v>
      </c>
      <c r="E594" t="s">
        <v>439</v>
      </c>
      <c r="F594" t="s">
        <v>327</v>
      </c>
      <c r="G594" t="s">
        <v>246</v>
      </c>
      <c r="N594" t="s">
        <v>1492</v>
      </c>
      <c r="O594" t="s">
        <v>1493</v>
      </c>
      <c r="P594" t="s">
        <v>249</v>
      </c>
      <c r="Q594" t="s">
        <v>250</v>
      </c>
      <c r="R594" t="s">
        <v>251</v>
      </c>
      <c r="T594" t="s">
        <v>252</v>
      </c>
      <c r="U594" t="s">
        <v>253</v>
      </c>
      <c r="V594" t="s">
        <v>281</v>
      </c>
      <c r="W594" t="s">
        <v>282</v>
      </c>
      <c r="X594" t="s">
        <v>1494</v>
      </c>
      <c r="Z594" t="s">
        <v>1046</v>
      </c>
      <c r="AB594">
        <v>1</v>
      </c>
      <c r="AG594" t="s">
        <v>598</v>
      </c>
      <c r="AM594" t="s">
        <v>317</v>
      </c>
      <c r="AN594" t="s">
        <v>259</v>
      </c>
      <c r="AO594" t="s">
        <v>260</v>
      </c>
      <c r="AQ594" t="s">
        <v>261</v>
      </c>
      <c r="AS594">
        <v>21.1</v>
      </c>
      <c r="AX594" t="s">
        <v>262</v>
      </c>
      <c r="BO594" t="s">
        <v>261</v>
      </c>
      <c r="BQ594">
        <v>2.1100000000000001E-2</v>
      </c>
      <c r="BV594" t="s">
        <v>263</v>
      </c>
      <c r="CM594" t="s">
        <v>264</v>
      </c>
      <c r="CN594" t="s">
        <v>264</v>
      </c>
      <c r="CP594" t="s">
        <v>265</v>
      </c>
      <c r="DB594">
        <v>2</v>
      </c>
      <c r="DG594" t="s">
        <v>267</v>
      </c>
      <c r="DI594">
        <v>48</v>
      </c>
      <c r="DN594" t="s">
        <v>268</v>
      </c>
      <c r="DR594">
        <v>29965</v>
      </c>
      <c r="DS594">
        <v>339</v>
      </c>
      <c r="DT594" t="s">
        <v>1628</v>
      </c>
      <c r="EW594" t="s">
        <v>293</v>
      </c>
      <c r="FA594" t="s">
        <v>1629</v>
      </c>
      <c r="FM594">
        <v>15</v>
      </c>
      <c r="FR594" t="s">
        <v>295</v>
      </c>
      <c r="GJ594">
        <v>6.5</v>
      </c>
      <c r="GL594">
        <v>8</v>
      </c>
      <c r="GM594" t="s">
        <v>356</v>
      </c>
      <c r="GO594">
        <v>8.1</v>
      </c>
      <c r="GU594">
        <v>33.79</v>
      </c>
      <c r="GZ594" t="s">
        <v>296</v>
      </c>
      <c r="HH594" t="s">
        <v>272</v>
      </c>
      <c r="IE594" t="s">
        <v>1630</v>
      </c>
      <c r="IF594">
        <v>5603</v>
      </c>
      <c r="IG594" t="s">
        <v>1631</v>
      </c>
      <c r="IH594" t="s">
        <v>1632</v>
      </c>
      <c r="II594">
        <v>1978</v>
      </c>
      <c r="IJ594" t="s">
        <v>1633</v>
      </c>
    </row>
    <row r="595" spans="1:244" x14ac:dyDescent="0.45">
      <c r="A595">
        <v>1297228</v>
      </c>
      <c r="B595">
        <v>752587</v>
      </c>
      <c r="C595">
        <v>7487947</v>
      </c>
      <c r="D595" t="s">
        <v>1602</v>
      </c>
      <c r="F595" t="s">
        <v>245</v>
      </c>
      <c r="G595" t="s">
        <v>246</v>
      </c>
      <c r="N595" t="s">
        <v>892</v>
      </c>
      <c r="O595" t="s">
        <v>498</v>
      </c>
      <c r="P595" t="s">
        <v>249</v>
      </c>
      <c r="Q595" t="s">
        <v>250</v>
      </c>
      <c r="R595" t="s">
        <v>251</v>
      </c>
      <c r="T595" t="s">
        <v>252</v>
      </c>
      <c r="U595" t="s">
        <v>499</v>
      </c>
      <c r="V595" t="s">
        <v>500</v>
      </c>
      <c r="W595" t="s">
        <v>893</v>
      </c>
      <c r="X595" t="s">
        <v>894</v>
      </c>
      <c r="Z595" t="s">
        <v>1248</v>
      </c>
      <c r="AL595" t="s">
        <v>1249</v>
      </c>
      <c r="AM595" t="s">
        <v>317</v>
      </c>
      <c r="AN595" t="s">
        <v>259</v>
      </c>
      <c r="AO595" t="s">
        <v>260</v>
      </c>
      <c r="AP595">
        <v>6</v>
      </c>
      <c r="AQ595" t="s">
        <v>261</v>
      </c>
      <c r="AS595">
        <v>0.01</v>
      </c>
      <c r="AU595">
        <v>0.01</v>
      </c>
      <c r="AW595">
        <v>0.01</v>
      </c>
      <c r="AX595" t="s">
        <v>356</v>
      </c>
      <c r="BO595" t="s">
        <v>261</v>
      </c>
      <c r="BQ595">
        <v>0.01</v>
      </c>
      <c r="BS595">
        <v>0.01</v>
      </c>
      <c r="BU595">
        <v>0.01</v>
      </c>
      <c r="BV595" t="s">
        <v>263</v>
      </c>
      <c r="CM595" t="s">
        <v>264</v>
      </c>
      <c r="CN595" t="s">
        <v>264</v>
      </c>
      <c r="CP595" t="s">
        <v>265</v>
      </c>
      <c r="CQ595" t="s">
        <v>266</v>
      </c>
      <c r="DB595">
        <v>4</v>
      </c>
      <c r="DG595" t="s">
        <v>267</v>
      </c>
      <c r="DI595">
        <v>96</v>
      </c>
      <c r="DN595" t="s">
        <v>268</v>
      </c>
      <c r="DP595" t="s">
        <v>1634</v>
      </c>
      <c r="DR595">
        <v>732107</v>
      </c>
      <c r="DS595">
        <v>427</v>
      </c>
      <c r="DT595" t="s">
        <v>1250</v>
      </c>
      <c r="EW595" t="s">
        <v>293</v>
      </c>
      <c r="FA595" t="s">
        <v>1222</v>
      </c>
      <c r="FK595" t="s">
        <v>1635</v>
      </c>
      <c r="FM595">
        <v>16</v>
      </c>
      <c r="FR595" t="s">
        <v>295</v>
      </c>
      <c r="HH595" t="s">
        <v>272</v>
      </c>
      <c r="ID595" t="s">
        <v>1636</v>
      </c>
      <c r="IE595" t="s">
        <v>1253</v>
      </c>
      <c r="IF595">
        <v>115536</v>
      </c>
      <c r="IG595" t="s">
        <v>1254</v>
      </c>
      <c r="IH595" t="s">
        <v>1255</v>
      </c>
      <c r="II595">
        <v>2007</v>
      </c>
      <c r="IJ595" t="s">
        <v>1256</v>
      </c>
    </row>
    <row r="596" spans="1:244" x14ac:dyDescent="0.45">
      <c r="A596">
        <v>1151410</v>
      </c>
      <c r="B596">
        <v>83977</v>
      </c>
      <c r="C596">
        <v>7487947</v>
      </c>
      <c r="D596" t="s">
        <v>1602</v>
      </c>
      <c r="F596" t="s">
        <v>327</v>
      </c>
      <c r="G596" t="s">
        <v>246</v>
      </c>
      <c r="N596" t="s">
        <v>1064</v>
      </c>
      <c r="O596" t="s">
        <v>1065</v>
      </c>
      <c r="P596" t="s">
        <v>249</v>
      </c>
      <c r="Q596" t="s">
        <v>250</v>
      </c>
      <c r="R596" t="s">
        <v>251</v>
      </c>
      <c r="T596" t="s">
        <v>252</v>
      </c>
      <c r="U596" t="s">
        <v>253</v>
      </c>
      <c r="V596" t="s">
        <v>304</v>
      </c>
      <c r="W596" t="s">
        <v>1066</v>
      </c>
      <c r="X596" t="s">
        <v>1067</v>
      </c>
      <c r="Z596" t="s">
        <v>284</v>
      </c>
      <c r="AB596">
        <v>3</v>
      </c>
      <c r="AG596" t="s">
        <v>598</v>
      </c>
      <c r="AM596" t="s">
        <v>317</v>
      </c>
      <c r="AN596" t="s">
        <v>259</v>
      </c>
      <c r="AO596" t="s">
        <v>260</v>
      </c>
      <c r="AQ596" t="s">
        <v>261</v>
      </c>
      <c r="AS596">
        <v>175</v>
      </c>
      <c r="AX596" t="s">
        <v>262</v>
      </c>
      <c r="BO596" t="s">
        <v>261</v>
      </c>
      <c r="BQ596">
        <v>0.17499999999999999</v>
      </c>
      <c r="BV596" t="s">
        <v>263</v>
      </c>
      <c r="CM596" t="s">
        <v>264</v>
      </c>
      <c r="CN596" t="s">
        <v>264</v>
      </c>
      <c r="CP596" t="s">
        <v>265</v>
      </c>
      <c r="CQ596" t="s">
        <v>266</v>
      </c>
      <c r="DB596">
        <v>2</v>
      </c>
      <c r="DG596" t="s">
        <v>267</v>
      </c>
      <c r="DI596">
        <v>48</v>
      </c>
      <c r="DN596" t="s">
        <v>268</v>
      </c>
      <c r="DP596" t="s">
        <v>1603</v>
      </c>
      <c r="DR596">
        <v>79674</v>
      </c>
      <c r="DS596">
        <v>648</v>
      </c>
      <c r="DT596" t="s">
        <v>1604</v>
      </c>
      <c r="EW596" t="s">
        <v>333</v>
      </c>
      <c r="FO596">
        <v>25.5</v>
      </c>
      <c r="FQ596">
        <v>27</v>
      </c>
      <c r="FR596" t="s">
        <v>295</v>
      </c>
      <c r="FT596">
        <v>400</v>
      </c>
      <c r="FY596" t="s">
        <v>572</v>
      </c>
      <c r="GJ596">
        <v>7</v>
      </c>
      <c r="GL596">
        <v>8</v>
      </c>
      <c r="GM596" t="s">
        <v>356</v>
      </c>
      <c r="GQ596">
        <v>7.5</v>
      </c>
      <c r="GS596">
        <v>8.5</v>
      </c>
      <c r="GU596">
        <v>12</v>
      </c>
      <c r="GZ596" t="s">
        <v>296</v>
      </c>
      <c r="HH596" t="s">
        <v>272</v>
      </c>
      <c r="IE596" t="s">
        <v>1605</v>
      </c>
      <c r="IF596">
        <v>12953</v>
      </c>
      <c r="IG596" t="s">
        <v>1606</v>
      </c>
      <c r="IH596" t="s">
        <v>1607</v>
      </c>
      <c r="II596">
        <v>1985</v>
      </c>
      <c r="IJ596" t="s">
        <v>1608</v>
      </c>
    </row>
    <row r="597" spans="1:244" x14ac:dyDescent="0.45">
      <c r="A597">
        <v>1151399</v>
      </c>
      <c r="B597">
        <v>83966</v>
      </c>
      <c r="C597">
        <v>7487947</v>
      </c>
      <c r="D597" t="s">
        <v>1602</v>
      </c>
      <c r="F597" t="s">
        <v>327</v>
      </c>
      <c r="G597" t="s">
        <v>246</v>
      </c>
      <c r="N597" t="s">
        <v>1064</v>
      </c>
      <c r="O597" t="s">
        <v>1065</v>
      </c>
      <c r="P597" t="s">
        <v>249</v>
      </c>
      <c r="Q597" t="s">
        <v>250</v>
      </c>
      <c r="R597" t="s">
        <v>251</v>
      </c>
      <c r="T597" t="s">
        <v>252</v>
      </c>
      <c r="U597" t="s">
        <v>253</v>
      </c>
      <c r="V597" t="s">
        <v>304</v>
      </c>
      <c r="W597" t="s">
        <v>1066</v>
      </c>
      <c r="X597" t="s">
        <v>1067</v>
      </c>
      <c r="Z597" t="s">
        <v>284</v>
      </c>
      <c r="AB597">
        <v>1</v>
      </c>
      <c r="AG597" t="s">
        <v>598</v>
      </c>
      <c r="AM597" t="s">
        <v>317</v>
      </c>
      <c r="AN597" t="s">
        <v>259</v>
      </c>
      <c r="AO597" t="s">
        <v>260</v>
      </c>
      <c r="AQ597" t="s">
        <v>261</v>
      </c>
      <c r="AS597">
        <v>115</v>
      </c>
      <c r="AX597" t="s">
        <v>262</v>
      </c>
      <c r="BO597" t="s">
        <v>261</v>
      </c>
      <c r="BQ597">
        <v>0.115</v>
      </c>
      <c r="BV597" t="s">
        <v>263</v>
      </c>
      <c r="CM597" t="s">
        <v>264</v>
      </c>
      <c r="CN597" t="s">
        <v>264</v>
      </c>
      <c r="CP597" t="s">
        <v>265</v>
      </c>
      <c r="CQ597" t="s">
        <v>266</v>
      </c>
      <c r="DB597">
        <v>1</v>
      </c>
      <c r="DG597" t="s">
        <v>267</v>
      </c>
      <c r="DI597">
        <v>24</v>
      </c>
      <c r="DN597" t="s">
        <v>268</v>
      </c>
      <c r="DP597" t="s">
        <v>1603</v>
      </c>
      <c r="DR597">
        <v>79674</v>
      </c>
      <c r="DS597">
        <v>648</v>
      </c>
      <c r="DT597" t="s">
        <v>1604</v>
      </c>
      <c r="EW597" t="s">
        <v>333</v>
      </c>
      <c r="FO597">
        <v>25.5</v>
      </c>
      <c r="FQ597">
        <v>27</v>
      </c>
      <c r="FR597" t="s">
        <v>295</v>
      </c>
      <c r="FT597">
        <v>400</v>
      </c>
      <c r="FY597" t="s">
        <v>572</v>
      </c>
      <c r="GJ597">
        <v>7</v>
      </c>
      <c r="GL597">
        <v>8</v>
      </c>
      <c r="GM597" t="s">
        <v>356</v>
      </c>
      <c r="GQ597">
        <v>7.5</v>
      </c>
      <c r="GS597">
        <v>8.5</v>
      </c>
      <c r="GU597">
        <v>12</v>
      </c>
      <c r="GZ597" t="s">
        <v>296</v>
      </c>
      <c r="HH597" t="s">
        <v>272</v>
      </c>
      <c r="IE597" t="s">
        <v>1605</v>
      </c>
      <c r="IF597">
        <v>12953</v>
      </c>
      <c r="IG597" t="s">
        <v>1606</v>
      </c>
      <c r="IH597" t="s">
        <v>1607</v>
      </c>
      <c r="II597">
        <v>1985</v>
      </c>
      <c r="IJ597" t="s">
        <v>1608</v>
      </c>
    </row>
    <row r="598" spans="1:244" x14ac:dyDescent="0.45">
      <c r="A598">
        <v>1151444</v>
      </c>
      <c r="B598">
        <v>84013</v>
      </c>
      <c r="C598">
        <v>7487947</v>
      </c>
      <c r="D598" t="s">
        <v>1602</v>
      </c>
      <c r="F598" t="s">
        <v>327</v>
      </c>
      <c r="G598" t="s">
        <v>246</v>
      </c>
      <c r="N598" t="s">
        <v>1064</v>
      </c>
      <c r="O598" t="s">
        <v>1065</v>
      </c>
      <c r="P598" t="s">
        <v>249</v>
      </c>
      <c r="Q598" t="s">
        <v>250</v>
      </c>
      <c r="R598" t="s">
        <v>251</v>
      </c>
      <c r="T598" t="s">
        <v>252</v>
      </c>
      <c r="U598" t="s">
        <v>253</v>
      </c>
      <c r="V598" t="s">
        <v>304</v>
      </c>
      <c r="W598" t="s">
        <v>1066</v>
      </c>
      <c r="X598" t="s">
        <v>1067</v>
      </c>
      <c r="Z598" t="s">
        <v>284</v>
      </c>
      <c r="AB598">
        <v>11</v>
      </c>
      <c r="AG598" t="s">
        <v>598</v>
      </c>
      <c r="AM598" t="s">
        <v>317</v>
      </c>
      <c r="AN598" t="s">
        <v>259</v>
      </c>
      <c r="AO598" t="s">
        <v>260</v>
      </c>
      <c r="AQ598" t="s">
        <v>261</v>
      </c>
      <c r="AS598">
        <v>400</v>
      </c>
      <c r="AX598" t="s">
        <v>262</v>
      </c>
      <c r="BO598" t="s">
        <v>261</v>
      </c>
      <c r="BQ598">
        <v>0.4</v>
      </c>
      <c r="BV598" t="s">
        <v>263</v>
      </c>
      <c r="CM598" t="s">
        <v>264</v>
      </c>
      <c r="CN598" t="s">
        <v>264</v>
      </c>
      <c r="CP598" t="s">
        <v>265</v>
      </c>
      <c r="CQ598" t="s">
        <v>266</v>
      </c>
      <c r="DB598">
        <v>3</v>
      </c>
      <c r="DG598" t="s">
        <v>267</v>
      </c>
      <c r="DI598">
        <v>72</v>
      </c>
      <c r="DN598" t="s">
        <v>268</v>
      </c>
      <c r="DP598" t="s">
        <v>1603</v>
      </c>
      <c r="DR598">
        <v>79674</v>
      </c>
      <c r="DS598">
        <v>648</v>
      </c>
      <c r="DT598" t="s">
        <v>1604</v>
      </c>
      <c r="EW598" t="s">
        <v>333</v>
      </c>
      <c r="FO598">
        <v>25.5</v>
      </c>
      <c r="FQ598">
        <v>27</v>
      </c>
      <c r="FR598" t="s">
        <v>295</v>
      </c>
      <c r="FT598">
        <v>400</v>
      </c>
      <c r="FY598" t="s">
        <v>572</v>
      </c>
      <c r="GJ598">
        <v>7</v>
      </c>
      <c r="GL598">
        <v>8</v>
      </c>
      <c r="GM598" t="s">
        <v>356</v>
      </c>
      <c r="GQ598">
        <v>7.5</v>
      </c>
      <c r="GS598">
        <v>8.5</v>
      </c>
      <c r="GU598">
        <v>12</v>
      </c>
      <c r="GZ598" t="s">
        <v>296</v>
      </c>
      <c r="HH598" t="s">
        <v>272</v>
      </c>
      <c r="IE598" t="s">
        <v>1605</v>
      </c>
      <c r="IF598">
        <v>12953</v>
      </c>
      <c r="IG598" t="s">
        <v>1606</v>
      </c>
      <c r="IH598" t="s">
        <v>1607</v>
      </c>
      <c r="II598">
        <v>1985</v>
      </c>
      <c r="IJ598" t="s">
        <v>1608</v>
      </c>
    </row>
    <row r="599" spans="1:244" x14ac:dyDescent="0.45">
      <c r="A599">
        <v>1277718</v>
      </c>
      <c r="B599">
        <v>730937</v>
      </c>
      <c r="C599">
        <v>7487947</v>
      </c>
      <c r="D599" t="s">
        <v>1602</v>
      </c>
      <c r="E599" t="s">
        <v>439</v>
      </c>
      <c r="F599" t="s">
        <v>245</v>
      </c>
      <c r="G599" t="s">
        <v>246</v>
      </c>
      <c r="N599" t="s">
        <v>968</v>
      </c>
      <c r="O599" t="s">
        <v>969</v>
      </c>
      <c r="P599" t="s">
        <v>249</v>
      </c>
      <c r="Q599" t="s">
        <v>250</v>
      </c>
      <c r="R599" t="s">
        <v>251</v>
      </c>
      <c r="T599" t="s">
        <v>252</v>
      </c>
      <c r="U599" t="s">
        <v>253</v>
      </c>
      <c r="V599" t="s">
        <v>418</v>
      </c>
      <c r="W599" t="s">
        <v>419</v>
      </c>
      <c r="X599" t="s">
        <v>970</v>
      </c>
      <c r="Z599" t="s">
        <v>649</v>
      </c>
      <c r="AL599" t="s">
        <v>1174</v>
      </c>
      <c r="AM599" t="s">
        <v>258</v>
      </c>
      <c r="AN599" t="s">
        <v>259</v>
      </c>
      <c r="AO599" t="s">
        <v>260</v>
      </c>
      <c r="AQ599" t="s">
        <v>261</v>
      </c>
      <c r="AS599">
        <v>0.16</v>
      </c>
      <c r="AU599">
        <v>0.1</v>
      </c>
      <c r="AW599">
        <v>0.26</v>
      </c>
      <c r="AX599" t="s">
        <v>356</v>
      </c>
      <c r="BO599" t="s">
        <v>261</v>
      </c>
      <c r="BQ599">
        <v>0.16</v>
      </c>
      <c r="BS599">
        <v>0.1</v>
      </c>
      <c r="BU599">
        <v>0.26</v>
      </c>
      <c r="BV599" t="s">
        <v>263</v>
      </c>
      <c r="CM599" t="s">
        <v>264</v>
      </c>
      <c r="CN599" t="s">
        <v>264</v>
      </c>
      <c r="CP599" t="s">
        <v>265</v>
      </c>
      <c r="CQ599" t="s">
        <v>266</v>
      </c>
      <c r="DB599">
        <v>4</v>
      </c>
      <c r="DG599" t="s">
        <v>267</v>
      </c>
      <c r="DI599">
        <v>96</v>
      </c>
      <c r="DN599" t="s">
        <v>268</v>
      </c>
      <c r="DP599" t="s">
        <v>1637</v>
      </c>
      <c r="DS599">
        <v>1010</v>
      </c>
      <c r="DT599" t="s">
        <v>1176</v>
      </c>
      <c r="EW599" t="s">
        <v>293</v>
      </c>
      <c r="FK599" t="s">
        <v>1638</v>
      </c>
      <c r="FM599">
        <v>30</v>
      </c>
      <c r="FR599" t="s">
        <v>295</v>
      </c>
      <c r="GG599" t="s">
        <v>288</v>
      </c>
      <c r="GH599">
        <v>90</v>
      </c>
      <c r="GM599" t="s">
        <v>900</v>
      </c>
      <c r="GO599">
        <v>8</v>
      </c>
      <c r="GU599">
        <v>20</v>
      </c>
      <c r="GZ599" t="s">
        <v>296</v>
      </c>
      <c r="HH599" t="s">
        <v>272</v>
      </c>
      <c r="ID599" t="s">
        <v>1639</v>
      </c>
      <c r="IE599" t="s">
        <v>1179</v>
      </c>
      <c r="IF599">
        <v>4973</v>
      </c>
      <c r="IG599" t="s">
        <v>1180</v>
      </c>
      <c r="IH599" t="s">
        <v>1181</v>
      </c>
      <c r="II599">
        <v>1982</v>
      </c>
      <c r="IJ599" t="s">
        <v>1182</v>
      </c>
    </row>
    <row r="600" spans="1:244" x14ac:dyDescent="0.45">
      <c r="A600">
        <v>1078445</v>
      </c>
      <c r="B600">
        <v>130922</v>
      </c>
      <c r="C600">
        <v>7487947</v>
      </c>
      <c r="D600" t="s">
        <v>1602</v>
      </c>
      <c r="F600" t="s">
        <v>245</v>
      </c>
      <c r="G600" t="s">
        <v>246</v>
      </c>
      <c r="N600" t="s">
        <v>1640</v>
      </c>
      <c r="O600" t="s">
        <v>631</v>
      </c>
      <c r="P600" t="s">
        <v>249</v>
      </c>
      <c r="Q600" t="s">
        <v>250</v>
      </c>
      <c r="R600" t="s">
        <v>251</v>
      </c>
      <c r="T600" t="s">
        <v>389</v>
      </c>
      <c r="U600" t="s">
        <v>632</v>
      </c>
      <c r="V600" t="s">
        <v>1641</v>
      </c>
      <c r="W600" t="s">
        <v>1642</v>
      </c>
      <c r="X600" t="s">
        <v>1643</v>
      </c>
      <c r="AJ600" t="s">
        <v>285</v>
      </c>
      <c r="AM600" t="s">
        <v>317</v>
      </c>
      <c r="AN600" t="s">
        <v>259</v>
      </c>
      <c r="AO600" t="s">
        <v>260</v>
      </c>
      <c r="AP600" t="s">
        <v>1644</v>
      </c>
      <c r="AQ600" t="s">
        <v>261</v>
      </c>
      <c r="AS600">
        <v>50</v>
      </c>
      <c r="AX600" t="s">
        <v>290</v>
      </c>
      <c r="BO600" t="s">
        <v>261</v>
      </c>
      <c r="BQ600">
        <v>0.05</v>
      </c>
      <c r="BV600" t="s">
        <v>263</v>
      </c>
      <c r="CM600" t="s">
        <v>264</v>
      </c>
      <c r="CN600" t="s">
        <v>264</v>
      </c>
      <c r="CP600" t="s">
        <v>265</v>
      </c>
      <c r="DB600">
        <v>1</v>
      </c>
      <c r="DG600" t="s">
        <v>267</v>
      </c>
      <c r="DI600">
        <v>24</v>
      </c>
      <c r="DN600" t="s">
        <v>268</v>
      </c>
      <c r="DR600">
        <v>544693</v>
      </c>
      <c r="DS600">
        <v>4809</v>
      </c>
      <c r="EW600" t="s">
        <v>293</v>
      </c>
      <c r="FA600" t="s">
        <v>1645</v>
      </c>
      <c r="FK600" t="s">
        <v>1646</v>
      </c>
      <c r="FO600">
        <v>13</v>
      </c>
      <c r="FQ600">
        <v>21</v>
      </c>
      <c r="FR600" t="s">
        <v>295</v>
      </c>
      <c r="GW600">
        <v>27</v>
      </c>
      <c r="GY600">
        <v>36</v>
      </c>
      <c r="GZ600" t="s">
        <v>296</v>
      </c>
      <c r="HH600" t="s">
        <v>272</v>
      </c>
      <c r="ID600" t="s">
        <v>1647</v>
      </c>
      <c r="IE600" t="s">
        <v>1648</v>
      </c>
      <c r="IF600">
        <v>6045</v>
      </c>
      <c r="IG600" t="s">
        <v>1649</v>
      </c>
      <c r="IH600" t="s">
        <v>1650</v>
      </c>
      <c r="II600">
        <v>1976</v>
      </c>
      <c r="IJ600" t="s">
        <v>1651</v>
      </c>
    </row>
    <row r="601" spans="1:244" x14ac:dyDescent="0.45">
      <c r="A601">
        <v>1151434</v>
      </c>
      <c r="B601">
        <v>84003</v>
      </c>
      <c r="C601">
        <v>7487947</v>
      </c>
      <c r="D601" t="s">
        <v>1602</v>
      </c>
      <c r="F601" t="s">
        <v>327</v>
      </c>
      <c r="G601" t="s">
        <v>246</v>
      </c>
      <c r="N601" t="s">
        <v>1064</v>
      </c>
      <c r="O601" t="s">
        <v>1065</v>
      </c>
      <c r="P601" t="s">
        <v>249</v>
      </c>
      <c r="Q601" t="s">
        <v>250</v>
      </c>
      <c r="R601" t="s">
        <v>251</v>
      </c>
      <c r="T601" t="s">
        <v>252</v>
      </c>
      <c r="U601" t="s">
        <v>253</v>
      </c>
      <c r="V601" t="s">
        <v>304</v>
      </c>
      <c r="W601" t="s">
        <v>1066</v>
      </c>
      <c r="X601" t="s">
        <v>1067</v>
      </c>
      <c r="Z601" t="s">
        <v>284</v>
      </c>
      <c r="AB601">
        <v>9</v>
      </c>
      <c r="AG601" t="s">
        <v>598</v>
      </c>
      <c r="AM601" t="s">
        <v>317</v>
      </c>
      <c r="AN601" t="s">
        <v>259</v>
      </c>
      <c r="AO601" t="s">
        <v>260</v>
      </c>
      <c r="AQ601" t="s">
        <v>261</v>
      </c>
      <c r="AS601">
        <v>580</v>
      </c>
      <c r="AX601" t="s">
        <v>262</v>
      </c>
      <c r="BO601" t="s">
        <v>261</v>
      </c>
      <c r="BQ601">
        <v>0.57999999999999996</v>
      </c>
      <c r="BV601" t="s">
        <v>263</v>
      </c>
      <c r="CM601" t="s">
        <v>264</v>
      </c>
      <c r="CN601" t="s">
        <v>264</v>
      </c>
      <c r="CP601" t="s">
        <v>265</v>
      </c>
      <c r="CQ601" t="s">
        <v>266</v>
      </c>
      <c r="DB601">
        <v>1</v>
      </c>
      <c r="DG601" t="s">
        <v>267</v>
      </c>
      <c r="DI601">
        <v>24</v>
      </c>
      <c r="DN601" t="s">
        <v>268</v>
      </c>
      <c r="DP601" t="s">
        <v>1603</v>
      </c>
      <c r="DR601">
        <v>79674</v>
      </c>
      <c r="DS601">
        <v>648</v>
      </c>
      <c r="DT601" t="s">
        <v>1604</v>
      </c>
      <c r="EW601" t="s">
        <v>333</v>
      </c>
      <c r="FO601">
        <v>25.5</v>
      </c>
      <c r="FQ601">
        <v>27</v>
      </c>
      <c r="FR601" t="s">
        <v>295</v>
      </c>
      <c r="FT601">
        <v>400</v>
      </c>
      <c r="FY601" t="s">
        <v>572</v>
      </c>
      <c r="GJ601">
        <v>7</v>
      </c>
      <c r="GL601">
        <v>8</v>
      </c>
      <c r="GM601" t="s">
        <v>356</v>
      </c>
      <c r="GQ601">
        <v>7.5</v>
      </c>
      <c r="GS601">
        <v>8.5</v>
      </c>
      <c r="GU601">
        <v>12</v>
      </c>
      <c r="GZ601" t="s">
        <v>296</v>
      </c>
      <c r="HH601" t="s">
        <v>272</v>
      </c>
      <c r="IE601" t="s">
        <v>1605</v>
      </c>
      <c r="IF601">
        <v>12953</v>
      </c>
      <c r="IG601" t="s">
        <v>1606</v>
      </c>
      <c r="IH601" t="s">
        <v>1607</v>
      </c>
      <c r="II601">
        <v>1985</v>
      </c>
      <c r="IJ601" t="s">
        <v>1608</v>
      </c>
    </row>
    <row r="602" spans="1:244" x14ac:dyDescent="0.45">
      <c r="A602">
        <v>1186886</v>
      </c>
      <c r="B602">
        <v>138919</v>
      </c>
      <c r="C602">
        <v>7487947</v>
      </c>
      <c r="D602" t="s">
        <v>1602</v>
      </c>
      <c r="F602" t="s">
        <v>245</v>
      </c>
      <c r="G602" t="s">
        <v>246</v>
      </c>
      <c r="N602" t="s">
        <v>789</v>
      </c>
      <c r="O602" t="s">
        <v>790</v>
      </c>
      <c r="P602" t="s">
        <v>249</v>
      </c>
      <c r="Q602" t="s">
        <v>250</v>
      </c>
      <c r="R602" t="s">
        <v>251</v>
      </c>
      <c r="T602" t="s">
        <v>252</v>
      </c>
      <c r="U602" t="s">
        <v>253</v>
      </c>
      <c r="V602" t="s">
        <v>418</v>
      </c>
      <c r="W602" t="s">
        <v>791</v>
      </c>
      <c r="X602" t="s">
        <v>792</v>
      </c>
      <c r="Z602" t="s">
        <v>421</v>
      </c>
      <c r="AM602" t="s">
        <v>258</v>
      </c>
      <c r="AN602" t="s">
        <v>259</v>
      </c>
      <c r="AO602" t="s">
        <v>260</v>
      </c>
      <c r="AQ602" t="s">
        <v>261</v>
      </c>
      <c r="AS602">
        <v>22.99</v>
      </c>
      <c r="AX602" t="s">
        <v>262</v>
      </c>
      <c r="BO602" t="s">
        <v>261</v>
      </c>
      <c r="BQ602">
        <v>2.299E-2</v>
      </c>
      <c r="BV602" t="s">
        <v>263</v>
      </c>
      <c r="CM602" t="s">
        <v>264</v>
      </c>
      <c r="CN602" t="s">
        <v>264</v>
      </c>
      <c r="CP602" t="s">
        <v>265</v>
      </c>
      <c r="DB602">
        <v>2</v>
      </c>
      <c r="DG602" t="s">
        <v>267</v>
      </c>
      <c r="DI602">
        <v>48</v>
      </c>
      <c r="DN602" t="s">
        <v>268</v>
      </c>
      <c r="DR602">
        <v>161924</v>
      </c>
      <c r="DS602">
        <v>3045</v>
      </c>
      <c r="EW602" t="s">
        <v>272</v>
      </c>
      <c r="FM602">
        <v>28</v>
      </c>
      <c r="FR602" t="s">
        <v>295</v>
      </c>
      <c r="GO602">
        <v>8.1999999999999993</v>
      </c>
      <c r="GU602">
        <v>32</v>
      </c>
      <c r="GZ602" t="s">
        <v>296</v>
      </c>
      <c r="HH602" t="s">
        <v>272</v>
      </c>
      <c r="IE602" t="s">
        <v>1652</v>
      </c>
      <c r="IF602">
        <v>16613</v>
      </c>
      <c r="IG602" t="s">
        <v>1653</v>
      </c>
      <c r="IH602" t="s">
        <v>1654</v>
      </c>
      <c r="II602">
        <v>1994</v>
      </c>
      <c r="IJ602" t="s">
        <v>1655</v>
      </c>
    </row>
    <row r="603" spans="1:244" x14ac:dyDescent="0.45">
      <c r="A603">
        <v>1073225</v>
      </c>
      <c r="B603">
        <v>15493</v>
      </c>
      <c r="C603">
        <v>7487947</v>
      </c>
      <c r="D603" t="s">
        <v>1602</v>
      </c>
      <c r="F603" t="s">
        <v>245</v>
      </c>
      <c r="G603" t="s">
        <v>246</v>
      </c>
      <c r="N603" t="s">
        <v>1359</v>
      </c>
      <c r="O603" t="s">
        <v>1360</v>
      </c>
      <c r="P603" t="s">
        <v>249</v>
      </c>
      <c r="Q603" t="s">
        <v>250</v>
      </c>
      <c r="R603" t="s">
        <v>251</v>
      </c>
      <c r="T603" t="s">
        <v>252</v>
      </c>
      <c r="U603" t="s">
        <v>253</v>
      </c>
      <c r="V603" t="s">
        <v>608</v>
      </c>
      <c r="W603" t="s">
        <v>609</v>
      </c>
      <c r="X603" t="s">
        <v>1361</v>
      </c>
      <c r="Z603" t="s">
        <v>284</v>
      </c>
      <c r="AD603">
        <v>1</v>
      </c>
      <c r="AF603">
        <v>3</v>
      </c>
      <c r="AG603" t="s">
        <v>267</v>
      </c>
      <c r="AM603" t="s">
        <v>317</v>
      </c>
      <c r="AN603" t="s">
        <v>259</v>
      </c>
      <c r="AO603" t="s">
        <v>260</v>
      </c>
      <c r="AQ603" t="s">
        <v>261</v>
      </c>
      <c r="AU603">
        <v>33</v>
      </c>
      <c r="AW603">
        <v>100</v>
      </c>
      <c r="AX603" t="s">
        <v>262</v>
      </c>
      <c r="BO603" t="s">
        <v>261</v>
      </c>
      <c r="BS603">
        <v>3.3000000000000002E-2</v>
      </c>
      <c r="BU603">
        <v>0.1</v>
      </c>
      <c r="BV603" t="s">
        <v>263</v>
      </c>
      <c r="CM603" t="s">
        <v>264</v>
      </c>
      <c r="CN603" t="s">
        <v>264</v>
      </c>
      <c r="CP603" t="s">
        <v>265</v>
      </c>
      <c r="CQ603" t="s">
        <v>266</v>
      </c>
      <c r="DB603">
        <v>2</v>
      </c>
      <c r="DG603" t="s">
        <v>267</v>
      </c>
      <c r="DI603">
        <v>48</v>
      </c>
      <c r="DN603" t="s">
        <v>268</v>
      </c>
      <c r="DR603">
        <v>6707</v>
      </c>
      <c r="DS603">
        <v>582</v>
      </c>
      <c r="DT603" t="s">
        <v>1656</v>
      </c>
      <c r="EW603" t="s">
        <v>333</v>
      </c>
      <c r="FK603" t="s">
        <v>1657</v>
      </c>
      <c r="FM603">
        <v>15</v>
      </c>
      <c r="FR603" t="s">
        <v>295</v>
      </c>
      <c r="HH603" t="s">
        <v>272</v>
      </c>
      <c r="ID603" t="s">
        <v>1658</v>
      </c>
      <c r="IE603" t="s">
        <v>1659</v>
      </c>
      <c r="IF603">
        <v>5732</v>
      </c>
      <c r="IG603" t="s">
        <v>1660</v>
      </c>
      <c r="IH603" t="s">
        <v>1661</v>
      </c>
      <c r="II603">
        <v>1972</v>
      </c>
      <c r="IJ603" t="s">
        <v>1662</v>
      </c>
    </row>
    <row r="604" spans="1:244" x14ac:dyDescent="0.45">
      <c r="A604">
        <v>1073231</v>
      </c>
      <c r="B604">
        <v>15499</v>
      </c>
      <c r="C604">
        <v>7487947</v>
      </c>
      <c r="D604" t="s">
        <v>1602</v>
      </c>
      <c r="F604" t="s">
        <v>245</v>
      </c>
      <c r="G604" t="s">
        <v>246</v>
      </c>
      <c r="N604" t="s">
        <v>546</v>
      </c>
      <c r="O604" t="s">
        <v>547</v>
      </c>
      <c r="P604" t="s">
        <v>249</v>
      </c>
      <c r="Q604" t="s">
        <v>250</v>
      </c>
      <c r="R604" t="s">
        <v>251</v>
      </c>
      <c r="T604" t="s">
        <v>252</v>
      </c>
      <c r="U604" t="s">
        <v>253</v>
      </c>
      <c r="V604" t="s">
        <v>548</v>
      </c>
      <c r="W604" t="s">
        <v>549</v>
      </c>
      <c r="X604" t="s">
        <v>550</v>
      </c>
      <c r="Z604" t="s">
        <v>284</v>
      </c>
      <c r="AM604" t="s">
        <v>317</v>
      </c>
      <c r="AN604" t="s">
        <v>259</v>
      </c>
      <c r="AO604" t="s">
        <v>260</v>
      </c>
      <c r="AQ604" t="s">
        <v>261</v>
      </c>
      <c r="AS604">
        <v>10</v>
      </c>
      <c r="AX604" t="s">
        <v>262</v>
      </c>
      <c r="BO604" t="s">
        <v>261</v>
      </c>
      <c r="BQ604">
        <v>0.01</v>
      </c>
      <c r="BV604" t="s">
        <v>263</v>
      </c>
      <c r="CM604" t="s">
        <v>264</v>
      </c>
      <c r="CN604" t="s">
        <v>264</v>
      </c>
      <c r="CP604" t="s">
        <v>265</v>
      </c>
      <c r="CQ604" t="s">
        <v>266</v>
      </c>
      <c r="DB604">
        <v>2</v>
      </c>
      <c r="DG604" t="s">
        <v>267</v>
      </c>
      <c r="DI604">
        <v>48</v>
      </c>
      <c r="DN604" t="s">
        <v>268</v>
      </c>
      <c r="DR604">
        <v>491138</v>
      </c>
      <c r="DS604">
        <v>11</v>
      </c>
      <c r="DT604" t="s">
        <v>1656</v>
      </c>
      <c r="EW604" t="s">
        <v>333</v>
      </c>
      <c r="FK604" t="s">
        <v>1616</v>
      </c>
      <c r="FM604">
        <v>15</v>
      </c>
      <c r="FR604" t="s">
        <v>295</v>
      </c>
      <c r="HH604" t="s">
        <v>272</v>
      </c>
      <c r="ID604" t="s">
        <v>1617</v>
      </c>
      <c r="IE604" t="s">
        <v>1659</v>
      </c>
      <c r="IF604">
        <v>5732</v>
      </c>
      <c r="IG604" t="s">
        <v>1660</v>
      </c>
      <c r="IH604" t="s">
        <v>1661</v>
      </c>
      <c r="II604">
        <v>1972</v>
      </c>
      <c r="IJ604" t="s">
        <v>1662</v>
      </c>
    </row>
    <row r="605" spans="1:244" x14ac:dyDescent="0.45">
      <c r="A605">
        <v>1151427</v>
      </c>
      <c r="B605">
        <v>83996</v>
      </c>
      <c r="C605">
        <v>7487947</v>
      </c>
      <c r="D605" t="s">
        <v>1602</v>
      </c>
      <c r="F605" t="s">
        <v>327</v>
      </c>
      <c r="G605" t="s">
        <v>246</v>
      </c>
      <c r="N605" t="s">
        <v>1064</v>
      </c>
      <c r="O605" t="s">
        <v>1065</v>
      </c>
      <c r="P605" t="s">
        <v>249</v>
      </c>
      <c r="Q605" t="s">
        <v>250</v>
      </c>
      <c r="R605" t="s">
        <v>251</v>
      </c>
      <c r="T605" t="s">
        <v>252</v>
      </c>
      <c r="U605" t="s">
        <v>253</v>
      </c>
      <c r="V605" t="s">
        <v>304</v>
      </c>
      <c r="W605" t="s">
        <v>1066</v>
      </c>
      <c r="X605" t="s">
        <v>1067</v>
      </c>
      <c r="Z605" t="s">
        <v>284</v>
      </c>
      <c r="AB605">
        <v>7</v>
      </c>
      <c r="AG605" t="s">
        <v>598</v>
      </c>
      <c r="AM605" t="s">
        <v>317</v>
      </c>
      <c r="AN605" t="s">
        <v>259</v>
      </c>
      <c r="AO605" t="s">
        <v>260</v>
      </c>
      <c r="AQ605" t="s">
        <v>261</v>
      </c>
      <c r="AS605">
        <v>450</v>
      </c>
      <c r="AX605" t="s">
        <v>262</v>
      </c>
      <c r="BO605" t="s">
        <v>261</v>
      </c>
      <c r="BQ605">
        <v>0.45</v>
      </c>
      <c r="BV605" t="s">
        <v>263</v>
      </c>
      <c r="CM605" t="s">
        <v>264</v>
      </c>
      <c r="CN605" t="s">
        <v>264</v>
      </c>
      <c r="CP605" t="s">
        <v>265</v>
      </c>
      <c r="CQ605" t="s">
        <v>266</v>
      </c>
      <c r="DB605">
        <v>2</v>
      </c>
      <c r="DG605" t="s">
        <v>267</v>
      </c>
      <c r="DI605">
        <v>48</v>
      </c>
      <c r="DN605" t="s">
        <v>268</v>
      </c>
      <c r="DP605" t="s">
        <v>1603</v>
      </c>
      <c r="DR605">
        <v>79674</v>
      </c>
      <c r="DS605">
        <v>648</v>
      </c>
      <c r="DT605" t="s">
        <v>1604</v>
      </c>
      <c r="EW605" t="s">
        <v>333</v>
      </c>
      <c r="FO605">
        <v>25.5</v>
      </c>
      <c r="FQ605">
        <v>27</v>
      </c>
      <c r="FR605" t="s">
        <v>295</v>
      </c>
      <c r="FT605">
        <v>400</v>
      </c>
      <c r="FY605" t="s">
        <v>572</v>
      </c>
      <c r="GJ605">
        <v>7</v>
      </c>
      <c r="GL605">
        <v>8</v>
      </c>
      <c r="GM605" t="s">
        <v>356</v>
      </c>
      <c r="GQ605">
        <v>7.5</v>
      </c>
      <c r="GS605">
        <v>8.5</v>
      </c>
      <c r="GU605">
        <v>12</v>
      </c>
      <c r="GZ605" t="s">
        <v>296</v>
      </c>
      <c r="HH605" t="s">
        <v>272</v>
      </c>
      <c r="IE605" t="s">
        <v>1605</v>
      </c>
      <c r="IF605">
        <v>12953</v>
      </c>
      <c r="IG605" t="s">
        <v>1606</v>
      </c>
      <c r="IH605" t="s">
        <v>1607</v>
      </c>
      <c r="II605">
        <v>1985</v>
      </c>
      <c r="IJ605" t="s">
        <v>1608</v>
      </c>
    </row>
    <row r="606" spans="1:244" x14ac:dyDescent="0.45">
      <c r="A606">
        <v>1151420</v>
      </c>
      <c r="B606">
        <v>83989</v>
      </c>
      <c r="C606">
        <v>7487947</v>
      </c>
      <c r="D606" t="s">
        <v>1602</v>
      </c>
      <c r="F606" t="s">
        <v>327</v>
      </c>
      <c r="G606" t="s">
        <v>246</v>
      </c>
      <c r="N606" t="s">
        <v>1064</v>
      </c>
      <c r="O606" t="s">
        <v>1065</v>
      </c>
      <c r="P606" t="s">
        <v>249</v>
      </c>
      <c r="Q606" t="s">
        <v>250</v>
      </c>
      <c r="R606" t="s">
        <v>251</v>
      </c>
      <c r="T606" t="s">
        <v>252</v>
      </c>
      <c r="U606" t="s">
        <v>253</v>
      </c>
      <c r="V606" t="s">
        <v>304</v>
      </c>
      <c r="W606" t="s">
        <v>1066</v>
      </c>
      <c r="X606" t="s">
        <v>1067</v>
      </c>
      <c r="Z606" t="s">
        <v>284</v>
      </c>
      <c r="AB606">
        <v>5</v>
      </c>
      <c r="AG606" t="s">
        <v>598</v>
      </c>
      <c r="AM606" t="s">
        <v>317</v>
      </c>
      <c r="AN606" t="s">
        <v>259</v>
      </c>
      <c r="AO606" t="s">
        <v>260</v>
      </c>
      <c r="AQ606" t="s">
        <v>261</v>
      </c>
      <c r="AS606">
        <v>210</v>
      </c>
      <c r="AX606" t="s">
        <v>262</v>
      </c>
      <c r="BO606" t="s">
        <v>261</v>
      </c>
      <c r="BQ606">
        <v>0.21</v>
      </c>
      <c r="BV606" t="s">
        <v>263</v>
      </c>
      <c r="CM606" t="s">
        <v>264</v>
      </c>
      <c r="CN606" t="s">
        <v>264</v>
      </c>
      <c r="CP606" t="s">
        <v>265</v>
      </c>
      <c r="CQ606" t="s">
        <v>266</v>
      </c>
      <c r="DB606">
        <v>3</v>
      </c>
      <c r="DG606" t="s">
        <v>267</v>
      </c>
      <c r="DI606">
        <v>72</v>
      </c>
      <c r="DN606" t="s">
        <v>268</v>
      </c>
      <c r="DP606" t="s">
        <v>1603</v>
      </c>
      <c r="DR606">
        <v>79674</v>
      </c>
      <c r="DS606">
        <v>648</v>
      </c>
      <c r="DT606" t="s">
        <v>1604</v>
      </c>
      <c r="EW606" t="s">
        <v>333</v>
      </c>
      <c r="FO606">
        <v>25.5</v>
      </c>
      <c r="FQ606">
        <v>27</v>
      </c>
      <c r="FR606" t="s">
        <v>295</v>
      </c>
      <c r="FT606">
        <v>400</v>
      </c>
      <c r="FY606" t="s">
        <v>572</v>
      </c>
      <c r="GJ606">
        <v>7</v>
      </c>
      <c r="GL606">
        <v>8</v>
      </c>
      <c r="GM606" t="s">
        <v>356</v>
      </c>
      <c r="GQ606">
        <v>7.5</v>
      </c>
      <c r="GS606">
        <v>8.5</v>
      </c>
      <c r="GU606">
        <v>12</v>
      </c>
      <c r="GZ606" t="s">
        <v>296</v>
      </c>
      <c r="HH606" t="s">
        <v>272</v>
      </c>
      <c r="IE606" t="s">
        <v>1605</v>
      </c>
      <c r="IF606">
        <v>12953</v>
      </c>
      <c r="IG606" t="s">
        <v>1606</v>
      </c>
      <c r="IH606" t="s">
        <v>1607</v>
      </c>
      <c r="II606">
        <v>1985</v>
      </c>
      <c r="IJ606" t="s">
        <v>1608</v>
      </c>
    </row>
    <row r="607" spans="1:244" x14ac:dyDescent="0.45">
      <c r="A607">
        <v>1186867</v>
      </c>
      <c r="B607">
        <v>138558</v>
      </c>
      <c r="C607">
        <v>7487947</v>
      </c>
      <c r="D607" t="s">
        <v>1602</v>
      </c>
      <c r="F607" t="s">
        <v>245</v>
      </c>
      <c r="G607" t="s">
        <v>246</v>
      </c>
      <c r="N607" t="s">
        <v>789</v>
      </c>
      <c r="O607" t="s">
        <v>790</v>
      </c>
      <c r="P607" t="s">
        <v>249</v>
      </c>
      <c r="Q607" t="s">
        <v>250</v>
      </c>
      <c r="R607" t="s">
        <v>251</v>
      </c>
      <c r="T607" t="s">
        <v>252</v>
      </c>
      <c r="U607" t="s">
        <v>253</v>
      </c>
      <c r="V607" t="s">
        <v>418</v>
      </c>
      <c r="W607" t="s">
        <v>791</v>
      </c>
      <c r="X607" t="s">
        <v>792</v>
      </c>
      <c r="Z607" t="s">
        <v>284</v>
      </c>
      <c r="AL607" t="s">
        <v>1663</v>
      </c>
      <c r="AM607" t="s">
        <v>258</v>
      </c>
      <c r="AN607" t="s">
        <v>259</v>
      </c>
      <c r="AO607" t="s">
        <v>260</v>
      </c>
      <c r="AQ607" t="s">
        <v>261</v>
      </c>
      <c r="AS607">
        <v>15.9</v>
      </c>
      <c r="AX607" t="s">
        <v>262</v>
      </c>
      <c r="BO607" t="s">
        <v>261</v>
      </c>
      <c r="BQ607">
        <v>1.5900000000000001E-2</v>
      </c>
      <c r="BV607" t="s">
        <v>263</v>
      </c>
      <c r="CM607" t="s">
        <v>264</v>
      </c>
      <c r="CN607" t="s">
        <v>264</v>
      </c>
      <c r="CP607" t="s">
        <v>265</v>
      </c>
      <c r="DB607">
        <v>1</v>
      </c>
      <c r="DG607" t="s">
        <v>267</v>
      </c>
      <c r="DI607">
        <v>24</v>
      </c>
      <c r="DN607" t="s">
        <v>268</v>
      </c>
      <c r="DR607">
        <v>161924</v>
      </c>
      <c r="DS607">
        <v>3045</v>
      </c>
      <c r="EW607" t="s">
        <v>272</v>
      </c>
      <c r="FM607">
        <v>28</v>
      </c>
      <c r="FR607" t="s">
        <v>295</v>
      </c>
      <c r="GO607">
        <v>8.1999999999999993</v>
      </c>
      <c r="GU607">
        <v>32</v>
      </c>
      <c r="GZ607" t="s">
        <v>296</v>
      </c>
      <c r="HH607" t="s">
        <v>272</v>
      </c>
      <c r="IE607" t="s">
        <v>1652</v>
      </c>
      <c r="IF607">
        <v>16613</v>
      </c>
      <c r="IG607" t="s">
        <v>1653</v>
      </c>
      <c r="IH607" t="s">
        <v>1654</v>
      </c>
      <c r="II607">
        <v>1994</v>
      </c>
      <c r="IJ607" t="s">
        <v>1655</v>
      </c>
    </row>
    <row r="608" spans="1:244" x14ac:dyDescent="0.45">
      <c r="A608">
        <v>2170783</v>
      </c>
      <c r="B608">
        <v>2336413</v>
      </c>
      <c r="C608">
        <v>7487947</v>
      </c>
      <c r="D608" t="s">
        <v>1602</v>
      </c>
      <c r="E608" t="s">
        <v>415</v>
      </c>
      <c r="F608" t="s">
        <v>245</v>
      </c>
      <c r="G608" t="s">
        <v>272</v>
      </c>
      <c r="N608" t="s">
        <v>416</v>
      </c>
      <c r="O608" t="s">
        <v>417</v>
      </c>
      <c r="P608" t="s">
        <v>249</v>
      </c>
      <c r="Q608" t="s">
        <v>250</v>
      </c>
      <c r="R608" t="s">
        <v>251</v>
      </c>
      <c r="T608" t="s">
        <v>252</v>
      </c>
      <c r="U608" t="s">
        <v>253</v>
      </c>
      <c r="V608" t="s">
        <v>418</v>
      </c>
      <c r="W608" t="s">
        <v>419</v>
      </c>
      <c r="X608" t="s">
        <v>420</v>
      </c>
      <c r="AJ608" t="s">
        <v>285</v>
      </c>
      <c r="AL608" t="s">
        <v>1622</v>
      </c>
      <c r="AM608" t="s">
        <v>287</v>
      </c>
      <c r="AN608" t="s">
        <v>259</v>
      </c>
      <c r="AO608" t="s">
        <v>260</v>
      </c>
      <c r="AP608">
        <v>6</v>
      </c>
      <c r="AQ608" t="s">
        <v>261</v>
      </c>
      <c r="AS608">
        <v>3.5000000000000003E-2</v>
      </c>
      <c r="AU608">
        <v>0.02</v>
      </c>
      <c r="AW608">
        <v>0.04</v>
      </c>
      <c r="AX608" t="s">
        <v>356</v>
      </c>
      <c r="BO608" t="s">
        <v>261</v>
      </c>
      <c r="BQ608">
        <v>3.5000000000000003E-2</v>
      </c>
      <c r="BS608">
        <v>0.02</v>
      </c>
      <c r="BU608">
        <v>0.04</v>
      </c>
      <c r="BV608" t="s">
        <v>263</v>
      </c>
      <c r="CM608" t="s">
        <v>264</v>
      </c>
      <c r="CN608" t="s">
        <v>264</v>
      </c>
      <c r="CP608" t="s">
        <v>265</v>
      </c>
      <c r="CQ608" t="s">
        <v>266</v>
      </c>
      <c r="DB608">
        <v>2</v>
      </c>
      <c r="DG608" t="s">
        <v>267</v>
      </c>
      <c r="DI608">
        <v>48</v>
      </c>
      <c r="DN608" t="s">
        <v>268</v>
      </c>
      <c r="DS608">
        <v>1009</v>
      </c>
      <c r="DV608">
        <v>96</v>
      </c>
      <c r="EA608" t="s">
        <v>268</v>
      </c>
      <c r="EC608">
        <v>4</v>
      </c>
      <c r="EH608" t="s">
        <v>267</v>
      </c>
      <c r="EJ608">
        <v>96</v>
      </c>
      <c r="EO608" t="s">
        <v>268</v>
      </c>
      <c r="EQ608">
        <v>4</v>
      </c>
      <c r="EV608" t="s">
        <v>267</v>
      </c>
      <c r="EW608" t="s">
        <v>293</v>
      </c>
      <c r="EZ608">
        <v>10</v>
      </c>
      <c r="FM608">
        <v>24.1</v>
      </c>
      <c r="FR608" t="s">
        <v>295</v>
      </c>
      <c r="GG608" t="s">
        <v>288</v>
      </c>
      <c r="GH608">
        <v>60</v>
      </c>
      <c r="GM608" t="s">
        <v>900</v>
      </c>
      <c r="GO608">
        <v>6.8</v>
      </c>
      <c r="GU608">
        <v>25</v>
      </c>
      <c r="GZ608" t="s">
        <v>296</v>
      </c>
      <c r="HH608" t="s">
        <v>272</v>
      </c>
      <c r="ID608" t="s">
        <v>1623</v>
      </c>
      <c r="IE608" t="s">
        <v>1624</v>
      </c>
      <c r="IF608">
        <v>172254</v>
      </c>
      <c r="IG608" t="s">
        <v>1625</v>
      </c>
      <c r="IH608" t="s">
        <v>1626</v>
      </c>
      <c r="II608">
        <v>2002</v>
      </c>
      <c r="IJ608" t="s">
        <v>1627</v>
      </c>
    </row>
    <row r="609" spans="1:244" x14ac:dyDescent="0.45">
      <c r="A609">
        <v>1151428</v>
      </c>
      <c r="B609">
        <v>83997</v>
      </c>
      <c r="C609">
        <v>7487947</v>
      </c>
      <c r="D609" t="s">
        <v>1602</v>
      </c>
      <c r="F609" t="s">
        <v>327</v>
      </c>
      <c r="G609" t="s">
        <v>246</v>
      </c>
      <c r="N609" t="s">
        <v>1064</v>
      </c>
      <c r="O609" t="s">
        <v>1065</v>
      </c>
      <c r="P609" t="s">
        <v>249</v>
      </c>
      <c r="Q609" t="s">
        <v>250</v>
      </c>
      <c r="R609" t="s">
        <v>251</v>
      </c>
      <c r="T609" t="s">
        <v>252</v>
      </c>
      <c r="U609" t="s">
        <v>253</v>
      </c>
      <c r="V609" t="s">
        <v>304</v>
      </c>
      <c r="W609" t="s">
        <v>1066</v>
      </c>
      <c r="X609" t="s">
        <v>1067</v>
      </c>
      <c r="Z609" t="s">
        <v>284</v>
      </c>
      <c r="AB609">
        <v>7</v>
      </c>
      <c r="AG609" t="s">
        <v>598</v>
      </c>
      <c r="AM609" t="s">
        <v>317</v>
      </c>
      <c r="AN609" t="s">
        <v>259</v>
      </c>
      <c r="AO609" t="s">
        <v>260</v>
      </c>
      <c r="AQ609" t="s">
        <v>261</v>
      </c>
      <c r="AS609">
        <v>425</v>
      </c>
      <c r="AX609" t="s">
        <v>262</v>
      </c>
      <c r="BO609" t="s">
        <v>261</v>
      </c>
      <c r="BQ609">
        <v>0.42499999999999999</v>
      </c>
      <c r="BV609" t="s">
        <v>263</v>
      </c>
      <c r="CM609" t="s">
        <v>264</v>
      </c>
      <c r="CN609" t="s">
        <v>264</v>
      </c>
      <c r="CP609" t="s">
        <v>265</v>
      </c>
      <c r="CQ609" t="s">
        <v>266</v>
      </c>
      <c r="DB609">
        <v>3</v>
      </c>
      <c r="DG609" t="s">
        <v>267</v>
      </c>
      <c r="DI609">
        <v>72</v>
      </c>
      <c r="DN609" t="s">
        <v>268</v>
      </c>
      <c r="DP609" t="s">
        <v>1603</v>
      </c>
      <c r="DR609">
        <v>79674</v>
      </c>
      <c r="DS609">
        <v>648</v>
      </c>
      <c r="DT609" t="s">
        <v>1604</v>
      </c>
      <c r="EW609" t="s">
        <v>333</v>
      </c>
      <c r="FO609">
        <v>25.5</v>
      </c>
      <c r="FQ609">
        <v>27</v>
      </c>
      <c r="FR609" t="s">
        <v>295</v>
      </c>
      <c r="FT609">
        <v>400</v>
      </c>
      <c r="FY609" t="s">
        <v>572</v>
      </c>
      <c r="GJ609">
        <v>7</v>
      </c>
      <c r="GL609">
        <v>8</v>
      </c>
      <c r="GM609" t="s">
        <v>356</v>
      </c>
      <c r="GQ609">
        <v>7.5</v>
      </c>
      <c r="GS609">
        <v>8.5</v>
      </c>
      <c r="GU609">
        <v>12</v>
      </c>
      <c r="GZ609" t="s">
        <v>296</v>
      </c>
      <c r="HH609" t="s">
        <v>272</v>
      </c>
      <c r="IE609" t="s">
        <v>1605</v>
      </c>
      <c r="IF609">
        <v>12953</v>
      </c>
      <c r="IG609" t="s">
        <v>1606</v>
      </c>
      <c r="IH609" t="s">
        <v>1607</v>
      </c>
      <c r="II609">
        <v>1985</v>
      </c>
      <c r="IJ609" t="s">
        <v>1608</v>
      </c>
    </row>
    <row r="610" spans="1:244" x14ac:dyDescent="0.45">
      <c r="A610">
        <v>2282621</v>
      </c>
      <c r="B610">
        <v>2651685</v>
      </c>
      <c r="C610">
        <v>7487947</v>
      </c>
      <c r="D610" t="s">
        <v>1602</v>
      </c>
      <c r="F610" t="s">
        <v>245</v>
      </c>
      <c r="G610" t="s">
        <v>557</v>
      </c>
      <c r="J610" t="s">
        <v>288</v>
      </c>
      <c r="K610">
        <v>97</v>
      </c>
      <c r="L610" t="s">
        <v>288</v>
      </c>
      <c r="M610">
        <v>99</v>
      </c>
      <c r="N610" t="s">
        <v>452</v>
      </c>
      <c r="O610" t="s">
        <v>346</v>
      </c>
      <c r="P610" t="s">
        <v>249</v>
      </c>
      <c r="Q610" t="s">
        <v>250</v>
      </c>
      <c r="R610" t="s">
        <v>251</v>
      </c>
      <c r="T610" t="s">
        <v>347</v>
      </c>
      <c r="U610" t="s">
        <v>348</v>
      </c>
      <c r="V610" t="s">
        <v>349</v>
      </c>
      <c r="W610" t="s">
        <v>350</v>
      </c>
      <c r="X610" t="s">
        <v>453</v>
      </c>
      <c r="AJ610" t="s">
        <v>354</v>
      </c>
      <c r="AM610" t="s">
        <v>287</v>
      </c>
      <c r="AN610" t="s">
        <v>259</v>
      </c>
      <c r="AO610" t="s">
        <v>260</v>
      </c>
      <c r="AQ610" t="s">
        <v>261</v>
      </c>
      <c r="AS610">
        <v>77.2</v>
      </c>
      <c r="AX610" t="s">
        <v>710</v>
      </c>
      <c r="BO610" t="s">
        <v>261</v>
      </c>
      <c r="BQ610">
        <v>20.959491199999999</v>
      </c>
      <c r="BV610" t="s">
        <v>263</v>
      </c>
      <c r="CM610" t="s">
        <v>264</v>
      </c>
      <c r="CN610" t="s">
        <v>264</v>
      </c>
      <c r="CP610" t="s">
        <v>265</v>
      </c>
      <c r="DB610">
        <v>1</v>
      </c>
      <c r="DG610" t="s">
        <v>267</v>
      </c>
      <c r="DI610">
        <v>24</v>
      </c>
      <c r="DN610" t="s">
        <v>268</v>
      </c>
      <c r="DP610" t="s">
        <v>1664</v>
      </c>
      <c r="DR610">
        <v>85549</v>
      </c>
      <c r="DS610">
        <v>366</v>
      </c>
      <c r="DT610" t="s">
        <v>1665</v>
      </c>
      <c r="DV610">
        <v>24</v>
      </c>
      <c r="EA610" t="s">
        <v>268</v>
      </c>
      <c r="EC610">
        <v>1</v>
      </c>
      <c r="EH610" t="s">
        <v>267</v>
      </c>
      <c r="EJ610">
        <v>24</v>
      </c>
      <c r="EO610" t="s">
        <v>268</v>
      </c>
      <c r="EQ610">
        <v>1</v>
      </c>
      <c r="EV610" t="s">
        <v>267</v>
      </c>
      <c r="EW610" t="s">
        <v>272</v>
      </c>
      <c r="EY610" t="s">
        <v>377</v>
      </c>
      <c r="FA610" t="s">
        <v>1666</v>
      </c>
      <c r="HH610" t="s">
        <v>272</v>
      </c>
      <c r="ID610" t="s">
        <v>1667</v>
      </c>
      <c r="IE610" t="s">
        <v>1668</v>
      </c>
      <c r="IF610">
        <v>13669</v>
      </c>
      <c r="IG610" t="s">
        <v>1669</v>
      </c>
      <c r="IH610" t="s">
        <v>1670</v>
      </c>
      <c r="II610">
        <v>1994</v>
      </c>
      <c r="IJ610" t="s">
        <v>1671</v>
      </c>
    </row>
    <row r="611" spans="1:244" x14ac:dyDescent="0.45">
      <c r="A611">
        <v>1153343</v>
      </c>
      <c r="B611">
        <v>160858</v>
      </c>
      <c r="C611">
        <v>7487947</v>
      </c>
      <c r="D611" t="s">
        <v>1602</v>
      </c>
      <c r="F611" t="s">
        <v>245</v>
      </c>
      <c r="G611" t="s">
        <v>246</v>
      </c>
      <c r="N611" t="s">
        <v>1672</v>
      </c>
      <c r="O611" t="s">
        <v>1673</v>
      </c>
      <c r="P611" t="s">
        <v>249</v>
      </c>
      <c r="Q611" t="s">
        <v>250</v>
      </c>
      <c r="R611" t="s">
        <v>251</v>
      </c>
      <c r="T611" t="s">
        <v>252</v>
      </c>
      <c r="U611" t="s">
        <v>253</v>
      </c>
      <c r="V611" t="s">
        <v>1674</v>
      </c>
      <c r="W611" t="s">
        <v>1675</v>
      </c>
      <c r="X611" t="s">
        <v>1676</v>
      </c>
      <c r="Z611" t="s">
        <v>1677</v>
      </c>
      <c r="AL611" t="s">
        <v>1678</v>
      </c>
      <c r="AM611" t="s">
        <v>287</v>
      </c>
      <c r="AN611" t="s">
        <v>259</v>
      </c>
      <c r="AO611" t="s">
        <v>260</v>
      </c>
      <c r="AQ611" t="s">
        <v>261</v>
      </c>
      <c r="AS611">
        <v>9620</v>
      </c>
      <c r="AX611" t="s">
        <v>262</v>
      </c>
      <c r="BO611" t="s">
        <v>261</v>
      </c>
      <c r="BQ611">
        <v>9.6199999999999992</v>
      </c>
      <c r="BV611" t="s">
        <v>263</v>
      </c>
      <c r="CM611" t="s">
        <v>264</v>
      </c>
      <c r="CN611" t="s">
        <v>264</v>
      </c>
      <c r="CP611" t="s">
        <v>265</v>
      </c>
      <c r="DB611">
        <v>1</v>
      </c>
      <c r="DG611" t="s">
        <v>267</v>
      </c>
      <c r="DI611">
        <v>24</v>
      </c>
      <c r="DN611" t="s">
        <v>268</v>
      </c>
      <c r="DR611">
        <v>1460405</v>
      </c>
      <c r="DS611">
        <v>5936</v>
      </c>
      <c r="EW611" t="s">
        <v>293</v>
      </c>
      <c r="FK611" t="s">
        <v>1679</v>
      </c>
      <c r="HH611" t="s">
        <v>272</v>
      </c>
      <c r="ID611" t="s">
        <v>1680</v>
      </c>
      <c r="IE611" t="s">
        <v>1681</v>
      </c>
      <c r="IF611">
        <v>13233</v>
      </c>
      <c r="IG611" t="s">
        <v>1682</v>
      </c>
      <c r="IH611" t="s">
        <v>1683</v>
      </c>
      <c r="II611">
        <v>1988</v>
      </c>
      <c r="IJ611" t="s">
        <v>1684</v>
      </c>
    </row>
    <row r="612" spans="1:244" x14ac:dyDescent="0.45">
      <c r="A612">
        <v>2170783</v>
      </c>
      <c r="B612">
        <v>2336414</v>
      </c>
      <c r="C612">
        <v>7487947</v>
      </c>
      <c r="D612" t="s">
        <v>1602</v>
      </c>
      <c r="E612" t="s">
        <v>415</v>
      </c>
      <c r="F612" t="s">
        <v>245</v>
      </c>
      <c r="G612" t="s">
        <v>272</v>
      </c>
      <c r="N612" t="s">
        <v>416</v>
      </c>
      <c r="O612" t="s">
        <v>417</v>
      </c>
      <c r="P612" t="s">
        <v>249</v>
      </c>
      <c r="Q612" t="s">
        <v>250</v>
      </c>
      <c r="R612" t="s">
        <v>251</v>
      </c>
      <c r="T612" t="s">
        <v>252</v>
      </c>
      <c r="U612" t="s">
        <v>253</v>
      </c>
      <c r="V612" t="s">
        <v>418</v>
      </c>
      <c r="W612" t="s">
        <v>419</v>
      </c>
      <c r="X612" t="s">
        <v>420</v>
      </c>
      <c r="AJ612" t="s">
        <v>285</v>
      </c>
      <c r="AL612" t="s">
        <v>1622</v>
      </c>
      <c r="AM612" t="s">
        <v>287</v>
      </c>
      <c r="AN612" t="s">
        <v>259</v>
      </c>
      <c r="AO612" t="s">
        <v>260</v>
      </c>
      <c r="AP612">
        <v>6</v>
      </c>
      <c r="AQ612" t="s">
        <v>261</v>
      </c>
      <c r="AS612">
        <v>3.1E-2</v>
      </c>
      <c r="AU612">
        <v>2.5999999999999999E-2</v>
      </c>
      <c r="AW612">
        <v>3.3000000000000002E-2</v>
      </c>
      <c r="AX612" t="s">
        <v>356</v>
      </c>
      <c r="BO612" t="s">
        <v>261</v>
      </c>
      <c r="BQ612">
        <v>3.1E-2</v>
      </c>
      <c r="BS612">
        <v>2.5999999999999999E-2</v>
      </c>
      <c r="BU612">
        <v>3.3000000000000002E-2</v>
      </c>
      <c r="BV612" t="s">
        <v>263</v>
      </c>
      <c r="CM612" t="s">
        <v>264</v>
      </c>
      <c r="CN612" t="s">
        <v>264</v>
      </c>
      <c r="CP612" t="s">
        <v>265</v>
      </c>
      <c r="CQ612" t="s">
        <v>266</v>
      </c>
      <c r="DB612">
        <v>3</v>
      </c>
      <c r="DG612" t="s">
        <v>267</v>
      </c>
      <c r="DI612">
        <v>72</v>
      </c>
      <c r="DN612" t="s">
        <v>268</v>
      </c>
      <c r="DS612">
        <v>1009</v>
      </c>
      <c r="DV612">
        <v>96</v>
      </c>
      <c r="EA612" t="s">
        <v>268</v>
      </c>
      <c r="EC612">
        <v>4</v>
      </c>
      <c r="EH612" t="s">
        <v>267</v>
      </c>
      <c r="EJ612">
        <v>96</v>
      </c>
      <c r="EO612" t="s">
        <v>268</v>
      </c>
      <c r="EQ612">
        <v>4</v>
      </c>
      <c r="EV612" t="s">
        <v>267</v>
      </c>
      <c r="EW612" t="s">
        <v>293</v>
      </c>
      <c r="EZ612">
        <v>10</v>
      </c>
      <c r="FM612">
        <v>24.1</v>
      </c>
      <c r="FR612" t="s">
        <v>295</v>
      </c>
      <c r="GG612" t="s">
        <v>288</v>
      </c>
      <c r="GH612">
        <v>60</v>
      </c>
      <c r="GM612" t="s">
        <v>900</v>
      </c>
      <c r="GO612">
        <v>6.8</v>
      </c>
      <c r="GU612">
        <v>25</v>
      </c>
      <c r="GZ612" t="s">
        <v>296</v>
      </c>
      <c r="HH612" t="s">
        <v>272</v>
      </c>
      <c r="ID612" t="s">
        <v>1623</v>
      </c>
      <c r="IE612" t="s">
        <v>1624</v>
      </c>
      <c r="IF612">
        <v>172254</v>
      </c>
      <c r="IG612" t="s">
        <v>1625</v>
      </c>
      <c r="IH612" t="s">
        <v>1626</v>
      </c>
      <c r="II612">
        <v>2002</v>
      </c>
      <c r="IJ612" t="s">
        <v>1627</v>
      </c>
    </row>
    <row r="613" spans="1:244" x14ac:dyDescent="0.45">
      <c r="A613">
        <v>1078426</v>
      </c>
      <c r="B613">
        <v>94033</v>
      </c>
      <c r="C613">
        <v>7487947</v>
      </c>
      <c r="D613" t="s">
        <v>1602</v>
      </c>
      <c r="F613" t="s">
        <v>245</v>
      </c>
      <c r="G613" t="s">
        <v>246</v>
      </c>
      <c r="N613" t="s">
        <v>452</v>
      </c>
      <c r="O613" t="s">
        <v>346</v>
      </c>
      <c r="P613" t="s">
        <v>249</v>
      </c>
      <c r="Q613" t="s">
        <v>250</v>
      </c>
      <c r="R613" t="s">
        <v>251</v>
      </c>
      <c r="T613" t="s">
        <v>347</v>
      </c>
      <c r="U613" t="s">
        <v>348</v>
      </c>
      <c r="V613" t="s">
        <v>349</v>
      </c>
      <c r="W613" t="s">
        <v>350</v>
      </c>
      <c r="X613" t="s">
        <v>453</v>
      </c>
      <c r="AJ613" t="s">
        <v>285</v>
      </c>
      <c r="AM613" t="s">
        <v>317</v>
      </c>
      <c r="AN613" t="s">
        <v>259</v>
      </c>
      <c r="AO613" t="s">
        <v>260</v>
      </c>
      <c r="AP613" t="s">
        <v>1644</v>
      </c>
      <c r="AQ613" t="s">
        <v>261</v>
      </c>
      <c r="AS613">
        <v>27</v>
      </c>
      <c r="AX613" t="s">
        <v>290</v>
      </c>
      <c r="BO613" t="s">
        <v>261</v>
      </c>
      <c r="BQ613">
        <v>2.7E-2</v>
      </c>
      <c r="BV613" t="s">
        <v>263</v>
      </c>
      <c r="CM613" t="s">
        <v>264</v>
      </c>
      <c r="CN613" t="s">
        <v>264</v>
      </c>
      <c r="CP613" t="s">
        <v>265</v>
      </c>
      <c r="CQ613" t="s">
        <v>266</v>
      </c>
      <c r="DB613">
        <v>1</v>
      </c>
      <c r="DG613" t="s">
        <v>267</v>
      </c>
      <c r="DI613">
        <v>24</v>
      </c>
      <c r="DN613" t="s">
        <v>268</v>
      </c>
      <c r="DR613">
        <v>85549</v>
      </c>
      <c r="DS613">
        <v>366</v>
      </c>
      <c r="EW613" t="s">
        <v>293</v>
      </c>
      <c r="FA613" t="s">
        <v>1645</v>
      </c>
      <c r="FK613" t="s">
        <v>1685</v>
      </c>
      <c r="FO613">
        <v>13</v>
      </c>
      <c r="FQ613">
        <v>21</v>
      </c>
      <c r="FR613" t="s">
        <v>295</v>
      </c>
      <c r="GW613">
        <v>27</v>
      </c>
      <c r="GY613">
        <v>36</v>
      </c>
      <c r="GZ613" t="s">
        <v>296</v>
      </c>
      <c r="HH613" t="s">
        <v>272</v>
      </c>
      <c r="ID613" t="s">
        <v>1686</v>
      </c>
      <c r="IE613" t="s">
        <v>1648</v>
      </c>
      <c r="IF613">
        <v>6045</v>
      </c>
      <c r="IG613" t="s">
        <v>1649</v>
      </c>
      <c r="IH613" t="s">
        <v>1650</v>
      </c>
      <c r="II613">
        <v>1976</v>
      </c>
      <c r="IJ613" t="s">
        <v>1651</v>
      </c>
    </row>
    <row r="614" spans="1:244" x14ac:dyDescent="0.45">
      <c r="A614">
        <v>2170783</v>
      </c>
      <c r="B614">
        <v>2336415</v>
      </c>
      <c r="C614">
        <v>7487947</v>
      </c>
      <c r="D614" t="s">
        <v>1602</v>
      </c>
      <c r="E614" t="s">
        <v>415</v>
      </c>
      <c r="F614" t="s">
        <v>245</v>
      </c>
      <c r="G614" t="s">
        <v>272</v>
      </c>
      <c r="N614" t="s">
        <v>416</v>
      </c>
      <c r="O614" t="s">
        <v>417</v>
      </c>
      <c r="P614" t="s">
        <v>249</v>
      </c>
      <c r="Q614" t="s">
        <v>250</v>
      </c>
      <c r="R614" t="s">
        <v>251</v>
      </c>
      <c r="T614" t="s">
        <v>252</v>
      </c>
      <c r="U614" t="s">
        <v>253</v>
      </c>
      <c r="V614" t="s">
        <v>418</v>
      </c>
      <c r="W614" t="s">
        <v>419</v>
      </c>
      <c r="X614" t="s">
        <v>420</v>
      </c>
      <c r="AJ614" t="s">
        <v>285</v>
      </c>
      <c r="AL614" t="s">
        <v>1622</v>
      </c>
      <c r="AM614" t="s">
        <v>287</v>
      </c>
      <c r="AN614" t="s">
        <v>259</v>
      </c>
      <c r="AO614" t="s">
        <v>260</v>
      </c>
      <c r="AP614">
        <v>6</v>
      </c>
      <c r="AQ614" t="s">
        <v>261</v>
      </c>
      <c r="AS614">
        <v>2.9000000000000001E-2</v>
      </c>
      <c r="AU614">
        <v>2.1999999999999999E-2</v>
      </c>
      <c r="AW614">
        <v>3.2000000000000001E-2</v>
      </c>
      <c r="AX614" t="s">
        <v>356</v>
      </c>
      <c r="BO614" t="s">
        <v>261</v>
      </c>
      <c r="BQ614">
        <v>2.9000000000000001E-2</v>
      </c>
      <c r="BS614">
        <v>2.1999999999999999E-2</v>
      </c>
      <c r="BU614">
        <v>3.2000000000000001E-2</v>
      </c>
      <c r="BV614" t="s">
        <v>263</v>
      </c>
      <c r="CM614" t="s">
        <v>264</v>
      </c>
      <c r="CN614" t="s">
        <v>264</v>
      </c>
      <c r="CP614" t="s">
        <v>265</v>
      </c>
      <c r="CQ614" t="s">
        <v>266</v>
      </c>
      <c r="DB614">
        <v>4</v>
      </c>
      <c r="DG614" t="s">
        <v>267</v>
      </c>
      <c r="DI614">
        <v>96</v>
      </c>
      <c r="DN614" t="s">
        <v>268</v>
      </c>
      <c r="DS614">
        <v>1009</v>
      </c>
      <c r="DV614">
        <v>96</v>
      </c>
      <c r="EA614" t="s">
        <v>268</v>
      </c>
      <c r="EC614">
        <v>4</v>
      </c>
      <c r="EH614" t="s">
        <v>267</v>
      </c>
      <c r="EJ614">
        <v>96</v>
      </c>
      <c r="EO614" t="s">
        <v>268</v>
      </c>
      <c r="EQ614">
        <v>4</v>
      </c>
      <c r="EV614" t="s">
        <v>267</v>
      </c>
      <c r="EW614" t="s">
        <v>293</v>
      </c>
      <c r="EZ614">
        <v>10</v>
      </c>
      <c r="FM614">
        <v>24.1</v>
      </c>
      <c r="FR614" t="s">
        <v>295</v>
      </c>
      <c r="GG614" t="s">
        <v>288</v>
      </c>
      <c r="GH614">
        <v>60</v>
      </c>
      <c r="GM614" t="s">
        <v>900</v>
      </c>
      <c r="GO614">
        <v>6.8</v>
      </c>
      <c r="GU614">
        <v>25</v>
      </c>
      <c r="GZ614" t="s">
        <v>296</v>
      </c>
      <c r="HH614" t="s">
        <v>272</v>
      </c>
      <c r="ID614" t="s">
        <v>1623</v>
      </c>
      <c r="IE614" t="s">
        <v>1624</v>
      </c>
      <c r="IF614">
        <v>172254</v>
      </c>
      <c r="IG614" t="s">
        <v>1625</v>
      </c>
      <c r="IH614" t="s">
        <v>1626</v>
      </c>
      <c r="II614">
        <v>2002</v>
      </c>
      <c r="IJ614" t="s">
        <v>1627</v>
      </c>
    </row>
    <row r="615" spans="1:244" x14ac:dyDescent="0.45">
      <c r="A615">
        <v>1151426</v>
      </c>
      <c r="B615">
        <v>83995</v>
      </c>
      <c r="C615">
        <v>7487947</v>
      </c>
      <c r="D615" t="s">
        <v>1602</v>
      </c>
      <c r="F615" t="s">
        <v>327</v>
      </c>
      <c r="G615" t="s">
        <v>246</v>
      </c>
      <c r="N615" t="s">
        <v>1064</v>
      </c>
      <c r="O615" t="s">
        <v>1065</v>
      </c>
      <c r="P615" t="s">
        <v>249</v>
      </c>
      <c r="Q615" t="s">
        <v>250</v>
      </c>
      <c r="R615" t="s">
        <v>251</v>
      </c>
      <c r="T615" t="s">
        <v>252</v>
      </c>
      <c r="U615" t="s">
        <v>253</v>
      </c>
      <c r="V615" t="s">
        <v>304</v>
      </c>
      <c r="W615" t="s">
        <v>1066</v>
      </c>
      <c r="X615" t="s">
        <v>1067</v>
      </c>
      <c r="Z615" t="s">
        <v>284</v>
      </c>
      <c r="AB615">
        <v>7</v>
      </c>
      <c r="AG615" t="s">
        <v>598</v>
      </c>
      <c r="AM615" t="s">
        <v>317</v>
      </c>
      <c r="AN615" t="s">
        <v>259</v>
      </c>
      <c r="AO615" t="s">
        <v>260</v>
      </c>
      <c r="AQ615" t="s">
        <v>261</v>
      </c>
      <c r="AS615">
        <v>565</v>
      </c>
      <c r="AX615" t="s">
        <v>262</v>
      </c>
      <c r="BO615" t="s">
        <v>261</v>
      </c>
      <c r="BQ615">
        <v>0.56499999999999995</v>
      </c>
      <c r="BV615" t="s">
        <v>263</v>
      </c>
      <c r="CM615" t="s">
        <v>264</v>
      </c>
      <c r="CN615" t="s">
        <v>264</v>
      </c>
      <c r="CP615" t="s">
        <v>265</v>
      </c>
      <c r="CQ615" t="s">
        <v>266</v>
      </c>
      <c r="DB615">
        <v>1</v>
      </c>
      <c r="DG615" t="s">
        <v>267</v>
      </c>
      <c r="DI615">
        <v>24</v>
      </c>
      <c r="DN615" t="s">
        <v>268</v>
      </c>
      <c r="DP615" t="s">
        <v>1603</v>
      </c>
      <c r="DR615">
        <v>79674</v>
      </c>
      <c r="DS615">
        <v>648</v>
      </c>
      <c r="DT615" t="s">
        <v>1604</v>
      </c>
      <c r="EW615" t="s">
        <v>333</v>
      </c>
      <c r="FO615">
        <v>25.5</v>
      </c>
      <c r="FQ615">
        <v>27</v>
      </c>
      <c r="FR615" t="s">
        <v>295</v>
      </c>
      <c r="FT615">
        <v>400</v>
      </c>
      <c r="FY615" t="s">
        <v>572</v>
      </c>
      <c r="GJ615">
        <v>7</v>
      </c>
      <c r="GL615">
        <v>8</v>
      </c>
      <c r="GM615" t="s">
        <v>356</v>
      </c>
      <c r="GQ615">
        <v>7.5</v>
      </c>
      <c r="GS615">
        <v>8.5</v>
      </c>
      <c r="GU615">
        <v>12</v>
      </c>
      <c r="GZ615" t="s">
        <v>296</v>
      </c>
      <c r="HH615" t="s">
        <v>272</v>
      </c>
      <c r="IE615" t="s">
        <v>1605</v>
      </c>
      <c r="IF615">
        <v>12953</v>
      </c>
      <c r="IG615" t="s">
        <v>1606</v>
      </c>
      <c r="IH615" t="s">
        <v>1607</v>
      </c>
      <c r="II615">
        <v>1985</v>
      </c>
      <c r="IJ615" t="s">
        <v>1608</v>
      </c>
    </row>
    <row r="616" spans="1:244" x14ac:dyDescent="0.45">
      <c r="A616">
        <v>1123257</v>
      </c>
      <c r="B616">
        <v>14519</v>
      </c>
      <c r="C616">
        <v>7487947</v>
      </c>
      <c r="D616" t="s">
        <v>1602</v>
      </c>
      <c r="E616" t="s">
        <v>386</v>
      </c>
      <c r="F616" t="s">
        <v>245</v>
      </c>
      <c r="G616" t="s">
        <v>246</v>
      </c>
      <c r="N616" t="s">
        <v>1280</v>
      </c>
      <c r="O616" t="s">
        <v>498</v>
      </c>
      <c r="P616" t="s">
        <v>249</v>
      </c>
      <c r="Q616" t="s">
        <v>250</v>
      </c>
      <c r="R616" t="s">
        <v>251</v>
      </c>
      <c r="T616" t="s">
        <v>252</v>
      </c>
      <c r="U616" t="s">
        <v>499</v>
      </c>
      <c r="V616" t="s">
        <v>1281</v>
      </c>
      <c r="W616" t="s">
        <v>1282</v>
      </c>
      <c r="X616" t="s">
        <v>1283</v>
      </c>
      <c r="AL616" t="s">
        <v>1204</v>
      </c>
      <c r="AM616" t="s">
        <v>287</v>
      </c>
      <c r="AN616" t="s">
        <v>259</v>
      </c>
      <c r="AO616" t="s">
        <v>260</v>
      </c>
      <c r="AQ616" t="s">
        <v>261</v>
      </c>
      <c r="AS616">
        <v>20</v>
      </c>
      <c r="AX616" t="s">
        <v>262</v>
      </c>
      <c r="BO616" t="s">
        <v>261</v>
      </c>
      <c r="BQ616">
        <v>0.02</v>
      </c>
      <c r="BV616" t="s">
        <v>263</v>
      </c>
      <c r="CM616" t="s">
        <v>264</v>
      </c>
      <c r="CN616" t="s">
        <v>264</v>
      </c>
      <c r="CP616" t="s">
        <v>265</v>
      </c>
      <c r="CQ616" t="s">
        <v>266</v>
      </c>
      <c r="DB616">
        <v>4</v>
      </c>
      <c r="DG616" t="s">
        <v>267</v>
      </c>
      <c r="DI616">
        <v>96</v>
      </c>
      <c r="DN616" t="s">
        <v>268</v>
      </c>
      <c r="DS616">
        <v>2851</v>
      </c>
      <c r="DT616" t="s">
        <v>1205</v>
      </c>
      <c r="EW616" t="s">
        <v>293</v>
      </c>
      <c r="FM616">
        <v>19</v>
      </c>
      <c r="FR616" t="s">
        <v>295</v>
      </c>
      <c r="HH616" t="s">
        <v>272</v>
      </c>
      <c r="IE616" t="s">
        <v>1206</v>
      </c>
      <c r="IF616">
        <v>9755</v>
      </c>
      <c r="IG616" t="s">
        <v>1207</v>
      </c>
      <c r="IH616" t="s">
        <v>1208</v>
      </c>
      <c r="II616">
        <v>1993</v>
      </c>
      <c r="IJ616" t="s">
        <v>1209</v>
      </c>
    </row>
    <row r="617" spans="1:244" x14ac:dyDescent="0.45">
      <c r="A617">
        <v>1151406</v>
      </c>
      <c r="B617">
        <v>83973</v>
      </c>
      <c r="C617">
        <v>7487947</v>
      </c>
      <c r="D617" t="s">
        <v>1602</v>
      </c>
      <c r="F617" t="s">
        <v>327</v>
      </c>
      <c r="G617" t="s">
        <v>246</v>
      </c>
      <c r="N617" t="s">
        <v>1064</v>
      </c>
      <c r="O617" t="s">
        <v>1065</v>
      </c>
      <c r="P617" t="s">
        <v>249</v>
      </c>
      <c r="Q617" t="s">
        <v>250</v>
      </c>
      <c r="R617" t="s">
        <v>251</v>
      </c>
      <c r="T617" t="s">
        <v>252</v>
      </c>
      <c r="U617" t="s">
        <v>253</v>
      </c>
      <c r="V617" t="s">
        <v>304</v>
      </c>
      <c r="W617" t="s">
        <v>1066</v>
      </c>
      <c r="X617" t="s">
        <v>1067</v>
      </c>
      <c r="Z617" t="s">
        <v>284</v>
      </c>
      <c r="AB617">
        <v>2</v>
      </c>
      <c r="AG617" t="s">
        <v>598</v>
      </c>
      <c r="AM617" t="s">
        <v>317</v>
      </c>
      <c r="AN617" t="s">
        <v>259</v>
      </c>
      <c r="AO617" t="s">
        <v>260</v>
      </c>
      <c r="AQ617" t="s">
        <v>261</v>
      </c>
      <c r="AS617">
        <v>150</v>
      </c>
      <c r="AX617" t="s">
        <v>262</v>
      </c>
      <c r="BO617" t="s">
        <v>261</v>
      </c>
      <c r="BQ617">
        <v>0.15</v>
      </c>
      <c r="BV617" t="s">
        <v>263</v>
      </c>
      <c r="CM617" t="s">
        <v>264</v>
      </c>
      <c r="CN617" t="s">
        <v>264</v>
      </c>
      <c r="CP617" t="s">
        <v>265</v>
      </c>
      <c r="CQ617" t="s">
        <v>266</v>
      </c>
      <c r="DB617">
        <v>3</v>
      </c>
      <c r="DG617" t="s">
        <v>267</v>
      </c>
      <c r="DI617">
        <v>72</v>
      </c>
      <c r="DN617" t="s">
        <v>268</v>
      </c>
      <c r="DP617" t="s">
        <v>1603</v>
      </c>
      <c r="DR617">
        <v>79674</v>
      </c>
      <c r="DS617">
        <v>648</v>
      </c>
      <c r="DT617" t="s">
        <v>1604</v>
      </c>
      <c r="EW617" t="s">
        <v>333</v>
      </c>
      <c r="FO617">
        <v>25.5</v>
      </c>
      <c r="FQ617">
        <v>27</v>
      </c>
      <c r="FR617" t="s">
        <v>295</v>
      </c>
      <c r="FT617">
        <v>400</v>
      </c>
      <c r="FY617" t="s">
        <v>572</v>
      </c>
      <c r="GJ617">
        <v>7</v>
      </c>
      <c r="GL617">
        <v>8</v>
      </c>
      <c r="GM617" t="s">
        <v>356</v>
      </c>
      <c r="GQ617">
        <v>7.5</v>
      </c>
      <c r="GS617">
        <v>8.5</v>
      </c>
      <c r="GU617">
        <v>12</v>
      </c>
      <c r="GZ617" t="s">
        <v>296</v>
      </c>
      <c r="HH617" t="s">
        <v>272</v>
      </c>
      <c r="IE617" t="s">
        <v>1605</v>
      </c>
      <c r="IF617">
        <v>12953</v>
      </c>
      <c r="IG617" t="s">
        <v>1606</v>
      </c>
      <c r="IH617" t="s">
        <v>1607</v>
      </c>
      <c r="II617">
        <v>1985</v>
      </c>
      <c r="IJ617" t="s">
        <v>1608</v>
      </c>
    </row>
    <row r="618" spans="1:244" x14ac:dyDescent="0.45">
      <c r="A618">
        <v>1282237</v>
      </c>
      <c r="B618">
        <v>735856</v>
      </c>
      <c r="C618">
        <v>7487947</v>
      </c>
      <c r="D618" t="s">
        <v>1602</v>
      </c>
      <c r="E618" t="s">
        <v>439</v>
      </c>
      <c r="F618" t="s">
        <v>245</v>
      </c>
      <c r="G618" t="s">
        <v>246</v>
      </c>
      <c r="N618" t="s">
        <v>968</v>
      </c>
      <c r="O618" t="s">
        <v>969</v>
      </c>
      <c r="P618" t="s">
        <v>249</v>
      </c>
      <c r="Q618" t="s">
        <v>250</v>
      </c>
      <c r="R618" t="s">
        <v>251</v>
      </c>
      <c r="T618" t="s">
        <v>252</v>
      </c>
      <c r="U618" t="s">
        <v>253</v>
      </c>
      <c r="V618" t="s">
        <v>418</v>
      </c>
      <c r="W618" t="s">
        <v>419</v>
      </c>
      <c r="X618" t="s">
        <v>970</v>
      </c>
      <c r="Z618" t="s">
        <v>649</v>
      </c>
      <c r="AL618" t="s">
        <v>1174</v>
      </c>
      <c r="AM618" t="s">
        <v>258</v>
      </c>
      <c r="AN618" t="s">
        <v>259</v>
      </c>
      <c r="AO618" t="s">
        <v>260</v>
      </c>
      <c r="AQ618" t="s">
        <v>261</v>
      </c>
      <c r="AS618">
        <v>0.13</v>
      </c>
      <c r="AU618">
        <v>7.0000000000000007E-2</v>
      </c>
      <c r="AW618">
        <v>0.24</v>
      </c>
      <c r="AX618" t="s">
        <v>356</v>
      </c>
      <c r="BO618" t="s">
        <v>261</v>
      </c>
      <c r="BQ618">
        <v>0.13</v>
      </c>
      <c r="BS618">
        <v>7.0000000000000007E-2</v>
      </c>
      <c r="BU618">
        <v>0.24</v>
      </c>
      <c r="BV618" t="s">
        <v>263</v>
      </c>
      <c r="CM618" t="s">
        <v>264</v>
      </c>
      <c r="CN618" t="s">
        <v>264</v>
      </c>
      <c r="CP618" t="s">
        <v>265</v>
      </c>
      <c r="CQ618" t="s">
        <v>266</v>
      </c>
      <c r="DB618">
        <v>4</v>
      </c>
      <c r="DG618" t="s">
        <v>267</v>
      </c>
      <c r="DI618">
        <v>96</v>
      </c>
      <c r="DN618" t="s">
        <v>268</v>
      </c>
      <c r="DP618" t="s">
        <v>1637</v>
      </c>
      <c r="DS618">
        <v>1010</v>
      </c>
      <c r="DT618" t="s">
        <v>1176</v>
      </c>
      <c r="EW618" t="s">
        <v>293</v>
      </c>
      <c r="FK618" t="s">
        <v>1687</v>
      </c>
      <c r="FM618">
        <v>20</v>
      </c>
      <c r="FR618" t="s">
        <v>295</v>
      </c>
      <c r="GG618" t="s">
        <v>288</v>
      </c>
      <c r="GH618">
        <v>90</v>
      </c>
      <c r="GM618" t="s">
        <v>900</v>
      </c>
      <c r="GO618">
        <v>8</v>
      </c>
      <c r="GU618">
        <v>20</v>
      </c>
      <c r="GZ618" t="s">
        <v>296</v>
      </c>
      <c r="HH618" t="s">
        <v>272</v>
      </c>
      <c r="ID618" t="s">
        <v>1688</v>
      </c>
      <c r="IE618" t="s">
        <v>1179</v>
      </c>
      <c r="IF618">
        <v>4973</v>
      </c>
      <c r="IG618" t="s">
        <v>1180</v>
      </c>
      <c r="IH618" t="s">
        <v>1181</v>
      </c>
      <c r="II618">
        <v>1982</v>
      </c>
      <c r="IJ618" t="s">
        <v>1182</v>
      </c>
    </row>
    <row r="619" spans="1:244" x14ac:dyDescent="0.45">
      <c r="A619">
        <v>1277709</v>
      </c>
      <c r="B619">
        <v>730928</v>
      </c>
      <c r="C619">
        <v>7487947</v>
      </c>
      <c r="D619" t="s">
        <v>1602</v>
      </c>
      <c r="E619" t="s">
        <v>439</v>
      </c>
      <c r="F619" t="s">
        <v>245</v>
      </c>
      <c r="G619" t="s">
        <v>246</v>
      </c>
      <c r="N619" t="s">
        <v>968</v>
      </c>
      <c r="O619" t="s">
        <v>969</v>
      </c>
      <c r="P619" t="s">
        <v>249</v>
      </c>
      <c r="Q619" t="s">
        <v>250</v>
      </c>
      <c r="R619" t="s">
        <v>251</v>
      </c>
      <c r="T619" t="s">
        <v>252</v>
      </c>
      <c r="U619" t="s">
        <v>253</v>
      </c>
      <c r="V619" t="s">
        <v>418</v>
      </c>
      <c r="W619" t="s">
        <v>419</v>
      </c>
      <c r="X619" t="s">
        <v>970</v>
      </c>
      <c r="Z619" t="s">
        <v>649</v>
      </c>
      <c r="AL619" t="s">
        <v>1174</v>
      </c>
      <c r="AM619" t="s">
        <v>258</v>
      </c>
      <c r="AN619" t="s">
        <v>259</v>
      </c>
      <c r="AO619" t="s">
        <v>260</v>
      </c>
      <c r="AQ619" t="s">
        <v>261</v>
      </c>
      <c r="AS619">
        <v>0.03</v>
      </c>
      <c r="AU619">
        <v>0.01</v>
      </c>
      <c r="AW619">
        <v>0.06</v>
      </c>
      <c r="AX619" t="s">
        <v>356</v>
      </c>
      <c r="BO619" t="s">
        <v>261</v>
      </c>
      <c r="BQ619">
        <v>0.03</v>
      </c>
      <c r="BS619">
        <v>0.01</v>
      </c>
      <c r="BU619">
        <v>0.06</v>
      </c>
      <c r="BV619" t="s">
        <v>263</v>
      </c>
      <c r="CM619" t="s">
        <v>264</v>
      </c>
      <c r="CN619" t="s">
        <v>264</v>
      </c>
      <c r="CP619" t="s">
        <v>265</v>
      </c>
      <c r="CQ619" t="s">
        <v>266</v>
      </c>
      <c r="DB619">
        <v>4</v>
      </c>
      <c r="DG619" t="s">
        <v>267</v>
      </c>
      <c r="DI619">
        <v>96</v>
      </c>
      <c r="DN619" t="s">
        <v>268</v>
      </c>
      <c r="DP619" t="s">
        <v>1637</v>
      </c>
      <c r="DS619">
        <v>1010</v>
      </c>
      <c r="DT619" t="s">
        <v>1176</v>
      </c>
      <c r="EW619" t="s">
        <v>293</v>
      </c>
      <c r="FK619" t="s">
        <v>1689</v>
      </c>
      <c r="FM619">
        <v>35</v>
      </c>
      <c r="FR619" t="s">
        <v>295</v>
      </c>
      <c r="GG619" t="s">
        <v>288</v>
      </c>
      <c r="GH619">
        <v>90</v>
      </c>
      <c r="GM619" t="s">
        <v>900</v>
      </c>
      <c r="GO619">
        <v>8</v>
      </c>
      <c r="GU619">
        <v>20</v>
      </c>
      <c r="GZ619" t="s">
        <v>296</v>
      </c>
      <c r="HH619" t="s">
        <v>272</v>
      </c>
      <c r="ID619" t="s">
        <v>1690</v>
      </c>
      <c r="IE619" t="s">
        <v>1179</v>
      </c>
      <c r="IF619">
        <v>4973</v>
      </c>
      <c r="IG619" t="s">
        <v>1180</v>
      </c>
      <c r="IH619" t="s">
        <v>1181</v>
      </c>
      <c r="II619">
        <v>1982</v>
      </c>
      <c r="IJ619" t="s">
        <v>1182</v>
      </c>
    </row>
    <row r="620" spans="1:244" x14ac:dyDescent="0.45">
      <c r="A620">
        <v>1279023</v>
      </c>
      <c r="B620">
        <v>732327</v>
      </c>
      <c r="C620">
        <v>7487947</v>
      </c>
      <c r="D620" t="s">
        <v>1602</v>
      </c>
      <c r="E620" t="s">
        <v>439</v>
      </c>
      <c r="F620" t="s">
        <v>327</v>
      </c>
      <c r="G620" t="s">
        <v>246</v>
      </c>
      <c r="N620" t="s">
        <v>1426</v>
      </c>
      <c r="O620" t="s">
        <v>370</v>
      </c>
      <c r="P620" t="s">
        <v>249</v>
      </c>
      <c r="Q620" t="s">
        <v>250</v>
      </c>
      <c r="R620" t="s">
        <v>251</v>
      </c>
      <c r="T620" t="s">
        <v>252</v>
      </c>
      <c r="U620" t="s">
        <v>371</v>
      </c>
      <c r="V620" t="s">
        <v>372</v>
      </c>
      <c r="W620" t="s">
        <v>1427</v>
      </c>
      <c r="X620" t="s">
        <v>1428</v>
      </c>
      <c r="Z620" t="s">
        <v>649</v>
      </c>
      <c r="AD620">
        <v>1</v>
      </c>
      <c r="AF620">
        <v>5</v>
      </c>
      <c r="AG620" t="s">
        <v>267</v>
      </c>
      <c r="AM620" t="s">
        <v>258</v>
      </c>
      <c r="AN620" t="s">
        <v>259</v>
      </c>
      <c r="AO620" t="s">
        <v>260</v>
      </c>
      <c r="AP620">
        <v>6</v>
      </c>
      <c r="AQ620" t="s">
        <v>261</v>
      </c>
      <c r="AS620">
        <v>7</v>
      </c>
      <c r="AU620">
        <v>3.4</v>
      </c>
      <c r="AW620">
        <v>11.1</v>
      </c>
      <c r="AX620" t="s">
        <v>262</v>
      </c>
      <c r="BO620" t="s">
        <v>261</v>
      </c>
      <c r="BQ620">
        <v>7.0000000000000001E-3</v>
      </c>
      <c r="BS620">
        <v>3.3999999999999998E-3</v>
      </c>
      <c r="BU620">
        <v>1.11E-2</v>
      </c>
      <c r="BV620" t="s">
        <v>263</v>
      </c>
      <c r="CM620" t="s">
        <v>264</v>
      </c>
      <c r="CN620" t="s">
        <v>264</v>
      </c>
      <c r="CP620" t="s">
        <v>265</v>
      </c>
      <c r="CQ620" t="s">
        <v>266</v>
      </c>
      <c r="DB620">
        <v>4</v>
      </c>
      <c r="DG620" t="s">
        <v>267</v>
      </c>
      <c r="DI620">
        <v>96</v>
      </c>
      <c r="DN620" t="s">
        <v>268</v>
      </c>
      <c r="DP620" t="s">
        <v>1691</v>
      </c>
      <c r="DR620">
        <v>223650</v>
      </c>
      <c r="DS620">
        <v>1577</v>
      </c>
      <c r="DT620" t="s">
        <v>1430</v>
      </c>
      <c r="EW620" t="s">
        <v>293</v>
      </c>
      <c r="FA620" t="s">
        <v>1692</v>
      </c>
      <c r="FK620" t="s">
        <v>1693</v>
      </c>
      <c r="FM620">
        <v>20</v>
      </c>
      <c r="FR620" t="s">
        <v>295</v>
      </c>
      <c r="GU620">
        <v>25</v>
      </c>
      <c r="GZ620" t="s">
        <v>296</v>
      </c>
      <c r="HH620" t="s">
        <v>272</v>
      </c>
      <c r="ID620" t="s">
        <v>1694</v>
      </c>
      <c r="IE620" t="s">
        <v>1433</v>
      </c>
      <c r="IF620">
        <v>75445</v>
      </c>
      <c r="IG620" t="s">
        <v>1434</v>
      </c>
      <c r="IH620" t="s">
        <v>1435</v>
      </c>
      <c r="II620">
        <v>2003</v>
      </c>
      <c r="IJ620" t="s">
        <v>1436</v>
      </c>
    </row>
    <row r="621" spans="1:244" x14ac:dyDescent="0.45">
      <c r="A621">
        <v>1226460</v>
      </c>
      <c r="B621">
        <v>219636</v>
      </c>
      <c r="C621">
        <v>7487947</v>
      </c>
      <c r="D621" t="s">
        <v>1602</v>
      </c>
      <c r="E621" t="s">
        <v>386</v>
      </c>
      <c r="F621" t="s">
        <v>245</v>
      </c>
      <c r="G621" t="s">
        <v>246</v>
      </c>
      <c r="N621" t="s">
        <v>302</v>
      </c>
      <c r="O621" t="s">
        <v>303</v>
      </c>
      <c r="P621" t="s">
        <v>249</v>
      </c>
      <c r="Q621" t="s">
        <v>250</v>
      </c>
      <c r="R621" t="s">
        <v>251</v>
      </c>
      <c r="T621" t="s">
        <v>252</v>
      </c>
      <c r="U621" t="s">
        <v>253</v>
      </c>
      <c r="V621" t="s">
        <v>304</v>
      </c>
      <c r="W621" t="s">
        <v>305</v>
      </c>
      <c r="X621" t="s">
        <v>306</v>
      </c>
      <c r="Z621" t="s">
        <v>1057</v>
      </c>
      <c r="AL621" t="s">
        <v>1440</v>
      </c>
      <c r="AM621" t="s">
        <v>317</v>
      </c>
      <c r="AN621" t="s">
        <v>259</v>
      </c>
      <c r="AO621" t="s">
        <v>260</v>
      </c>
      <c r="AQ621" t="s">
        <v>261</v>
      </c>
      <c r="AS621">
        <v>2.4</v>
      </c>
      <c r="AX621" t="s">
        <v>356</v>
      </c>
      <c r="BO621" t="s">
        <v>261</v>
      </c>
      <c r="BQ621">
        <v>2.4</v>
      </c>
      <c r="BV621" t="s">
        <v>263</v>
      </c>
      <c r="CM621" t="s">
        <v>264</v>
      </c>
      <c r="CN621" t="s">
        <v>264</v>
      </c>
      <c r="CP621" t="s">
        <v>265</v>
      </c>
      <c r="CQ621" t="s">
        <v>266</v>
      </c>
      <c r="DB621">
        <v>2</v>
      </c>
      <c r="DG621" t="s">
        <v>267</v>
      </c>
      <c r="DI621">
        <v>48</v>
      </c>
      <c r="DN621" t="s">
        <v>268</v>
      </c>
      <c r="DR621">
        <v>338212</v>
      </c>
      <c r="DS621">
        <v>732</v>
      </c>
      <c r="DT621" t="s">
        <v>1211</v>
      </c>
      <c r="EW621" t="s">
        <v>293</v>
      </c>
      <c r="GU621">
        <v>36</v>
      </c>
      <c r="GZ621" t="s">
        <v>900</v>
      </c>
      <c r="HH621" t="s">
        <v>272</v>
      </c>
      <c r="IE621" t="s">
        <v>1212</v>
      </c>
      <c r="IF621">
        <v>51641</v>
      </c>
      <c r="IG621" t="s">
        <v>1213</v>
      </c>
      <c r="IH621" t="s">
        <v>1214</v>
      </c>
      <c r="II621">
        <v>2000</v>
      </c>
      <c r="IJ621" t="s">
        <v>1215</v>
      </c>
    </row>
    <row r="622" spans="1:244" x14ac:dyDescent="0.45">
      <c r="A622">
        <v>1137535</v>
      </c>
      <c r="B622">
        <v>115053</v>
      </c>
      <c r="C622">
        <v>7487947</v>
      </c>
      <c r="D622" t="s">
        <v>1602</v>
      </c>
      <c r="F622" t="s">
        <v>327</v>
      </c>
      <c r="G622" t="s">
        <v>246</v>
      </c>
      <c r="N622" t="s">
        <v>1695</v>
      </c>
      <c r="O622" t="s">
        <v>646</v>
      </c>
      <c r="P622" t="s">
        <v>249</v>
      </c>
      <c r="Q622" t="s">
        <v>250</v>
      </c>
      <c r="R622" t="s">
        <v>251</v>
      </c>
      <c r="T622" t="s">
        <v>252</v>
      </c>
      <c r="U622" t="s">
        <v>253</v>
      </c>
      <c r="V622" t="s">
        <v>1696</v>
      </c>
      <c r="W622" t="s">
        <v>1697</v>
      </c>
      <c r="X622" t="s">
        <v>1698</v>
      </c>
      <c r="AL622" t="s">
        <v>1699</v>
      </c>
      <c r="AM622" t="s">
        <v>258</v>
      </c>
      <c r="AN622" t="s">
        <v>259</v>
      </c>
      <c r="AO622" t="s">
        <v>260</v>
      </c>
      <c r="AQ622" t="s">
        <v>261</v>
      </c>
      <c r="AS622">
        <v>27</v>
      </c>
      <c r="AX622" t="s">
        <v>262</v>
      </c>
      <c r="BO622" t="s">
        <v>261</v>
      </c>
      <c r="BQ622">
        <v>2.7E-2</v>
      </c>
      <c r="BV622" t="s">
        <v>263</v>
      </c>
      <c r="CM622" t="s">
        <v>264</v>
      </c>
      <c r="CN622" t="s">
        <v>264</v>
      </c>
      <c r="CP622" t="s">
        <v>265</v>
      </c>
      <c r="CQ622" t="s">
        <v>266</v>
      </c>
      <c r="DB622">
        <v>3</v>
      </c>
      <c r="DG622" t="s">
        <v>267</v>
      </c>
      <c r="DI622">
        <v>72</v>
      </c>
      <c r="DN622" t="s">
        <v>268</v>
      </c>
      <c r="DS622">
        <v>3048</v>
      </c>
      <c r="DT622" t="s">
        <v>1700</v>
      </c>
      <c r="EW622" t="s">
        <v>271</v>
      </c>
      <c r="FM622">
        <v>22</v>
      </c>
      <c r="FR622" t="s">
        <v>295</v>
      </c>
      <c r="GU622">
        <v>39.36</v>
      </c>
      <c r="GZ622" t="s">
        <v>296</v>
      </c>
      <c r="HH622" t="s">
        <v>272</v>
      </c>
      <c r="IE622" t="s">
        <v>1701</v>
      </c>
      <c r="IF622">
        <v>11326</v>
      </c>
      <c r="IG622" t="s">
        <v>1702</v>
      </c>
      <c r="IH622" t="s">
        <v>1703</v>
      </c>
      <c r="II622">
        <v>1981</v>
      </c>
      <c r="IJ622" t="s">
        <v>1704</v>
      </c>
    </row>
    <row r="623" spans="1:244" x14ac:dyDescent="0.45">
      <c r="A623">
        <v>1151442</v>
      </c>
      <c r="B623">
        <v>84011</v>
      </c>
      <c r="C623">
        <v>7487947</v>
      </c>
      <c r="D623" t="s">
        <v>1602</v>
      </c>
      <c r="F623" t="s">
        <v>327</v>
      </c>
      <c r="G623" t="s">
        <v>246</v>
      </c>
      <c r="N623" t="s">
        <v>1064</v>
      </c>
      <c r="O623" t="s">
        <v>1065</v>
      </c>
      <c r="P623" t="s">
        <v>249</v>
      </c>
      <c r="Q623" t="s">
        <v>250</v>
      </c>
      <c r="R623" t="s">
        <v>251</v>
      </c>
      <c r="T623" t="s">
        <v>252</v>
      </c>
      <c r="U623" t="s">
        <v>253</v>
      </c>
      <c r="V623" t="s">
        <v>304</v>
      </c>
      <c r="W623" t="s">
        <v>1066</v>
      </c>
      <c r="X623" t="s">
        <v>1067</v>
      </c>
      <c r="Z623" t="s">
        <v>284</v>
      </c>
      <c r="AB623">
        <v>11</v>
      </c>
      <c r="AG623" t="s">
        <v>598</v>
      </c>
      <c r="AM623" t="s">
        <v>317</v>
      </c>
      <c r="AN623" t="s">
        <v>259</v>
      </c>
      <c r="AO623" t="s">
        <v>260</v>
      </c>
      <c r="AQ623" t="s">
        <v>261</v>
      </c>
      <c r="AS623">
        <v>745</v>
      </c>
      <c r="AX623" t="s">
        <v>262</v>
      </c>
      <c r="BO623" t="s">
        <v>261</v>
      </c>
      <c r="BQ623">
        <v>0.745</v>
      </c>
      <c r="BV623" t="s">
        <v>263</v>
      </c>
      <c r="CM623" t="s">
        <v>264</v>
      </c>
      <c r="CN623" t="s">
        <v>264</v>
      </c>
      <c r="CP623" t="s">
        <v>265</v>
      </c>
      <c r="CQ623" t="s">
        <v>266</v>
      </c>
      <c r="DB623">
        <v>1</v>
      </c>
      <c r="DG623" t="s">
        <v>267</v>
      </c>
      <c r="DI623">
        <v>24</v>
      </c>
      <c r="DN623" t="s">
        <v>268</v>
      </c>
      <c r="DP623" t="s">
        <v>1603</v>
      </c>
      <c r="DR623">
        <v>79674</v>
      </c>
      <c r="DS623">
        <v>648</v>
      </c>
      <c r="DT623" t="s">
        <v>1604</v>
      </c>
      <c r="EW623" t="s">
        <v>333</v>
      </c>
      <c r="FO623">
        <v>25.5</v>
      </c>
      <c r="FQ623">
        <v>27</v>
      </c>
      <c r="FR623" t="s">
        <v>295</v>
      </c>
      <c r="FT623">
        <v>400</v>
      </c>
      <c r="FY623" t="s">
        <v>572</v>
      </c>
      <c r="GJ623">
        <v>7</v>
      </c>
      <c r="GL623">
        <v>8</v>
      </c>
      <c r="GM623" t="s">
        <v>356</v>
      </c>
      <c r="GQ623">
        <v>7.5</v>
      </c>
      <c r="GS623">
        <v>8.5</v>
      </c>
      <c r="GU623">
        <v>12</v>
      </c>
      <c r="GZ623" t="s">
        <v>296</v>
      </c>
      <c r="HH623" t="s">
        <v>272</v>
      </c>
      <c r="IE623" t="s">
        <v>1605</v>
      </c>
      <c r="IF623">
        <v>12953</v>
      </c>
      <c r="IG623" t="s">
        <v>1606</v>
      </c>
      <c r="IH623" t="s">
        <v>1607</v>
      </c>
      <c r="II623">
        <v>1985</v>
      </c>
      <c r="IJ623" t="s">
        <v>1608</v>
      </c>
    </row>
    <row r="624" spans="1:244" x14ac:dyDescent="0.45">
      <c r="A624">
        <v>1146873</v>
      </c>
      <c r="B624">
        <v>104711</v>
      </c>
      <c r="C624">
        <v>7487947</v>
      </c>
      <c r="D624" t="s">
        <v>1602</v>
      </c>
      <c r="F624" t="s">
        <v>245</v>
      </c>
      <c r="G624" t="s">
        <v>246</v>
      </c>
      <c r="N624" t="s">
        <v>247</v>
      </c>
      <c r="O624" t="s">
        <v>248</v>
      </c>
      <c r="P624" t="s">
        <v>249</v>
      </c>
      <c r="Q624" t="s">
        <v>250</v>
      </c>
      <c r="R624" t="s">
        <v>251</v>
      </c>
      <c r="T624" t="s">
        <v>252</v>
      </c>
      <c r="U624" t="s">
        <v>253</v>
      </c>
      <c r="V624" t="s">
        <v>254</v>
      </c>
      <c r="W624" t="s">
        <v>255</v>
      </c>
      <c r="X624" t="s">
        <v>256</v>
      </c>
      <c r="AL624" t="s">
        <v>257</v>
      </c>
      <c r="AM624" t="s">
        <v>258</v>
      </c>
      <c r="AN624" t="s">
        <v>259</v>
      </c>
      <c r="AO624" t="s">
        <v>260</v>
      </c>
      <c r="AQ624" t="s">
        <v>261</v>
      </c>
      <c r="AS624">
        <v>930</v>
      </c>
      <c r="AX624" t="s">
        <v>262</v>
      </c>
      <c r="BO624" t="s">
        <v>261</v>
      </c>
      <c r="BQ624">
        <v>0.93</v>
      </c>
      <c r="BV624" t="s">
        <v>263</v>
      </c>
      <c r="CM624" t="s">
        <v>264</v>
      </c>
      <c r="CN624" t="s">
        <v>264</v>
      </c>
      <c r="CP624" t="s">
        <v>265</v>
      </c>
      <c r="CQ624" t="s">
        <v>266</v>
      </c>
      <c r="DB624">
        <v>1</v>
      </c>
      <c r="DG624" t="s">
        <v>267</v>
      </c>
      <c r="DI624">
        <v>24</v>
      </c>
      <c r="DN624" t="s">
        <v>268</v>
      </c>
      <c r="DR624">
        <v>6761</v>
      </c>
      <c r="DS624">
        <v>2461</v>
      </c>
      <c r="DT624" t="s">
        <v>270</v>
      </c>
      <c r="EW624" t="s">
        <v>271</v>
      </c>
      <c r="HH624" t="s">
        <v>272</v>
      </c>
      <c r="IE624" t="s">
        <v>273</v>
      </c>
      <c r="IF624">
        <v>12413</v>
      </c>
      <c r="IG624" t="s">
        <v>274</v>
      </c>
      <c r="IH624" t="s">
        <v>275</v>
      </c>
      <c r="II624">
        <v>1987</v>
      </c>
      <c r="IJ624" t="s">
        <v>276</v>
      </c>
    </row>
    <row r="625" spans="1:244" x14ac:dyDescent="0.45">
      <c r="A625">
        <v>1122235</v>
      </c>
      <c r="B625">
        <v>126274</v>
      </c>
      <c r="C625">
        <v>7487947</v>
      </c>
      <c r="D625" t="s">
        <v>1602</v>
      </c>
      <c r="F625" t="s">
        <v>245</v>
      </c>
      <c r="G625" t="s">
        <v>246</v>
      </c>
      <c r="N625" t="s">
        <v>1705</v>
      </c>
      <c r="O625" t="s">
        <v>1706</v>
      </c>
      <c r="P625" t="s">
        <v>249</v>
      </c>
      <c r="Q625" t="s">
        <v>250</v>
      </c>
      <c r="R625" t="s">
        <v>251</v>
      </c>
      <c r="T625" t="s">
        <v>347</v>
      </c>
      <c r="U625" t="s">
        <v>1707</v>
      </c>
      <c r="V625" t="s">
        <v>1708</v>
      </c>
      <c r="W625" t="s">
        <v>1709</v>
      </c>
      <c r="X625" t="s">
        <v>1710</v>
      </c>
      <c r="AM625" t="s">
        <v>287</v>
      </c>
      <c r="AN625" t="s">
        <v>259</v>
      </c>
      <c r="AO625" t="s">
        <v>260</v>
      </c>
      <c r="AQ625" t="s">
        <v>261</v>
      </c>
      <c r="AS625">
        <v>3.34</v>
      </c>
      <c r="AU625">
        <v>2</v>
      </c>
      <c r="AW625">
        <v>5.6</v>
      </c>
      <c r="AX625" t="s">
        <v>262</v>
      </c>
      <c r="BO625" t="s">
        <v>261</v>
      </c>
      <c r="BQ625">
        <v>3.3400000000000001E-3</v>
      </c>
      <c r="BS625">
        <v>2E-3</v>
      </c>
      <c r="BU625">
        <v>5.5999999999999999E-3</v>
      </c>
      <c r="BV625" t="s">
        <v>263</v>
      </c>
      <c r="CM625" t="s">
        <v>264</v>
      </c>
      <c r="CN625" t="s">
        <v>264</v>
      </c>
      <c r="CP625" t="s">
        <v>265</v>
      </c>
      <c r="CQ625" t="s">
        <v>266</v>
      </c>
      <c r="DB625">
        <v>2</v>
      </c>
      <c r="DG625" t="s">
        <v>267</v>
      </c>
      <c r="DI625">
        <v>48</v>
      </c>
      <c r="DN625" t="s">
        <v>268</v>
      </c>
      <c r="DR625">
        <v>700594</v>
      </c>
      <c r="DS625">
        <v>4630</v>
      </c>
      <c r="EW625" t="s">
        <v>271</v>
      </c>
      <c r="FM625">
        <v>25</v>
      </c>
      <c r="FR625" t="s">
        <v>295</v>
      </c>
      <c r="GO625">
        <v>7.85</v>
      </c>
      <c r="GU625">
        <v>31.7</v>
      </c>
      <c r="GZ625" t="s">
        <v>296</v>
      </c>
      <c r="HH625" t="s">
        <v>272</v>
      </c>
      <c r="IE625" t="s">
        <v>1711</v>
      </c>
      <c r="IF625">
        <v>9624</v>
      </c>
      <c r="IG625" t="s">
        <v>1712</v>
      </c>
      <c r="IH625" t="s">
        <v>1713</v>
      </c>
      <c r="II625">
        <v>1991</v>
      </c>
      <c r="IJ625" t="s">
        <v>1714</v>
      </c>
    </row>
    <row r="626" spans="1:244" x14ac:dyDescent="0.45">
      <c r="A626">
        <v>1151416</v>
      </c>
      <c r="B626">
        <v>83985</v>
      </c>
      <c r="C626">
        <v>7487947</v>
      </c>
      <c r="D626" t="s">
        <v>1602</v>
      </c>
      <c r="F626" t="s">
        <v>327</v>
      </c>
      <c r="G626" t="s">
        <v>246</v>
      </c>
      <c r="N626" t="s">
        <v>1064</v>
      </c>
      <c r="O626" t="s">
        <v>1065</v>
      </c>
      <c r="P626" t="s">
        <v>249</v>
      </c>
      <c r="Q626" t="s">
        <v>250</v>
      </c>
      <c r="R626" t="s">
        <v>251</v>
      </c>
      <c r="T626" t="s">
        <v>252</v>
      </c>
      <c r="U626" t="s">
        <v>253</v>
      </c>
      <c r="V626" t="s">
        <v>304</v>
      </c>
      <c r="W626" t="s">
        <v>1066</v>
      </c>
      <c r="X626" t="s">
        <v>1067</v>
      </c>
      <c r="Z626" t="s">
        <v>284</v>
      </c>
      <c r="AB626">
        <v>4</v>
      </c>
      <c r="AG626" t="s">
        <v>598</v>
      </c>
      <c r="AM626" t="s">
        <v>317</v>
      </c>
      <c r="AN626" t="s">
        <v>259</v>
      </c>
      <c r="AO626" t="s">
        <v>260</v>
      </c>
      <c r="AQ626" t="s">
        <v>261</v>
      </c>
      <c r="AS626">
        <v>125</v>
      </c>
      <c r="AX626" t="s">
        <v>262</v>
      </c>
      <c r="BO626" t="s">
        <v>261</v>
      </c>
      <c r="BQ626">
        <v>0.125</v>
      </c>
      <c r="BV626" t="s">
        <v>263</v>
      </c>
      <c r="CM626" t="s">
        <v>264</v>
      </c>
      <c r="CN626" t="s">
        <v>264</v>
      </c>
      <c r="CP626" t="s">
        <v>265</v>
      </c>
      <c r="CQ626" t="s">
        <v>266</v>
      </c>
      <c r="DB626">
        <v>4</v>
      </c>
      <c r="DG626" t="s">
        <v>267</v>
      </c>
      <c r="DI626">
        <v>96</v>
      </c>
      <c r="DN626" t="s">
        <v>268</v>
      </c>
      <c r="DP626" t="s">
        <v>1603</v>
      </c>
      <c r="DR626">
        <v>79674</v>
      </c>
      <c r="DS626">
        <v>648</v>
      </c>
      <c r="DT626" t="s">
        <v>1604</v>
      </c>
      <c r="EW626" t="s">
        <v>333</v>
      </c>
      <c r="FO626">
        <v>25.5</v>
      </c>
      <c r="FQ626">
        <v>27</v>
      </c>
      <c r="FR626" t="s">
        <v>295</v>
      </c>
      <c r="FT626">
        <v>400</v>
      </c>
      <c r="FY626" t="s">
        <v>572</v>
      </c>
      <c r="GJ626">
        <v>7</v>
      </c>
      <c r="GL626">
        <v>8</v>
      </c>
      <c r="GM626" t="s">
        <v>356</v>
      </c>
      <c r="GQ626">
        <v>7.5</v>
      </c>
      <c r="GS626">
        <v>8.5</v>
      </c>
      <c r="GU626">
        <v>12</v>
      </c>
      <c r="GZ626" t="s">
        <v>296</v>
      </c>
      <c r="HH626" t="s">
        <v>272</v>
      </c>
      <c r="IE626" t="s">
        <v>1605</v>
      </c>
      <c r="IF626">
        <v>12953</v>
      </c>
      <c r="IG626" t="s">
        <v>1606</v>
      </c>
      <c r="IH626" t="s">
        <v>1607</v>
      </c>
      <c r="II626">
        <v>1985</v>
      </c>
      <c r="IJ626" t="s">
        <v>1608</v>
      </c>
    </row>
    <row r="627" spans="1:244" x14ac:dyDescent="0.45">
      <c r="A627">
        <v>1186887</v>
      </c>
      <c r="B627">
        <v>138920</v>
      </c>
      <c r="C627">
        <v>7487947</v>
      </c>
      <c r="D627" t="s">
        <v>1602</v>
      </c>
      <c r="F627" t="s">
        <v>245</v>
      </c>
      <c r="G627" t="s">
        <v>246</v>
      </c>
      <c r="N627" t="s">
        <v>789</v>
      </c>
      <c r="O627" t="s">
        <v>790</v>
      </c>
      <c r="P627" t="s">
        <v>249</v>
      </c>
      <c r="Q627" t="s">
        <v>250</v>
      </c>
      <c r="R627" t="s">
        <v>251</v>
      </c>
      <c r="T627" t="s">
        <v>252</v>
      </c>
      <c r="U627" t="s">
        <v>253</v>
      </c>
      <c r="V627" t="s">
        <v>418</v>
      </c>
      <c r="W627" t="s">
        <v>791</v>
      </c>
      <c r="X627" t="s">
        <v>792</v>
      </c>
      <c r="Z627" t="s">
        <v>421</v>
      </c>
      <c r="AM627" t="s">
        <v>258</v>
      </c>
      <c r="AN627" t="s">
        <v>259</v>
      </c>
      <c r="AO627" t="s">
        <v>260</v>
      </c>
      <c r="AQ627" t="s">
        <v>261</v>
      </c>
      <c r="AS627">
        <v>6.71</v>
      </c>
      <c r="AX627" t="s">
        <v>262</v>
      </c>
      <c r="BO627" t="s">
        <v>261</v>
      </c>
      <c r="BQ627">
        <v>6.7099999999999998E-3</v>
      </c>
      <c r="BV627" t="s">
        <v>263</v>
      </c>
      <c r="CM627" t="s">
        <v>264</v>
      </c>
      <c r="CN627" t="s">
        <v>264</v>
      </c>
      <c r="CP627" t="s">
        <v>265</v>
      </c>
      <c r="DB627">
        <v>4</v>
      </c>
      <c r="DG627" t="s">
        <v>267</v>
      </c>
      <c r="DI627">
        <v>96</v>
      </c>
      <c r="DN627" t="s">
        <v>268</v>
      </c>
      <c r="DR627">
        <v>161924</v>
      </c>
      <c r="DS627">
        <v>3045</v>
      </c>
      <c r="EW627" t="s">
        <v>272</v>
      </c>
      <c r="FM627">
        <v>28</v>
      </c>
      <c r="FR627" t="s">
        <v>295</v>
      </c>
      <c r="GO627">
        <v>8.1999999999999993</v>
      </c>
      <c r="GU627">
        <v>32</v>
      </c>
      <c r="GZ627" t="s">
        <v>296</v>
      </c>
      <c r="HH627" t="s">
        <v>272</v>
      </c>
      <c r="IE627" t="s">
        <v>1652</v>
      </c>
      <c r="IF627">
        <v>16613</v>
      </c>
      <c r="IG627" t="s">
        <v>1653</v>
      </c>
      <c r="IH627" t="s">
        <v>1654</v>
      </c>
      <c r="II627">
        <v>1994</v>
      </c>
      <c r="IJ627" t="s">
        <v>1655</v>
      </c>
    </row>
    <row r="628" spans="1:244" x14ac:dyDescent="0.45">
      <c r="A628">
        <v>1277930</v>
      </c>
      <c r="B628">
        <v>731173</v>
      </c>
      <c r="C628">
        <v>7487947</v>
      </c>
      <c r="D628" t="s">
        <v>1602</v>
      </c>
      <c r="E628" t="s">
        <v>439</v>
      </c>
      <c r="F628" t="s">
        <v>245</v>
      </c>
      <c r="G628" t="s">
        <v>246</v>
      </c>
      <c r="N628" t="s">
        <v>968</v>
      </c>
      <c r="O628" t="s">
        <v>969</v>
      </c>
      <c r="P628" t="s">
        <v>249</v>
      </c>
      <c r="Q628" t="s">
        <v>250</v>
      </c>
      <c r="R628" t="s">
        <v>251</v>
      </c>
      <c r="T628" t="s">
        <v>252</v>
      </c>
      <c r="U628" t="s">
        <v>253</v>
      </c>
      <c r="V628" t="s">
        <v>418</v>
      </c>
      <c r="W628" t="s">
        <v>419</v>
      </c>
      <c r="X628" t="s">
        <v>970</v>
      </c>
      <c r="Z628" t="s">
        <v>649</v>
      </c>
      <c r="AL628" t="s">
        <v>1174</v>
      </c>
      <c r="AM628" t="s">
        <v>258</v>
      </c>
      <c r="AN628" t="s">
        <v>259</v>
      </c>
      <c r="AO628" t="s">
        <v>260</v>
      </c>
      <c r="AQ628" t="s">
        <v>261</v>
      </c>
      <c r="AS628">
        <v>7.0000000000000007E-2</v>
      </c>
      <c r="AU628">
        <v>0.04</v>
      </c>
      <c r="AW628">
        <v>0.11</v>
      </c>
      <c r="AX628" t="s">
        <v>356</v>
      </c>
      <c r="BO628" t="s">
        <v>261</v>
      </c>
      <c r="BQ628">
        <v>7.0000000000000007E-2</v>
      </c>
      <c r="BS628">
        <v>0.04</v>
      </c>
      <c r="BU628">
        <v>0.11</v>
      </c>
      <c r="BV628" t="s">
        <v>263</v>
      </c>
      <c r="CM628" t="s">
        <v>264</v>
      </c>
      <c r="CN628" t="s">
        <v>264</v>
      </c>
      <c r="CP628" t="s">
        <v>265</v>
      </c>
      <c r="CQ628" t="s">
        <v>266</v>
      </c>
      <c r="DB628">
        <v>4</v>
      </c>
      <c r="DG628" t="s">
        <v>267</v>
      </c>
      <c r="DI628">
        <v>96</v>
      </c>
      <c r="DN628" t="s">
        <v>268</v>
      </c>
      <c r="DP628" t="s">
        <v>1637</v>
      </c>
      <c r="DS628">
        <v>1010</v>
      </c>
      <c r="DT628" t="s">
        <v>1176</v>
      </c>
      <c r="EW628" t="s">
        <v>293</v>
      </c>
      <c r="FK628" t="s">
        <v>1715</v>
      </c>
      <c r="FM628">
        <v>30</v>
      </c>
      <c r="FR628" t="s">
        <v>295</v>
      </c>
      <c r="GG628" t="s">
        <v>288</v>
      </c>
      <c r="GH628">
        <v>90</v>
      </c>
      <c r="GM628" t="s">
        <v>900</v>
      </c>
      <c r="GO628">
        <v>8</v>
      </c>
      <c r="GU628">
        <v>36</v>
      </c>
      <c r="GZ628" t="s">
        <v>296</v>
      </c>
      <c r="HH628" t="s">
        <v>272</v>
      </c>
      <c r="ID628" t="s">
        <v>1716</v>
      </c>
      <c r="IE628" t="s">
        <v>1179</v>
      </c>
      <c r="IF628">
        <v>4973</v>
      </c>
      <c r="IG628" t="s">
        <v>1180</v>
      </c>
      <c r="IH628" t="s">
        <v>1181</v>
      </c>
      <c r="II628">
        <v>1982</v>
      </c>
      <c r="IJ628" t="s">
        <v>1182</v>
      </c>
    </row>
    <row r="629" spans="1:244" x14ac:dyDescent="0.45">
      <c r="A629">
        <v>2170775</v>
      </c>
      <c r="B629">
        <v>2336381</v>
      </c>
      <c r="C629">
        <v>7487947</v>
      </c>
      <c r="D629" t="s">
        <v>1602</v>
      </c>
      <c r="E629" t="s">
        <v>415</v>
      </c>
      <c r="F629" t="s">
        <v>245</v>
      </c>
      <c r="G629" t="s">
        <v>272</v>
      </c>
      <c r="N629" t="s">
        <v>958</v>
      </c>
      <c r="O629" t="s">
        <v>959</v>
      </c>
      <c r="P629" t="s">
        <v>249</v>
      </c>
      <c r="Q629" t="s">
        <v>250</v>
      </c>
      <c r="R629" t="s">
        <v>251</v>
      </c>
      <c r="T629" t="s">
        <v>252</v>
      </c>
      <c r="U629" t="s">
        <v>253</v>
      </c>
      <c r="V629" t="s">
        <v>418</v>
      </c>
      <c r="W629" t="s">
        <v>419</v>
      </c>
      <c r="X629" t="s">
        <v>960</v>
      </c>
      <c r="AJ629" t="s">
        <v>285</v>
      </c>
      <c r="AL629" t="s">
        <v>1622</v>
      </c>
      <c r="AM629" t="s">
        <v>287</v>
      </c>
      <c r="AN629" t="s">
        <v>259</v>
      </c>
      <c r="AO629" t="s">
        <v>260</v>
      </c>
      <c r="AP629">
        <v>6</v>
      </c>
      <c r="AQ629" t="s">
        <v>261</v>
      </c>
      <c r="AS629">
        <v>2.4E-2</v>
      </c>
      <c r="AX629" t="s">
        <v>356</v>
      </c>
      <c r="BO629" t="s">
        <v>261</v>
      </c>
      <c r="BQ629">
        <v>2.4E-2</v>
      </c>
      <c r="BV629" t="s">
        <v>263</v>
      </c>
      <c r="CM629" t="s">
        <v>264</v>
      </c>
      <c r="CN629" t="s">
        <v>264</v>
      </c>
      <c r="CP629" t="s">
        <v>265</v>
      </c>
      <c r="CQ629" t="s">
        <v>266</v>
      </c>
      <c r="DB629">
        <v>2</v>
      </c>
      <c r="DG629" t="s">
        <v>267</v>
      </c>
      <c r="DI629">
        <v>48</v>
      </c>
      <c r="DN629" t="s">
        <v>268</v>
      </c>
      <c r="DR629">
        <v>6687</v>
      </c>
      <c r="DS629">
        <v>252</v>
      </c>
      <c r="DV629">
        <v>96</v>
      </c>
      <c r="EA629" t="s">
        <v>268</v>
      </c>
      <c r="EC629">
        <v>4</v>
      </c>
      <c r="EH629" t="s">
        <v>267</v>
      </c>
      <c r="EJ629">
        <v>96</v>
      </c>
      <c r="EO629" t="s">
        <v>268</v>
      </c>
      <c r="EQ629">
        <v>4</v>
      </c>
      <c r="EV629" t="s">
        <v>267</v>
      </c>
      <c r="EW629" t="s">
        <v>293</v>
      </c>
      <c r="EZ629">
        <v>10</v>
      </c>
      <c r="FK629" t="s">
        <v>1717</v>
      </c>
      <c r="FM629">
        <v>24.1</v>
      </c>
      <c r="FR629" t="s">
        <v>295</v>
      </c>
      <c r="GG629" t="s">
        <v>288</v>
      </c>
      <c r="GH629">
        <v>60</v>
      </c>
      <c r="GM629" t="s">
        <v>900</v>
      </c>
      <c r="GO629">
        <v>6.8</v>
      </c>
      <c r="GU629">
        <v>5</v>
      </c>
      <c r="GZ629" t="s">
        <v>296</v>
      </c>
      <c r="HH629" t="s">
        <v>272</v>
      </c>
      <c r="ID629" t="s">
        <v>1718</v>
      </c>
      <c r="IE629" t="s">
        <v>1624</v>
      </c>
      <c r="IF629">
        <v>172254</v>
      </c>
      <c r="IG629" t="s">
        <v>1625</v>
      </c>
      <c r="IH629" t="s">
        <v>1626</v>
      </c>
      <c r="II629">
        <v>2002</v>
      </c>
      <c r="IJ629" t="s">
        <v>1627</v>
      </c>
    </row>
    <row r="630" spans="1:244" x14ac:dyDescent="0.45">
      <c r="A630">
        <v>2170775</v>
      </c>
      <c r="B630">
        <v>2336383</v>
      </c>
      <c r="C630">
        <v>7487947</v>
      </c>
      <c r="D630" t="s">
        <v>1602</v>
      </c>
      <c r="E630" t="s">
        <v>415</v>
      </c>
      <c r="F630" t="s">
        <v>245</v>
      </c>
      <c r="G630" t="s">
        <v>272</v>
      </c>
      <c r="N630" t="s">
        <v>958</v>
      </c>
      <c r="O630" t="s">
        <v>959</v>
      </c>
      <c r="P630" t="s">
        <v>249</v>
      </c>
      <c r="Q630" t="s">
        <v>250</v>
      </c>
      <c r="R630" t="s">
        <v>251</v>
      </c>
      <c r="T630" t="s">
        <v>252</v>
      </c>
      <c r="U630" t="s">
        <v>253</v>
      </c>
      <c r="V630" t="s">
        <v>418</v>
      </c>
      <c r="W630" t="s">
        <v>419</v>
      </c>
      <c r="X630" t="s">
        <v>960</v>
      </c>
      <c r="AJ630" t="s">
        <v>285</v>
      </c>
      <c r="AL630" t="s">
        <v>1622</v>
      </c>
      <c r="AM630" t="s">
        <v>287</v>
      </c>
      <c r="AN630" t="s">
        <v>259</v>
      </c>
      <c r="AO630" t="s">
        <v>260</v>
      </c>
      <c r="AP630">
        <v>6</v>
      </c>
      <c r="AQ630" t="s">
        <v>261</v>
      </c>
      <c r="AS630">
        <v>1.6E-2</v>
      </c>
      <c r="AU630">
        <v>1.4999999999999999E-2</v>
      </c>
      <c r="AW630">
        <v>2.5000000000000001E-2</v>
      </c>
      <c r="AX630" t="s">
        <v>356</v>
      </c>
      <c r="BO630" t="s">
        <v>261</v>
      </c>
      <c r="BQ630">
        <v>1.6E-2</v>
      </c>
      <c r="BS630">
        <v>1.4999999999999999E-2</v>
      </c>
      <c r="BU630">
        <v>2.5000000000000001E-2</v>
      </c>
      <c r="BV630" t="s">
        <v>263</v>
      </c>
      <c r="CM630" t="s">
        <v>264</v>
      </c>
      <c r="CN630" t="s">
        <v>264</v>
      </c>
      <c r="CP630" t="s">
        <v>265</v>
      </c>
      <c r="CQ630" t="s">
        <v>266</v>
      </c>
      <c r="DB630">
        <v>4</v>
      </c>
      <c r="DG630" t="s">
        <v>267</v>
      </c>
      <c r="DI630">
        <v>96</v>
      </c>
      <c r="DN630" t="s">
        <v>268</v>
      </c>
      <c r="DR630">
        <v>6687</v>
      </c>
      <c r="DS630">
        <v>252</v>
      </c>
      <c r="DV630">
        <v>96</v>
      </c>
      <c r="EA630" t="s">
        <v>268</v>
      </c>
      <c r="EC630">
        <v>4</v>
      </c>
      <c r="EH630" t="s">
        <v>267</v>
      </c>
      <c r="EJ630">
        <v>96</v>
      </c>
      <c r="EO630" t="s">
        <v>268</v>
      </c>
      <c r="EQ630">
        <v>4</v>
      </c>
      <c r="EV630" t="s">
        <v>267</v>
      </c>
      <c r="EW630" t="s">
        <v>293</v>
      </c>
      <c r="EZ630">
        <v>10</v>
      </c>
      <c r="FM630">
        <v>24.1</v>
      </c>
      <c r="FR630" t="s">
        <v>295</v>
      </c>
      <c r="GG630" t="s">
        <v>288</v>
      </c>
      <c r="GH630">
        <v>60</v>
      </c>
      <c r="GM630" t="s">
        <v>900</v>
      </c>
      <c r="GO630">
        <v>6.8</v>
      </c>
      <c r="GU630">
        <v>5</v>
      </c>
      <c r="GZ630" t="s">
        <v>296</v>
      </c>
      <c r="HH630" t="s">
        <v>272</v>
      </c>
      <c r="ID630" t="s">
        <v>1623</v>
      </c>
      <c r="IE630" t="s">
        <v>1624</v>
      </c>
      <c r="IF630">
        <v>172254</v>
      </c>
      <c r="IG630" t="s">
        <v>1625</v>
      </c>
      <c r="IH630" t="s">
        <v>1626</v>
      </c>
      <c r="II630">
        <v>2002</v>
      </c>
      <c r="IJ630" t="s">
        <v>1627</v>
      </c>
    </row>
    <row r="631" spans="1:244" x14ac:dyDescent="0.45">
      <c r="A631">
        <v>2170775</v>
      </c>
      <c r="B631">
        <v>2336380</v>
      </c>
      <c r="C631">
        <v>7487947</v>
      </c>
      <c r="D631" t="s">
        <v>1602</v>
      </c>
      <c r="E631" t="s">
        <v>415</v>
      </c>
      <c r="F631" t="s">
        <v>245</v>
      </c>
      <c r="G631" t="s">
        <v>272</v>
      </c>
      <c r="N631" t="s">
        <v>958</v>
      </c>
      <c r="O631" t="s">
        <v>959</v>
      </c>
      <c r="P631" t="s">
        <v>249</v>
      </c>
      <c r="Q631" t="s">
        <v>250</v>
      </c>
      <c r="R631" t="s">
        <v>251</v>
      </c>
      <c r="T631" t="s">
        <v>252</v>
      </c>
      <c r="U631" t="s">
        <v>253</v>
      </c>
      <c r="V631" t="s">
        <v>418</v>
      </c>
      <c r="W631" t="s">
        <v>419</v>
      </c>
      <c r="X631" t="s">
        <v>960</v>
      </c>
      <c r="AJ631" t="s">
        <v>285</v>
      </c>
      <c r="AL631" t="s">
        <v>1622</v>
      </c>
      <c r="AM631" t="s">
        <v>287</v>
      </c>
      <c r="AN631" t="s">
        <v>259</v>
      </c>
      <c r="AO631" t="s">
        <v>260</v>
      </c>
      <c r="AP631">
        <v>6</v>
      </c>
      <c r="AQ631" t="s">
        <v>261</v>
      </c>
      <c r="AS631">
        <v>3.5000000000000003E-2</v>
      </c>
      <c r="AU631">
        <v>2.8000000000000001E-2</v>
      </c>
      <c r="AW631">
        <v>3.7999999999999999E-2</v>
      </c>
      <c r="AX631" t="s">
        <v>356</v>
      </c>
      <c r="BO631" t="s">
        <v>261</v>
      </c>
      <c r="BQ631">
        <v>3.5000000000000003E-2</v>
      </c>
      <c r="BS631">
        <v>2.8000000000000001E-2</v>
      </c>
      <c r="BU631">
        <v>3.7999999999999999E-2</v>
      </c>
      <c r="BV631" t="s">
        <v>263</v>
      </c>
      <c r="CM631" t="s">
        <v>264</v>
      </c>
      <c r="CN631" t="s">
        <v>264</v>
      </c>
      <c r="CP631" t="s">
        <v>265</v>
      </c>
      <c r="CQ631" t="s">
        <v>266</v>
      </c>
      <c r="DB631">
        <v>1</v>
      </c>
      <c r="DG631" t="s">
        <v>267</v>
      </c>
      <c r="DI631">
        <v>24</v>
      </c>
      <c r="DN631" t="s">
        <v>268</v>
      </c>
      <c r="DR631">
        <v>6687</v>
      </c>
      <c r="DS631">
        <v>252</v>
      </c>
      <c r="DV631">
        <v>96</v>
      </c>
      <c r="EA631" t="s">
        <v>268</v>
      </c>
      <c r="EC631">
        <v>4</v>
      </c>
      <c r="EH631" t="s">
        <v>267</v>
      </c>
      <c r="EJ631">
        <v>96</v>
      </c>
      <c r="EO631" t="s">
        <v>268</v>
      </c>
      <c r="EQ631">
        <v>4</v>
      </c>
      <c r="EV631" t="s">
        <v>267</v>
      </c>
      <c r="EW631" t="s">
        <v>293</v>
      </c>
      <c r="EZ631">
        <v>10</v>
      </c>
      <c r="FM631">
        <v>24.1</v>
      </c>
      <c r="FR631" t="s">
        <v>295</v>
      </c>
      <c r="GG631" t="s">
        <v>288</v>
      </c>
      <c r="GH631">
        <v>60</v>
      </c>
      <c r="GM631" t="s">
        <v>900</v>
      </c>
      <c r="GO631">
        <v>6.8</v>
      </c>
      <c r="GU631">
        <v>5</v>
      </c>
      <c r="GZ631" t="s">
        <v>296</v>
      </c>
      <c r="HH631" t="s">
        <v>272</v>
      </c>
      <c r="ID631" t="s">
        <v>1623</v>
      </c>
      <c r="IE631" t="s">
        <v>1624</v>
      </c>
      <c r="IF631">
        <v>172254</v>
      </c>
      <c r="IG631" t="s">
        <v>1625</v>
      </c>
      <c r="IH631" t="s">
        <v>1626</v>
      </c>
      <c r="II631">
        <v>2002</v>
      </c>
      <c r="IJ631" t="s">
        <v>1627</v>
      </c>
    </row>
    <row r="632" spans="1:244" x14ac:dyDescent="0.45">
      <c r="A632">
        <v>1151402</v>
      </c>
      <c r="B632">
        <v>83969</v>
      </c>
      <c r="C632">
        <v>7487947</v>
      </c>
      <c r="D632" t="s">
        <v>1602</v>
      </c>
      <c r="F632" t="s">
        <v>327</v>
      </c>
      <c r="G632" t="s">
        <v>246</v>
      </c>
      <c r="N632" t="s">
        <v>1064</v>
      </c>
      <c r="O632" t="s">
        <v>1065</v>
      </c>
      <c r="P632" t="s">
        <v>249</v>
      </c>
      <c r="Q632" t="s">
        <v>250</v>
      </c>
      <c r="R632" t="s">
        <v>251</v>
      </c>
      <c r="T632" t="s">
        <v>252</v>
      </c>
      <c r="U632" t="s">
        <v>253</v>
      </c>
      <c r="V632" t="s">
        <v>304</v>
      </c>
      <c r="W632" t="s">
        <v>1066</v>
      </c>
      <c r="X632" t="s">
        <v>1067</v>
      </c>
      <c r="Z632" t="s">
        <v>284</v>
      </c>
      <c r="AB632">
        <v>1</v>
      </c>
      <c r="AG632" t="s">
        <v>598</v>
      </c>
      <c r="AM632" t="s">
        <v>317</v>
      </c>
      <c r="AN632" t="s">
        <v>259</v>
      </c>
      <c r="AO632" t="s">
        <v>260</v>
      </c>
      <c r="AQ632" t="s">
        <v>261</v>
      </c>
      <c r="AS632">
        <v>50</v>
      </c>
      <c r="AX632" t="s">
        <v>262</v>
      </c>
      <c r="BO632" t="s">
        <v>261</v>
      </c>
      <c r="BQ632">
        <v>0.05</v>
      </c>
      <c r="BV632" t="s">
        <v>263</v>
      </c>
      <c r="CM632" t="s">
        <v>264</v>
      </c>
      <c r="CN632" t="s">
        <v>264</v>
      </c>
      <c r="CP632" t="s">
        <v>265</v>
      </c>
      <c r="CQ632" t="s">
        <v>266</v>
      </c>
      <c r="DB632">
        <v>4</v>
      </c>
      <c r="DG632" t="s">
        <v>267</v>
      </c>
      <c r="DI632">
        <v>96</v>
      </c>
      <c r="DN632" t="s">
        <v>268</v>
      </c>
      <c r="DP632" t="s">
        <v>1603</v>
      </c>
      <c r="DR632">
        <v>79674</v>
      </c>
      <c r="DS632">
        <v>648</v>
      </c>
      <c r="DT632" t="s">
        <v>1604</v>
      </c>
      <c r="EW632" t="s">
        <v>333</v>
      </c>
      <c r="FO632">
        <v>25.5</v>
      </c>
      <c r="FQ632">
        <v>27</v>
      </c>
      <c r="FR632" t="s">
        <v>295</v>
      </c>
      <c r="FT632">
        <v>400</v>
      </c>
      <c r="FY632" t="s">
        <v>572</v>
      </c>
      <c r="GJ632">
        <v>7</v>
      </c>
      <c r="GL632">
        <v>8</v>
      </c>
      <c r="GM632" t="s">
        <v>356</v>
      </c>
      <c r="GQ632">
        <v>7.5</v>
      </c>
      <c r="GS632">
        <v>8.5</v>
      </c>
      <c r="GU632">
        <v>12</v>
      </c>
      <c r="GZ632" t="s">
        <v>296</v>
      </c>
      <c r="HH632" t="s">
        <v>272</v>
      </c>
      <c r="IE632" t="s">
        <v>1605</v>
      </c>
      <c r="IF632">
        <v>12953</v>
      </c>
      <c r="IG632" t="s">
        <v>1606</v>
      </c>
      <c r="IH632" t="s">
        <v>1607</v>
      </c>
      <c r="II632">
        <v>1985</v>
      </c>
      <c r="IJ632" t="s">
        <v>1608</v>
      </c>
    </row>
    <row r="633" spans="1:244" x14ac:dyDescent="0.45">
      <c r="A633">
        <v>2170775</v>
      </c>
      <c r="B633">
        <v>2336382</v>
      </c>
      <c r="C633">
        <v>7487947</v>
      </c>
      <c r="D633" t="s">
        <v>1602</v>
      </c>
      <c r="E633" t="s">
        <v>415</v>
      </c>
      <c r="F633" t="s">
        <v>245</v>
      </c>
      <c r="G633" t="s">
        <v>272</v>
      </c>
      <c r="N633" t="s">
        <v>958</v>
      </c>
      <c r="O633" t="s">
        <v>959</v>
      </c>
      <c r="P633" t="s">
        <v>249</v>
      </c>
      <c r="Q633" t="s">
        <v>250</v>
      </c>
      <c r="R633" t="s">
        <v>251</v>
      </c>
      <c r="T633" t="s">
        <v>252</v>
      </c>
      <c r="U633" t="s">
        <v>253</v>
      </c>
      <c r="V633" t="s">
        <v>418</v>
      </c>
      <c r="W633" t="s">
        <v>419</v>
      </c>
      <c r="X633" t="s">
        <v>960</v>
      </c>
      <c r="AJ633" t="s">
        <v>285</v>
      </c>
      <c r="AL633" t="s">
        <v>1622</v>
      </c>
      <c r="AM633" t="s">
        <v>287</v>
      </c>
      <c r="AN633" t="s">
        <v>259</v>
      </c>
      <c r="AO633" t="s">
        <v>260</v>
      </c>
      <c r="AP633">
        <v>6</v>
      </c>
      <c r="AQ633" t="s">
        <v>261</v>
      </c>
      <c r="AS633">
        <v>2.1000000000000001E-2</v>
      </c>
      <c r="AU633">
        <v>0.02</v>
      </c>
      <c r="AW633">
        <v>0.03</v>
      </c>
      <c r="AX633" t="s">
        <v>356</v>
      </c>
      <c r="BO633" t="s">
        <v>261</v>
      </c>
      <c r="BQ633">
        <v>2.1000000000000001E-2</v>
      </c>
      <c r="BS633">
        <v>0.02</v>
      </c>
      <c r="BU633">
        <v>0.03</v>
      </c>
      <c r="BV633" t="s">
        <v>263</v>
      </c>
      <c r="CM633" t="s">
        <v>264</v>
      </c>
      <c r="CN633" t="s">
        <v>264</v>
      </c>
      <c r="CP633" t="s">
        <v>265</v>
      </c>
      <c r="CQ633" t="s">
        <v>266</v>
      </c>
      <c r="DB633">
        <v>3</v>
      </c>
      <c r="DG633" t="s">
        <v>267</v>
      </c>
      <c r="DI633">
        <v>72</v>
      </c>
      <c r="DN633" t="s">
        <v>268</v>
      </c>
      <c r="DR633">
        <v>6687</v>
      </c>
      <c r="DS633">
        <v>252</v>
      </c>
      <c r="DV633">
        <v>96</v>
      </c>
      <c r="EA633" t="s">
        <v>268</v>
      </c>
      <c r="EC633">
        <v>4</v>
      </c>
      <c r="EH633" t="s">
        <v>267</v>
      </c>
      <c r="EJ633">
        <v>96</v>
      </c>
      <c r="EO633" t="s">
        <v>268</v>
      </c>
      <c r="EQ633">
        <v>4</v>
      </c>
      <c r="EV633" t="s">
        <v>267</v>
      </c>
      <c r="EW633" t="s">
        <v>293</v>
      </c>
      <c r="EZ633">
        <v>10</v>
      </c>
      <c r="FM633">
        <v>24.1</v>
      </c>
      <c r="FR633" t="s">
        <v>295</v>
      </c>
      <c r="GG633" t="s">
        <v>288</v>
      </c>
      <c r="GH633">
        <v>60</v>
      </c>
      <c r="GM633" t="s">
        <v>900</v>
      </c>
      <c r="GO633">
        <v>6.8</v>
      </c>
      <c r="GU633">
        <v>5</v>
      </c>
      <c r="GZ633" t="s">
        <v>296</v>
      </c>
      <c r="HH633" t="s">
        <v>272</v>
      </c>
      <c r="ID633" t="s">
        <v>1623</v>
      </c>
      <c r="IE633" t="s">
        <v>1624</v>
      </c>
      <c r="IF633">
        <v>172254</v>
      </c>
      <c r="IG633" t="s">
        <v>1625</v>
      </c>
      <c r="IH633" t="s">
        <v>1626</v>
      </c>
      <c r="II633">
        <v>2002</v>
      </c>
      <c r="IJ633" t="s">
        <v>1627</v>
      </c>
    </row>
    <row r="634" spans="1:244" x14ac:dyDescent="0.45">
      <c r="A634">
        <v>2170780</v>
      </c>
      <c r="B634">
        <v>2336402</v>
      </c>
      <c r="C634">
        <v>7487947</v>
      </c>
      <c r="D634" t="s">
        <v>1602</v>
      </c>
      <c r="E634" t="s">
        <v>415</v>
      </c>
      <c r="F634" t="s">
        <v>245</v>
      </c>
      <c r="G634" t="s">
        <v>272</v>
      </c>
      <c r="N634" t="s">
        <v>958</v>
      </c>
      <c r="O634" t="s">
        <v>959</v>
      </c>
      <c r="P634" t="s">
        <v>249</v>
      </c>
      <c r="Q634" t="s">
        <v>250</v>
      </c>
      <c r="R634" t="s">
        <v>251</v>
      </c>
      <c r="T634" t="s">
        <v>252</v>
      </c>
      <c r="U634" t="s">
        <v>253</v>
      </c>
      <c r="V634" t="s">
        <v>418</v>
      </c>
      <c r="W634" t="s">
        <v>419</v>
      </c>
      <c r="X634" t="s">
        <v>960</v>
      </c>
      <c r="AJ634" t="s">
        <v>285</v>
      </c>
      <c r="AL634" t="s">
        <v>1719</v>
      </c>
      <c r="AM634" t="s">
        <v>287</v>
      </c>
      <c r="AN634" t="s">
        <v>259</v>
      </c>
      <c r="AO634" t="s">
        <v>260</v>
      </c>
      <c r="AP634">
        <v>6</v>
      </c>
      <c r="AQ634" t="s">
        <v>261</v>
      </c>
      <c r="AS634">
        <v>4.8000000000000001E-2</v>
      </c>
      <c r="AU634">
        <v>4.2000000000000003E-2</v>
      </c>
      <c r="AW634">
        <v>5.6000000000000001E-2</v>
      </c>
      <c r="AX634" t="s">
        <v>356</v>
      </c>
      <c r="BO634" t="s">
        <v>261</v>
      </c>
      <c r="BQ634">
        <v>4.8000000000000001E-2</v>
      </c>
      <c r="BS634">
        <v>4.2000000000000003E-2</v>
      </c>
      <c r="BU634">
        <v>5.6000000000000001E-2</v>
      </c>
      <c r="BV634" t="s">
        <v>263</v>
      </c>
      <c r="CM634" t="s">
        <v>264</v>
      </c>
      <c r="CN634" t="s">
        <v>264</v>
      </c>
      <c r="CP634" t="s">
        <v>265</v>
      </c>
      <c r="CQ634" t="s">
        <v>266</v>
      </c>
      <c r="DB634">
        <v>3</v>
      </c>
      <c r="DG634" t="s">
        <v>267</v>
      </c>
      <c r="DI634">
        <v>72</v>
      </c>
      <c r="DN634" t="s">
        <v>268</v>
      </c>
      <c r="DR634">
        <v>6687</v>
      </c>
      <c r="DS634">
        <v>252</v>
      </c>
      <c r="DV634">
        <v>96</v>
      </c>
      <c r="EA634" t="s">
        <v>268</v>
      </c>
      <c r="EC634">
        <v>4</v>
      </c>
      <c r="EH634" t="s">
        <v>267</v>
      </c>
      <c r="EJ634">
        <v>96</v>
      </c>
      <c r="EO634" t="s">
        <v>268</v>
      </c>
      <c r="EQ634">
        <v>4</v>
      </c>
      <c r="EV634" t="s">
        <v>267</v>
      </c>
      <c r="EW634" t="s">
        <v>293</v>
      </c>
      <c r="EZ634">
        <v>10</v>
      </c>
      <c r="FM634">
        <v>24.1</v>
      </c>
      <c r="FR634" t="s">
        <v>295</v>
      </c>
      <c r="GG634" t="s">
        <v>288</v>
      </c>
      <c r="GH634">
        <v>60</v>
      </c>
      <c r="GM634" t="s">
        <v>900</v>
      </c>
      <c r="GO634">
        <v>6.8</v>
      </c>
      <c r="GU634">
        <v>25</v>
      </c>
      <c r="GZ634" t="s">
        <v>296</v>
      </c>
      <c r="HH634" t="s">
        <v>272</v>
      </c>
      <c r="ID634" t="s">
        <v>1623</v>
      </c>
      <c r="IE634" t="s">
        <v>1624</v>
      </c>
      <c r="IF634">
        <v>172254</v>
      </c>
      <c r="IG634" t="s">
        <v>1625</v>
      </c>
      <c r="IH634" t="s">
        <v>1626</v>
      </c>
      <c r="II634">
        <v>2002</v>
      </c>
      <c r="IJ634" t="s">
        <v>1627</v>
      </c>
    </row>
    <row r="635" spans="1:244" x14ac:dyDescent="0.45">
      <c r="A635">
        <v>2170780</v>
      </c>
      <c r="B635">
        <v>2336401</v>
      </c>
      <c r="C635">
        <v>7487947</v>
      </c>
      <c r="D635" t="s">
        <v>1602</v>
      </c>
      <c r="E635" t="s">
        <v>415</v>
      </c>
      <c r="F635" t="s">
        <v>245</v>
      </c>
      <c r="G635" t="s">
        <v>272</v>
      </c>
      <c r="N635" t="s">
        <v>958</v>
      </c>
      <c r="O635" t="s">
        <v>959</v>
      </c>
      <c r="P635" t="s">
        <v>249</v>
      </c>
      <c r="Q635" t="s">
        <v>250</v>
      </c>
      <c r="R635" t="s">
        <v>251</v>
      </c>
      <c r="T635" t="s">
        <v>252</v>
      </c>
      <c r="U635" t="s">
        <v>253</v>
      </c>
      <c r="V635" t="s">
        <v>418</v>
      </c>
      <c r="W635" t="s">
        <v>419</v>
      </c>
      <c r="X635" t="s">
        <v>960</v>
      </c>
      <c r="AJ635" t="s">
        <v>285</v>
      </c>
      <c r="AL635" t="s">
        <v>1719</v>
      </c>
      <c r="AM635" t="s">
        <v>287</v>
      </c>
      <c r="AN635" t="s">
        <v>259</v>
      </c>
      <c r="AO635" t="s">
        <v>260</v>
      </c>
      <c r="AP635">
        <v>6</v>
      </c>
      <c r="AQ635" t="s">
        <v>261</v>
      </c>
      <c r="AS635">
        <v>5.6000000000000001E-2</v>
      </c>
      <c r="AU635">
        <v>4.3999999999999997E-2</v>
      </c>
      <c r="AW635">
        <v>6.6000000000000003E-2</v>
      </c>
      <c r="AX635" t="s">
        <v>356</v>
      </c>
      <c r="BO635" t="s">
        <v>261</v>
      </c>
      <c r="BQ635">
        <v>5.6000000000000001E-2</v>
      </c>
      <c r="BS635">
        <v>4.3999999999999997E-2</v>
      </c>
      <c r="BU635">
        <v>6.6000000000000003E-2</v>
      </c>
      <c r="BV635" t="s">
        <v>263</v>
      </c>
      <c r="CM635" t="s">
        <v>264</v>
      </c>
      <c r="CN635" t="s">
        <v>264</v>
      </c>
      <c r="CP635" t="s">
        <v>265</v>
      </c>
      <c r="CQ635" t="s">
        <v>266</v>
      </c>
      <c r="DB635">
        <v>2</v>
      </c>
      <c r="DG635" t="s">
        <v>267</v>
      </c>
      <c r="DI635">
        <v>48</v>
      </c>
      <c r="DN635" t="s">
        <v>268</v>
      </c>
      <c r="DR635">
        <v>6687</v>
      </c>
      <c r="DS635">
        <v>252</v>
      </c>
      <c r="DV635">
        <v>96</v>
      </c>
      <c r="EA635" t="s">
        <v>268</v>
      </c>
      <c r="EC635">
        <v>4</v>
      </c>
      <c r="EH635" t="s">
        <v>267</v>
      </c>
      <c r="EJ635">
        <v>96</v>
      </c>
      <c r="EO635" t="s">
        <v>268</v>
      </c>
      <c r="EQ635">
        <v>4</v>
      </c>
      <c r="EV635" t="s">
        <v>267</v>
      </c>
      <c r="EW635" t="s">
        <v>293</v>
      </c>
      <c r="EZ635">
        <v>10</v>
      </c>
      <c r="FM635">
        <v>24.1</v>
      </c>
      <c r="FR635" t="s">
        <v>295</v>
      </c>
      <c r="GG635" t="s">
        <v>288</v>
      </c>
      <c r="GH635">
        <v>60</v>
      </c>
      <c r="GM635" t="s">
        <v>900</v>
      </c>
      <c r="GO635">
        <v>6.8</v>
      </c>
      <c r="GU635">
        <v>25</v>
      </c>
      <c r="GZ635" t="s">
        <v>296</v>
      </c>
      <c r="HH635" t="s">
        <v>272</v>
      </c>
      <c r="ID635" t="s">
        <v>1623</v>
      </c>
      <c r="IE635" t="s">
        <v>1624</v>
      </c>
      <c r="IF635">
        <v>172254</v>
      </c>
      <c r="IG635" t="s">
        <v>1625</v>
      </c>
      <c r="IH635" t="s">
        <v>1626</v>
      </c>
      <c r="II635">
        <v>2002</v>
      </c>
      <c r="IJ635" t="s">
        <v>1627</v>
      </c>
    </row>
    <row r="636" spans="1:244" x14ac:dyDescent="0.45">
      <c r="A636">
        <v>1111784</v>
      </c>
      <c r="B636">
        <v>29505</v>
      </c>
      <c r="C636">
        <v>7487947</v>
      </c>
      <c r="D636" t="s">
        <v>1602</v>
      </c>
      <c r="F636" t="s">
        <v>245</v>
      </c>
      <c r="G636" t="s">
        <v>246</v>
      </c>
      <c r="N636" t="s">
        <v>1609</v>
      </c>
      <c r="O636" t="s">
        <v>1610</v>
      </c>
      <c r="P636" t="s">
        <v>249</v>
      </c>
      <c r="Q636" t="s">
        <v>250</v>
      </c>
      <c r="R636" t="s">
        <v>251</v>
      </c>
      <c r="T636" t="s">
        <v>252</v>
      </c>
      <c r="U636" t="s">
        <v>253</v>
      </c>
      <c r="V636" t="s">
        <v>1611</v>
      </c>
      <c r="W636" t="s">
        <v>1612</v>
      </c>
      <c r="X636" t="s">
        <v>1613</v>
      </c>
      <c r="AM636" t="s">
        <v>317</v>
      </c>
      <c r="AN636" t="s">
        <v>259</v>
      </c>
      <c r="AO636" t="s">
        <v>260</v>
      </c>
      <c r="AQ636" t="s">
        <v>261</v>
      </c>
      <c r="AS636">
        <v>64</v>
      </c>
      <c r="AX636" t="s">
        <v>262</v>
      </c>
      <c r="BO636" t="s">
        <v>261</v>
      </c>
      <c r="BQ636">
        <v>6.4000000000000001E-2</v>
      </c>
      <c r="BV636" t="s">
        <v>263</v>
      </c>
      <c r="CM636" t="s">
        <v>264</v>
      </c>
      <c r="CN636" t="s">
        <v>264</v>
      </c>
      <c r="CP636" t="s">
        <v>265</v>
      </c>
      <c r="CQ636" t="s">
        <v>266</v>
      </c>
      <c r="DB636">
        <v>1</v>
      </c>
      <c r="DG636" t="s">
        <v>267</v>
      </c>
      <c r="DI636">
        <v>24</v>
      </c>
      <c r="DN636" t="s">
        <v>268</v>
      </c>
      <c r="DR636">
        <v>84662</v>
      </c>
      <c r="DS636">
        <v>1296</v>
      </c>
      <c r="DT636" t="s">
        <v>1614</v>
      </c>
      <c r="EW636" t="s">
        <v>333</v>
      </c>
      <c r="FA636" t="s">
        <v>1615</v>
      </c>
      <c r="FK636" t="s">
        <v>1616</v>
      </c>
      <c r="FO636">
        <v>20</v>
      </c>
      <c r="FQ636">
        <v>22</v>
      </c>
      <c r="FR636" t="s">
        <v>295</v>
      </c>
      <c r="GQ636">
        <v>8</v>
      </c>
      <c r="GS636">
        <v>8.4</v>
      </c>
      <c r="GU636">
        <v>7</v>
      </c>
      <c r="GZ636" t="s">
        <v>296</v>
      </c>
      <c r="HH636" t="s">
        <v>272</v>
      </c>
      <c r="ID636" t="s">
        <v>1617</v>
      </c>
      <c r="IE636" t="s">
        <v>1618</v>
      </c>
      <c r="IF636">
        <v>8436</v>
      </c>
      <c r="IG636" t="s">
        <v>1619</v>
      </c>
      <c r="IH636" t="s">
        <v>1620</v>
      </c>
      <c r="II636">
        <v>1974</v>
      </c>
      <c r="IJ636" t="s">
        <v>1621</v>
      </c>
    </row>
    <row r="637" spans="1:244" x14ac:dyDescent="0.45">
      <c r="A637">
        <v>2170780</v>
      </c>
      <c r="B637">
        <v>2336403</v>
      </c>
      <c r="C637">
        <v>7487947</v>
      </c>
      <c r="D637" t="s">
        <v>1602</v>
      </c>
      <c r="E637" t="s">
        <v>415</v>
      </c>
      <c r="F637" t="s">
        <v>245</v>
      </c>
      <c r="G637" t="s">
        <v>272</v>
      </c>
      <c r="N637" t="s">
        <v>958</v>
      </c>
      <c r="O637" t="s">
        <v>959</v>
      </c>
      <c r="P637" t="s">
        <v>249</v>
      </c>
      <c r="Q637" t="s">
        <v>250</v>
      </c>
      <c r="R637" t="s">
        <v>251</v>
      </c>
      <c r="T637" t="s">
        <v>252</v>
      </c>
      <c r="U637" t="s">
        <v>253</v>
      </c>
      <c r="V637" t="s">
        <v>418</v>
      </c>
      <c r="W637" t="s">
        <v>419</v>
      </c>
      <c r="X637" t="s">
        <v>960</v>
      </c>
      <c r="AJ637" t="s">
        <v>285</v>
      </c>
      <c r="AL637" t="s">
        <v>1719</v>
      </c>
      <c r="AM637" t="s">
        <v>287</v>
      </c>
      <c r="AN637" t="s">
        <v>259</v>
      </c>
      <c r="AO637" t="s">
        <v>260</v>
      </c>
      <c r="AP637">
        <v>6</v>
      </c>
      <c r="AQ637" t="s">
        <v>261</v>
      </c>
      <c r="AS637">
        <v>3.5999999999999997E-2</v>
      </c>
      <c r="AU637">
        <v>3.2000000000000001E-2</v>
      </c>
      <c r="AW637">
        <v>4.1000000000000002E-2</v>
      </c>
      <c r="AX637" t="s">
        <v>356</v>
      </c>
      <c r="BO637" t="s">
        <v>261</v>
      </c>
      <c r="BQ637">
        <v>3.5999999999999997E-2</v>
      </c>
      <c r="BS637">
        <v>3.2000000000000001E-2</v>
      </c>
      <c r="BU637">
        <v>4.1000000000000002E-2</v>
      </c>
      <c r="BV637" t="s">
        <v>263</v>
      </c>
      <c r="CM637" t="s">
        <v>264</v>
      </c>
      <c r="CN637" t="s">
        <v>264</v>
      </c>
      <c r="CP637" t="s">
        <v>265</v>
      </c>
      <c r="CQ637" t="s">
        <v>266</v>
      </c>
      <c r="DB637">
        <v>4</v>
      </c>
      <c r="DG637" t="s">
        <v>267</v>
      </c>
      <c r="DI637">
        <v>96</v>
      </c>
      <c r="DN637" t="s">
        <v>268</v>
      </c>
      <c r="DR637">
        <v>6687</v>
      </c>
      <c r="DS637">
        <v>252</v>
      </c>
      <c r="DV637">
        <v>96</v>
      </c>
      <c r="EA637" t="s">
        <v>268</v>
      </c>
      <c r="EC637">
        <v>4</v>
      </c>
      <c r="EH637" t="s">
        <v>267</v>
      </c>
      <c r="EJ637">
        <v>96</v>
      </c>
      <c r="EO637" t="s">
        <v>268</v>
      </c>
      <c r="EQ637">
        <v>4</v>
      </c>
      <c r="EV637" t="s">
        <v>267</v>
      </c>
      <c r="EW637" t="s">
        <v>293</v>
      </c>
      <c r="EZ637">
        <v>10</v>
      </c>
      <c r="FM637">
        <v>24.1</v>
      </c>
      <c r="FR637" t="s">
        <v>295</v>
      </c>
      <c r="GG637" t="s">
        <v>288</v>
      </c>
      <c r="GH637">
        <v>60</v>
      </c>
      <c r="GM637" t="s">
        <v>900</v>
      </c>
      <c r="GO637">
        <v>6.8</v>
      </c>
      <c r="GU637">
        <v>25</v>
      </c>
      <c r="GZ637" t="s">
        <v>296</v>
      </c>
      <c r="HH637" t="s">
        <v>272</v>
      </c>
      <c r="ID637" t="s">
        <v>1623</v>
      </c>
      <c r="IE637" t="s">
        <v>1624</v>
      </c>
      <c r="IF637">
        <v>172254</v>
      </c>
      <c r="IG637" t="s">
        <v>1625</v>
      </c>
      <c r="IH637" t="s">
        <v>1626</v>
      </c>
      <c r="II637">
        <v>2002</v>
      </c>
      <c r="IJ637" t="s">
        <v>1627</v>
      </c>
    </row>
    <row r="638" spans="1:244" x14ac:dyDescent="0.45">
      <c r="A638">
        <v>2170780</v>
      </c>
      <c r="B638">
        <v>2336400</v>
      </c>
      <c r="C638">
        <v>7487947</v>
      </c>
      <c r="D638" t="s">
        <v>1602</v>
      </c>
      <c r="E638" t="s">
        <v>415</v>
      </c>
      <c r="F638" t="s">
        <v>245</v>
      </c>
      <c r="G638" t="s">
        <v>272</v>
      </c>
      <c r="N638" t="s">
        <v>958</v>
      </c>
      <c r="O638" t="s">
        <v>959</v>
      </c>
      <c r="P638" t="s">
        <v>249</v>
      </c>
      <c r="Q638" t="s">
        <v>250</v>
      </c>
      <c r="R638" t="s">
        <v>251</v>
      </c>
      <c r="T638" t="s">
        <v>252</v>
      </c>
      <c r="U638" t="s">
        <v>253</v>
      </c>
      <c r="V638" t="s">
        <v>418</v>
      </c>
      <c r="W638" t="s">
        <v>419</v>
      </c>
      <c r="X638" t="s">
        <v>960</v>
      </c>
      <c r="AJ638" t="s">
        <v>285</v>
      </c>
      <c r="AL638" t="s">
        <v>1719</v>
      </c>
      <c r="AM638" t="s">
        <v>287</v>
      </c>
      <c r="AN638" t="s">
        <v>259</v>
      </c>
      <c r="AO638" t="s">
        <v>260</v>
      </c>
      <c r="AP638">
        <v>6</v>
      </c>
      <c r="AQ638" t="s">
        <v>261</v>
      </c>
      <c r="AS638">
        <v>6.7000000000000004E-2</v>
      </c>
      <c r="AU638">
        <v>0.06</v>
      </c>
      <c r="AW638">
        <v>7.1999999999999995E-2</v>
      </c>
      <c r="AX638" t="s">
        <v>356</v>
      </c>
      <c r="BO638" t="s">
        <v>261</v>
      </c>
      <c r="BQ638">
        <v>6.7000000000000004E-2</v>
      </c>
      <c r="BS638">
        <v>0.06</v>
      </c>
      <c r="BU638">
        <v>7.1999999999999995E-2</v>
      </c>
      <c r="BV638" t="s">
        <v>263</v>
      </c>
      <c r="CM638" t="s">
        <v>264</v>
      </c>
      <c r="CN638" t="s">
        <v>264</v>
      </c>
      <c r="CP638" t="s">
        <v>265</v>
      </c>
      <c r="CQ638" t="s">
        <v>266</v>
      </c>
      <c r="DB638">
        <v>1</v>
      </c>
      <c r="DG638" t="s">
        <v>267</v>
      </c>
      <c r="DI638">
        <v>24</v>
      </c>
      <c r="DN638" t="s">
        <v>268</v>
      </c>
      <c r="DR638">
        <v>6687</v>
      </c>
      <c r="DS638">
        <v>252</v>
      </c>
      <c r="DV638">
        <v>96</v>
      </c>
      <c r="EA638" t="s">
        <v>268</v>
      </c>
      <c r="EC638">
        <v>4</v>
      </c>
      <c r="EH638" t="s">
        <v>267</v>
      </c>
      <c r="EJ638">
        <v>96</v>
      </c>
      <c r="EO638" t="s">
        <v>268</v>
      </c>
      <c r="EQ638">
        <v>4</v>
      </c>
      <c r="EV638" t="s">
        <v>267</v>
      </c>
      <c r="EW638" t="s">
        <v>293</v>
      </c>
      <c r="EZ638">
        <v>10</v>
      </c>
      <c r="FM638">
        <v>24.1</v>
      </c>
      <c r="FR638" t="s">
        <v>295</v>
      </c>
      <c r="GG638" t="s">
        <v>288</v>
      </c>
      <c r="GH638">
        <v>60</v>
      </c>
      <c r="GM638" t="s">
        <v>900</v>
      </c>
      <c r="GO638">
        <v>6.8</v>
      </c>
      <c r="GU638">
        <v>25</v>
      </c>
      <c r="GZ638" t="s">
        <v>296</v>
      </c>
      <c r="HH638" t="s">
        <v>272</v>
      </c>
      <c r="ID638" t="s">
        <v>1623</v>
      </c>
      <c r="IE638" t="s">
        <v>1624</v>
      </c>
      <c r="IF638">
        <v>172254</v>
      </c>
      <c r="IG638" t="s">
        <v>1625</v>
      </c>
      <c r="IH638" t="s">
        <v>1626</v>
      </c>
      <c r="II638">
        <v>2002</v>
      </c>
      <c r="IJ638" t="s">
        <v>1627</v>
      </c>
    </row>
    <row r="639" spans="1:244" x14ac:dyDescent="0.45">
      <c r="A639">
        <v>1151439</v>
      </c>
      <c r="B639">
        <v>84008</v>
      </c>
      <c r="C639">
        <v>7487947</v>
      </c>
      <c r="D639" t="s">
        <v>1602</v>
      </c>
      <c r="F639" t="s">
        <v>327</v>
      </c>
      <c r="G639" t="s">
        <v>246</v>
      </c>
      <c r="N639" t="s">
        <v>1064</v>
      </c>
      <c r="O639" t="s">
        <v>1065</v>
      </c>
      <c r="P639" t="s">
        <v>249</v>
      </c>
      <c r="Q639" t="s">
        <v>250</v>
      </c>
      <c r="R639" t="s">
        <v>251</v>
      </c>
      <c r="T639" t="s">
        <v>252</v>
      </c>
      <c r="U639" t="s">
        <v>253</v>
      </c>
      <c r="V639" t="s">
        <v>304</v>
      </c>
      <c r="W639" t="s">
        <v>1066</v>
      </c>
      <c r="X639" t="s">
        <v>1067</v>
      </c>
      <c r="Z639" t="s">
        <v>284</v>
      </c>
      <c r="AB639">
        <v>10</v>
      </c>
      <c r="AG639" t="s">
        <v>598</v>
      </c>
      <c r="AM639" t="s">
        <v>317</v>
      </c>
      <c r="AN639" t="s">
        <v>259</v>
      </c>
      <c r="AO639" t="s">
        <v>260</v>
      </c>
      <c r="AQ639" t="s">
        <v>261</v>
      </c>
      <c r="AS639">
        <v>368</v>
      </c>
      <c r="AX639" t="s">
        <v>262</v>
      </c>
      <c r="BO639" t="s">
        <v>261</v>
      </c>
      <c r="BQ639">
        <v>0.36799999999999999</v>
      </c>
      <c r="BV639" t="s">
        <v>263</v>
      </c>
      <c r="CM639" t="s">
        <v>264</v>
      </c>
      <c r="CN639" t="s">
        <v>264</v>
      </c>
      <c r="CP639" t="s">
        <v>265</v>
      </c>
      <c r="CQ639" t="s">
        <v>266</v>
      </c>
      <c r="DB639">
        <v>2</v>
      </c>
      <c r="DG639" t="s">
        <v>267</v>
      </c>
      <c r="DI639">
        <v>48</v>
      </c>
      <c r="DN639" t="s">
        <v>268</v>
      </c>
      <c r="DP639" t="s">
        <v>1603</v>
      </c>
      <c r="DR639">
        <v>79674</v>
      </c>
      <c r="DS639">
        <v>648</v>
      </c>
      <c r="DT639" t="s">
        <v>1604</v>
      </c>
      <c r="EW639" t="s">
        <v>333</v>
      </c>
      <c r="FO639">
        <v>25.5</v>
      </c>
      <c r="FQ639">
        <v>27</v>
      </c>
      <c r="FR639" t="s">
        <v>295</v>
      </c>
      <c r="FT639">
        <v>400</v>
      </c>
      <c r="FY639" t="s">
        <v>572</v>
      </c>
      <c r="GJ639">
        <v>7</v>
      </c>
      <c r="GL639">
        <v>8</v>
      </c>
      <c r="GM639" t="s">
        <v>356</v>
      </c>
      <c r="GQ639">
        <v>7.5</v>
      </c>
      <c r="GS639">
        <v>8.5</v>
      </c>
      <c r="GU639">
        <v>12</v>
      </c>
      <c r="GZ639" t="s">
        <v>296</v>
      </c>
      <c r="HH639" t="s">
        <v>272</v>
      </c>
      <c r="IE639" t="s">
        <v>1605</v>
      </c>
      <c r="IF639">
        <v>12953</v>
      </c>
      <c r="IG639" t="s">
        <v>1606</v>
      </c>
      <c r="IH639" t="s">
        <v>1607</v>
      </c>
      <c r="II639">
        <v>1985</v>
      </c>
      <c r="IJ639" t="s">
        <v>1608</v>
      </c>
    </row>
    <row r="640" spans="1:244" x14ac:dyDescent="0.45">
      <c r="A640">
        <v>1151435</v>
      </c>
      <c r="B640">
        <v>84004</v>
      </c>
      <c r="C640">
        <v>7487947</v>
      </c>
      <c r="D640" t="s">
        <v>1602</v>
      </c>
      <c r="F640" t="s">
        <v>327</v>
      </c>
      <c r="G640" t="s">
        <v>246</v>
      </c>
      <c r="N640" t="s">
        <v>1064</v>
      </c>
      <c r="O640" t="s">
        <v>1065</v>
      </c>
      <c r="P640" t="s">
        <v>249</v>
      </c>
      <c r="Q640" t="s">
        <v>250</v>
      </c>
      <c r="R640" t="s">
        <v>251</v>
      </c>
      <c r="T640" t="s">
        <v>252</v>
      </c>
      <c r="U640" t="s">
        <v>253</v>
      </c>
      <c r="V640" t="s">
        <v>304</v>
      </c>
      <c r="W640" t="s">
        <v>1066</v>
      </c>
      <c r="X640" t="s">
        <v>1067</v>
      </c>
      <c r="Z640" t="s">
        <v>284</v>
      </c>
      <c r="AB640">
        <v>9</v>
      </c>
      <c r="AG640" t="s">
        <v>598</v>
      </c>
      <c r="AM640" t="s">
        <v>317</v>
      </c>
      <c r="AN640" t="s">
        <v>259</v>
      </c>
      <c r="AO640" t="s">
        <v>260</v>
      </c>
      <c r="AQ640" t="s">
        <v>261</v>
      </c>
      <c r="AS640">
        <v>475</v>
      </c>
      <c r="AX640" t="s">
        <v>262</v>
      </c>
      <c r="BO640" t="s">
        <v>261</v>
      </c>
      <c r="BQ640">
        <v>0.47499999999999998</v>
      </c>
      <c r="BV640" t="s">
        <v>263</v>
      </c>
      <c r="CM640" t="s">
        <v>264</v>
      </c>
      <c r="CN640" t="s">
        <v>264</v>
      </c>
      <c r="CP640" t="s">
        <v>265</v>
      </c>
      <c r="CQ640" t="s">
        <v>266</v>
      </c>
      <c r="DB640">
        <v>2</v>
      </c>
      <c r="DG640" t="s">
        <v>267</v>
      </c>
      <c r="DI640">
        <v>48</v>
      </c>
      <c r="DN640" t="s">
        <v>268</v>
      </c>
      <c r="DP640" t="s">
        <v>1603</v>
      </c>
      <c r="DR640">
        <v>79674</v>
      </c>
      <c r="DS640">
        <v>648</v>
      </c>
      <c r="DT640" t="s">
        <v>1604</v>
      </c>
      <c r="EW640" t="s">
        <v>333</v>
      </c>
      <c r="FO640">
        <v>25.5</v>
      </c>
      <c r="FQ640">
        <v>27</v>
      </c>
      <c r="FR640" t="s">
        <v>295</v>
      </c>
      <c r="FT640">
        <v>400</v>
      </c>
      <c r="FY640" t="s">
        <v>572</v>
      </c>
      <c r="GJ640">
        <v>7</v>
      </c>
      <c r="GL640">
        <v>8</v>
      </c>
      <c r="GM640" t="s">
        <v>356</v>
      </c>
      <c r="GQ640">
        <v>7.5</v>
      </c>
      <c r="GS640">
        <v>8.5</v>
      </c>
      <c r="GU640">
        <v>12</v>
      </c>
      <c r="GZ640" t="s">
        <v>296</v>
      </c>
      <c r="HH640" t="s">
        <v>272</v>
      </c>
      <c r="IE640" t="s">
        <v>1605</v>
      </c>
      <c r="IF640">
        <v>12953</v>
      </c>
      <c r="IG640" t="s">
        <v>1606</v>
      </c>
      <c r="IH640" t="s">
        <v>1607</v>
      </c>
      <c r="II640">
        <v>1985</v>
      </c>
      <c r="IJ640" t="s">
        <v>1608</v>
      </c>
    </row>
    <row r="641" spans="1:244" x14ac:dyDescent="0.45">
      <c r="A641">
        <v>1226459</v>
      </c>
      <c r="B641">
        <v>219635</v>
      </c>
      <c r="C641">
        <v>7487947</v>
      </c>
      <c r="D641" t="s">
        <v>1602</v>
      </c>
      <c r="E641" t="s">
        <v>386</v>
      </c>
      <c r="F641" t="s">
        <v>245</v>
      </c>
      <c r="G641" t="s">
        <v>246</v>
      </c>
      <c r="N641" t="s">
        <v>302</v>
      </c>
      <c r="O641" t="s">
        <v>303</v>
      </c>
      <c r="P641" t="s">
        <v>249</v>
      </c>
      <c r="Q641" t="s">
        <v>250</v>
      </c>
      <c r="R641" t="s">
        <v>251</v>
      </c>
      <c r="T641" t="s">
        <v>252</v>
      </c>
      <c r="U641" t="s">
        <v>253</v>
      </c>
      <c r="V641" t="s">
        <v>304</v>
      </c>
      <c r="W641" t="s">
        <v>305</v>
      </c>
      <c r="X641" t="s">
        <v>306</v>
      </c>
      <c r="Z641" t="s">
        <v>1057</v>
      </c>
      <c r="AL641" t="s">
        <v>1440</v>
      </c>
      <c r="AM641" t="s">
        <v>317</v>
      </c>
      <c r="AN641" t="s">
        <v>259</v>
      </c>
      <c r="AO641" t="s">
        <v>260</v>
      </c>
      <c r="AQ641" t="s">
        <v>261</v>
      </c>
      <c r="AS641">
        <v>6.65</v>
      </c>
      <c r="AX641" t="s">
        <v>356</v>
      </c>
      <c r="BO641" t="s">
        <v>261</v>
      </c>
      <c r="BQ641">
        <v>6.65</v>
      </c>
      <c r="BV641" t="s">
        <v>263</v>
      </c>
      <c r="CM641" t="s">
        <v>264</v>
      </c>
      <c r="CN641" t="s">
        <v>264</v>
      </c>
      <c r="CP641" t="s">
        <v>265</v>
      </c>
      <c r="CQ641" t="s">
        <v>266</v>
      </c>
      <c r="DB641">
        <v>1</v>
      </c>
      <c r="DG641" t="s">
        <v>267</v>
      </c>
      <c r="DI641">
        <v>24</v>
      </c>
      <c r="DN641" t="s">
        <v>268</v>
      </c>
      <c r="DR641">
        <v>338212</v>
      </c>
      <c r="DS641">
        <v>732</v>
      </c>
      <c r="DT641" t="s">
        <v>1211</v>
      </c>
      <c r="EW641" t="s">
        <v>293</v>
      </c>
      <c r="GU641">
        <v>36</v>
      </c>
      <c r="GZ641" t="s">
        <v>900</v>
      </c>
      <c r="HH641" t="s">
        <v>272</v>
      </c>
      <c r="IE641" t="s">
        <v>1212</v>
      </c>
      <c r="IF641">
        <v>51641</v>
      </c>
      <c r="IG641" t="s">
        <v>1213</v>
      </c>
      <c r="IH641" t="s">
        <v>1214</v>
      </c>
      <c r="II641">
        <v>2000</v>
      </c>
      <c r="IJ641" t="s">
        <v>1215</v>
      </c>
    </row>
    <row r="642" spans="1:244" x14ac:dyDescent="0.45">
      <c r="A642">
        <v>1151440</v>
      </c>
      <c r="B642">
        <v>84009</v>
      </c>
      <c r="C642">
        <v>7487947</v>
      </c>
      <c r="D642" t="s">
        <v>1602</v>
      </c>
      <c r="F642" t="s">
        <v>327</v>
      </c>
      <c r="G642" t="s">
        <v>246</v>
      </c>
      <c r="N642" t="s">
        <v>1064</v>
      </c>
      <c r="O642" t="s">
        <v>1065</v>
      </c>
      <c r="P642" t="s">
        <v>249</v>
      </c>
      <c r="Q642" t="s">
        <v>250</v>
      </c>
      <c r="R642" t="s">
        <v>251</v>
      </c>
      <c r="T642" t="s">
        <v>252</v>
      </c>
      <c r="U642" t="s">
        <v>253</v>
      </c>
      <c r="V642" t="s">
        <v>304</v>
      </c>
      <c r="W642" t="s">
        <v>1066</v>
      </c>
      <c r="X642" t="s">
        <v>1067</v>
      </c>
      <c r="Z642" t="s">
        <v>284</v>
      </c>
      <c r="AB642">
        <v>10</v>
      </c>
      <c r="AG642" t="s">
        <v>598</v>
      </c>
      <c r="AM642" t="s">
        <v>317</v>
      </c>
      <c r="AN642" t="s">
        <v>259</v>
      </c>
      <c r="AO642" t="s">
        <v>260</v>
      </c>
      <c r="AQ642" t="s">
        <v>261</v>
      </c>
      <c r="AS642">
        <v>330</v>
      </c>
      <c r="AX642" t="s">
        <v>262</v>
      </c>
      <c r="BO642" t="s">
        <v>261</v>
      </c>
      <c r="BQ642">
        <v>0.33</v>
      </c>
      <c r="BV642" t="s">
        <v>263</v>
      </c>
      <c r="CM642" t="s">
        <v>264</v>
      </c>
      <c r="CN642" t="s">
        <v>264</v>
      </c>
      <c r="CP642" t="s">
        <v>265</v>
      </c>
      <c r="CQ642" t="s">
        <v>266</v>
      </c>
      <c r="DB642">
        <v>3</v>
      </c>
      <c r="DG642" t="s">
        <v>267</v>
      </c>
      <c r="DI642">
        <v>72</v>
      </c>
      <c r="DN642" t="s">
        <v>268</v>
      </c>
      <c r="DP642" t="s">
        <v>1603</v>
      </c>
      <c r="DR642">
        <v>79674</v>
      </c>
      <c r="DS642">
        <v>648</v>
      </c>
      <c r="DT642" t="s">
        <v>1604</v>
      </c>
      <c r="EW642" t="s">
        <v>333</v>
      </c>
      <c r="FO642">
        <v>25.5</v>
      </c>
      <c r="FQ642">
        <v>27</v>
      </c>
      <c r="FR642" t="s">
        <v>295</v>
      </c>
      <c r="FT642">
        <v>400</v>
      </c>
      <c r="FY642" t="s">
        <v>572</v>
      </c>
      <c r="GJ642">
        <v>7</v>
      </c>
      <c r="GL642">
        <v>8</v>
      </c>
      <c r="GM642" t="s">
        <v>356</v>
      </c>
      <c r="GQ642">
        <v>7.5</v>
      </c>
      <c r="GS642">
        <v>8.5</v>
      </c>
      <c r="GU642">
        <v>12</v>
      </c>
      <c r="GZ642" t="s">
        <v>296</v>
      </c>
      <c r="HH642" t="s">
        <v>272</v>
      </c>
      <c r="IE642" t="s">
        <v>1605</v>
      </c>
      <c r="IF642">
        <v>12953</v>
      </c>
      <c r="IG642" t="s">
        <v>1606</v>
      </c>
      <c r="IH642" t="s">
        <v>1607</v>
      </c>
      <c r="II642">
        <v>1985</v>
      </c>
      <c r="IJ642" t="s">
        <v>1608</v>
      </c>
    </row>
    <row r="643" spans="1:244" x14ac:dyDescent="0.45">
      <c r="A643">
        <v>1151438</v>
      </c>
      <c r="B643">
        <v>84007</v>
      </c>
      <c r="C643">
        <v>7487947</v>
      </c>
      <c r="D643" t="s">
        <v>1602</v>
      </c>
      <c r="F643" t="s">
        <v>327</v>
      </c>
      <c r="G643" t="s">
        <v>246</v>
      </c>
      <c r="N643" t="s">
        <v>1064</v>
      </c>
      <c r="O643" t="s">
        <v>1065</v>
      </c>
      <c r="P643" t="s">
        <v>249</v>
      </c>
      <c r="Q643" t="s">
        <v>250</v>
      </c>
      <c r="R643" t="s">
        <v>251</v>
      </c>
      <c r="T643" t="s">
        <v>252</v>
      </c>
      <c r="U643" t="s">
        <v>253</v>
      </c>
      <c r="V643" t="s">
        <v>304</v>
      </c>
      <c r="W643" t="s">
        <v>1066</v>
      </c>
      <c r="X643" t="s">
        <v>1067</v>
      </c>
      <c r="Z643" t="s">
        <v>284</v>
      </c>
      <c r="AB643">
        <v>10</v>
      </c>
      <c r="AG643" t="s">
        <v>598</v>
      </c>
      <c r="AM643" t="s">
        <v>317</v>
      </c>
      <c r="AN643" t="s">
        <v>259</v>
      </c>
      <c r="AO643" t="s">
        <v>260</v>
      </c>
      <c r="AQ643" t="s">
        <v>261</v>
      </c>
      <c r="AS643">
        <v>510</v>
      </c>
      <c r="AX643" t="s">
        <v>262</v>
      </c>
      <c r="BO643" t="s">
        <v>261</v>
      </c>
      <c r="BQ643">
        <v>0.51</v>
      </c>
      <c r="BV643" t="s">
        <v>263</v>
      </c>
      <c r="CM643" t="s">
        <v>264</v>
      </c>
      <c r="CN643" t="s">
        <v>264</v>
      </c>
      <c r="CP643" t="s">
        <v>265</v>
      </c>
      <c r="CQ643" t="s">
        <v>266</v>
      </c>
      <c r="DB643">
        <v>1</v>
      </c>
      <c r="DG643" t="s">
        <v>267</v>
      </c>
      <c r="DI643">
        <v>24</v>
      </c>
      <c r="DN643" t="s">
        <v>268</v>
      </c>
      <c r="DP643" t="s">
        <v>1603</v>
      </c>
      <c r="DR643">
        <v>79674</v>
      </c>
      <c r="DS643">
        <v>648</v>
      </c>
      <c r="DT643" t="s">
        <v>1604</v>
      </c>
      <c r="EW643" t="s">
        <v>333</v>
      </c>
      <c r="FO643">
        <v>25.5</v>
      </c>
      <c r="FQ643">
        <v>27</v>
      </c>
      <c r="FR643" t="s">
        <v>295</v>
      </c>
      <c r="FT643">
        <v>400</v>
      </c>
      <c r="FY643" t="s">
        <v>572</v>
      </c>
      <c r="GJ643">
        <v>7</v>
      </c>
      <c r="GL643">
        <v>8</v>
      </c>
      <c r="GM643" t="s">
        <v>356</v>
      </c>
      <c r="GQ643">
        <v>7.5</v>
      </c>
      <c r="GS643">
        <v>8.5</v>
      </c>
      <c r="GU643">
        <v>12</v>
      </c>
      <c r="GZ643" t="s">
        <v>296</v>
      </c>
      <c r="HH643" t="s">
        <v>272</v>
      </c>
      <c r="IE643" t="s">
        <v>1605</v>
      </c>
      <c r="IF643">
        <v>12953</v>
      </c>
      <c r="IG643" t="s">
        <v>1606</v>
      </c>
      <c r="IH643" t="s">
        <v>1607</v>
      </c>
      <c r="II643">
        <v>1985</v>
      </c>
      <c r="IJ643" t="s">
        <v>1608</v>
      </c>
    </row>
    <row r="644" spans="1:244" x14ac:dyDescent="0.45">
      <c r="A644">
        <v>1298027</v>
      </c>
      <c r="B644">
        <v>753453</v>
      </c>
      <c r="C644">
        <v>7487947</v>
      </c>
      <c r="D644" t="s">
        <v>1602</v>
      </c>
      <c r="F644" t="s">
        <v>245</v>
      </c>
      <c r="G644" t="s">
        <v>246</v>
      </c>
      <c r="N644" t="s">
        <v>1280</v>
      </c>
      <c r="O644" t="s">
        <v>498</v>
      </c>
      <c r="P644" t="s">
        <v>249</v>
      </c>
      <c r="Q644" t="s">
        <v>250</v>
      </c>
      <c r="R644" t="s">
        <v>251</v>
      </c>
      <c r="T644" t="s">
        <v>252</v>
      </c>
      <c r="U644" t="s">
        <v>499</v>
      </c>
      <c r="V644" t="s">
        <v>1281</v>
      </c>
      <c r="W644" t="s">
        <v>1282</v>
      </c>
      <c r="X644" t="s">
        <v>1283</v>
      </c>
      <c r="Z644" t="s">
        <v>1248</v>
      </c>
      <c r="AL644" t="s">
        <v>1249</v>
      </c>
      <c r="AM644" t="s">
        <v>317</v>
      </c>
      <c r="AN644" t="s">
        <v>259</v>
      </c>
      <c r="AO644" t="s">
        <v>260</v>
      </c>
      <c r="AP644">
        <v>6</v>
      </c>
      <c r="AQ644" t="s">
        <v>261</v>
      </c>
      <c r="AS644">
        <v>7.0000000000000007E-2</v>
      </c>
      <c r="AU644">
        <v>0.06</v>
      </c>
      <c r="AW644">
        <v>0.08</v>
      </c>
      <c r="AX644" t="s">
        <v>356</v>
      </c>
      <c r="BO644" t="s">
        <v>261</v>
      </c>
      <c r="BQ644">
        <v>7.0000000000000007E-2</v>
      </c>
      <c r="BS644">
        <v>0.06</v>
      </c>
      <c r="BU644">
        <v>0.08</v>
      </c>
      <c r="BV644" t="s">
        <v>263</v>
      </c>
      <c r="CM644" t="s">
        <v>264</v>
      </c>
      <c r="CN644" t="s">
        <v>264</v>
      </c>
      <c r="CP644" t="s">
        <v>265</v>
      </c>
      <c r="CQ644" t="s">
        <v>266</v>
      </c>
      <c r="DB644">
        <v>4</v>
      </c>
      <c r="DG644" t="s">
        <v>267</v>
      </c>
      <c r="DI644">
        <v>96</v>
      </c>
      <c r="DN644" t="s">
        <v>268</v>
      </c>
      <c r="DP644" t="s">
        <v>1634</v>
      </c>
      <c r="DS644">
        <v>2851</v>
      </c>
      <c r="DT644" t="s">
        <v>1250</v>
      </c>
      <c r="EW644" t="s">
        <v>293</v>
      </c>
      <c r="FA644" t="s">
        <v>1222</v>
      </c>
      <c r="FK644" t="s">
        <v>1720</v>
      </c>
      <c r="FM644">
        <v>16</v>
      </c>
      <c r="FR644" t="s">
        <v>295</v>
      </c>
      <c r="HH644" t="s">
        <v>272</v>
      </c>
      <c r="ID644" t="s">
        <v>1721</v>
      </c>
      <c r="IE644" t="s">
        <v>1253</v>
      </c>
      <c r="IF644">
        <v>115536</v>
      </c>
      <c r="IG644" t="s">
        <v>1254</v>
      </c>
      <c r="IH644" t="s">
        <v>1255</v>
      </c>
      <c r="II644">
        <v>2007</v>
      </c>
      <c r="IJ644" t="s">
        <v>1256</v>
      </c>
    </row>
    <row r="645" spans="1:244" x14ac:dyDescent="0.45">
      <c r="A645">
        <v>1278043</v>
      </c>
      <c r="B645">
        <v>731289</v>
      </c>
      <c r="C645">
        <v>7487947</v>
      </c>
      <c r="D645" t="s">
        <v>1602</v>
      </c>
      <c r="E645" t="s">
        <v>439</v>
      </c>
      <c r="F645" t="s">
        <v>245</v>
      </c>
      <c r="G645" t="s">
        <v>246</v>
      </c>
      <c r="N645" t="s">
        <v>968</v>
      </c>
      <c r="O645" t="s">
        <v>969</v>
      </c>
      <c r="P645" t="s">
        <v>249</v>
      </c>
      <c r="Q645" t="s">
        <v>250</v>
      </c>
      <c r="R645" t="s">
        <v>251</v>
      </c>
      <c r="T645" t="s">
        <v>252</v>
      </c>
      <c r="U645" t="s">
        <v>253</v>
      </c>
      <c r="V645" t="s">
        <v>418</v>
      </c>
      <c r="W645" t="s">
        <v>419</v>
      </c>
      <c r="X645" t="s">
        <v>970</v>
      </c>
      <c r="Z645" t="s">
        <v>649</v>
      </c>
      <c r="AL645" t="s">
        <v>1174</v>
      </c>
      <c r="AM645" t="s">
        <v>258</v>
      </c>
      <c r="AN645" t="s">
        <v>259</v>
      </c>
      <c r="AO645" t="s">
        <v>260</v>
      </c>
      <c r="AQ645" t="s">
        <v>261</v>
      </c>
      <c r="AS645">
        <v>0.28999999999999998</v>
      </c>
      <c r="AU645">
        <v>0.14000000000000001</v>
      </c>
      <c r="AW645">
        <v>0.56999999999999995</v>
      </c>
      <c r="AX645" t="s">
        <v>356</v>
      </c>
      <c r="BO645" t="s">
        <v>261</v>
      </c>
      <c r="BQ645">
        <v>0.28999999999999998</v>
      </c>
      <c r="BS645">
        <v>0.14000000000000001</v>
      </c>
      <c r="BU645">
        <v>0.56999999999999995</v>
      </c>
      <c r="BV645" t="s">
        <v>263</v>
      </c>
      <c r="CM645" t="s">
        <v>264</v>
      </c>
      <c r="CN645" t="s">
        <v>264</v>
      </c>
      <c r="CP645" t="s">
        <v>265</v>
      </c>
      <c r="CQ645" t="s">
        <v>266</v>
      </c>
      <c r="DB645">
        <v>4</v>
      </c>
      <c r="DG645" t="s">
        <v>267</v>
      </c>
      <c r="DI645">
        <v>96</v>
      </c>
      <c r="DN645" t="s">
        <v>268</v>
      </c>
      <c r="DP645" t="s">
        <v>1637</v>
      </c>
      <c r="DS645">
        <v>1010</v>
      </c>
      <c r="DT645" t="s">
        <v>1176</v>
      </c>
      <c r="EW645" t="s">
        <v>293</v>
      </c>
      <c r="FK645" t="s">
        <v>1722</v>
      </c>
      <c r="FM645">
        <v>20</v>
      </c>
      <c r="FR645" t="s">
        <v>295</v>
      </c>
      <c r="GG645" t="s">
        <v>288</v>
      </c>
      <c r="GH645">
        <v>90</v>
      </c>
      <c r="GM645" t="s">
        <v>900</v>
      </c>
      <c r="GO645">
        <v>8</v>
      </c>
      <c r="GU645">
        <v>36</v>
      </c>
      <c r="GZ645" t="s">
        <v>296</v>
      </c>
      <c r="HH645" t="s">
        <v>272</v>
      </c>
      <c r="ID645" t="s">
        <v>1723</v>
      </c>
      <c r="IE645" t="s">
        <v>1179</v>
      </c>
      <c r="IF645">
        <v>4973</v>
      </c>
      <c r="IG645" t="s">
        <v>1180</v>
      </c>
      <c r="IH645" t="s">
        <v>1181</v>
      </c>
      <c r="II645">
        <v>1982</v>
      </c>
      <c r="IJ645" t="s">
        <v>1182</v>
      </c>
    </row>
    <row r="646" spans="1:244" x14ac:dyDescent="0.45">
      <c r="A646">
        <v>1137533</v>
      </c>
      <c r="B646">
        <v>115051</v>
      </c>
      <c r="C646">
        <v>7487947</v>
      </c>
      <c r="D646" t="s">
        <v>1602</v>
      </c>
      <c r="F646" t="s">
        <v>327</v>
      </c>
      <c r="G646" t="s">
        <v>246</v>
      </c>
      <c r="N646" t="s">
        <v>1695</v>
      </c>
      <c r="O646" t="s">
        <v>646</v>
      </c>
      <c r="P646" t="s">
        <v>249</v>
      </c>
      <c r="Q646" t="s">
        <v>250</v>
      </c>
      <c r="R646" t="s">
        <v>251</v>
      </c>
      <c r="T646" t="s">
        <v>252</v>
      </c>
      <c r="U646" t="s">
        <v>253</v>
      </c>
      <c r="V646" t="s">
        <v>1696</v>
      </c>
      <c r="W646" t="s">
        <v>1697</v>
      </c>
      <c r="X646" t="s">
        <v>1698</v>
      </c>
      <c r="AL646" t="s">
        <v>1699</v>
      </c>
      <c r="AM646" t="s">
        <v>258</v>
      </c>
      <c r="AN646" t="s">
        <v>259</v>
      </c>
      <c r="AO646" t="s">
        <v>260</v>
      </c>
      <c r="AQ646" t="s">
        <v>261</v>
      </c>
      <c r="AS646">
        <v>78</v>
      </c>
      <c r="AX646" t="s">
        <v>262</v>
      </c>
      <c r="BO646" t="s">
        <v>261</v>
      </c>
      <c r="BQ646">
        <v>7.8E-2</v>
      </c>
      <c r="BV646" t="s">
        <v>263</v>
      </c>
      <c r="CM646" t="s">
        <v>264</v>
      </c>
      <c r="CN646" t="s">
        <v>264</v>
      </c>
      <c r="CP646" t="s">
        <v>265</v>
      </c>
      <c r="CQ646" t="s">
        <v>266</v>
      </c>
      <c r="DB646">
        <v>1</v>
      </c>
      <c r="DG646" t="s">
        <v>267</v>
      </c>
      <c r="DI646">
        <v>24</v>
      </c>
      <c r="DN646" t="s">
        <v>268</v>
      </c>
      <c r="DS646">
        <v>3048</v>
      </c>
      <c r="DT646" t="s">
        <v>1700</v>
      </c>
      <c r="EW646" t="s">
        <v>271</v>
      </c>
      <c r="FM646">
        <v>22</v>
      </c>
      <c r="FR646" t="s">
        <v>295</v>
      </c>
      <c r="GU646">
        <v>39.36</v>
      </c>
      <c r="GZ646" t="s">
        <v>296</v>
      </c>
      <c r="HH646" t="s">
        <v>272</v>
      </c>
      <c r="IE646" t="s">
        <v>1701</v>
      </c>
      <c r="IF646">
        <v>11326</v>
      </c>
      <c r="IG646" t="s">
        <v>1702</v>
      </c>
      <c r="IH646" t="s">
        <v>1703</v>
      </c>
      <c r="II646">
        <v>1981</v>
      </c>
      <c r="IJ646" t="s">
        <v>1704</v>
      </c>
    </row>
    <row r="647" spans="1:244" x14ac:dyDescent="0.45">
      <c r="A647">
        <v>1036974</v>
      </c>
      <c r="B647">
        <v>112775</v>
      </c>
      <c r="C647">
        <v>7487947</v>
      </c>
      <c r="D647" t="s">
        <v>1602</v>
      </c>
      <c r="F647" t="s">
        <v>245</v>
      </c>
      <c r="G647" t="s">
        <v>246</v>
      </c>
      <c r="N647" t="s">
        <v>1724</v>
      </c>
      <c r="O647" t="s">
        <v>1725</v>
      </c>
      <c r="P647" t="s">
        <v>249</v>
      </c>
      <c r="Q647" t="s">
        <v>250</v>
      </c>
      <c r="R647" t="s">
        <v>251</v>
      </c>
      <c r="T647" t="s">
        <v>252</v>
      </c>
      <c r="U647" t="s">
        <v>253</v>
      </c>
      <c r="V647" t="s">
        <v>1726</v>
      </c>
      <c r="W647" t="s">
        <v>1727</v>
      </c>
      <c r="X647" t="s">
        <v>1728</v>
      </c>
      <c r="Z647" t="s">
        <v>315</v>
      </c>
      <c r="AM647" t="s">
        <v>317</v>
      </c>
      <c r="AN647" t="s">
        <v>259</v>
      </c>
      <c r="AO647" t="s">
        <v>260</v>
      </c>
      <c r="AQ647" t="s">
        <v>261</v>
      </c>
      <c r="AS647">
        <v>2200</v>
      </c>
      <c r="AX647" t="s">
        <v>262</v>
      </c>
      <c r="BO647" t="s">
        <v>261</v>
      </c>
      <c r="BQ647">
        <v>2.2000000000000002</v>
      </c>
      <c r="BV647" t="s">
        <v>263</v>
      </c>
      <c r="CM647" t="s">
        <v>264</v>
      </c>
      <c r="CN647" t="s">
        <v>264</v>
      </c>
      <c r="CP647" t="s">
        <v>265</v>
      </c>
      <c r="CQ647" t="s">
        <v>266</v>
      </c>
      <c r="DB647">
        <v>1</v>
      </c>
      <c r="DG647" t="s">
        <v>267</v>
      </c>
      <c r="DI647">
        <v>24</v>
      </c>
      <c r="DN647" t="s">
        <v>268</v>
      </c>
      <c r="DP647" t="s">
        <v>570</v>
      </c>
      <c r="DR647">
        <v>111067</v>
      </c>
      <c r="DS647">
        <v>490</v>
      </c>
      <c r="DT647" t="s">
        <v>1729</v>
      </c>
      <c r="EW647" t="s">
        <v>333</v>
      </c>
      <c r="FM647">
        <v>20</v>
      </c>
      <c r="FR647" t="s">
        <v>295</v>
      </c>
      <c r="GG647" t="s">
        <v>288</v>
      </c>
      <c r="GH647">
        <v>4</v>
      </c>
      <c r="GM647" t="s">
        <v>356</v>
      </c>
      <c r="GU647">
        <v>20</v>
      </c>
      <c r="GZ647" t="s">
        <v>296</v>
      </c>
      <c r="HH647" t="s">
        <v>272</v>
      </c>
      <c r="IE647" t="s">
        <v>1730</v>
      </c>
      <c r="IF647">
        <v>2253</v>
      </c>
      <c r="IG647" t="s">
        <v>1731</v>
      </c>
      <c r="IH647" t="s">
        <v>1732</v>
      </c>
      <c r="II647">
        <v>1977</v>
      </c>
      <c r="IJ647" t="s">
        <v>1733</v>
      </c>
    </row>
    <row r="648" spans="1:244" x14ac:dyDescent="0.45">
      <c r="A648">
        <v>1151404</v>
      </c>
      <c r="B648">
        <v>83971</v>
      </c>
      <c r="C648">
        <v>7487947</v>
      </c>
      <c r="D648" t="s">
        <v>1602</v>
      </c>
      <c r="F648" t="s">
        <v>327</v>
      </c>
      <c r="G648" t="s">
        <v>246</v>
      </c>
      <c r="N648" t="s">
        <v>1064</v>
      </c>
      <c r="O648" t="s">
        <v>1065</v>
      </c>
      <c r="P648" t="s">
        <v>249</v>
      </c>
      <c r="Q648" t="s">
        <v>250</v>
      </c>
      <c r="R648" t="s">
        <v>251</v>
      </c>
      <c r="T648" t="s">
        <v>252</v>
      </c>
      <c r="U648" t="s">
        <v>253</v>
      </c>
      <c r="V648" t="s">
        <v>304</v>
      </c>
      <c r="W648" t="s">
        <v>1066</v>
      </c>
      <c r="X648" t="s">
        <v>1067</v>
      </c>
      <c r="Z648" t="s">
        <v>284</v>
      </c>
      <c r="AB648">
        <v>2</v>
      </c>
      <c r="AG648" t="s">
        <v>598</v>
      </c>
      <c r="AM648" t="s">
        <v>317</v>
      </c>
      <c r="AN648" t="s">
        <v>259</v>
      </c>
      <c r="AO648" t="s">
        <v>260</v>
      </c>
      <c r="AQ648" t="s">
        <v>261</v>
      </c>
      <c r="AS648">
        <v>235</v>
      </c>
      <c r="AX648" t="s">
        <v>262</v>
      </c>
      <c r="BO648" t="s">
        <v>261</v>
      </c>
      <c r="BQ648">
        <v>0.23499999999999999</v>
      </c>
      <c r="BV648" t="s">
        <v>263</v>
      </c>
      <c r="CM648" t="s">
        <v>264</v>
      </c>
      <c r="CN648" t="s">
        <v>264</v>
      </c>
      <c r="CP648" t="s">
        <v>265</v>
      </c>
      <c r="CQ648" t="s">
        <v>266</v>
      </c>
      <c r="DB648">
        <v>1</v>
      </c>
      <c r="DG648" t="s">
        <v>267</v>
      </c>
      <c r="DI648">
        <v>24</v>
      </c>
      <c r="DN648" t="s">
        <v>268</v>
      </c>
      <c r="DP648" t="s">
        <v>1603</v>
      </c>
      <c r="DR648">
        <v>79674</v>
      </c>
      <c r="DS648">
        <v>648</v>
      </c>
      <c r="DT648" t="s">
        <v>1604</v>
      </c>
      <c r="EW648" t="s">
        <v>333</v>
      </c>
      <c r="FO648">
        <v>25.5</v>
      </c>
      <c r="FQ648">
        <v>27</v>
      </c>
      <c r="FR648" t="s">
        <v>295</v>
      </c>
      <c r="FT648">
        <v>400</v>
      </c>
      <c r="FY648" t="s">
        <v>572</v>
      </c>
      <c r="GJ648">
        <v>7</v>
      </c>
      <c r="GL648">
        <v>8</v>
      </c>
      <c r="GM648" t="s">
        <v>356</v>
      </c>
      <c r="GQ648">
        <v>7.5</v>
      </c>
      <c r="GS648">
        <v>8.5</v>
      </c>
      <c r="GU648">
        <v>12</v>
      </c>
      <c r="GZ648" t="s">
        <v>296</v>
      </c>
      <c r="HH648" t="s">
        <v>272</v>
      </c>
      <c r="IE648" t="s">
        <v>1605</v>
      </c>
      <c r="IF648">
        <v>12953</v>
      </c>
      <c r="IG648" t="s">
        <v>1606</v>
      </c>
      <c r="IH648" t="s">
        <v>1607</v>
      </c>
      <c r="II648">
        <v>1985</v>
      </c>
      <c r="IJ648" t="s">
        <v>1608</v>
      </c>
    </row>
    <row r="649" spans="1:244" x14ac:dyDescent="0.45">
      <c r="A649">
        <v>1195636</v>
      </c>
      <c r="B649">
        <v>155762</v>
      </c>
      <c r="C649">
        <v>7487947</v>
      </c>
      <c r="D649" t="s">
        <v>1602</v>
      </c>
      <c r="E649" t="s">
        <v>439</v>
      </c>
      <c r="F649" t="s">
        <v>245</v>
      </c>
      <c r="G649" t="s">
        <v>246</v>
      </c>
      <c r="N649" t="s">
        <v>1734</v>
      </c>
      <c r="O649" t="s">
        <v>248</v>
      </c>
      <c r="P649" t="s">
        <v>249</v>
      </c>
      <c r="Q649" t="s">
        <v>250</v>
      </c>
      <c r="R649" t="s">
        <v>251</v>
      </c>
      <c r="T649" t="s">
        <v>252</v>
      </c>
      <c r="U649" t="s">
        <v>253</v>
      </c>
      <c r="V649" t="s">
        <v>1735</v>
      </c>
      <c r="W649" t="s">
        <v>1736</v>
      </c>
      <c r="X649" t="s">
        <v>1737</v>
      </c>
      <c r="AM649" t="s">
        <v>287</v>
      </c>
      <c r="AN649" t="s">
        <v>259</v>
      </c>
      <c r="AO649" t="s">
        <v>260</v>
      </c>
      <c r="AQ649" t="s">
        <v>261</v>
      </c>
      <c r="AS649">
        <v>30</v>
      </c>
      <c r="AX649" t="s">
        <v>262</v>
      </c>
      <c r="BO649" t="s">
        <v>261</v>
      </c>
      <c r="BQ649">
        <v>0.03</v>
      </c>
      <c r="BV649" t="s">
        <v>263</v>
      </c>
      <c r="CM649" t="s">
        <v>264</v>
      </c>
      <c r="CN649" t="s">
        <v>264</v>
      </c>
      <c r="CP649" t="s">
        <v>265</v>
      </c>
      <c r="DB649">
        <v>4</v>
      </c>
      <c r="DG649" t="s">
        <v>267</v>
      </c>
      <c r="DI649">
        <v>96</v>
      </c>
      <c r="DN649" t="s">
        <v>268</v>
      </c>
      <c r="DR649">
        <v>345020</v>
      </c>
      <c r="DS649">
        <v>5935</v>
      </c>
      <c r="EW649" t="s">
        <v>272</v>
      </c>
      <c r="HH649" t="s">
        <v>272</v>
      </c>
      <c r="IE649" t="s">
        <v>1738</v>
      </c>
      <c r="IF649">
        <v>17564</v>
      </c>
      <c r="IG649" t="s">
        <v>1739</v>
      </c>
      <c r="IH649" t="s">
        <v>1740</v>
      </c>
      <c r="II649">
        <v>1992</v>
      </c>
      <c r="IJ649" t="s">
        <v>1741</v>
      </c>
    </row>
    <row r="650" spans="1:244" x14ac:dyDescent="0.45">
      <c r="A650">
        <v>1186865</v>
      </c>
      <c r="B650">
        <v>138556</v>
      </c>
      <c r="C650">
        <v>7487947</v>
      </c>
      <c r="D650" t="s">
        <v>1602</v>
      </c>
      <c r="F650" t="s">
        <v>245</v>
      </c>
      <c r="G650" t="s">
        <v>246</v>
      </c>
      <c r="N650" t="s">
        <v>789</v>
      </c>
      <c r="O650" t="s">
        <v>790</v>
      </c>
      <c r="P650" t="s">
        <v>249</v>
      </c>
      <c r="Q650" t="s">
        <v>250</v>
      </c>
      <c r="R650" t="s">
        <v>251</v>
      </c>
      <c r="T650" t="s">
        <v>252</v>
      </c>
      <c r="U650" t="s">
        <v>253</v>
      </c>
      <c r="V650" t="s">
        <v>418</v>
      </c>
      <c r="W650" t="s">
        <v>791</v>
      </c>
      <c r="X650" t="s">
        <v>792</v>
      </c>
      <c r="Z650" t="s">
        <v>284</v>
      </c>
      <c r="AL650" t="s">
        <v>1742</v>
      </c>
      <c r="AM650" t="s">
        <v>258</v>
      </c>
      <c r="AN650" t="s">
        <v>259</v>
      </c>
      <c r="AO650" t="s">
        <v>260</v>
      </c>
      <c r="AQ650" t="s">
        <v>261</v>
      </c>
      <c r="AS650">
        <v>9.0299999999999994</v>
      </c>
      <c r="AX650" t="s">
        <v>262</v>
      </c>
      <c r="BO650" t="s">
        <v>261</v>
      </c>
      <c r="BQ650">
        <v>9.0299999999999998E-3</v>
      </c>
      <c r="BV650" t="s">
        <v>263</v>
      </c>
      <c r="CM650" t="s">
        <v>264</v>
      </c>
      <c r="CN650" t="s">
        <v>264</v>
      </c>
      <c r="CP650" t="s">
        <v>265</v>
      </c>
      <c r="DB650">
        <v>1</v>
      </c>
      <c r="DG650" t="s">
        <v>267</v>
      </c>
      <c r="DI650">
        <v>24</v>
      </c>
      <c r="DN650" t="s">
        <v>268</v>
      </c>
      <c r="DR650">
        <v>161924</v>
      </c>
      <c r="DS650">
        <v>3045</v>
      </c>
      <c r="EW650" t="s">
        <v>272</v>
      </c>
      <c r="FM650">
        <v>28</v>
      </c>
      <c r="FR650" t="s">
        <v>295</v>
      </c>
      <c r="GO650">
        <v>8.1999999999999993</v>
      </c>
      <c r="GU650">
        <v>32</v>
      </c>
      <c r="GZ650" t="s">
        <v>296</v>
      </c>
      <c r="HH650" t="s">
        <v>272</v>
      </c>
      <c r="IE650" t="s">
        <v>1652</v>
      </c>
      <c r="IF650">
        <v>16613</v>
      </c>
      <c r="IG650" t="s">
        <v>1653</v>
      </c>
      <c r="IH650" t="s">
        <v>1654</v>
      </c>
      <c r="II650">
        <v>1994</v>
      </c>
      <c r="IJ650" t="s">
        <v>1655</v>
      </c>
    </row>
    <row r="651" spans="1:244" x14ac:dyDescent="0.45">
      <c r="A651">
        <v>1048989</v>
      </c>
      <c r="B651">
        <v>25172</v>
      </c>
      <c r="C651">
        <v>7487947</v>
      </c>
      <c r="D651" t="s">
        <v>1602</v>
      </c>
      <c r="F651" t="s">
        <v>245</v>
      </c>
      <c r="G651" t="s">
        <v>246</v>
      </c>
      <c r="N651" t="s">
        <v>690</v>
      </c>
      <c r="O651" t="s">
        <v>691</v>
      </c>
      <c r="P651" t="s">
        <v>249</v>
      </c>
      <c r="Q651" t="s">
        <v>250</v>
      </c>
      <c r="R651" t="s">
        <v>251</v>
      </c>
      <c r="T651" t="s">
        <v>252</v>
      </c>
      <c r="U651" t="s">
        <v>253</v>
      </c>
      <c r="V651" t="s">
        <v>418</v>
      </c>
      <c r="W651" t="s">
        <v>419</v>
      </c>
      <c r="X651" t="s">
        <v>692</v>
      </c>
      <c r="Z651" t="s">
        <v>284</v>
      </c>
      <c r="AM651" t="s">
        <v>317</v>
      </c>
      <c r="AN651" t="s">
        <v>259</v>
      </c>
      <c r="AO651" t="s">
        <v>260</v>
      </c>
      <c r="AQ651" t="s">
        <v>261</v>
      </c>
      <c r="AS651">
        <v>100</v>
      </c>
      <c r="AX651" t="s">
        <v>262</v>
      </c>
      <c r="BO651" t="s">
        <v>261</v>
      </c>
      <c r="BQ651">
        <v>0.1</v>
      </c>
      <c r="BV651" t="s">
        <v>263</v>
      </c>
      <c r="CM651" t="s">
        <v>264</v>
      </c>
      <c r="CN651" t="s">
        <v>264</v>
      </c>
      <c r="CP651" t="s">
        <v>265</v>
      </c>
      <c r="CQ651" t="s">
        <v>266</v>
      </c>
      <c r="DB651">
        <v>1</v>
      </c>
      <c r="DG651" t="s">
        <v>267</v>
      </c>
      <c r="DI651">
        <v>24</v>
      </c>
      <c r="DN651" t="s">
        <v>268</v>
      </c>
      <c r="DR651">
        <v>139456</v>
      </c>
      <c r="DS651">
        <v>3044</v>
      </c>
      <c r="EW651" t="s">
        <v>271</v>
      </c>
      <c r="HH651" t="s">
        <v>272</v>
      </c>
      <c r="IE651" t="s">
        <v>1743</v>
      </c>
      <c r="IF651">
        <v>3232</v>
      </c>
      <c r="IG651" t="s">
        <v>1744</v>
      </c>
      <c r="IH651" t="s">
        <v>1745</v>
      </c>
      <c r="II651">
        <v>1988</v>
      </c>
      <c r="IJ651" t="s">
        <v>1746</v>
      </c>
    </row>
    <row r="652" spans="1:244" x14ac:dyDescent="0.45">
      <c r="A652">
        <v>1139782</v>
      </c>
      <c r="B652">
        <v>94084</v>
      </c>
      <c r="C652">
        <v>7487947</v>
      </c>
      <c r="D652" t="s">
        <v>1602</v>
      </c>
      <c r="F652" t="s">
        <v>327</v>
      </c>
      <c r="G652" t="s">
        <v>246</v>
      </c>
      <c r="N652" t="s">
        <v>416</v>
      </c>
      <c r="O652" t="s">
        <v>417</v>
      </c>
      <c r="P652" t="s">
        <v>249</v>
      </c>
      <c r="Q652" t="s">
        <v>250</v>
      </c>
      <c r="R652" t="s">
        <v>251</v>
      </c>
      <c r="T652" t="s">
        <v>252</v>
      </c>
      <c r="U652" t="s">
        <v>253</v>
      </c>
      <c r="V652" t="s">
        <v>418</v>
      </c>
      <c r="W652" t="s">
        <v>419</v>
      </c>
      <c r="X652" t="s">
        <v>420</v>
      </c>
      <c r="AM652" t="s">
        <v>307</v>
      </c>
      <c r="AN652" t="s">
        <v>259</v>
      </c>
      <c r="AO652" t="s">
        <v>260</v>
      </c>
      <c r="AQ652" t="s">
        <v>261</v>
      </c>
      <c r="AS652">
        <v>16.100000000000001</v>
      </c>
      <c r="AX652" t="s">
        <v>262</v>
      </c>
      <c r="BO652" t="s">
        <v>261</v>
      </c>
      <c r="BQ652">
        <v>1.61E-2</v>
      </c>
      <c r="BV652" t="s">
        <v>263</v>
      </c>
      <c r="CM652" t="s">
        <v>264</v>
      </c>
      <c r="CN652" t="s">
        <v>264</v>
      </c>
      <c r="CP652" t="s">
        <v>265</v>
      </c>
      <c r="CQ652" t="s">
        <v>266</v>
      </c>
      <c r="DB652">
        <v>2</v>
      </c>
      <c r="DG652" t="s">
        <v>267</v>
      </c>
      <c r="DI652">
        <v>48</v>
      </c>
      <c r="DN652" t="s">
        <v>268</v>
      </c>
      <c r="DS652">
        <v>1009</v>
      </c>
      <c r="EW652" t="s">
        <v>271</v>
      </c>
      <c r="GU652">
        <v>35</v>
      </c>
      <c r="GZ652" t="s">
        <v>296</v>
      </c>
      <c r="HH652" t="s">
        <v>272</v>
      </c>
      <c r="IE652" t="s">
        <v>1747</v>
      </c>
      <c r="IF652">
        <v>11646</v>
      </c>
      <c r="IG652" t="s">
        <v>1748</v>
      </c>
      <c r="IH652" t="s">
        <v>1749</v>
      </c>
      <c r="II652">
        <v>1984</v>
      </c>
      <c r="IJ652" t="s">
        <v>1750</v>
      </c>
    </row>
    <row r="653" spans="1:244" x14ac:dyDescent="0.45">
      <c r="A653">
        <v>1151401</v>
      </c>
      <c r="B653">
        <v>83968</v>
      </c>
      <c r="C653">
        <v>7487947</v>
      </c>
      <c r="D653" t="s">
        <v>1602</v>
      </c>
      <c r="F653" t="s">
        <v>327</v>
      </c>
      <c r="G653" t="s">
        <v>246</v>
      </c>
      <c r="N653" t="s">
        <v>1064</v>
      </c>
      <c r="O653" t="s">
        <v>1065</v>
      </c>
      <c r="P653" t="s">
        <v>249</v>
      </c>
      <c r="Q653" t="s">
        <v>250</v>
      </c>
      <c r="R653" t="s">
        <v>251</v>
      </c>
      <c r="T653" t="s">
        <v>252</v>
      </c>
      <c r="U653" t="s">
        <v>253</v>
      </c>
      <c r="V653" t="s">
        <v>304</v>
      </c>
      <c r="W653" t="s">
        <v>1066</v>
      </c>
      <c r="X653" t="s">
        <v>1067</v>
      </c>
      <c r="Z653" t="s">
        <v>284</v>
      </c>
      <c r="AB653">
        <v>1</v>
      </c>
      <c r="AG653" t="s">
        <v>598</v>
      </c>
      <c r="AM653" t="s">
        <v>317</v>
      </c>
      <c r="AN653" t="s">
        <v>259</v>
      </c>
      <c r="AO653" t="s">
        <v>260</v>
      </c>
      <c r="AQ653" t="s">
        <v>261</v>
      </c>
      <c r="AS653">
        <v>70</v>
      </c>
      <c r="AX653" t="s">
        <v>262</v>
      </c>
      <c r="BO653" t="s">
        <v>261</v>
      </c>
      <c r="BQ653">
        <v>7.0000000000000007E-2</v>
      </c>
      <c r="BV653" t="s">
        <v>263</v>
      </c>
      <c r="CM653" t="s">
        <v>264</v>
      </c>
      <c r="CN653" t="s">
        <v>264</v>
      </c>
      <c r="CP653" t="s">
        <v>265</v>
      </c>
      <c r="CQ653" t="s">
        <v>266</v>
      </c>
      <c r="DB653">
        <v>3</v>
      </c>
      <c r="DG653" t="s">
        <v>267</v>
      </c>
      <c r="DI653">
        <v>72</v>
      </c>
      <c r="DN653" t="s">
        <v>268</v>
      </c>
      <c r="DP653" t="s">
        <v>1603</v>
      </c>
      <c r="DR653">
        <v>79674</v>
      </c>
      <c r="DS653">
        <v>648</v>
      </c>
      <c r="DT653" t="s">
        <v>1604</v>
      </c>
      <c r="EW653" t="s">
        <v>333</v>
      </c>
      <c r="FO653">
        <v>25.5</v>
      </c>
      <c r="FQ653">
        <v>27</v>
      </c>
      <c r="FR653" t="s">
        <v>295</v>
      </c>
      <c r="FT653">
        <v>400</v>
      </c>
      <c r="FY653" t="s">
        <v>572</v>
      </c>
      <c r="GJ653">
        <v>7</v>
      </c>
      <c r="GL653">
        <v>8</v>
      </c>
      <c r="GM653" t="s">
        <v>356</v>
      </c>
      <c r="GQ653">
        <v>7.5</v>
      </c>
      <c r="GS653">
        <v>8.5</v>
      </c>
      <c r="GU653">
        <v>12</v>
      </c>
      <c r="GZ653" t="s">
        <v>296</v>
      </c>
      <c r="HH653" t="s">
        <v>272</v>
      </c>
      <c r="IE653" t="s">
        <v>1605</v>
      </c>
      <c r="IF653">
        <v>12953</v>
      </c>
      <c r="IG653" t="s">
        <v>1606</v>
      </c>
      <c r="IH653" t="s">
        <v>1607</v>
      </c>
      <c r="II653">
        <v>1985</v>
      </c>
      <c r="IJ653" t="s">
        <v>1608</v>
      </c>
    </row>
    <row r="654" spans="1:244" x14ac:dyDescent="0.45">
      <c r="A654">
        <v>1151414</v>
      </c>
      <c r="B654">
        <v>83983</v>
      </c>
      <c r="C654">
        <v>7487947</v>
      </c>
      <c r="D654" t="s">
        <v>1602</v>
      </c>
      <c r="F654" t="s">
        <v>327</v>
      </c>
      <c r="G654" t="s">
        <v>246</v>
      </c>
      <c r="N654" t="s">
        <v>1064</v>
      </c>
      <c r="O654" t="s">
        <v>1065</v>
      </c>
      <c r="P654" t="s">
        <v>249</v>
      </c>
      <c r="Q654" t="s">
        <v>250</v>
      </c>
      <c r="R654" t="s">
        <v>251</v>
      </c>
      <c r="T654" t="s">
        <v>252</v>
      </c>
      <c r="U654" t="s">
        <v>253</v>
      </c>
      <c r="V654" t="s">
        <v>304</v>
      </c>
      <c r="W654" t="s">
        <v>1066</v>
      </c>
      <c r="X654" t="s">
        <v>1067</v>
      </c>
      <c r="Z654" t="s">
        <v>284</v>
      </c>
      <c r="AB654">
        <v>4</v>
      </c>
      <c r="AG654" t="s">
        <v>598</v>
      </c>
      <c r="AM654" t="s">
        <v>317</v>
      </c>
      <c r="AN654" t="s">
        <v>259</v>
      </c>
      <c r="AO654" t="s">
        <v>260</v>
      </c>
      <c r="AQ654" t="s">
        <v>261</v>
      </c>
      <c r="AS654">
        <v>215</v>
      </c>
      <c r="AX654" t="s">
        <v>262</v>
      </c>
      <c r="BO654" t="s">
        <v>261</v>
      </c>
      <c r="BQ654">
        <v>0.215</v>
      </c>
      <c r="BV654" t="s">
        <v>263</v>
      </c>
      <c r="CM654" t="s">
        <v>264</v>
      </c>
      <c r="CN654" t="s">
        <v>264</v>
      </c>
      <c r="CP654" t="s">
        <v>265</v>
      </c>
      <c r="CQ654" t="s">
        <v>266</v>
      </c>
      <c r="DB654">
        <v>2</v>
      </c>
      <c r="DG654" t="s">
        <v>267</v>
      </c>
      <c r="DI654">
        <v>48</v>
      </c>
      <c r="DN654" t="s">
        <v>268</v>
      </c>
      <c r="DP654" t="s">
        <v>1603</v>
      </c>
      <c r="DR654">
        <v>79674</v>
      </c>
      <c r="DS654">
        <v>648</v>
      </c>
      <c r="DT654" t="s">
        <v>1604</v>
      </c>
      <c r="EW654" t="s">
        <v>333</v>
      </c>
      <c r="FO654">
        <v>25.5</v>
      </c>
      <c r="FQ654">
        <v>27</v>
      </c>
      <c r="FR654" t="s">
        <v>295</v>
      </c>
      <c r="FT654">
        <v>400</v>
      </c>
      <c r="FY654" t="s">
        <v>572</v>
      </c>
      <c r="GJ654">
        <v>7</v>
      </c>
      <c r="GL654">
        <v>8</v>
      </c>
      <c r="GM654" t="s">
        <v>356</v>
      </c>
      <c r="GQ654">
        <v>7.5</v>
      </c>
      <c r="GS654">
        <v>8.5</v>
      </c>
      <c r="GU654">
        <v>12</v>
      </c>
      <c r="GZ654" t="s">
        <v>296</v>
      </c>
      <c r="HH654" t="s">
        <v>272</v>
      </c>
      <c r="IE654" t="s">
        <v>1605</v>
      </c>
      <c r="IF654">
        <v>12953</v>
      </c>
      <c r="IG654" t="s">
        <v>1606</v>
      </c>
      <c r="IH654" t="s">
        <v>1607</v>
      </c>
      <c r="II654">
        <v>1985</v>
      </c>
      <c r="IJ654" t="s">
        <v>1608</v>
      </c>
    </row>
    <row r="655" spans="1:244" x14ac:dyDescent="0.45">
      <c r="A655">
        <v>1226462</v>
      </c>
      <c r="B655">
        <v>219638</v>
      </c>
      <c r="C655">
        <v>7487947</v>
      </c>
      <c r="D655" t="s">
        <v>1602</v>
      </c>
      <c r="E655" t="s">
        <v>386</v>
      </c>
      <c r="F655" t="s">
        <v>245</v>
      </c>
      <c r="G655" t="s">
        <v>246</v>
      </c>
      <c r="N655" t="s">
        <v>302</v>
      </c>
      <c r="O655" t="s">
        <v>303</v>
      </c>
      <c r="P655" t="s">
        <v>249</v>
      </c>
      <c r="Q655" t="s">
        <v>250</v>
      </c>
      <c r="R655" t="s">
        <v>251</v>
      </c>
      <c r="T655" t="s">
        <v>252</v>
      </c>
      <c r="U655" t="s">
        <v>253</v>
      </c>
      <c r="V655" t="s">
        <v>304</v>
      </c>
      <c r="W655" t="s">
        <v>305</v>
      </c>
      <c r="X655" t="s">
        <v>306</v>
      </c>
      <c r="Z655" t="s">
        <v>1057</v>
      </c>
      <c r="AL655" t="s">
        <v>1210</v>
      </c>
      <c r="AM655" t="s">
        <v>317</v>
      </c>
      <c r="AN655" t="s">
        <v>259</v>
      </c>
      <c r="AO655" t="s">
        <v>260</v>
      </c>
      <c r="AQ655" t="s">
        <v>261</v>
      </c>
      <c r="AS655">
        <v>0.73</v>
      </c>
      <c r="AX655" t="s">
        <v>356</v>
      </c>
      <c r="BO655" t="s">
        <v>261</v>
      </c>
      <c r="BQ655">
        <v>0.73</v>
      </c>
      <c r="BV655" t="s">
        <v>263</v>
      </c>
      <c r="CM655" t="s">
        <v>264</v>
      </c>
      <c r="CN655" t="s">
        <v>264</v>
      </c>
      <c r="CP655" t="s">
        <v>265</v>
      </c>
      <c r="CQ655" t="s">
        <v>266</v>
      </c>
      <c r="DB655">
        <v>1</v>
      </c>
      <c r="DG655" t="s">
        <v>267</v>
      </c>
      <c r="DI655">
        <v>24</v>
      </c>
      <c r="DN655" t="s">
        <v>268</v>
      </c>
      <c r="DR655">
        <v>338212</v>
      </c>
      <c r="DS655">
        <v>732</v>
      </c>
      <c r="DT655" t="s">
        <v>1211</v>
      </c>
      <c r="EW655" t="s">
        <v>293</v>
      </c>
      <c r="GU655">
        <v>36</v>
      </c>
      <c r="GZ655" t="s">
        <v>900</v>
      </c>
      <c r="HH655" t="s">
        <v>272</v>
      </c>
      <c r="IE655" t="s">
        <v>1212</v>
      </c>
      <c r="IF655">
        <v>51641</v>
      </c>
      <c r="IG655" t="s">
        <v>1213</v>
      </c>
      <c r="IH655" t="s">
        <v>1214</v>
      </c>
      <c r="II655">
        <v>2000</v>
      </c>
      <c r="IJ655" t="s">
        <v>1215</v>
      </c>
    </row>
    <row r="656" spans="1:244" x14ac:dyDescent="0.45">
      <c r="A656">
        <v>1026067</v>
      </c>
      <c r="B656">
        <v>123813</v>
      </c>
      <c r="C656">
        <v>7487947</v>
      </c>
      <c r="D656" t="s">
        <v>1602</v>
      </c>
      <c r="F656" t="s">
        <v>245</v>
      </c>
      <c r="G656" t="s">
        <v>246</v>
      </c>
      <c r="N656" t="s">
        <v>546</v>
      </c>
      <c r="O656" t="s">
        <v>547</v>
      </c>
      <c r="P656" t="s">
        <v>249</v>
      </c>
      <c r="Q656" t="s">
        <v>250</v>
      </c>
      <c r="R656" t="s">
        <v>251</v>
      </c>
      <c r="T656" t="s">
        <v>252</v>
      </c>
      <c r="U656" t="s">
        <v>253</v>
      </c>
      <c r="V656" t="s">
        <v>548</v>
      </c>
      <c r="W656" t="s">
        <v>549</v>
      </c>
      <c r="X656" t="s">
        <v>550</v>
      </c>
      <c r="Z656" t="s">
        <v>315</v>
      </c>
      <c r="AM656" t="s">
        <v>258</v>
      </c>
      <c r="AN656" t="s">
        <v>259</v>
      </c>
      <c r="AO656" t="s">
        <v>260</v>
      </c>
      <c r="AQ656" t="s">
        <v>261</v>
      </c>
      <c r="AU656">
        <v>100</v>
      </c>
      <c r="AW656">
        <v>330</v>
      </c>
      <c r="AX656" t="s">
        <v>262</v>
      </c>
      <c r="BO656" t="s">
        <v>261</v>
      </c>
      <c r="BS656">
        <v>0.1</v>
      </c>
      <c r="BU656">
        <v>0.33</v>
      </c>
      <c r="BV656" t="s">
        <v>263</v>
      </c>
      <c r="CM656" t="s">
        <v>264</v>
      </c>
      <c r="CN656" t="s">
        <v>264</v>
      </c>
      <c r="CP656" t="s">
        <v>265</v>
      </c>
      <c r="CQ656" t="s">
        <v>266</v>
      </c>
      <c r="DB656">
        <v>4</v>
      </c>
      <c r="DG656" t="s">
        <v>267</v>
      </c>
      <c r="DI656">
        <v>96</v>
      </c>
      <c r="DN656" t="s">
        <v>268</v>
      </c>
      <c r="DR656">
        <v>491138</v>
      </c>
      <c r="DS656">
        <v>11</v>
      </c>
      <c r="EW656" t="s">
        <v>360</v>
      </c>
      <c r="FM656">
        <v>15</v>
      </c>
      <c r="FR656" t="s">
        <v>295</v>
      </c>
      <c r="HH656" t="s">
        <v>272</v>
      </c>
      <c r="IE656" t="s">
        <v>552</v>
      </c>
      <c r="IF656">
        <v>906</v>
      </c>
      <c r="IG656" t="s">
        <v>553</v>
      </c>
      <c r="IH656" t="s">
        <v>554</v>
      </c>
      <c r="II656">
        <v>1971</v>
      </c>
      <c r="IJ656" t="s">
        <v>555</v>
      </c>
    </row>
    <row r="657" spans="1:244" x14ac:dyDescent="0.45">
      <c r="A657">
        <v>1111790</v>
      </c>
      <c r="B657">
        <v>29511</v>
      </c>
      <c r="C657">
        <v>7487947</v>
      </c>
      <c r="D657" t="s">
        <v>1602</v>
      </c>
      <c r="F657" t="s">
        <v>245</v>
      </c>
      <c r="G657" t="s">
        <v>246</v>
      </c>
      <c r="N657" t="s">
        <v>1609</v>
      </c>
      <c r="O657" t="s">
        <v>1610</v>
      </c>
      <c r="P657" t="s">
        <v>249</v>
      </c>
      <c r="Q657" t="s">
        <v>250</v>
      </c>
      <c r="R657" t="s">
        <v>251</v>
      </c>
      <c r="T657" t="s">
        <v>252</v>
      </c>
      <c r="U657" t="s">
        <v>253</v>
      </c>
      <c r="V657" t="s">
        <v>1611</v>
      </c>
      <c r="W657" t="s">
        <v>1612</v>
      </c>
      <c r="X657" t="s">
        <v>1613</v>
      </c>
      <c r="AM657" t="s">
        <v>317</v>
      </c>
      <c r="AN657" t="s">
        <v>259</v>
      </c>
      <c r="AO657" t="s">
        <v>260</v>
      </c>
      <c r="AQ657" t="s">
        <v>261</v>
      </c>
      <c r="AS657">
        <v>64</v>
      </c>
      <c r="AX657" t="s">
        <v>262</v>
      </c>
      <c r="BO657" t="s">
        <v>261</v>
      </c>
      <c r="BQ657">
        <v>6.4000000000000001E-2</v>
      </c>
      <c r="BV657" t="s">
        <v>263</v>
      </c>
      <c r="CM657" t="s">
        <v>264</v>
      </c>
      <c r="CN657" t="s">
        <v>264</v>
      </c>
      <c r="CP657" t="s">
        <v>265</v>
      </c>
      <c r="CQ657" t="s">
        <v>266</v>
      </c>
      <c r="DB657">
        <v>4</v>
      </c>
      <c r="DG657" t="s">
        <v>267</v>
      </c>
      <c r="DI657">
        <v>96</v>
      </c>
      <c r="DN657" t="s">
        <v>268</v>
      </c>
      <c r="DR657">
        <v>84662</v>
      </c>
      <c r="DS657">
        <v>1296</v>
      </c>
      <c r="DT657" t="s">
        <v>1614</v>
      </c>
      <c r="EW657" t="s">
        <v>333</v>
      </c>
      <c r="FK657" t="s">
        <v>1751</v>
      </c>
      <c r="FO657">
        <v>20</v>
      </c>
      <c r="FQ657">
        <v>22</v>
      </c>
      <c r="FR657" t="s">
        <v>295</v>
      </c>
      <c r="GQ657">
        <v>8</v>
      </c>
      <c r="GS657">
        <v>8.4</v>
      </c>
      <c r="GU657">
        <v>28</v>
      </c>
      <c r="GZ657" t="s">
        <v>296</v>
      </c>
      <c r="HH657" t="s">
        <v>272</v>
      </c>
      <c r="ID657" t="s">
        <v>1752</v>
      </c>
      <c r="IE657" t="s">
        <v>1618</v>
      </c>
      <c r="IF657">
        <v>8436</v>
      </c>
      <c r="IG657" t="s">
        <v>1619</v>
      </c>
      <c r="IH657" t="s">
        <v>1620</v>
      </c>
      <c r="II657">
        <v>1974</v>
      </c>
      <c r="IJ657" t="s">
        <v>1621</v>
      </c>
    </row>
    <row r="658" spans="1:244" x14ac:dyDescent="0.45">
      <c r="A658">
        <v>1131790</v>
      </c>
      <c r="B658">
        <v>82434</v>
      </c>
      <c r="C658">
        <v>7487947</v>
      </c>
      <c r="D658" t="s">
        <v>1602</v>
      </c>
      <c r="F658" t="s">
        <v>327</v>
      </c>
      <c r="G658" t="s">
        <v>246</v>
      </c>
      <c r="N658" t="s">
        <v>1753</v>
      </c>
      <c r="O658" t="s">
        <v>1754</v>
      </c>
      <c r="P658" t="s">
        <v>249</v>
      </c>
      <c r="Q658" t="s">
        <v>250</v>
      </c>
      <c r="R658" t="s">
        <v>251</v>
      </c>
      <c r="T658" t="s">
        <v>252</v>
      </c>
      <c r="U658" t="s">
        <v>499</v>
      </c>
      <c r="V658" t="s">
        <v>1373</v>
      </c>
      <c r="W658" t="s">
        <v>1755</v>
      </c>
      <c r="X658" t="s">
        <v>1756</v>
      </c>
      <c r="Z658" t="s">
        <v>315</v>
      </c>
      <c r="AL658" t="s">
        <v>1757</v>
      </c>
      <c r="AM658" t="s">
        <v>307</v>
      </c>
      <c r="AN658" t="s">
        <v>259</v>
      </c>
      <c r="AO658" t="s">
        <v>260</v>
      </c>
      <c r="AQ658" t="s">
        <v>261</v>
      </c>
      <c r="AS658">
        <v>80</v>
      </c>
      <c r="AU658">
        <v>60</v>
      </c>
      <c r="AW658">
        <v>98</v>
      </c>
      <c r="AX658" t="s">
        <v>262</v>
      </c>
      <c r="BO658" t="s">
        <v>261</v>
      </c>
      <c r="BQ658">
        <v>0.08</v>
      </c>
      <c r="BS658">
        <v>0.06</v>
      </c>
      <c r="BU658">
        <v>9.8000000000000004E-2</v>
      </c>
      <c r="BV658" t="s">
        <v>263</v>
      </c>
      <c r="CM658" t="s">
        <v>264</v>
      </c>
      <c r="CN658" t="s">
        <v>264</v>
      </c>
      <c r="CP658" t="s">
        <v>265</v>
      </c>
      <c r="CQ658" t="s">
        <v>266</v>
      </c>
      <c r="DB658">
        <v>4</v>
      </c>
      <c r="DG658" t="s">
        <v>267</v>
      </c>
      <c r="DI658">
        <v>96</v>
      </c>
      <c r="DN658" t="s">
        <v>268</v>
      </c>
      <c r="DP658" t="s">
        <v>1603</v>
      </c>
      <c r="DS658">
        <v>1676</v>
      </c>
      <c r="DT658" t="s">
        <v>1758</v>
      </c>
      <c r="EW658" t="s">
        <v>333</v>
      </c>
      <c r="FK658" t="s">
        <v>1759</v>
      </c>
      <c r="FM658">
        <v>21</v>
      </c>
      <c r="FR658" t="s">
        <v>295</v>
      </c>
      <c r="GH658">
        <v>99</v>
      </c>
      <c r="GM658" t="s">
        <v>356</v>
      </c>
      <c r="GO658">
        <v>8</v>
      </c>
      <c r="GU658">
        <v>36</v>
      </c>
      <c r="GZ658" t="s">
        <v>296</v>
      </c>
      <c r="HH658" t="s">
        <v>272</v>
      </c>
      <c r="ID658" t="s">
        <v>1760</v>
      </c>
      <c r="IE658" t="s">
        <v>1761</v>
      </c>
      <c r="IF658">
        <v>10628</v>
      </c>
      <c r="IG658" t="s">
        <v>1762</v>
      </c>
      <c r="IH658" t="s">
        <v>1763</v>
      </c>
      <c r="II658">
        <v>1982</v>
      </c>
      <c r="IJ658" t="s">
        <v>1764</v>
      </c>
    </row>
    <row r="659" spans="1:244" x14ac:dyDescent="0.45">
      <c r="A659">
        <v>1151400</v>
      </c>
      <c r="B659">
        <v>83967</v>
      </c>
      <c r="C659">
        <v>7487947</v>
      </c>
      <c r="D659" t="s">
        <v>1602</v>
      </c>
      <c r="F659" t="s">
        <v>327</v>
      </c>
      <c r="G659" t="s">
        <v>246</v>
      </c>
      <c r="N659" t="s">
        <v>1064</v>
      </c>
      <c r="O659" t="s">
        <v>1065</v>
      </c>
      <c r="P659" t="s">
        <v>249</v>
      </c>
      <c r="Q659" t="s">
        <v>250</v>
      </c>
      <c r="R659" t="s">
        <v>251</v>
      </c>
      <c r="T659" t="s">
        <v>252</v>
      </c>
      <c r="U659" t="s">
        <v>253</v>
      </c>
      <c r="V659" t="s">
        <v>304</v>
      </c>
      <c r="W659" t="s">
        <v>1066</v>
      </c>
      <c r="X659" t="s">
        <v>1067</v>
      </c>
      <c r="Z659" t="s">
        <v>284</v>
      </c>
      <c r="AB659">
        <v>1</v>
      </c>
      <c r="AG659" t="s">
        <v>598</v>
      </c>
      <c r="AM659" t="s">
        <v>317</v>
      </c>
      <c r="AN659" t="s">
        <v>259</v>
      </c>
      <c r="AO659" t="s">
        <v>260</v>
      </c>
      <c r="AQ659" t="s">
        <v>261</v>
      </c>
      <c r="AS659">
        <v>85</v>
      </c>
      <c r="AX659" t="s">
        <v>262</v>
      </c>
      <c r="BO659" t="s">
        <v>261</v>
      </c>
      <c r="BQ659">
        <v>8.5000000000000006E-2</v>
      </c>
      <c r="BV659" t="s">
        <v>263</v>
      </c>
      <c r="CM659" t="s">
        <v>264</v>
      </c>
      <c r="CN659" t="s">
        <v>264</v>
      </c>
      <c r="CP659" t="s">
        <v>265</v>
      </c>
      <c r="CQ659" t="s">
        <v>266</v>
      </c>
      <c r="DB659">
        <v>2</v>
      </c>
      <c r="DG659" t="s">
        <v>267</v>
      </c>
      <c r="DI659">
        <v>48</v>
      </c>
      <c r="DN659" t="s">
        <v>268</v>
      </c>
      <c r="DP659" t="s">
        <v>1603</v>
      </c>
      <c r="DR659">
        <v>79674</v>
      </c>
      <c r="DS659">
        <v>648</v>
      </c>
      <c r="DT659" t="s">
        <v>1604</v>
      </c>
      <c r="EW659" t="s">
        <v>333</v>
      </c>
      <c r="FO659">
        <v>25.5</v>
      </c>
      <c r="FQ659">
        <v>27</v>
      </c>
      <c r="FR659" t="s">
        <v>295</v>
      </c>
      <c r="FT659">
        <v>400</v>
      </c>
      <c r="FY659" t="s">
        <v>572</v>
      </c>
      <c r="GJ659">
        <v>7</v>
      </c>
      <c r="GL659">
        <v>8</v>
      </c>
      <c r="GM659" t="s">
        <v>356</v>
      </c>
      <c r="GQ659">
        <v>7.5</v>
      </c>
      <c r="GS659">
        <v>8.5</v>
      </c>
      <c r="GU659">
        <v>12</v>
      </c>
      <c r="GZ659" t="s">
        <v>296</v>
      </c>
      <c r="HH659" t="s">
        <v>272</v>
      </c>
      <c r="IE659" t="s">
        <v>1605</v>
      </c>
      <c r="IF659">
        <v>12953</v>
      </c>
      <c r="IG659" t="s">
        <v>1606</v>
      </c>
      <c r="IH659" t="s">
        <v>1607</v>
      </c>
      <c r="II659">
        <v>1985</v>
      </c>
      <c r="IJ659" t="s">
        <v>1608</v>
      </c>
    </row>
    <row r="660" spans="1:244" x14ac:dyDescent="0.45">
      <c r="A660">
        <v>1153345</v>
      </c>
      <c r="B660">
        <v>160860</v>
      </c>
      <c r="C660">
        <v>7487947</v>
      </c>
      <c r="D660" t="s">
        <v>1602</v>
      </c>
      <c r="F660" t="s">
        <v>245</v>
      </c>
      <c r="G660" t="s">
        <v>246</v>
      </c>
      <c r="N660" t="s">
        <v>1672</v>
      </c>
      <c r="O660" t="s">
        <v>1673</v>
      </c>
      <c r="P660" t="s">
        <v>249</v>
      </c>
      <c r="Q660" t="s">
        <v>250</v>
      </c>
      <c r="R660" t="s">
        <v>251</v>
      </c>
      <c r="T660" t="s">
        <v>252</v>
      </c>
      <c r="U660" t="s">
        <v>253</v>
      </c>
      <c r="V660" t="s">
        <v>1674</v>
      </c>
      <c r="W660" t="s">
        <v>1675</v>
      </c>
      <c r="X660" t="s">
        <v>1676</v>
      </c>
      <c r="Z660" t="s">
        <v>1677</v>
      </c>
      <c r="AL660" t="s">
        <v>1678</v>
      </c>
      <c r="AM660" t="s">
        <v>287</v>
      </c>
      <c r="AN660" t="s">
        <v>259</v>
      </c>
      <c r="AO660" t="s">
        <v>260</v>
      </c>
      <c r="AQ660" t="s">
        <v>261</v>
      </c>
      <c r="AS660">
        <v>7250</v>
      </c>
      <c r="AX660" t="s">
        <v>262</v>
      </c>
      <c r="BO660" t="s">
        <v>261</v>
      </c>
      <c r="BQ660">
        <v>7.25</v>
      </c>
      <c r="BV660" t="s">
        <v>263</v>
      </c>
      <c r="CM660" t="s">
        <v>264</v>
      </c>
      <c r="CN660" t="s">
        <v>264</v>
      </c>
      <c r="CP660" t="s">
        <v>265</v>
      </c>
      <c r="DB660">
        <v>3</v>
      </c>
      <c r="DG660" t="s">
        <v>267</v>
      </c>
      <c r="DI660">
        <v>72</v>
      </c>
      <c r="DN660" t="s">
        <v>268</v>
      </c>
      <c r="DR660">
        <v>1460405</v>
      </c>
      <c r="DS660">
        <v>5936</v>
      </c>
      <c r="EW660" t="s">
        <v>293</v>
      </c>
      <c r="FK660" t="s">
        <v>1679</v>
      </c>
      <c r="HH660" t="s">
        <v>272</v>
      </c>
      <c r="ID660" t="s">
        <v>1680</v>
      </c>
      <c r="IE660" t="s">
        <v>1681</v>
      </c>
      <c r="IF660">
        <v>13233</v>
      </c>
      <c r="IG660" t="s">
        <v>1682</v>
      </c>
      <c r="IH660" t="s">
        <v>1683</v>
      </c>
      <c r="II660">
        <v>1988</v>
      </c>
      <c r="IJ660" t="s">
        <v>1684</v>
      </c>
    </row>
    <row r="661" spans="1:244" x14ac:dyDescent="0.45">
      <c r="A661">
        <v>1226933</v>
      </c>
      <c r="B661">
        <v>216563</v>
      </c>
      <c r="C661">
        <v>7487947</v>
      </c>
      <c r="D661" t="s">
        <v>1602</v>
      </c>
      <c r="E661" t="s">
        <v>622</v>
      </c>
      <c r="F661" t="s">
        <v>245</v>
      </c>
      <c r="G661" t="s">
        <v>246</v>
      </c>
      <c r="N661" t="s">
        <v>247</v>
      </c>
      <c r="O661" t="s">
        <v>248</v>
      </c>
      <c r="P661" t="s">
        <v>249</v>
      </c>
      <c r="Q661" t="s">
        <v>250</v>
      </c>
      <c r="R661" t="s">
        <v>251</v>
      </c>
      <c r="T661" t="s">
        <v>252</v>
      </c>
      <c r="U661" t="s">
        <v>253</v>
      </c>
      <c r="V661" t="s">
        <v>254</v>
      </c>
      <c r="W661" t="s">
        <v>255</v>
      </c>
      <c r="X661" t="s">
        <v>256</v>
      </c>
      <c r="AL661" t="s">
        <v>1765</v>
      </c>
      <c r="AM661" t="s">
        <v>258</v>
      </c>
      <c r="AN661" t="s">
        <v>259</v>
      </c>
      <c r="AO661" t="s">
        <v>260</v>
      </c>
      <c r="AQ661" t="s">
        <v>261</v>
      </c>
      <c r="AS661">
        <v>0.09</v>
      </c>
      <c r="AX661" t="s">
        <v>422</v>
      </c>
      <c r="BO661" t="s">
        <v>261</v>
      </c>
      <c r="BQ661">
        <v>0.09</v>
      </c>
      <c r="BV661" t="s">
        <v>263</v>
      </c>
      <c r="CM661" t="s">
        <v>264</v>
      </c>
      <c r="CN661" t="s">
        <v>264</v>
      </c>
      <c r="CP661" t="s">
        <v>265</v>
      </c>
      <c r="DB661">
        <v>4</v>
      </c>
      <c r="DG661" t="s">
        <v>267</v>
      </c>
      <c r="DI661">
        <v>96</v>
      </c>
      <c r="DN661" t="s">
        <v>268</v>
      </c>
      <c r="DR661">
        <v>6761</v>
      </c>
      <c r="DS661">
        <v>2461</v>
      </c>
      <c r="EW661" t="s">
        <v>272</v>
      </c>
      <c r="GH661">
        <v>4.41</v>
      </c>
      <c r="GM661" t="s">
        <v>1766</v>
      </c>
      <c r="GO661">
        <v>7.5</v>
      </c>
      <c r="GU661">
        <v>27</v>
      </c>
      <c r="GZ661" t="s">
        <v>296</v>
      </c>
      <c r="HH661" t="s">
        <v>272</v>
      </c>
      <c r="IE661" t="s">
        <v>782</v>
      </c>
      <c r="IF661">
        <v>52573</v>
      </c>
      <c r="IG661" t="s">
        <v>1767</v>
      </c>
      <c r="IH661" t="s">
        <v>1768</v>
      </c>
      <c r="II661">
        <v>1999</v>
      </c>
      <c r="IJ661" t="s">
        <v>1769</v>
      </c>
    </row>
    <row r="662" spans="1:244" x14ac:dyDescent="0.45">
      <c r="A662">
        <v>2317091</v>
      </c>
      <c r="B662">
        <v>2796454</v>
      </c>
      <c r="C662">
        <v>7487947</v>
      </c>
      <c r="D662" t="s">
        <v>1602</v>
      </c>
      <c r="E662" t="s">
        <v>439</v>
      </c>
      <c r="F662" t="s">
        <v>245</v>
      </c>
      <c r="G662" t="s">
        <v>272</v>
      </c>
      <c r="N662" t="s">
        <v>1492</v>
      </c>
      <c r="O662" t="s">
        <v>1493</v>
      </c>
      <c r="P662" t="s">
        <v>249</v>
      </c>
      <c r="Q662" t="s">
        <v>250</v>
      </c>
      <c r="R662" t="s">
        <v>251</v>
      </c>
      <c r="T662" t="s">
        <v>252</v>
      </c>
      <c r="U662" t="s">
        <v>253</v>
      </c>
      <c r="V662" t="s">
        <v>281</v>
      </c>
      <c r="W662" t="s">
        <v>282</v>
      </c>
      <c r="X662" t="s">
        <v>1494</v>
      </c>
      <c r="Z662" t="s">
        <v>1046</v>
      </c>
      <c r="AB662">
        <v>1</v>
      </c>
      <c r="AG662" t="s">
        <v>598</v>
      </c>
      <c r="AJ662" t="s">
        <v>354</v>
      </c>
      <c r="AM662" t="s">
        <v>287</v>
      </c>
      <c r="AN662" t="s">
        <v>259</v>
      </c>
      <c r="AO662" t="s">
        <v>260</v>
      </c>
      <c r="AQ662" t="s">
        <v>261</v>
      </c>
      <c r="AS662">
        <v>8.1999999999999993</v>
      </c>
      <c r="AX662" t="s">
        <v>262</v>
      </c>
      <c r="BO662" t="s">
        <v>261</v>
      </c>
      <c r="BQ662">
        <v>8.2000000000000007E-3</v>
      </c>
      <c r="BV662" t="s">
        <v>263</v>
      </c>
      <c r="CM662" t="s">
        <v>264</v>
      </c>
      <c r="CN662" t="s">
        <v>264</v>
      </c>
      <c r="CP662" t="s">
        <v>265</v>
      </c>
      <c r="CQ662" t="s">
        <v>266</v>
      </c>
      <c r="DB662">
        <v>4</v>
      </c>
      <c r="DG662" t="s">
        <v>267</v>
      </c>
      <c r="DI662">
        <v>96</v>
      </c>
      <c r="DN662" t="s">
        <v>268</v>
      </c>
      <c r="DP662" t="s">
        <v>1770</v>
      </c>
      <c r="DR662">
        <v>29965</v>
      </c>
      <c r="DS662">
        <v>339</v>
      </c>
      <c r="DT662" t="s">
        <v>1771</v>
      </c>
      <c r="DV662">
        <v>96</v>
      </c>
      <c r="EA662" t="s">
        <v>268</v>
      </c>
      <c r="EC662">
        <v>4</v>
      </c>
      <c r="EH662" t="s">
        <v>267</v>
      </c>
      <c r="EJ662">
        <v>96</v>
      </c>
      <c r="EO662" t="s">
        <v>268</v>
      </c>
      <c r="EQ662">
        <v>4</v>
      </c>
      <c r="EV662" t="s">
        <v>267</v>
      </c>
      <c r="EW662" t="s">
        <v>293</v>
      </c>
      <c r="EZ662">
        <v>20</v>
      </c>
      <c r="FM662">
        <v>15</v>
      </c>
      <c r="FR662" t="s">
        <v>295</v>
      </c>
      <c r="GJ662">
        <v>6.5</v>
      </c>
      <c r="GL662">
        <v>8</v>
      </c>
      <c r="GM662" t="s">
        <v>356</v>
      </c>
      <c r="GO662">
        <v>8.1</v>
      </c>
      <c r="GU662">
        <v>33.79</v>
      </c>
      <c r="GZ662" t="s">
        <v>296</v>
      </c>
      <c r="HH662" t="s">
        <v>272</v>
      </c>
      <c r="ID662" t="s">
        <v>1772</v>
      </c>
      <c r="IE662" t="s">
        <v>1773</v>
      </c>
      <c r="IF662">
        <v>15497</v>
      </c>
      <c r="IG662" t="s">
        <v>1774</v>
      </c>
      <c r="IH662" t="s">
        <v>1775</v>
      </c>
      <c r="II662">
        <v>1981</v>
      </c>
      <c r="IJ662" t="s">
        <v>1776</v>
      </c>
    </row>
    <row r="663" spans="1:244" x14ac:dyDescent="0.45">
      <c r="A663">
        <v>1226461</v>
      </c>
      <c r="B663">
        <v>219637</v>
      </c>
      <c r="C663">
        <v>7487947</v>
      </c>
      <c r="D663" t="s">
        <v>1602</v>
      </c>
      <c r="E663" t="s">
        <v>386</v>
      </c>
      <c r="F663" t="s">
        <v>245</v>
      </c>
      <c r="G663" t="s">
        <v>246</v>
      </c>
      <c r="N663" t="s">
        <v>302</v>
      </c>
      <c r="O663" t="s">
        <v>303</v>
      </c>
      <c r="P663" t="s">
        <v>249</v>
      </c>
      <c r="Q663" t="s">
        <v>250</v>
      </c>
      <c r="R663" t="s">
        <v>251</v>
      </c>
      <c r="T663" t="s">
        <v>252</v>
      </c>
      <c r="U663" t="s">
        <v>253</v>
      </c>
      <c r="V663" t="s">
        <v>304</v>
      </c>
      <c r="W663" t="s">
        <v>305</v>
      </c>
      <c r="X663" t="s">
        <v>306</v>
      </c>
      <c r="Z663" t="s">
        <v>1057</v>
      </c>
      <c r="AL663" t="s">
        <v>1440</v>
      </c>
      <c r="AM663" t="s">
        <v>317</v>
      </c>
      <c r="AN663" t="s">
        <v>259</v>
      </c>
      <c r="AO663" t="s">
        <v>260</v>
      </c>
      <c r="AQ663" t="s">
        <v>261</v>
      </c>
      <c r="AS663">
        <v>0.47</v>
      </c>
      <c r="AX663" t="s">
        <v>356</v>
      </c>
      <c r="BO663" t="s">
        <v>261</v>
      </c>
      <c r="BQ663">
        <v>0.47</v>
      </c>
      <c r="BV663" t="s">
        <v>263</v>
      </c>
      <c r="CM663" t="s">
        <v>264</v>
      </c>
      <c r="CN663" t="s">
        <v>264</v>
      </c>
      <c r="CP663" t="s">
        <v>265</v>
      </c>
      <c r="CQ663" t="s">
        <v>266</v>
      </c>
      <c r="DB663">
        <v>4</v>
      </c>
      <c r="DG663" t="s">
        <v>267</v>
      </c>
      <c r="DI663">
        <v>96</v>
      </c>
      <c r="DN663" t="s">
        <v>268</v>
      </c>
      <c r="DR663">
        <v>338212</v>
      </c>
      <c r="DS663">
        <v>732</v>
      </c>
      <c r="DT663" t="s">
        <v>1211</v>
      </c>
      <c r="EW663" t="s">
        <v>293</v>
      </c>
      <c r="GU663">
        <v>36</v>
      </c>
      <c r="GZ663" t="s">
        <v>900</v>
      </c>
      <c r="HH663" t="s">
        <v>272</v>
      </c>
      <c r="IE663" t="s">
        <v>1212</v>
      </c>
      <c r="IF663">
        <v>51641</v>
      </c>
      <c r="IG663" t="s">
        <v>1213</v>
      </c>
      <c r="IH663" t="s">
        <v>1214</v>
      </c>
      <c r="II663">
        <v>2000</v>
      </c>
      <c r="IJ663" t="s">
        <v>1215</v>
      </c>
    </row>
    <row r="664" spans="1:244" x14ac:dyDescent="0.45">
      <c r="A664">
        <v>1151432</v>
      </c>
      <c r="B664">
        <v>84001</v>
      </c>
      <c r="C664">
        <v>7487947</v>
      </c>
      <c r="D664" t="s">
        <v>1602</v>
      </c>
      <c r="F664" t="s">
        <v>327</v>
      </c>
      <c r="G664" t="s">
        <v>246</v>
      </c>
      <c r="N664" t="s">
        <v>1064</v>
      </c>
      <c r="O664" t="s">
        <v>1065</v>
      </c>
      <c r="P664" t="s">
        <v>249</v>
      </c>
      <c r="Q664" t="s">
        <v>250</v>
      </c>
      <c r="R664" t="s">
        <v>251</v>
      </c>
      <c r="T664" t="s">
        <v>252</v>
      </c>
      <c r="U664" t="s">
        <v>253</v>
      </c>
      <c r="V664" t="s">
        <v>304</v>
      </c>
      <c r="W664" t="s">
        <v>1066</v>
      </c>
      <c r="X664" t="s">
        <v>1067</v>
      </c>
      <c r="Z664" t="s">
        <v>284</v>
      </c>
      <c r="AB664">
        <v>8</v>
      </c>
      <c r="AG664" t="s">
        <v>598</v>
      </c>
      <c r="AM664" t="s">
        <v>317</v>
      </c>
      <c r="AN664" t="s">
        <v>259</v>
      </c>
      <c r="AO664" t="s">
        <v>260</v>
      </c>
      <c r="AQ664" t="s">
        <v>261</v>
      </c>
      <c r="AS664">
        <v>425</v>
      </c>
      <c r="AX664" t="s">
        <v>262</v>
      </c>
      <c r="BO664" t="s">
        <v>261</v>
      </c>
      <c r="BQ664">
        <v>0.42499999999999999</v>
      </c>
      <c r="BV664" t="s">
        <v>263</v>
      </c>
      <c r="CM664" t="s">
        <v>264</v>
      </c>
      <c r="CN664" t="s">
        <v>264</v>
      </c>
      <c r="CP664" t="s">
        <v>265</v>
      </c>
      <c r="CQ664" t="s">
        <v>266</v>
      </c>
      <c r="DB664">
        <v>3</v>
      </c>
      <c r="DG664" t="s">
        <v>267</v>
      </c>
      <c r="DI664">
        <v>72</v>
      </c>
      <c r="DN664" t="s">
        <v>268</v>
      </c>
      <c r="DP664" t="s">
        <v>1603</v>
      </c>
      <c r="DR664">
        <v>79674</v>
      </c>
      <c r="DS664">
        <v>648</v>
      </c>
      <c r="DT664" t="s">
        <v>1604</v>
      </c>
      <c r="EW664" t="s">
        <v>333</v>
      </c>
      <c r="FO664">
        <v>25.5</v>
      </c>
      <c r="FQ664">
        <v>27</v>
      </c>
      <c r="FR664" t="s">
        <v>295</v>
      </c>
      <c r="FT664">
        <v>400</v>
      </c>
      <c r="FY664" t="s">
        <v>572</v>
      </c>
      <c r="GJ664">
        <v>7</v>
      </c>
      <c r="GL664">
        <v>8</v>
      </c>
      <c r="GM664" t="s">
        <v>356</v>
      </c>
      <c r="GQ664">
        <v>7.5</v>
      </c>
      <c r="GS664">
        <v>8.5</v>
      </c>
      <c r="GU664">
        <v>12</v>
      </c>
      <c r="GZ664" t="s">
        <v>296</v>
      </c>
      <c r="HH664" t="s">
        <v>272</v>
      </c>
      <c r="IE664" t="s">
        <v>1605</v>
      </c>
      <c r="IF664">
        <v>12953</v>
      </c>
      <c r="IG664" t="s">
        <v>1606</v>
      </c>
      <c r="IH664" t="s">
        <v>1607</v>
      </c>
      <c r="II664">
        <v>1985</v>
      </c>
      <c r="IJ664" t="s">
        <v>1608</v>
      </c>
    </row>
    <row r="665" spans="1:244" x14ac:dyDescent="0.45">
      <c r="A665">
        <v>1151163</v>
      </c>
      <c r="B665">
        <v>104870</v>
      </c>
      <c r="C665">
        <v>7487947</v>
      </c>
      <c r="D665" t="s">
        <v>1602</v>
      </c>
      <c r="F665" t="s">
        <v>245</v>
      </c>
      <c r="G665" t="s">
        <v>246</v>
      </c>
      <c r="N665" t="s">
        <v>247</v>
      </c>
      <c r="O665" t="s">
        <v>248</v>
      </c>
      <c r="P665" t="s">
        <v>249</v>
      </c>
      <c r="Q665" t="s">
        <v>250</v>
      </c>
      <c r="R665" t="s">
        <v>251</v>
      </c>
      <c r="T665" t="s">
        <v>252</v>
      </c>
      <c r="U665" t="s">
        <v>253</v>
      </c>
      <c r="V665" t="s">
        <v>254</v>
      </c>
      <c r="W665" t="s">
        <v>255</v>
      </c>
      <c r="X665" t="s">
        <v>256</v>
      </c>
      <c r="Z665" t="s">
        <v>1057</v>
      </c>
      <c r="AL665" t="s">
        <v>1777</v>
      </c>
      <c r="AM665" t="s">
        <v>317</v>
      </c>
      <c r="AN665" t="s">
        <v>259</v>
      </c>
      <c r="AO665" t="s">
        <v>260</v>
      </c>
      <c r="AQ665" t="s">
        <v>261</v>
      </c>
      <c r="AS665">
        <v>7940</v>
      </c>
      <c r="AX665" t="s">
        <v>262</v>
      </c>
      <c r="BO665" t="s">
        <v>261</v>
      </c>
      <c r="BQ665">
        <v>7.94</v>
      </c>
      <c r="BV665" t="s">
        <v>263</v>
      </c>
      <c r="CM665" t="s">
        <v>264</v>
      </c>
      <c r="CN665" t="s">
        <v>264</v>
      </c>
      <c r="CP665" t="s">
        <v>265</v>
      </c>
      <c r="DB665">
        <v>3</v>
      </c>
      <c r="DG665" t="s">
        <v>267</v>
      </c>
      <c r="DI665">
        <v>72</v>
      </c>
      <c r="DN665" t="s">
        <v>268</v>
      </c>
      <c r="DR665">
        <v>6761</v>
      </c>
      <c r="DS665">
        <v>2461</v>
      </c>
      <c r="EW665" t="s">
        <v>293</v>
      </c>
      <c r="HH665" t="s">
        <v>272</v>
      </c>
      <c r="IE665" t="s">
        <v>1778</v>
      </c>
      <c r="IF665">
        <v>12895</v>
      </c>
      <c r="IG665" t="s">
        <v>1779</v>
      </c>
      <c r="IH665" t="s">
        <v>1780</v>
      </c>
      <c r="II665">
        <v>1986</v>
      </c>
      <c r="IJ665" t="s">
        <v>1781</v>
      </c>
    </row>
    <row r="666" spans="1:244" x14ac:dyDescent="0.45">
      <c r="A666">
        <v>1151445</v>
      </c>
      <c r="B666">
        <v>84014</v>
      </c>
      <c r="C666">
        <v>7487947</v>
      </c>
      <c r="D666" t="s">
        <v>1602</v>
      </c>
      <c r="F666" t="s">
        <v>327</v>
      </c>
      <c r="G666" t="s">
        <v>246</v>
      </c>
      <c r="N666" t="s">
        <v>1064</v>
      </c>
      <c r="O666" t="s">
        <v>1065</v>
      </c>
      <c r="P666" t="s">
        <v>249</v>
      </c>
      <c r="Q666" t="s">
        <v>250</v>
      </c>
      <c r="R666" t="s">
        <v>251</v>
      </c>
      <c r="T666" t="s">
        <v>252</v>
      </c>
      <c r="U666" t="s">
        <v>253</v>
      </c>
      <c r="V666" t="s">
        <v>304</v>
      </c>
      <c r="W666" t="s">
        <v>1066</v>
      </c>
      <c r="X666" t="s">
        <v>1067</v>
      </c>
      <c r="Z666" t="s">
        <v>421</v>
      </c>
      <c r="AM666" t="s">
        <v>317</v>
      </c>
      <c r="AN666" t="s">
        <v>259</v>
      </c>
      <c r="AO666" t="s">
        <v>260</v>
      </c>
      <c r="AQ666" t="s">
        <v>261</v>
      </c>
      <c r="AS666">
        <v>800</v>
      </c>
      <c r="AX666" t="s">
        <v>262</v>
      </c>
      <c r="BO666" t="s">
        <v>261</v>
      </c>
      <c r="BQ666">
        <v>0.8</v>
      </c>
      <c r="BV666" t="s">
        <v>263</v>
      </c>
      <c r="CM666" t="s">
        <v>264</v>
      </c>
      <c r="CN666" t="s">
        <v>264</v>
      </c>
      <c r="CP666" t="s">
        <v>265</v>
      </c>
      <c r="CQ666" t="s">
        <v>266</v>
      </c>
      <c r="DB666">
        <v>1</v>
      </c>
      <c r="DG666" t="s">
        <v>267</v>
      </c>
      <c r="DI666">
        <v>24</v>
      </c>
      <c r="DN666" t="s">
        <v>268</v>
      </c>
      <c r="DP666" t="s">
        <v>1603</v>
      </c>
      <c r="DR666">
        <v>79674</v>
      </c>
      <c r="DS666">
        <v>648</v>
      </c>
      <c r="DT666" t="s">
        <v>1604</v>
      </c>
      <c r="EW666" t="s">
        <v>333</v>
      </c>
      <c r="FO666">
        <v>25.5</v>
      </c>
      <c r="FQ666">
        <v>27</v>
      </c>
      <c r="FR666" t="s">
        <v>295</v>
      </c>
      <c r="FT666">
        <v>400</v>
      </c>
      <c r="FY666" t="s">
        <v>572</v>
      </c>
      <c r="GJ666">
        <v>7</v>
      </c>
      <c r="GL666">
        <v>8</v>
      </c>
      <c r="GM666" t="s">
        <v>356</v>
      </c>
      <c r="GQ666">
        <v>7.5</v>
      </c>
      <c r="GS666">
        <v>8.5</v>
      </c>
      <c r="GU666">
        <v>12</v>
      </c>
      <c r="GZ666" t="s">
        <v>296</v>
      </c>
      <c r="HH666" t="s">
        <v>272</v>
      </c>
      <c r="IE666" t="s">
        <v>1605</v>
      </c>
      <c r="IF666">
        <v>12953</v>
      </c>
      <c r="IG666" t="s">
        <v>1606</v>
      </c>
      <c r="IH666" t="s">
        <v>1607</v>
      </c>
      <c r="II666">
        <v>1985</v>
      </c>
      <c r="IJ666" t="s">
        <v>1608</v>
      </c>
    </row>
    <row r="667" spans="1:244" x14ac:dyDescent="0.45">
      <c r="A667">
        <v>1068622</v>
      </c>
      <c r="B667">
        <v>1651</v>
      </c>
      <c r="C667">
        <v>7487947</v>
      </c>
      <c r="D667" t="s">
        <v>1602</v>
      </c>
      <c r="F667" t="s">
        <v>245</v>
      </c>
      <c r="G667" t="s">
        <v>246</v>
      </c>
      <c r="N667" t="s">
        <v>606</v>
      </c>
      <c r="O667" t="s">
        <v>607</v>
      </c>
      <c r="P667" t="s">
        <v>249</v>
      </c>
      <c r="Q667" t="s">
        <v>250</v>
      </c>
      <c r="R667" t="s">
        <v>251</v>
      </c>
      <c r="T667" t="s">
        <v>252</v>
      </c>
      <c r="U667" t="s">
        <v>253</v>
      </c>
      <c r="V667" t="s">
        <v>608</v>
      </c>
      <c r="W667" t="s">
        <v>609</v>
      </c>
      <c r="X667" t="s">
        <v>610</v>
      </c>
      <c r="Z667" t="s">
        <v>284</v>
      </c>
      <c r="AB667">
        <v>24</v>
      </c>
      <c r="AG667" t="s">
        <v>268</v>
      </c>
      <c r="AL667" t="s">
        <v>611</v>
      </c>
      <c r="AM667" t="s">
        <v>317</v>
      </c>
      <c r="AN667" t="s">
        <v>259</v>
      </c>
      <c r="AO667" t="s">
        <v>260</v>
      </c>
      <c r="AQ667" t="s">
        <v>261</v>
      </c>
      <c r="AS667">
        <v>20</v>
      </c>
      <c r="AX667" t="s">
        <v>262</v>
      </c>
      <c r="BO667" t="s">
        <v>261</v>
      </c>
      <c r="BQ667">
        <v>0.02</v>
      </c>
      <c r="BV667" t="s">
        <v>263</v>
      </c>
      <c r="CM667" t="s">
        <v>264</v>
      </c>
      <c r="CN667" t="s">
        <v>264</v>
      </c>
      <c r="CP667" t="s">
        <v>265</v>
      </c>
      <c r="CQ667" t="s">
        <v>266</v>
      </c>
      <c r="DB667">
        <v>4</v>
      </c>
      <c r="DG667" t="s">
        <v>267</v>
      </c>
      <c r="DI667">
        <v>96</v>
      </c>
      <c r="DN667" t="s">
        <v>268</v>
      </c>
      <c r="DP667" t="s">
        <v>612</v>
      </c>
      <c r="DR667">
        <v>6706</v>
      </c>
      <c r="DS667">
        <v>346</v>
      </c>
      <c r="DT667" t="s">
        <v>613</v>
      </c>
      <c r="EW667" t="s">
        <v>333</v>
      </c>
      <c r="FK667" t="s">
        <v>614</v>
      </c>
      <c r="FM667">
        <v>20</v>
      </c>
      <c r="FR667" t="s">
        <v>295</v>
      </c>
      <c r="GH667">
        <v>8.1</v>
      </c>
      <c r="GM667" t="s">
        <v>356</v>
      </c>
      <c r="GU667">
        <v>30.5</v>
      </c>
      <c r="GZ667" t="s">
        <v>296</v>
      </c>
      <c r="HH667" t="s">
        <v>272</v>
      </c>
      <c r="ID667" t="s">
        <v>615</v>
      </c>
      <c r="IE667" t="s">
        <v>616</v>
      </c>
      <c r="IF667">
        <v>5391</v>
      </c>
      <c r="IG667" t="s">
        <v>617</v>
      </c>
      <c r="IH667" t="s">
        <v>618</v>
      </c>
      <c r="II667">
        <v>1979</v>
      </c>
      <c r="IJ667" t="s">
        <v>619</v>
      </c>
    </row>
    <row r="668" spans="1:244" x14ac:dyDescent="0.45">
      <c r="A668">
        <v>1151423</v>
      </c>
      <c r="B668">
        <v>83992</v>
      </c>
      <c r="C668">
        <v>7487947</v>
      </c>
      <c r="D668" t="s">
        <v>1602</v>
      </c>
      <c r="F668" t="s">
        <v>327</v>
      </c>
      <c r="G668" t="s">
        <v>246</v>
      </c>
      <c r="N668" t="s">
        <v>1064</v>
      </c>
      <c r="O668" t="s">
        <v>1065</v>
      </c>
      <c r="P668" t="s">
        <v>249</v>
      </c>
      <c r="Q668" t="s">
        <v>250</v>
      </c>
      <c r="R668" t="s">
        <v>251</v>
      </c>
      <c r="T668" t="s">
        <v>252</v>
      </c>
      <c r="U668" t="s">
        <v>253</v>
      </c>
      <c r="V668" t="s">
        <v>304</v>
      </c>
      <c r="W668" t="s">
        <v>1066</v>
      </c>
      <c r="X668" t="s">
        <v>1067</v>
      </c>
      <c r="Z668" t="s">
        <v>284</v>
      </c>
      <c r="AB668">
        <v>6</v>
      </c>
      <c r="AG668" t="s">
        <v>598</v>
      </c>
      <c r="AM668" t="s">
        <v>317</v>
      </c>
      <c r="AN668" t="s">
        <v>259</v>
      </c>
      <c r="AO668" t="s">
        <v>260</v>
      </c>
      <c r="AQ668" t="s">
        <v>261</v>
      </c>
      <c r="AS668">
        <v>400</v>
      </c>
      <c r="AX668" t="s">
        <v>262</v>
      </c>
      <c r="BO668" t="s">
        <v>261</v>
      </c>
      <c r="BQ668">
        <v>0.4</v>
      </c>
      <c r="BV668" t="s">
        <v>263</v>
      </c>
      <c r="CM668" t="s">
        <v>264</v>
      </c>
      <c r="CN668" t="s">
        <v>264</v>
      </c>
      <c r="CP668" t="s">
        <v>265</v>
      </c>
      <c r="CQ668" t="s">
        <v>266</v>
      </c>
      <c r="DB668">
        <v>2</v>
      </c>
      <c r="DG668" t="s">
        <v>267</v>
      </c>
      <c r="DI668">
        <v>48</v>
      </c>
      <c r="DN668" t="s">
        <v>268</v>
      </c>
      <c r="DP668" t="s">
        <v>1603</v>
      </c>
      <c r="DR668">
        <v>79674</v>
      </c>
      <c r="DS668">
        <v>648</v>
      </c>
      <c r="DT668" t="s">
        <v>1604</v>
      </c>
      <c r="EW668" t="s">
        <v>333</v>
      </c>
      <c r="FO668">
        <v>25.5</v>
      </c>
      <c r="FQ668">
        <v>27</v>
      </c>
      <c r="FR668" t="s">
        <v>295</v>
      </c>
      <c r="FT668">
        <v>400</v>
      </c>
      <c r="FY668" t="s">
        <v>572</v>
      </c>
      <c r="GJ668">
        <v>7</v>
      </c>
      <c r="GL668">
        <v>8</v>
      </c>
      <c r="GM668" t="s">
        <v>356</v>
      </c>
      <c r="GQ668">
        <v>7.5</v>
      </c>
      <c r="GS668">
        <v>8.5</v>
      </c>
      <c r="GU668">
        <v>12</v>
      </c>
      <c r="GZ668" t="s">
        <v>296</v>
      </c>
      <c r="HH668" t="s">
        <v>272</v>
      </c>
      <c r="IE668" t="s">
        <v>1605</v>
      </c>
      <c r="IF668">
        <v>12953</v>
      </c>
      <c r="IG668" t="s">
        <v>1606</v>
      </c>
      <c r="IH668" t="s">
        <v>1607</v>
      </c>
      <c r="II668">
        <v>1985</v>
      </c>
      <c r="IJ668" t="s">
        <v>1608</v>
      </c>
    </row>
    <row r="669" spans="1:244" x14ac:dyDescent="0.45">
      <c r="A669">
        <v>1073230</v>
      </c>
      <c r="B669">
        <v>15498</v>
      </c>
      <c r="C669">
        <v>7487947</v>
      </c>
      <c r="D669" t="s">
        <v>1602</v>
      </c>
      <c r="F669" t="s">
        <v>245</v>
      </c>
      <c r="G669" t="s">
        <v>246</v>
      </c>
      <c r="N669" t="s">
        <v>546</v>
      </c>
      <c r="O669" t="s">
        <v>547</v>
      </c>
      <c r="P669" t="s">
        <v>249</v>
      </c>
      <c r="Q669" t="s">
        <v>250</v>
      </c>
      <c r="R669" t="s">
        <v>251</v>
      </c>
      <c r="T669" t="s">
        <v>252</v>
      </c>
      <c r="U669" t="s">
        <v>253</v>
      </c>
      <c r="V669" t="s">
        <v>548</v>
      </c>
      <c r="W669" t="s">
        <v>549</v>
      </c>
      <c r="X669" t="s">
        <v>550</v>
      </c>
      <c r="Z669" t="s">
        <v>315</v>
      </c>
      <c r="AM669" t="s">
        <v>317</v>
      </c>
      <c r="AN669" t="s">
        <v>259</v>
      </c>
      <c r="AO669" t="s">
        <v>260</v>
      </c>
      <c r="AQ669" t="s">
        <v>261</v>
      </c>
      <c r="AS669">
        <v>5700</v>
      </c>
      <c r="AX669" t="s">
        <v>262</v>
      </c>
      <c r="BO669" t="s">
        <v>261</v>
      </c>
      <c r="BQ669">
        <v>5.7</v>
      </c>
      <c r="BV669" t="s">
        <v>263</v>
      </c>
      <c r="CM669" t="s">
        <v>264</v>
      </c>
      <c r="CN669" t="s">
        <v>264</v>
      </c>
      <c r="CP669" t="s">
        <v>265</v>
      </c>
      <c r="CQ669" t="s">
        <v>266</v>
      </c>
      <c r="DB669">
        <v>2</v>
      </c>
      <c r="DG669" t="s">
        <v>267</v>
      </c>
      <c r="DI669">
        <v>48</v>
      </c>
      <c r="DN669" t="s">
        <v>268</v>
      </c>
      <c r="DR669">
        <v>491138</v>
      </c>
      <c r="DS669">
        <v>11</v>
      </c>
      <c r="DT669" t="s">
        <v>1656</v>
      </c>
      <c r="EW669" t="s">
        <v>333</v>
      </c>
      <c r="FK669" t="s">
        <v>1616</v>
      </c>
      <c r="FM669">
        <v>15</v>
      </c>
      <c r="FR669" t="s">
        <v>295</v>
      </c>
      <c r="HH669" t="s">
        <v>272</v>
      </c>
      <c r="ID669" t="s">
        <v>1617</v>
      </c>
      <c r="IE669" t="s">
        <v>1659</v>
      </c>
      <c r="IF669">
        <v>5732</v>
      </c>
      <c r="IG669" t="s">
        <v>1660</v>
      </c>
      <c r="IH669" t="s">
        <v>1661</v>
      </c>
      <c r="II669">
        <v>1972</v>
      </c>
      <c r="IJ669" t="s">
        <v>1662</v>
      </c>
    </row>
    <row r="670" spans="1:244" x14ac:dyDescent="0.45">
      <c r="A670">
        <v>1151405</v>
      </c>
      <c r="B670">
        <v>83972</v>
      </c>
      <c r="C670">
        <v>7487947</v>
      </c>
      <c r="D670" t="s">
        <v>1602</v>
      </c>
      <c r="F670" t="s">
        <v>327</v>
      </c>
      <c r="G670" t="s">
        <v>246</v>
      </c>
      <c r="N670" t="s">
        <v>1064</v>
      </c>
      <c r="O670" t="s">
        <v>1065</v>
      </c>
      <c r="P670" t="s">
        <v>249</v>
      </c>
      <c r="Q670" t="s">
        <v>250</v>
      </c>
      <c r="R670" t="s">
        <v>251</v>
      </c>
      <c r="T670" t="s">
        <v>252</v>
      </c>
      <c r="U670" t="s">
        <v>253</v>
      </c>
      <c r="V670" t="s">
        <v>304</v>
      </c>
      <c r="W670" t="s">
        <v>1066</v>
      </c>
      <c r="X670" t="s">
        <v>1067</v>
      </c>
      <c r="Z670" t="s">
        <v>284</v>
      </c>
      <c r="AB670">
        <v>2</v>
      </c>
      <c r="AG670" t="s">
        <v>598</v>
      </c>
      <c r="AM670" t="s">
        <v>317</v>
      </c>
      <c r="AN670" t="s">
        <v>259</v>
      </c>
      <c r="AO670" t="s">
        <v>260</v>
      </c>
      <c r="AQ670" t="s">
        <v>261</v>
      </c>
      <c r="AS670">
        <v>165</v>
      </c>
      <c r="AX670" t="s">
        <v>262</v>
      </c>
      <c r="BO670" t="s">
        <v>261</v>
      </c>
      <c r="BQ670">
        <v>0.16500000000000001</v>
      </c>
      <c r="BV670" t="s">
        <v>263</v>
      </c>
      <c r="CM670" t="s">
        <v>264</v>
      </c>
      <c r="CN670" t="s">
        <v>264</v>
      </c>
      <c r="CP670" t="s">
        <v>265</v>
      </c>
      <c r="CQ670" t="s">
        <v>266</v>
      </c>
      <c r="DB670">
        <v>2</v>
      </c>
      <c r="DG670" t="s">
        <v>267</v>
      </c>
      <c r="DI670">
        <v>48</v>
      </c>
      <c r="DN670" t="s">
        <v>268</v>
      </c>
      <c r="DP670" t="s">
        <v>1603</v>
      </c>
      <c r="DR670">
        <v>79674</v>
      </c>
      <c r="DS670">
        <v>648</v>
      </c>
      <c r="DT670" t="s">
        <v>1604</v>
      </c>
      <c r="EW670" t="s">
        <v>333</v>
      </c>
      <c r="FO670">
        <v>25.5</v>
      </c>
      <c r="FQ670">
        <v>27</v>
      </c>
      <c r="FR670" t="s">
        <v>295</v>
      </c>
      <c r="FT670">
        <v>400</v>
      </c>
      <c r="FY670" t="s">
        <v>572</v>
      </c>
      <c r="GJ670">
        <v>7</v>
      </c>
      <c r="GL670">
        <v>8</v>
      </c>
      <c r="GM670" t="s">
        <v>356</v>
      </c>
      <c r="GQ670">
        <v>7.5</v>
      </c>
      <c r="GS670">
        <v>8.5</v>
      </c>
      <c r="GU670">
        <v>12</v>
      </c>
      <c r="GZ670" t="s">
        <v>296</v>
      </c>
      <c r="HH670" t="s">
        <v>272</v>
      </c>
      <c r="IE670" t="s">
        <v>1605</v>
      </c>
      <c r="IF670">
        <v>12953</v>
      </c>
      <c r="IG670" t="s">
        <v>1606</v>
      </c>
      <c r="IH670" t="s">
        <v>1607</v>
      </c>
      <c r="II670">
        <v>1985</v>
      </c>
      <c r="IJ670" t="s">
        <v>1608</v>
      </c>
    </row>
    <row r="671" spans="1:244" x14ac:dyDescent="0.45">
      <c r="A671">
        <v>1041016</v>
      </c>
      <c r="B671">
        <v>25268</v>
      </c>
      <c r="C671">
        <v>7487947</v>
      </c>
      <c r="D671" t="s">
        <v>1602</v>
      </c>
      <c r="F671" t="s">
        <v>245</v>
      </c>
      <c r="G671" t="s">
        <v>246</v>
      </c>
      <c r="N671" t="s">
        <v>1782</v>
      </c>
      <c r="O671" t="s">
        <v>1783</v>
      </c>
      <c r="P671" t="s">
        <v>249</v>
      </c>
      <c r="Q671" t="s">
        <v>250</v>
      </c>
      <c r="R671" t="s">
        <v>251</v>
      </c>
      <c r="T671" t="s">
        <v>252</v>
      </c>
      <c r="U671" t="s">
        <v>253</v>
      </c>
      <c r="V671" t="s">
        <v>1735</v>
      </c>
      <c r="W671" t="s">
        <v>1784</v>
      </c>
      <c r="X671" t="s">
        <v>1785</v>
      </c>
      <c r="Z671" t="s">
        <v>1677</v>
      </c>
      <c r="AL671" t="s">
        <v>1786</v>
      </c>
      <c r="AM671" t="s">
        <v>258</v>
      </c>
      <c r="AN671" t="s">
        <v>259</v>
      </c>
      <c r="AO671" t="s">
        <v>260</v>
      </c>
      <c r="AQ671" t="s">
        <v>261</v>
      </c>
      <c r="AS671">
        <v>100</v>
      </c>
      <c r="AU671">
        <v>88</v>
      </c>
      <c r="AW671">
        <v>117</v>
      </c>
      <c r="AX671" t="s">
        <v>262</v>
      </c>
      <c r="BO671" t="s">
        <v>261</v>
      </c>
      <c r="BQ671">
        <v>0.1</v>
      </c>
      <c r="BS671">
        <v>8.7999999999999995E-2</v>
      </c>
      <c r="BU671">
        <v>0.11700000000000001</v>
      </c>
      <c r="BV671" t="s">
        <v>263</v>
      </c>
      <c r="CM671" t="s">
        <v>264</v>
      </c>
      <c r="CN671" t="s">
        <v>264</v>
      </c>
      <c r="CP671" t="s">
        <v>265</v>
      </c>
      <c r="CQ671" t="s">
        <v>266</v>
      </c>
      <c r="DB671">
        <v>2</v>
      </c>
      <c r="DG671" t="s">
        <v>267</v>
      </c>
      <c r="DI671">
        <v>48</v>
      </c>
      <c r="DN671" t="s">
        <v>268</v>
      </c>
      <c r="DP671" t="s">
        <v>977</v>
      </c>
      <c r="DS671">
        <v>2838</v>
      </c>
      <c r="DT671" t="s">
        <v>1787</v>
      </c>
      <c r="EW671" t="s">
        <v>333</v>
      </c>
      <c r="FM671">
        <v>29</v>
      </c>
      <c r="FR671" t="s">
        <v>295</v>
      </c>
      <c r="GU671">
        <v>25</v>
      </c>
      <c r="GZ671" t="s">
        <v>296</v>
      </c>
      <c r="HH671" t="s">
        <v>272</v>
      </c>
      <c r="IE671" t="s">
        <v>1788</v>
      </c>
      <c r="IF671">
        <v>2602</v>
      </c>
      <c r="IG671" t="s">
        <v>1789</v>
      </c>
      <c r="IH671" t="s">
        <v>1790</v>
      </c>
      <c r="II671">
        <v>1987</v>
      </c>
      <c r="IJ671" t="s">
        <v>1791</v>
      </c>
    </row>
    <row r="672" spans="1:244" x14ac:dyDescent="0.45">
      <c r="A672">
        <v>1041015</v>
      </c>
      <c r="B672">
        <v>25267</v>
      </c>
      <c r="C672">
        <v>7487947</v>
      </c>
      <c r="D672" t="s">
        <v>1602</v>
      </c>
      <c r="F672" t="s">
        <v>245</v>
      </c>
      <c r="G672" t="s">
        <v>246</v>
      </c>
      <c r="N672" t="s">
        <v>1782</v>
      </c>
      <c r="O672" t="s">
        <v>1783</v>
      </c>
      <c r="P672" t="s">
        <v>249</v>
      </c>
      <c r="Q672" t="s">
        <v>250</v>
      </c>
      <c r="R672" t="s">
        <v>251</v>
      </c>
      <c r="T672" t="s">
        <v>252</v>
      </c>
      <c r="U672" t="s">
        <v>253</v>
      </c>
      <c r="V672" t="s">
        <v>1735</v>
      </c>
      <c r="W672" t="s">
        <v>1784</v>
      </c>
      <c r="X672" t="s">
        <v>1785</v>
      </c>
      <c r="Z672" t="s">
        <v>1677</v>
      </c>
      <c r="AL672" t="s">
        <v>1786</v>
      </c>
      <c r="AM672" t="s">
        <v>258</v>
      </c>
      <c r="AN672" t="s">
        <v>259</v>
      </c>
      <c r="AO672" t="s">
        <v>260</v>
      </c>
      <c r="AQ672" t="s">
        <v>261</v>
      </c>
      <c r="AS672">
        <v>64</v>
      </c>
      <c r="AU672">
        <v>44</v>
      </c>
      <c r="AW672">
        <v>84</v>
      </c>
      <c r="AX672" t="s">
        <v>262</v>
      </c>
      <c r="BO672" t="s">
        <v>261</v>
      </c>
      <c r="BQ672">
        <v>6.4000000000000001E-2</v>
      </c>
      <c r="BS672">
        <v>4.3999999999999997E-2</v>
      </c>
      <c r="BU672">
        <v>8.4000000000000005E-2</v>
      </c>
      <c r="BV672" t="s">
        <v>263</v>
      </c>
      <c r="CM672" t="s">
        <v>264</v>
      </c>
      <c r="CN672" t="s">
        <v>264</v>
      </c>
      <c r="CP672" t="s">
        <v>265</v>
      </c>
      <c r="CQ672" t="s">
        <v>266</v>
      </c>
      <c r="DB672">
        <v>4</v>
      </c>
      <c r="DG672" t="s">
        <v>267</v>
      </c>
      <c r="DI672">
        <v>96</v>
      </c>
      <c r="DN672" t="s">
        <v>268</v>
      </c>
      <c r="DP672" t="s">
        <v>977</v>
      </c>
      <c r="DS672">
        <v>2838</v>
      </c>
      <c r="DT672" t="s">
        <v>1787</v>
      </c>
      <c r="EW672" t="s">
        <v>333</v>
      </c>
      <c r="FM672">
        <v>29</v>
      </c>
      <c r="FR672" t="s">
        <v>295</v>
      </c>
      <c r="GU672">
        <v>25</v>
      </c>
      <c r="GZ672" t="s">
        <v>296</v>
      </c>
      <c r="HH672" t="s">
        <v>272</v>
      </c>
      <c r="IE672" t="s">
        <v>1788</v>
      </c>
      <c r="IF672">
        <v>2602</v>
      </c>
      <c r="IG672" t="s">
        <v>1789</v>
      </c>
      <c r="IH672" t="s">
        <v>1790</v>
      </c>
      <c r="II672">
        <v>1987</v>
      </c>
      <c r="IJ672" t="s">
        <v>1791</v>
      </c>
    </row>
    <row r="673" spans="1:244" x14ac:dyDescent="0.45">
      <c r="A673">
        <v>2170784</v>
      </c>
      <c r="B673">
        <v>2336418</v>
      </c>
      <c r="C673">
        <v>7487947</v>
      </c>
      <c r="D673" t="s">
        <v>1602</v>
      </c>
      <c r="E673" t="s">
        <v>415</v>
      </c>
      <c r="F673" t="s">
        <v>245</v>
      </c>
      <c r="G673" t="s">
        <v>272</v>
      </c>
      <c r="N673" t="s">
        <v>416</v>
      </c>
      <c r="O673" t="s">
        <v>417</v>
      </c>
      <c r="P673" t="s">
        <v>249</v>
      </c>
      <c r="Q673" t="s">
        <v>250</v>
      </c>
      <c r="R673" t="s">
        <v>251</v>
      </c>
      <c r="T673" t="s">
        <v>252</v>
      </c>
      <c r="U673" t="s">
        <v>253</v>
      </c>
      <c r="V673" t="s">
        <v>418</v>
      </c>
      <c r="W673" t="s">
        <v>419</v>
      </c>
      <c r="X673" t="s">
        <v>420</v>
      </c>
      <c r="AJ673" t="s">
        <v>285</v>
      </c>
      <c r="AL673" t="s">
        <v>1719</v>
      </c>
      <c r="AM673" t="s">
        <v>287</v>
      </c>
      <c r="AN673" t="s">
        <v>259</v>
      </c>
      <c r="AO673" t="s">
        <v>260</v>
      </c>
      <c r="AP673">
        <v>6</v>
      </c>
      <c r="AQ673" t="s">
        <v>261</v>
      </c>
      <c r="AS673">
        <v>3.5999999999999997E-2</v>
      </c>
      <c r="AU673">
        <v>2.8000000000000001E-2</v>
      </c>
      <c r="AW673">
        <v>3.9E-2</v>
      </c>
      <c r="AX673" t="s">
        <v>356</v>
      </c>
      <c r="BO673" t="s">
        <v>261</v>
      </c>
      <c r="BQ673">
        <v>3.5999999999999997E-2</v>
      </c>
      <c r="BS673">
        <v>2.8000000000000001E-2</v>
      </c>
      <c r="BU673">
        <v>3.9E-2</v>
      </c>
      <c r="BV673" t="s">
        <v>263</v>
      </c>
      <c r="CM673" t="s">
        <v>264</v>
      </c>
      <c r="CN673" t="s">
        <v>264</v>
      </c>
      <c r="CP673" t="s">
        <v>265</v>
      </c>
      <c r="CQ673" t="s">
        <v>266</v>
      </c>
      <c r="DB673">
        <v>3</v>
      </c>
      <c r="DG673" t="s">
        <v>267</v>
      </c>
      <c r="DI673">
        <v>72</v>
      </c>
      <c r="DN673" t="s">
        <v>268</v>
      </c>
      <c r="DS673">
        <v>1009</v>
      </c>
      <c r="DV673">
        <v>96</v>
      </c>
      <c r="EA673" t="s">
        <v>268</v>
      </c>
      <c r="EC673">
        <v>4</v>
      </c>
      <c r="EH673" t="s">
        <v>267</v>
      </c>
      <c r="EJ673">
        <v>96</v>
      </c>
      <c r="EO673" t="s">
        <v>268</v>
      </c>
      <c r="EQ673">
        <v>4</v>
      </c>
      <c r="EV673" t="s">
        <v>267</v>
      </c>
      <c r="EW673" t="s">
        <v>293</v>
      </c>
      <c r="EZ673">
        <v>10</v>
      </c>
      <c r="FM673">
        <v>24.1</v>
      </c>
      <c r="FR673" t="s">
        <v>295</v>
      </c>
      <c r="GG673" t="s">
        <v>288</v>
      </c>
      <c r="GH673">
        <v>60</v>
      </c>
      <c r="GM673" t="s">
        <v>900</v>
      </c>
      <c r="GO673">
        <v>6.8</v>
      </c>
      <c r="GU673">
        <v>5</v>
      </c>
      <c r="GZ673" t="s">
        <v>296</v>
      </c>
      <c r="HH673" t="s">
        <v>272</v>
      </c>
      <c r="ID673" t="s">
        <v>1623</v>
      </c>
      <c r="IE673" t="s">
        <v>1624</v>
      </c>
      <c r="IF673">
        <v>172254</v>
      </c>
      <c r="IG673" t="s">
        <v>1625</v>
      </c>
      <c r="IH673" t="s">
        <v>1626</v>
      </c>
      <c r="II673">
        <v>2002</v>
      </c>
      <c r="IJ673" t="s">
        <v>1627</v>
      </c>
    </row>
    <row r="674" spans="1:244" x14ac:dyDescent="0.45">
      <c r="A674">
        <v>2170784</v>
      </c>
      <c r="B674">
        <v>2336416</v>
      </c>
      <c r="C674">
        <v>7487947</v>
      </c>
      <c r="D674" t="s">
        <v>1602</v>
      </c>
      <c r="E674" t="s">
        <v>415</v>
      </c>
      <c r="F674" t="s">
        <v>245</v>
      </c>
      <c r="G674" t="s">
        <v>272</v>
      </c>
      <c r="N674" t="s">
        <v>416</v>
      </c>
      <c r="O674" t="s">
        <v>417</v>
      </c>
      <c r="P674" t="s">
        <v>249</v>
      </c>
      <c r="Q674" t="s">
        <v>250</v>
      </c>
      <c r="R674" t="s">
        <v>251</v>
      </c>
      <c r="T674" t="s">
        <v>252</v>
      </c>
      <c r="U674" t="s">
        <v>253</v>
      </c>
      <c r="V674" t="s">
        <v>418</v>
      </c>
      <c r="W674" t="s">
        <v>419</v>
      </c>
      <c r="X674" t="s">
        <v>420</v>
      </c>
      <c r="AJ674" t="s">
        <v>285</v>
      </c>
      <c r="AL674" t="s">
        <v>1719</v>
      </c>
      <c r="AM674" t="s">
        <v>287</v>
      </c>
      <c r="AN674" t="s">
        <v>259</v>
      </c>
      <c r="AO674" t="s">
        <v>260</v>
      </c>
      <c r="AP674">
        <v>6</v>
      </c>
      <c r="AQ674" t="s">
        <v>261</v>
      </c>
      <c r="AS674">
        <v>4.2999999999999997E-2</v>
      </c>
      <c r="AU674">
        <v>2.5000000000000001E-2</v>
      </c>
      <c r="AW674">
        <v>4.8000000000000001E-2</v>
      </c>
      <c r="AX674" t="s">
        <v>356</v>
      </c>
      <c r="BO674" t="s">
        <v>261</v>
      </c>
      <c r="BQ674">
        <v>4.2999999999999997E-2</v>
      </c>
      <c r="BS674">
        <v>2.5000000000000001E-2</v>
      </c>
      <c r="BU674">
        <v>4.8000000000000001E-2</v>
      </c>
      <c r="BV674" t="s">
        <v>263</v>
      </c>
      <c r="CM674" t="s">
        <v>264</v>
      </c>
      <c r="CN674" t="s">
        <v>264</v>
      </c>
      <c r="CP674" t="s">
        <v>265</v>
      </c>
      <c r="CQ674" t="s">
        <v>266</v>
      </c>
      <c r="DB674">
        <v>1</v>
      </c>
      <c r="DG674" t="s">
        <v>267</v>
      </c>
      <c r="DI674">
        <v>24</v>
      </c>
      <c r="DN674" t="s">
        <v>268</v>
      </c>
      <c r="DS674">
        <v>1009</v>
      </c>
      <c r="DV674">
        <v>96</v>
      </c>
      <c r="EA674" t="s">
        <v>268</v>
      </c>
      <c r="EC674">
        <v>4</v>
      </c>
      <c r="EH674" t="s">
        <v>267</v>
      </c>
      <c r="EJ674">
        <v>96</v>
      </c>
      <c r="EO674" t="s">
        <v>268</v>
      </c>
      <c r="EQ674">
        <v>4</v>
      </c>
      <c r="EV674" t="s">
        <v>267</v>
      </c>
      <c r="EW674" t="s">
        <v>293</v>
      </c>
      <c r="EZ674">
        <v>10</v>
      </c>
      <c r="FM674">
        <v>24.1</v>
      </c>
      <c r="FR674" t="s">
        <v>295</v>
      </c>
      <c r="GG674" t="s">
        <v>288</v>
      </c>
      <c r="GH674">
        <v>60</v>
      </c>
      <c r="GM674" t="s">
        <v>900</v>
      </c>
      <c r="GO674">
        <v>6.8</v>
      </c>
      <c r="GU674">
        <v>5</v>
      </c>
      <c r="GZ674" t="s">
        <v>296</v>
      </c>
      <c r="HH674" t="s">
        <v>272</v>
      </c>
      <c r="ID674" t="s">
        <v>1623</v>
      </c>
      <c r="IE674" t="s">
        <v>1624</v>
      </c>
      <c r="IF674">
        <v>172254</v>
      </c>
      <c r="IG674" t="s">
        <v>1625</v>
      </c>
      <c r="IH674" t="s">
        <v>1626</v>
      </c>
      <c r="II674">
        <v>2002</v>
      </c>
      <c r="IJ674" t="s">
        <v>1627</v>
      </c>
    </row>
    <row r="675" spans="1:244" x14ac:dyDescent="0.45">
      <c r="A675">
        <v>2170784</v>
      </c>
      <c r="B675">
        <v>2336417</v>
      </c>
      <c r="C675">
        <v>7487947</v>
      </c>
      <c r="D675" t="s">
        <v>1602</v>
      </c>
      <c r="E675" t="s">
        <v>415</v>
      </c>
      <c r="F675" t="s">
        <v>245</v>
      </c>
      <c r="G675" t="s">
        <v>272</v>
      </c>
      <c r="N675" t="s">
        <v>416</v>
      </c>
      <c r="O675" t="s">
        <v>417</v>
      </c>
      <c r="P675" t="s">
        <v>249</v>
      </c>
      <c r="Q675" t="s">
        <v>250</v>
      </c>
      <c r="R675" t="s">
        <v>251</v>
      </c>
      <c r="T675" t="s">
        <v>252</v>
      </c>
      <c r="U675" t="s">
        <v>253</v>
      </c>
      <c r="V675" t="s">
        <v>418</v>
      </c>
      <c r="W675" t="s">
        <v>419</v>
      </c>
      <c r="X675" t="s">
        <v>420</v>
      </c>
      <c r="AJ675" t="s">
        <v>285</v>
      </c>
      <c r="AL675" t="s">
        <v>1719</v>
      </c>
      <c r="AM675" t="s">
        <v>287</v>
      </c>
      <c r="AN675" t="s">
        <v>259</v>
      </c>
      <c r="AO675" t="s">
        <v>260</v>
      </c>
      <c r="AP675">
        <v>6</v>
      </c>
      <c r="AQ675" t="s">
        <v>261</v>
      </c>
      <c r="AS675">
        <v>0.04</v>
      </c>
      <c r="AU675">
        <v>3.4000000000000002E-2</v>
      </c>
      <c r="AW675">
        <v>4.2000000000000003E-2</v>
      </c>
      <c r="AX675" t="s">
        <v>356</v>
      </c>
      <c r="BO675" t="s">
        <v>261</v>
      </c>
      <c r="BQ675">
        <v>0.04</v>
      </c>
      <c r="BS675">
        <v>3.4000000000000002E-2</v>
      </c>
      <c r="BU675">
        <v>4.2000000000000003E-2</v>
      </c>
      <c r="BV675" t="s">
        <v>263</v>
      </c>
      <c r="CM675" t="s">
        <v>264</v>
      </c>
      <c r="CN675" t="s">
        <v>264</v>
      </c>
      <c r="CP675" t="s">
        <v>265</v>
      </c>
      <c r="CQ675" t="s">
        <v>266</v>
      </c>
      <c r="DB675">
        <v>2</v>
      </c>
      <c r="DG675" t="s">
        <v>267</v>
      </c>
      <c r="DI675">
        <v>48</v>
      </c>
      <c r="DN675" t="s">
        <v>268</v>
      </c>
      <c r="DS675">
        <v>1009</v>
      </c>
      <c r="DV675">
        <v>96</v>
      </c>
      <c r="EA675" t="s">
        <v>268</v>
      </c>
      <c r="EC675">
        <v>4</v>
      </c>
      <c r="EH675" t="s">
        <v>267</v>
      </c>
      <c r="EJ675">
        <v>96</v>
      </c>
      <c r="EO675" t="s">
        <v>268</v>
      </c>
      <c r="EQ675">
        <v>4</v>
      </c>
      <c r="EV675" t="s">
        <v>267</v>
      </c>
      <c r="EW675" t="s">
        <v>293</v>
      </c>
      <c r="EZ675">
        <v>10</v>
      </c>
      <c r="FM675">
        <v>24.1</v>
      </c>
      <c r="FR675" t="s">
        <v>295</v>
      </c>
      <c r="GG675" t="s">
        <v>288</v>
      </c>
      <c r="GH675">
        <v>60</v>
      </c>
      <c r="GM675" t="s">
        <v>900</v>
      </c>
      <c r="GO675">
        <v>6.8</v>
      </c>
      <c r="GU675">
        <v>5</v>
      </c>
      <c r="GZ675" t="s">
        <v>296</v>
      </c>
      <c r="HH675" t="s">
        <v>272</v>
      </c>
      <c r="ID675" t="s">
        <v>1623</v>
      </c>
      <c r="IE675" t="s">
        <v>1624</v>
      </c>
      <c r="IF675">
        <v>172254</v>
      </c>
      <c r="IG675" t="s">
        <v>1625</v>
      </c>
      <c r="IH675" t="s">
        <v>1626</v>
      </c>
      <c r="II675">
        <v>2002</v>
      </c>
      <c r="IJ675" t="s">
        <v>1627</v>
      </c>
    </row>
    <row r="676" spans="1:244" x14ac:dyDescent="0.45">
      <c r="A676">
        <v>1303365</v>
      </c>
      <c r="B676">
        <v>759862</v>
      </c>
      <c r="C676">
        <v>7487947</v>
      </c>
      <c r="D676" t="s">
        <v>1602</v>
      </c>
      <c r="E676" t="s">
        <v>622</v>
      </c>
      <c r="F676" t="s">
        <v>245</v>
      </c>
      <c r="G676" t="s">
        <v>246</v>
      </c>
      <c r="N676" t="s">
        <v>655</v>
      </c>
      <c r="O676" t="s">
        <v>656</v>
      </c>
      <c r="P676" t="s">
        <v>249</v>
      </c>
      <c r="Q676" t="s">
        <v>250</v>
      </c>
      <c r="R676" t="s">
        <v>251</v>
      </c>
      <c r="T676" t="s">
        <v>252</v>
      </c>
      <c r="U676" t="s">
        <v>253</v>
      </c>
      <c r="V676" t="s">
        <v>657</v>
      </c>
      <c r="W676" t="s">
        <v>658</v>
      </c>
      <c r="X676" t="s">
        <v>659</v>
      </c>
      <c r="AL676" t="s">
        <v>1792</v>
      </c>
      <c r="AM676" t="s">
        <v>258</v>
      </c>
      <c r="AN676" t="s">
        <v>259</v>
      </c>
      <c r="AO676" t="s">
        <v>260</v>
      </c>
      <c r="AQ676" t="s">
        <v>261</v>
      </c>
      <c r="AS676">
        <v>2.4</v>
      </c>
      <c r="AU676">
        <v>1.93</v>
      </c>
      <c r="AW676">
        <v>2.98</v>
      </c>
      <c r="AX676" t="s">
        <v>356</v>
      </c>
      <c r="BO676" t="s">
        <v>261</v>
      </c>
      <c r="BQ676">
        <v>2.4</v>
      </c>
      <c r="BS676">
        <v>1.93</v>
      </c>
      <c r="BU676">
        <v>2.98</v>
      </c>
      <c r="BV676" t="s">
        <v>263</v>
      </c>
      <c r="CM676" t="s">
        <v>264</v>
      </c>
      <c r="CN676" t="s">
        <v>264</v>
      </c>
      <c r="CP676" t="s">
        <v>265</v>
      </c>
      <c r="CQ676" t="s">
        <v>266</v>
      </c>
      <c r="DB676">
        <v>2</v>
      </c>
      <c r="DG676" t="s">
        <v>267</v>
      </c>
      <c r="DI676">
        <v>48</v>
      </c>
      <c r="DN676" t="s">
        <v>268</v>
      </c>
      <c r="DP676" t="s">
        <v>1634</v>
      </c>
      <c r="DS676">
        <v>20193</v>
      </c>
      <c r="EW676" t="s">
        <v>293</v>
      </c>
      <c r="FA676" t="s">
        <v>1793</v>
      </c>
      <c r="FK676" t="s">
        <v>1794</v>
      </c>
      <c r="FO676">
        <v>22</v>
      </c>
      <c r="FQ676">
        <v>24.5</v>
      </c>
      <c r="FR676" t="s">
        <v>295</v>
      </c>
      <c r="GU676">
        <v>15</v>
      </c>
      <c r="GZ676" t="s">
        <v>296</v>
      </c>
      <c r="HH676" t="s">
        <v>272</v>
      </c>
      <c r="ID676" t="s">
        <v>1795</v>
      </c>
      <c r="IE676" t="s">
        <v>1796</v>
      </c>
      <c r="IF676">
        <v>117013</v>
      </c>
      <c r="IG676" t="s">
        <v>1797</v>
      </c>
      <c r="IH676" t="s">
        <v>1798</v>
      </c>
      <c r="II676">
        <v>2003</v>
      </c>
      <c r="IJ676" t="s">
        <v>1799</v>
      </c>
    </row>
    <row r="677" spans="1:244" x14ac:dyDescent="0.45">
      <c r="A677">
        <v>1226458</v>
      </c>
      <c r="B677">
        <v>219634</v>
      </c>
      <c r="C677">
        <v>7487947</v>
      </c>
      <c r="D677" t="s">
        <v>1602</v>
      </c>
      <c r="E677" t="s">
        <v>386</v>
      </c>
      <c r="F677" t="s">
        <v>245</v>
      </c>
      <c r="G677" t="s">
        <v>246</v>
      </c>
      <c r="N677" t="s">
        <v>302</v>
      </c>
      <c r="O677" t="s">
        <v>303</v>
      </c>
      <c r="P677" t="s">
        <v>249</v>
      </c>
      <c r="Q677" t="s">
        <v>250</v>
      </c>
      <c r="R677" t="s">
        <v>251</v>
      </c>
      <c r="T677" t="s">
        <v>252</v>
      </c>
      <c r="U677" t="s">
        <v>253</v>
      </c>
      <c r="V677" t="s">
        <v>304</v>
      </c>
      <c r="W677" t="s">
        <v>305</v>
      </c>
      <c r="X677" t="s">
        <v>306</v>
      </c>
      <c r="Z677" t="s">
        <v>1057</v>
      </c>
      <c r="AL677" t="s">
        <v>1324</v>
      </c>
      <c r="AM677" t="s">
        <v>317</v>
      </c>
      <c r="AN677" t="s">
        <v>259</v>
      </c>
      <c r="AO677" t="s">
        <v>260</v>
      </c>
      <c r="AQ677" t="s">
        <v>261</v>
      </c>
      <c r="AS677">
        <v>0.67</v>
      </c>
      <c r="AX677" t="s">
        <v>356</v>
      </c>
      <c r="BO677" t="s">
        <v>261</v>
      </c>
      <c r="BQ677">
        <v>0.67</v>
      </c>
      <c r="BV677" t="s">
        <v>263</v>
      </c>
      <c r="CM677" t="s">
        <v>264</v>
      </c>
      <c r="CN677" t="s">
        <v>264</v>
      </c>
      <c r="CP677" t="s">
        <v>265</v>
      </c>
      <c r="CQ677" t="s">
        <v>266</v>
      </c>
      <c r="DB677">
        <v>4</v>
      </c>
      <c r="DG677" t="s">
        <v>267</v>
      </c>
      <c r="DI677">
        <v>96</v>
      </c>
      <c r="DN677" t="s">
        <v>268</v>
      </c>
      <c r="DR677">
        <v>338212</v>
      </c>
      <c r="DS677">
        <v>732</v>
      </c>
      <c r="DT677" t="s">
        <v>1211</v>
      </c>
      <c r="EW677" t="s">
        <v>293</v>
      </c>
      <c r="GU677">
        <v>36</v>
      </c>
      <c r="GZ677" t="s">
        <v>900</v>
      </c>
      <c r="HH677" t="s">
        <v>272</v>
      </c>
      <c r="IE677" t="s">
        <v>1212</v>
      </c>
      <c r="IF677">
        <v>51641</v>
      </c>
      <c r="IG677" t="s">
        <v>1213</v>
      </c>
      <c r="IH677" t="s">
        <v>1214</v>
      </c>
      <c r="II677">
        <v>2000</v>
      </c>
      <c r="IJ677" t="s">
        <v>1215</v>
      </c>
    </row>
    <row r="678" spans="1:244" x14ac:dyDescent="0.45">
      <c r="A678">
        <v>2170784</v>
      </c>
      <c r="B678">
        <v>2336419</v>
      </c>
      <c r="C678">
        <v>7487947</v>
      </c>
      <c r="D678" t="s">
        <v>1602</v>
      </c>
      <c r="E678" t="s">
        <v>415</v>
      </c>
      <c r="F678" t="s">
        <v>245</v>
      </c>
      <c r="G678" t="s">
        <v>272</v>
      </c>
      <c r="N678" t="s">
        <v>416</v>
      </c>
      <c r="O678" t="s">
        <v>417</v>
      </c>
      <c r="P678" t="s">
        <v>249</v>
      </c>
      <c r="Q678" t="s">
        <v>250</v>
      </c>
      <c r="R678" t="s">
        <v>251</v>
      </c>
      <c r="T678" t="s">
        <v>252</v>
      </c>
      <c r="U678" t="s">
        <v>253</v>
      </c>
      <c r="V678" t="s">
        <v>418</v>
      </c>
      <c r="W678" t="s">
        <v>419</v>
      </c>
      <c r="X678" t="s">
        <v>420</v>
      </c>
      <c r="AJ678" t="s">
        <v>285</v>
      </c>
      <c r="AL678" t="s">
        <v>1719</v>
      </c>
      <c r="AM678" t="s">
        <v>287</v>
      </c>
      <c r="AN678" t="s">
        <v>259</v>
      </c>
      <c r="AO678" t="s">
        <v>260</v>
      </c>
      <c r="AP678">
        <v>6</v>
      </c>
      <c r="AQ678" t="s">
        <v>261</v>
      </c>
      <c r="AS678">
        <v>3.4000000000000002E-2</v>
      </c>
      <c r="AU678">
        <v>2.9000000000000001E-2</v>
      </c>
      <c r="AW678">
        <v>3.7999999999999999E-2</v>
      </c>
      <c r="AX678" t="s">
        <v>356</v>
      </c>
      <c r="BO678" t="s">
        <v>261</v>
      </c>
      <c r="BQ678">
        <v>3.4000000000000002E-2</v>
      </c>
      <c r="BS678">
        <v>2.9000000000000001E-2</v>
      </c>
      <c r="BU678">
        <v>3.7999999999999999E-2</v>
      </c>
      <c r="BV678" t="s">
        <v>263</v>
      </c>
      <c r="CM678" t="s">
        <v>264</v>
      </c>
      <c r="CN678" t="s">
        <v>264</v>
      </c>
      <c r="CP678" t="s">
        <v>265</v>
      </c>
      <c r="CQ678" t="s">
        <v>266</v>
      </c>
      <c r="DB678">
        <v>4</v>
      </c>
      <c r="DG678" t="s">
        <v>267</v>
      </c>
      <c r="DI678">
        <v>96</v>
      </c>
      <c r="DN678" t="s">
        <v>268</v>
      </c>
      <c r="DS678">
        <v>1009</v>
      </c>
      <c r="DV678">
        <v>96</v>
      </c>
      <c r="EA678" t="s">
        <v>268</v>
      </c>
      <c r="EC678">
        <v>4</v>
      </c>
      <c r="EH678" t="s">
        <v>267</v>
      </c>
      <c r="EJ678">
        <v>96</v>
      </c>
      <c r="EO678" t="s">
        <v>268</v>
      </c>
      <c r="EQ678">
        <v>4</v>
      </c>
      <c r="EV678" t="s">
        <v>267</v>
      </c>
      <c r="EW678" t="s">
        <v>293</v>
      </c>
      <c r="EZ678">
        <v>10</v>
      </c>
      <c r="FM678">
        <v>24.1</v>
      </c>
      <c r="FR678" t="s">
        <v>295</v>
      </c>
      <c r="GG678" t="s">
        <v>288</v>
      </c>
      <c r="GH678">
        <v>60</v>
      </c>
      <c r="GM678" t="s">
        <v>900</v>
      </c>
      <c r="GO678">
        <v>6.8</v>
      </c>
      <c r="GU678">
        <v>5</v>
      </c>
      <c r="GZ678" t="s">
        <v>296</v>
      </c>
      <c r="HH678" t="s">
        <v>272</v>
      </c>
      <c r="ID678" t="s">
        <v>1623</v>
      </c>
      <c r="IE678" t="s">
        <v>1624</v>
      </c>
      <c r="IF678">
        <v>172254</v>
      </c>
      <c r="IG678" t="s">
        <v>1625</v>
      </c>
      <c r="IH678" t="s">
        <v>1626</v>
      </c>
      <c r="II678">
        <v>2002</v>
      </c>
      <c r="IJ678" t="s">
        <v>1627</v>
      </c>
    </row>
    <row r="679" spans="1:244" x14ac:dyDescent="0.45">
      <c r="A679">
        <v>1141305</v>
      </c>
      <c r="B679">
        <v>121175</v>
      </c>
      <c r="C679">
        <v>7487947</v>
      </c>
      <c r="D679" t="s">
        <v>1602</v>
      </c>
      <c r="F679" t="s">
        <v>245</v>
      </c>
      <c r="G679" t="s">
        <v>246</v>
      </c>
      <c r="N679" t="s">
        <v>1800</v>
      </c>
      <c r="O679" t="s">
        <v>1801</v>
      </c>
      <c r="P679" t="s">
        <v>249</v>
      </c>
      <c r="Q679" t="s">
        <v>250</v>
      </c>
      <c r="R679" t="s">
        <v>251</v>
      </c>
      <c r="T679" t="s">
        <v>252</v>
      </c>
      <c r="U679" t="s">
        <v>253</v>
      </c>
      <c r="V679" t="s">
        <v>418</v>
      </c>
      <c r="W679" t="s">
        <v>847</v>
      </c>
      <c r="X679" t="s">
        <v>1802</v>
      </c>
      <c r="Z679" t="s">
        <v>649</v>
      </c>
      <c r="AL679" t="s">
        <v>1803</v>
      </c>
      <c r="AM679" t="s">
        <v>258</v>
      </c>
      <c r="AN679" t="s">
        <v>259</v>
      </c>
      <c r="AO679" t="s">
        <v>260</v>
      </c>
      <c r="AQ679" t="s">
        <v>261</v>
      </c>
      <c r="AS679">
        <v>23</v>
      </c>
      <c r="AU679">
        <v>16.600000000000001</v>
      </c>
      <c r="AW679">
        <v>31.7</v>
      </c>
      <c r="AX679" t="s">
        <v>262</v>
      </c>
      <c r="BO679" t="s">
        <v>261</v>
      </c>
      <c r="BQ679">
        <v>2.3E-2</v>
      </c>
      <c r="BS679">
        <v>1.66E-2</v>
      </c>
      <c r="BU679">
        <v>3.1699999999999999E-2</v>
      </c>
      <c r="BV679" t="s">
        <v>263</v>
      </c>
      <c r="CM679" t="s">
        <v>264</v>
      </c>
      <c r="CN679" t="s">
        <v>264</v>
      </c>
      <c r="CP679" t="s">
        <v>265</v>
      </c>
      <c r="CQ679" t="s">
        <v>266</v>
      </c>
      <c r="DB679">
        <v>3</v>
      </c>
      <c r="DG679" t="s">
        <v>267</v>
      </c>
      <c r="DI679">
        <v>72</v>
      </c>
      <c r="DN679" t="s">
        <v>268</v>
      </c>
      <c r="DP679" t="s">
        <v>1804</v>
      </c>
      <c r="DR679">
        <v>1378283</v>
      </c>
      <c r="DS679">
        <v>4579</v>
      </c>
      <c r="EW679" t="s">
        <v>271</v>
      </c>
      <c r="FM679">
        <v>27.5</v>
      </c>
      <c r="FR679" t="s">
        <v>295</v>
      </c>
      <c r="GG679" t="s">
        <v>288</v>
      </c>
      <c r="GH679">
        <v>60</v>
      </c>
      <c r="GM679" t="s">
        <v>900</v>
      </c>
      <c r="GU679">
        <v>15</v>
      </c>
      <c r="GZ679" t="s">
        <v>296</v>
      </c>
      <c r="HH679" t="s">
        <v>272</v>
      </c>
      <c r="IE679" t="s">
        <v>1805</v>
      </c>
      <c r="IF679">
        <v>11853</v>
      </c>
      <c r="IG679" t="s">
        <v>1806</v>
      </c>
      <c r="IH679" t="s">
        <v>1807</v>
      </c>
      <c r="II679">
        <v>1986</v>
      </c>
      <c r="IJ679" t="s">
        <v>1808</v>
      </c>
    </row>
    <row r="680" spans="1:244" x14ac:dyDescent="0.45">
      <c r="A680">
        <v>1137536</v>
      </c>
      <c r="B680">
        <v>115054</v>
      </c>
      <c r="C680">
        <v>7487947</v>
      </c>
      <c r="D680" t="s">
        <v>1602</v>
      </c>
      <c r="F680" t="s">
        <v>327</v>
      </c>
      <c r="G680" t="s">
        <v>246</v>
      </c>
      <c r="N680" t="s">
        <v>1695</v>
      </c>
      <c r="O680" t="s">
        <v>646</v>
      </c>
      <c r="P680" t="s">
        <v>249</v>
      </c>
      <c r="Q680" t="s">
        <v>250</v>
      </c>
      <c r="R680" t="s">
        <v>251</v>
      </c>
      <c r="T680" t="s">
        <v>252</v>
      </c>
      <c r="U680" t="s">
        <v>253</v>
      </c>
      <c r="V680" t="s">
        <v>1696</v>
      </c>
      <c r="W680" t="s">
        <v>1697</v>
      </c>
      <c r="X680" t="s">
        <v>1698</v>
      </c>
      <c r="AL680" t="s">
        <v>1699</v>
      </c>
      <c r="AM680" t="s">
        <v>258</v>
      </c>
      <c r="AN680" t="s">
        <v>259</v>
      </c>
      <c r="AO680" t="s">
        <v>260</v>
      </c>
      <c r="AQ680" t="s">
        <v>261</v>
      </c>
      <c r="AS680">
        <v>21</v>
      </c>
      <c r="AX680" t="s">
        <v>262</v>
      </c>
      <c r="BO680" t="s">
        <v>261</v>
      </c>
      <c r="BQ680">
        <v>2.1000000000000001E-2</v>
      </c>
      <c r="BV680" t="s">
        <v>263</v>
      </c>
      <c r="CM680" t="s">
        <v>264</v>
      </c>
      <c r="CN680" t="s">
        <v>264</v>
      </c>
      <c r="CP680" t="s">
        <v>265</v>
      </c>
      <c r="CQ680" t="s">
        <v>266</v>
      </c>
      <c r="DB680">
        <v>4</v>
      </c>
      <c r="DG680" t="s">
        <v>267</v>
      </c>
      <c r="DI680">
        <v>96</v>
      </c>
      <c r="DN680" t="s">
        <v>268</v>
      </c>
      <c r="DS680">
        <v>3048</v>
      </c>
      <c r="DT680" t="s">
        <v>1700</v>
      </c>
      <c r="EW680" t="s">
        <v>271</v>
      </c>
      <c r="FM680">
        <v>22</v>
      </c>
      <c r="FR680" t="s">
        <v>295</v>
      </c>
      <c r="GU680">
        <v>39.36</v>
      </c>
      <c r="GZ680" t="s">
        <v>296</v>
      </c>
      <c r="HH680" t="s">
        <v>272</v>
      </c>
      <c r="IE680" t="s">
        <v>1701</v>
      </c>
      <c r="IF680">
        <v>11326</v>
      </c>
      <c r="IG680" t="s">
        <v>1702</v>
      </c>
      <c r="IH680" t="s">
        <v>1703</v>
      </c>
      <c r="II680">
        <v>1981</v>
      </c>
      <c r="IJ680" t="s">
        <v>1704</v>
      </c>
    </row>
    <row r="681" spans="1:244" x14ac:dyDescent="0.45">
      <c r="A681">
        <v>1303366</v>
      </c>
      <c r="B681">
        <v>759863</v>
      </c>
      <c r="C681">
        <v>7487947</v>
      </c>
      <c r="D681" t="s">
        <v>1602</v>
      </c>
      <c r="E681" t="s">
        <v>622</v>
      </c>
      <c r="F681" t="s">
        <v>245</v>
      </c>
      <c r="G681" t="s">
        <v>246</v>
      </c>
      <c r="N681" t="s">
        <v>655</v>
      </c>
      <c r="O681" t="s">
        <v>656</v>
      </c>
      <c r="P681" t="s">
        <v>249</v>
      </c>
      <c r="Q681" t="s">
        <v>250</v>
      </c>
      <c r="R681" t="s">
        <v>251</v>
      </c>
      <c r="T681" t="s">
        <v>252</v>
      </c>
      <c r="U681" t="s">
        <v>253</v>
      </c>
      <c r="V681" t="s">
        <v>657</v>
      </c>
      <c r="W681" t="s">
        <v>658</v>
      </c>
      <c r="X681" t="s">
        <v>659</v>
      </c>
      <c r="AL681" t="s">
        <v>1792</v>
      </c>
      <c r="AM681" t="s">
        <v>258</v>
      </c>
      <c r="AN681" t="s">
        <v>259</v>
      </c>
      <c r="AO681" t="s">
        <v>260</v>
      </c>
      <c r="AQ681" t="s">
        <v>261</v>
      </c>
      <c r="AS681">
        <v>0.4</v>
      </c>
      <c r="AU681">
        <v>0.36</v>
      </c>
      <c r="AW681">
        <v>0.45</v>
      </c>
      <c r="AX681" t="s">
        <v>356</v>
      </c>
      <c r="BO681" t="s">
        <v>261</v>
      </c>
      <c r="BQ681">
        <v>0.4</v>
      </c>
      <c r="BS681">
        <v>0.36</v>
      </c>
      <c r="BU681">
        <v>0.45</v>
      </c>
      <c r="BV681" t="s">
        <v>263</v>
      </c>
      <c r="CM681" t="s">
        <v>264</v>
      </c>
      <c r="CN681" t="s">
        <v>264</v>
      </c>
      <c r="CP681" t="s">
        <v>265</v>
      </c>
      <c r="CQ681" t="s">
        <v>266</v>
      </c>
      <c r="DB681">
        <v>3</v>
      </c>
      <c r="DG681" t="s">
        <v>267</v>
      </c>
      <c r="DI681">
        <v>72</v>
      </c>
      <c r="DN681" t="s">
        <v>268</v>
      </c>
      <c r="DP681" t="s">
        <v>1634</v>
      </c>
      <c r="DS681">
        <v>20193</v>
      </c>
      <c r="EW681" t="s">
        <v>293</v>
      </c>
      <c r="FA681" t="s">
        <v>1793</v>
      </c>
      <c r="FK681" t="s">
        <v>1794</v>
      </c>
      <c r="FO681">
        <v>22</v>
      </c>
      <c r="FQ681">
        <v>24.5</v>
      </c>
      <c r="FR681" t="s">
        <v>295</v>
      </c>
      <c r="GU681">
        <v>15</v>
      </c>
      <c r="GZ681" t="s">
        <v>296</v>
      </c>
      <c r="HH681" t="s">
        <v>272</v>
      </c>
      <c r="ID681" t="s">
        <v>1795</v>
      </c>
      <c r="IE681" t="s">
        <v>1796</v>
      </c>
      <c r="IF681">
        <v>117013</v>
      </c>
      <c r="IG681" t="s">
        <v>1797</v>
      </c>
      <c r="IH681" t="s">
        <v>1798</v>
      </c>
      <c r="II681">
        <v>2003</v>
      </c>
      <c r="IJ681" t="s">
        <v>1799</v>
      </c>
    </row>
    <row r="682" spans="1:244" x14ac:dyDescent="0.45">
      <c r="A682">
        <v>1151436</v>
      </c>
      <c r="B682">
        <v>84005</v>
      </c>
      <c r="C682">
        <v>7487947</v>
      </c>
      <c r="D682" t="s">
        <v>1602</v>
      </c>
      <c r="F682" t="s">
        <v>327</v>
      </c>
      <c r="G682" t="s">
        <v>246</v>
      </c>
      <c r="N682" t="s">
        <v>1064</v>
      </c>
      <c r="O682" t="s">
        <v>1065</v>
      </c>
      <c r="P682" t="s">
        <v>249</v>
      </c>
      <c r="Q682" t="s">
        <v>250</v>
      </c>
      <c r="R682" t="s">
        <v>251</v>
      </c>
      <c r="T682" t="s">
        <v>252</v>
      </c>
      <c r="U682" t="s">
        <v>253</v>
      </c>
      <c r="V682" t="s">
        <v>304</v>
      </c>
      <c r="W682" t="s">
        <v>1066</v>
      </c>
      <c r="X682" t="s">
        <v>1067</v>
      </c>
      <c r="Z682" t="s">
        <v>284</v>
      </c>
      <c r="AB682">
        <v>9</v>
      </c>
      <c r="AG682" t="s">
        <v>598</v>
      </c>
      <c r="AM682" t="s">
        <v>317</v>
      </c>
      <c r="AN682" t="s">
        <v>259</v>
      </c>
      <c r="AO682" t="s">
        <v>260</v>
      </c>
      <c r="AQ682" t="s">
        <v>261</v>
      </c>
      <c r="AS682">
        <v>415</v>
      </c>
      <c r="AX682" t="s">
        <v>262</v>
      </c>
      <c r="BO682" t="s">
        <v>261</v>
      </c>
      <c r="BQ682">
        <v>0.41499999999999998</v>
      </c>
      <c r="BV682" t="s">
        <v>263</v>
      </c>
      <c r="CM682" t="s">
        <v>264</v>
      </c>
      <c r="CN682" t="s">
        <v>264</v>
      </c>
      <c r="CP682" t="s">
        <v>265</v>
      </c>
      <c r="CQ682" t="s">
        <v>266</v>
      </c>
      <c r="DB682">
        <v>3</v>
      </c>
      <c r="DG682" t="s">
        <v>267</v>
      </c>
      <c r="DI682">
        <v>72</v>
      </c>
      <c r="DN682" t="s">
        <v>268</v>
      </c>
      <c r="DP682" t="s">
        <v>1603</v>
      </c>
      <c r="DR682">
        <v>79674</v>
      </c>
      <c r="DS682">
        <v>648</v>
      </c>
      <c r="DT682" t="s">
        <v>1604</v>
      </c>
      <c r="EW682" t="s">
        <v>333</v>
      </c>
      <c r="FO682">
        <v>25.5</v>
      </c>
      <c r="FQ682">
        <v>27</v>
      </c>
      <c r="FR682" t="s">
        <v>295</v>
      </c>
      <c r="FT682">
        <v>400</v>
      </c>
      <c r="FY682" t="s">
        <v>572</v>
      </c>
      <c r="GJ682">
        <v>7</v>
      </c>
      <c r="GL682">
        <v>8</v>
      </c>
      <c r="GM682" t="s">
        <v>356</v>
      </c>
      <c r="GQ682">
        <v>7.5</v>
      </c>
      <c r="GS682">
        <v>8.5</v>
      </c>
      <c r="GU682">
        <v>12</v>
      </c>
      <c r="GZ682" t="s">
        <v>296</v>
      </c>
      <c r="HH682" t="s">
        <v>272</v>
      </c>
      <c r="IE682" t="s">
        <v>1605</v>
      </c>
      <c r="IF682">
        <v>12953</v>
      </c>
      <c r="IG682" t="s">
        <v>1606</v>
      </c>
      <c r="IH682" t="s">
        <v>1607</v>
      </c>
      <c r="II682">
        <v>1985</v>
      </c>
      <c r="IJ682" t="s">
        <v>1608</v>
      </c>
    </row>
    <row r="683" spans="1:244" x14ac:dyDescent="0.45">
      <c r="A683">
        <v>1151419</v>
      </c>
      <c r="B683">
        <v>83988</v>
      </c>
      <c r="C683">
        <v>7487947</v>
      </c>
      <c r="D683" t="s">
        <v>1602</v>
      </c>
      <c r="F683" t="s">
        <v>327</v>
      </c>
      <c r="G683" t="s">
        <v>246</v>
      </c>
      <c r="N683" t="s">
        <v>1064</v>
      </c>
      <c r="O683" t="s">
        <v>1065</v>
      </c>
      <c r="P683" t="s">
        <v>249</v>
      </c>
      <c r="Q683" t="s">
        <v>250</v>
      </c>
      <c r="R683" t="s">
        <v>251</v>
      </c>
      <c r="T683" t="s">
        <v>252</v>
      </c>
      <c r="U683" t="s">
        <v>253</v>
      </c>
      <c r="V683" t="s">
        <v>304</v>
      </c>
      <c r="W683" t="s">
        <v>1066</v>
      </c>
      <c r="X683" t="s">
        <v>1067</v>
      </c>
      <c r="Z683" t="s">
        <v>284</v>
      </c>
      <c r="AB683">
        <v>5</v>
      </c>
      <c r="AG683" t="s">
        <v>598</v>
      </c>
      <c r="AM683" t="s">
        <v>317</v>
      </c>
      <c r="AN683" t="s">
        <v>259</v>
      </c>
      <c r="AO683" t="s">
        <v>260</v>
      </c>
      <c r="AQ683" t="s">
        <v>261</v>
      </c>
      <c r="AS683">
        <v>310</v>
      </c>
      <c r="AX683" t="s">
        <v>262</v>
      </c>
      <c r="BO683" t="s">
        <v>261</v>
      </c>
      <c r="BQ683">
        <v>0.31</v>
      </c>
      <c r="BV683" t="s">
        <v>263</v>
      </c>
      <c r="CM683" t="s">
        <v>264</v>
      </c>
      <c r="CN683" t="s">
        <v>264</v>
      </c>
      <c r="CP683" t="s">
        <v>265</v>
      </c>
      <c r="CQ683" t="s">
        <v>266</v>
      </c>
      <c r="DB683">
        <v>2</v>
      </c>
      <c r="DG683" t="s">
        <v>267</v>
      </c>
      <c r="DI683">
        <v>48</v>
      </c>
      <c r="DN683" t="s">
        <v>268</v>
      </c>
      <c r="DP683" t="s">
        <v>1603</v>
      </c>
      <c r="DR683">
        <v>79674</v>
      </c>
      <c r="DS683">
        <v>648</v>
      </c>
      <c r="DT683" t="s">
        <v>1604</v>
      </c>
      <c r="EW683" t="s">
        <v>333</v>
      </c>
      <c r="FO683">
        <v>25.5</v>
      </c>
      <c r="FQ683">
        <v>27</v>
      </c>
      <c r="FR683" t="s">
        <v>295</v>
      </c>
      <c r="FT683">
        <v>400</v>
      </c>
      <c r="FY683" t="s">
        <v>572</v>
      </c>
      <c r="GJ683">
        <v>7</v>
      </c>
      <c r="GL683">
        <v>8</v>
      </c>
      <c r="GM683" t="s">
        <v>356</v>
      </c>
      <c r="GQ683">
        <v>7.5</v>
      </c>
      <c r="GS683">
        <v>8.5</v>
      </c>
      <c r="GU683">
        <v>12</v>
      </c>
      <c r="GZ683" t="s">
        <v>296</v>
      </c>
      <c r="HH683" t="s">
        <v>272</v>
      </c>
      <c r="IE683" t="s">
        <v>1605</v>
      </c>
      <c r="IF683">
        <v>12953</v>
      </c>
      <c r="IG683" t="s">
        <v>1606</v>
      </c>
      <c r="IH683" t="s">
        <v>1607</v>
      </c>
      <c r="II683">
        <v>1985</v>
      </c>
      <c r="IJ683" t="s">
        <v>1608</v>
      </c>
    </row>
    <row r="684" spans="1:244" x14ac:dyDescent="0.45">
      <c r="A684">
        <v>1151424</v>
      </c>
      <c r="B684">
        <v>83993</v>
      </c>
      <c r="C684">
        <v>7487947</v>
      </c>
      <c r="D684" t="s">
        <v>1602</v>
      </c>
      <c r="F684" t="s">
        <v>327</v>
      </c>
      <c r="G684" t="s">
        <v>246</v>
      </c>
      <c r="N684" t="s">
        <v>1064</v>
      </c>
      <c r="O684" t="s">
        <v>1065</v>
      </c>
      <c r="P684" t="s">
        <v>249</v>
      </c>
      <c r="Q684" t="s">
        <v>250</v>
      </c>
      <c r="R684" t="s">
        <v>251</v>
      </c>
      <c r="T684" t="s">
        <v>252</v>
      </c>
      <c r="U684" t="s">
        <v>253</v>
      </c>
      <c r="V684" t="s">
        <v>304</v>
      </c>
      <c r="W684" t="s">
        <v>1066</v>
      </c>
      <c r="X684" t="s">
        <v>1067</v>
      </c>
      <c r="Z684" t="s">
        <v>284</v>
      </c>
      <c r="AB684">
        <v>6</v>
      </c>
      <c r="AG684" t="s">
        <v>598</v>
      </c>
      <c r="AM684" t="s">
        <v>317</v>
      </c>
      <c r="AN684" t="s">
        <v>259</v>
      </c>
      <c r="AO684" t="s">
        <v>260</v>
      </c>
      <c r="AQ684" t="s">
        <v>261</v>
      </c>
      <c r="AS684">
        <v>365</v>
      </c>
      <c r="AX684" t="s">
        <v>262</v>
      </c>
      <c r="BO684" t="s">
        <v>261</v>
      </c>
      <c r="BQ684">
        <v>0.36499999999999999</v>
      </c>
      <c r="BV684" t="s">
        <v>263</v>
      </c>
      <c r="CM684" t="s">
        <v>264</v>
      </c>
      <c r="CN684" t="s">
        <v>264</v>
      </c>
      <c r="CP684" t="s">
        <v>265</v>
      </c>
      <c r="CQ684" t="s">
        <v>266</v>
      </c>
      <c r="DB684">
        <v>3</v>
      </c>
      <c r="DG684" t="s">
        <v>267</v>
      </c>
      <c r="DI684">
        <v>72</v>
      </c>
      <c r="DN684" t="s">
        <v>268</v>
      </c>
      <c r="DP684" t="s">
        <v>1603</v>
      </c>
      <c r="DR684">
        <v>79674</v>
      </c>
      <c r="DS684">
        <v>648</v>
      </c>
      <c r="DT684" t="s">
        <v>1604</v>
      </c>
      <c r="EW684" t="s">
        <v>333</v>
      </c>
      <c r="FO684">
        <v>25.5</v>
      </c>
      <c r="FQ684">
        <v>27</v>
      </c>
      <c r="FR684" t="s">
        <v>295</v>
      </c>
      <c r="FT684">
        <v>400</v>
      </c>
      <c r="FY684" t="s">
        <v>572</v>
      </c>
      <c r="GJ684">
        <v>7</v>
      </c>
      <c r="GL684">
        <v>8</v>
      </c>
      <c r="GM684" t="s">
        <v>356</v>
      </c>
      <c r="GQ684">
        <v>7.5</v>
      </c>
      <c r="GS684">
        <v>8.5</v>
      </c>
      <c r="GU684">
        <v>12</v>
      </c>
      <c r="GZ684" t="s">
        <v>296</v>
      </c>
      <c r="HH684" t="s">
        <v>272</v>
      </c>
      <c r="IE684" t="s">
        <v>1605</v>
      </c>
      <c r="IF684">
        <v>12953</v>
      </c>
      <c r="IG684" t="s">
        <v>1606</v>
      </c>
      <c r="IH684" t="s">
        <v>1607</v>
      </c>
      <c r="II684">
        <v>1985</v>
      </c>
      <c r="IJ684" t="s">
        <v>1608</v>
      </c>
    </row>
    <row r="685" spans="1:244" x14ac:dyDescent="0.45">
      <c r="A685">
        <v>1271213</v>
      </c>
      <c r="B685">
        <v>722511</v>
      </c>
      <c r="C685">
        <v>7487947</v>
      </c>
      <c r="D685" t="s">
        <v>1602</v>
      </c>
      <c r="E685" t="s">
        <v>415</v>
      </c>
      <c r="F685" t="s">
        <v>245</v>
      </c>
      <c r="G685" t="s">
        <v>246</v>
      </c>
      <c r="N685" t="s">
        <v>1782</v>
      </c>
      <c r="O685" t="s">
        <v>1783</v>
      </c>
      <c r="P685" t="s">
        <v>249</v>
      </c>
      <c r="Q685" t="s">
        <v>250</v>
      </c>
      <c r="R685" t="s">
        <v>251</v>
      </c>
      <c r="T685" t="s">
        <v>252</v>
      </c>
      <c r="U685" t="s">
        <v>253</v>
      </c>
      <c r="V685" t="s">
        <v>1735</v>
      </c>
      <c r="W685" t="s">
        <v>1784</v>
      </c>
      <c r="X685" t="s">
        <v>1785</v>
      </c>
      <c r="AL685" t="s">
        <v>1809</v>
      </c>
      <c r="AM685" t="s">
        <v>258</v>
      </c>
      <c r="AN685" t="s">
        <v>259</v>
      </c>
      <c r="AO685" t="s">
        <v>260</v>
      </c>
      <c r="AP685">
        <v>7</v>
      </c>
      <c r="AQ685" t="s">
        <v>261</v>
      </c>
      <c r="AS685">
        <v>4.22</v>
      </c>
      <c r="AU685">
        <v>3.72</v>
      </c>
      <c r="AW685">
        <v>4.7699999999999996</v>
      </c>
      <c r="AX685" t="s">
        <v>422</v>
      </c>
      <c r="BO685" t="s">
        <v>261</v>
      </c>
      <c r="BQ685">
        <v>4.22</v>
      </c>
      <c r="BS685">
        <v>3.72</v>
      </c>
      <c r="BU685">
        <v>4.7699999999999996</v>
      </c>
      <c r="BV685" t="s">
        <v>263</v>
      </c>
      <c r="CM685" t="s">
        <v>264</v>
      </c>
      <c r="CN685" t="s">
        <v>264</v>
      </c>
      <c r="CP685" t="s">
        <v>265</v>
      </c>
      <c r="CQ685" t="s">
        <v>266</v>
      </c>
      <c r="DB685">
        <v>2</v>
      </c>
      <c r="DG685" t="s">
        <v>267</v>
      </c>
      <c r="DI685">
        <v>48</v>
      </c>
      <c r="DN685" t="s">
        <v>268</v>
      </c>
      <c r="DP685" t="s">
        <v>1637</v>
      </c>
      <c r="DS685">
        <v>2838</v>
      </c>
      <c r="EW685" t="s">
        <v>293</v>
      </c>
      <c r="FK685" t="s">
        <v>1810</v>
      </c>
      <c r="FM685">
        <v>29</v>
      </c>
      <c r="FR685" t="s">
        <v>295</v>
      </c>
      <c r="GO685">
        <v>8</v>
      </c>
      <c r="GU685">
        <v>15</v>
      </c>
      <c r="GZ685" t="s">
        <v>296</v>
      </c>
      <c r="HH685" t="s">
        <v>272</v>
      </c>
      <c r="ID685" t="s">
        <v>1811</v>
      </c>
      <c r="IE685" t="s">
        <v>1812</v>
      </c>
      <c r="IF685">
        <v>16623</v>
      </c>
      <c r="IG685" t="s">
        <v>1813</v>
      </c>
      <c r="IH685" t="s">
        <v>1814</v>
      </c>
      <c r="II685">
        <v>1987</v>
      </c>
      <c r="IJ685" t="s">
        <v>1815</v>
      </c>
    </row>
    <row r="686" spans="1:244" x14ac:dyDescent="0.45">
      <c r="A686">
        <v>1111787</v>
      </c>
      <c r="B686">
        <v>29508</v>
      </c>
      <c r="C686">
        <v>7487947</v>
      </c>
      <c r="D686" t="s">
        <v>1602</v>
      </c>
      <c r="F686" t="s">
        <v>245</v>
      </c>
      <c r="G686" t="s">
        <v>246</v>
      </c>
      <c r="N686" t="s">
        <v>1609</v>
      </c>
      <c r="O686" t="s">
        <v>1610</v>
      </c>
      <c r="P686" t="s">
        <v>249</v>
      </c>
      <c r="Q686" t="s">
        <v>250</v>
      </c>
      <c r="R686" t="s">
        <v>251</v>
      </c>
      <c r="T686" t="s">
        <v>252</v>
      </c>
      <c r="U686" t="s">
        <v>253</v>
      </c>
      <c r="V686" t="s">
        <v>1611</v>
      </c>
      <c r="W686" t="s">
        <v>1612</v>
      </c>
      <c r="X686" t="s">
        <v>1613</v>
      </c>
      <c r="AM686" t="s">
        <v>317</v>
      </c>
      <c r="AN686" t="s">
        <v>259</v>
      </c>
      <c r="AO686" t="s">
        <v>260</v>
      </c>
      <c r="AQ686" t="s">
        <v>261</v>
      </c>
      <c r="AS686">
        <v>65</v>
      </c>
      <c r="AX686" t="s">
        <v>262</v>
      </c>
      <c r="BO686" t="s">
        <v>261</v>
      </c>
      <c r="BQ686">
        <v>6.5000000000000002E-2</v>
      </c>
      <c r="BV686" t="s">
        <v>263</v>
      </c>
      <c r="CM686" t="s">
        <v>264</v>
      </c>
      <c r="CN686" t="s">
        <v>264</v>
      </c>
      <c r="CP686" t="s">
        <v>265</v>
      </c>
      <c r="CQ686" t="s">
        <v>266</v>
      </c>
      <c r="DB686">
        <v>2</v>
      </c>
      <c r="DG686" t="s">
        <v>267</v>
      </c>
      <c r="DI686">
        <v>48</v>
      </c>
      <c r="DN686" t="s">
        <v>268</v>
      </c>
      <c r="DR686">
        <v>84662</v>
      </c>
      <c r="DS686">
        <v>1296</v>
      </c>
      <c r="DT686" t="s">
        <v>1614</v>
      </c>
      <c r="EW686" t="s">
        <v>333</v>
      </c>
      <c r="FK686" t="s">
        <v>1751</v>
      </c>
      <c r="FO686">
        <v>20</v>
      </c>
      <c r="FQ686">
        <v>22</v>
      </c>
      <c r="FR686" t="s">
        <v>295</v>
      </c>
      <c r="GQ686">
        <v>8</v>
      </c>
      <c r="GS686">
        <v>8.4</v>
      </c>
      <c r="GU686">
        <v>14</v>
      </c>
      <c r="GZ686" t="s">
        <v>296</v>
      </c>
      <c r="HH686" t="s">
        <v>272</v>
      </c>
      <c r="ID686" t="s">
        <v>1752</v>
      </c>
      <c r="IE686" t="s">
        <v>1618</v>
      </c>
      <c r="IF686">
        <v>8436</v>
      </c>
      <c r="IG686" t="s">
        <v>1619</v>
      </c>
      <c r="IH686" t="s">
        <v>1620</v>
      </c>
      <c r="II686">
        <v>1974</v>
      </c>
      <c r="IJ686" t="s">
        <v>1621</v>
      </c>
    </row>
    <row r="687" spans="1:244" x14ac:dyDescent="0.45">
      <c r="A687">
        <v>1166386</v>
      </c>
      <c r="B687">
        <v>32565</v>
      </c>
      <c r="C687">
        <v>7487947</v>
      </c>
      <c r="D687" t="s">
        <v>1602</v>
      </c>
      <c r="F687" t="s">
        <v>272</v>
      </c>
      <c r="G687" t="s">
        <v>246</v>
      </c>
      <c r="N687" t="s">
        <v>302</v>
      </c>
      <c r="O687" t="s">
        <v>303</v>
      </c>
      <c r="P687" t="s">
        <v>249</v>
      </c>
      <c r="Q687" t="s">
        <v>250</v>
      </c>
      <c r="R687" t="s">
        <v>251</v>
      </c>
      <c r="T687" t="s">
        <v>252</v>
      </c>
      <c r="U687" t="s">
        <v>253</v>
      </c>
      <c r="V687" t="s">
        <v>304</v>
      </c>
      <c r="W687" t="s">
        <v>305</v>
      </c>
      <c r="X687" t="s">
        <v>306</v>
      </c>
      <c r="AM687" t="s">
        <v>307</v>
      </c>
      <c r="AN687" t="s">
        <v>259</v>
      </c>
      <c r="AO687" t="s">
        <v>260</v>
      </c>
      <c r="AQ687" t="s">
        <v>261</v>
      </c>
      <c r="AS687">
        <v>1040</v>
      </c>
      <c r="AX687" t="s">
        <v>262</v>
      </c>
      <c r="BO687" t="s">
        <v>261</v>
      </c>
      <c r="BQ687">
        <v>1.04</v>
      </c>
      <c r="BV687" t="s">
        <v>263</v>
      </c>
      <c r="CM687" t="s">
        <v>264</v>
      </c>
      <c r="CN687" t="s">
        <v>264</v>
      </c>
      <c r="CP687" t="s">
        <v>265</v>
      </c>
      <c r="CQ687" t="s">
        <v>266</v>
      </c>
      <c r="DB687">
        <v>4</v>
      </c>
      <c r="DG687" t="s">
        <v>267</v>
      </c>
      <c r="DI687">
        <v>96</v>
      </c>
      <c r="DN687" t="s">
        <v>268</v>
      </c>
      <c r="DR687">
        <v>338212</v>
      </c>
      <c r="DS687">
        <v>732</v>
      </c>
      <c r="EW687" t="s">
        <v>272</v>
      </c>
      <c r="FM687">
        <v>10</v>
      </c>
      <c r="FR687" t="s">
        <v>295</v>
      </c>
      <c r="GU687">
        <v>38</v>
      </c>
      <c r="GZ687" t="s">
        <v>296</v>
      </c>
      <c r="HH687" t="s">
        <v>272</v>
      </c>
      <c r="IE687" t="s">
        <v>308</v>
      </c>
      <c r="IF687">
        <v>14770</v>
      </c>
      <c r="IG687" t="s">
        <v>309</v>
      </c>
      <c r="IH687" t="s">
        <v>310</v>
      </c>
      <c r="II687">
        <v>1991</v>
      </c>
      <c r="IJ687" t="s">
        <v>311</v>
      </c>
    </row>
    <row r="688" spans="1:244" x14ac:dyDescent="0.45">
      <c r="A688">
        <v>1186864</v>
      </c>
      <c r="B688">
        <v>138555</v>
      </c>
      <c r="C688">
        <v>7487947</v>
      </c>
      <c r="D688" t="s">
        <v>1602</v>
      </c>
      <c r="F688" t="s">
        <v>245</v>
      </c>
      <c r="G688" t="s">
        <v>246</v>
      </c>
      <c r="N688" t="s">
        <v>789</v>
      </c>
      <c r="O688" t="s">
        <v>790</v>
      </c>
      <c r="P688" t="s">
        <v>249</v>
      </c>
      <c r="Q688" t="s">
        <v>250</v>
      </c>
      <c r="R688" t="s">
        <v>251</v>
      </c>
      <c r="T688" t="s">
        <v>252</v>
      </c>
      <c r="U688" t="s">
        <v>253</v>
      </c>
      <c r="V688" t="s">
        <v>418</v>
      </c>
      <c r="W688" t="s">
        <v>791</v>
      </c>
      <c r="X688" t="s">
        <v>792</v>
      </c>
      <c r="Z688" t="s">
        <v>284</v>
      </c>
      <c r="AL688" t="s">
        <v>1816</v>
      </c>
      <c r="AM688" t="s">
        <v>258</v>
      </c>
      <c r="AN688" t="s">
        <v>259</v>
      </c>
      <c r="AO688" t="s">
        <v>260</v>
      </c>
      <c r="AQ688" t="s">
        <v>261</v>
      </c>
      <c r="AS688">
        <v>4.0599999999999996</v>
      </c>
      <c r="AX688" t="s">
        <v>262</v>
      </c>
      <c r="BO688" t="s">
        <v>261</v>
      </c>
      <c r="BQ688">
        <v>4.0600000000000002E-3</v>
      </c>
      <c r="BV688" t="s">
        <v>263</v>
      </c>
      <c r="CM688" t="s">
        <v>264</v>
      </c>
      <c r="CN688" t="s">
        <v>264</v>
      </c>
      <c r="CP688" t="s">
        <v>265</v>
      </c>
      <c r="DB688">
        <v>1</v>
      </c>
      <c r="DG688" t="s">
        <v>267</v>
      </c>
      <c r="DI688">
        <v>24</v>
      </c>
      <c r="DN688" t="s">
        <v>268</v>
      </c>
      <c r="DR688">
        <v>161924</v>
      </c>
      <c r="DS688">
        <v>3045</v>
      </c>
      <c r="EW688" t="s">
        <v>272</v>
      </c>
      <c r="FM688">
        <v>28</v>
      </c>
      <c r="FR688" t="s">
        <v>295</v>
      </c>
      <c r="GO688">
        <v>8.1999999999999993</v>
      </c>
      <c r="GU688">
        <v>32</v>
      </c>
      <c r="GZ688" t="s">
        <v>296</v>
      </c>
      <c r="HH688" t="s">
        <v>272</v>
      </c>
      <c r="IE688" t="s">
        <v>1652</v>
      </c>
      <c r="IF688">
        <v>16613</v>
      </c>
      <c r="IG688" t="s">
        <v>1653</v>
      </c>
      <c r="IH688" t="s">
        <v>1654</v>
      </c>
      <c r="II688">
        <v>1994</v>
      </c>
      <c r="IJ688" t="s">
        <v>1655</v>
      </c>
    </row>
    <row r="689" spans="1:244" x14ac:dyDescent="0.45">
      <c r="A689">
        <v>1151162</v>
      </c>
      <c r="B689">
        <v>104869</v>
      </c>
      <c r="C689">
        <v>7487947</v>
      </c>
      <c r="D689" t="s">
        <v>1602</v>
      </c>
      <c r="F689" t="s">
        <v>245</v>
      </c>
      <c r="G689" t="s">
        <v>246</v>
      </c>
      <c r="N689" t="s">
        <v>247</v>
      </c>
      <c r="O689" t="s">
        <v>248</v>
      </c>
      <c r="P689" t="s">
        <v>249</v>
      </c>
      <c r="Q689" t="s">
        <v>250</v>
      </c>
      <c r="R689" t="s">
        <v>251</v>
      </c>
      <c r="T689" t="s">
        <v>252</v>
      </c>
      <c r="U689" t="s">
        <v>253</v>
      </c>
      <c r="V689" t="s">
        <v>254</v>
      </c>
      <c r="W689" t="s">
        <v>255</v>
      </c>
      <c r="X689" t="s">
        <v>256</v>
      </c>
      <c r="Z689" t="s">
        <v>1057</v>
      </c>
      <c r="AL689" t="s">
        <v>1777</v>
      </c>
      <c r="AM689" t="s">
        <v>317</v>
      </c>
      <c r="AN689" t="s">
        <v>259</v>
      </c>
      <c r="AO689" t="s">
        <v>260</v>
      </c>
      <c r="AQ689" t="s">
        <v>261</v>
      </c>
      <c r="AS689">
        <v>9970</v>
      </c>
      <c r="AX689" t="s">
        <v>262</v>
      </c>
      <c r="BO689" t="s">
        <v>261</v>
      </c>
      <c r="BQ689">
        <v>9.9700000000000006</v>
      </c>
      <c r="BV689" t="s">
        <v>263</v>
      </c>
      <c r="CM689" t="s">
        <v>264</v>
      </c>
      <c r="CN689" t="s">
        <v>264</v>
      </c>
      <c r="CP689" t="s">
        <v>265</v>
      </c>
      <c r="DB689">
        <v>2</v>
      </c>
      <c r="DG689" t="s">
        <v>267</v>
      </c>
      <c r="DI689">
        <v>48</v>
      </c>
      <c r="DN689" t="s">
        <v>268</v>
      </c>
      <c r="DR689">
        <v>6761</v>
      </c>
      <c r="DS689">
        <v>2461</v>
      </c>
      <c r="EW689" t="s">
        <v>293</v>
      </c>
      <c r="HH689" t="s">
        <v>272</v>
      </c>
      <c r="IE689" t="s">
        <v>1778</v>
      </c>
      <c r="IF689">
        <v>12895</v>
      </c>
      <c r="IG689" t="s">
        <v>1779</v>
      </c>
      <c r="IH689" t="s">
        <v>1780</v>
      </c>
      <c r="II689">
        <v>1986</v>
      </c>
      <c r="IJ689" t="s">
        <v>1781</v>
      </c>
    </row>
    <row r="690" spans="1:244" x14ac:dyDescent="0.45">
      <c r="A690">
        <v>1204321</v>
      </c>
      <c r="B690">
        <v>209172</v>
      </c>
      <c r="C690">
        <v>7487947</v>
      </c>
      <c r="D690" t="s">
        <v>1602</v>
      </c>
      <c r="E690" t="s">
        <v>622</v>
      </c>
      <c r="F690" t="s">
        <v>245</v>
      </c>
      <c r="G690" t="s">
        <v>246</v>
      </c>
      <c r="N690" t="s">
        <v>1817</v>
      </c>
      <c r="O690" t="s">
        <v>248</v>
      </c>
      <c r="P690" t="s">
        <v>249</v>
      </c>
      <c r="Q690" t="s">
        <v>250</v>
      </c>
      <c r="R690" t="s">
        <v>251</v>
      </c>
      <c r="T690" t="s">
        <v>252</v>
      </c>
      <c r="U690" t="s">
        <v>253</v>
      </c>
      <c r="V690" t="s">
        <v>1231</v>
      </c>
      <c r="W690" t="s">
        <v>1818</v>
      </c>
      <c r="X690" t="s">
        <v>351</v>
      </c>
      <c r="Z690" t="s">
        <v>284</v>
      </c>
      <c r="AA690" t="s">
        <v>289</v>
      </c>
      <c r="AB690">
        <v>8</v>
      </c>
      <c r="AG690" t="s">
        <v>268</v>
      </c>
      <c r="AL690" t="s">
        <v>1819</v>
      </c>
      <c r="AM690" t="s">
        <v>258</v>
      </c>
      <c r="AN690" t="s">
        <v>259</v>
      </c>
      <c r="AO690" t="s">
        <v>260</v>
      </c>
      <c r="AQ690" t="s">
        <v>261</v>
      </c>
      <c r="AS690">
        <v>26</v>
      </c>
      <c r="AU690">
        <v>16.8</v>
      </c>
      <c r="AW690">
        <v>40.299999999999997</v>
      </c>
      <c r="AX690" t="s">
        <v>262</v>
      </c>
      <c r="BO690" t="s">
        <v>261</v>
      </c>
      <c r="BQ690">
        <v>2.5999999999999999E-2</v>
      </c>
      <c r="BS690">
        <v>1.6799999999999999E-2</v>
      </c>
      <c r="BU690">
        <v>4.0300000000000002E-2</v>
      </c>
      <c r="BV690" t="s">
        <v>263</v>
      </c>
      <c r="CM690" t="s">
        <v>264</v>
      </c>
      <c r="CN690" t="s">
        <v>264</v>
      </c>
      <c r="CP690" t="s">
        <v>265</v>
      </c>
      <c r="DB690">
        <v>4</v>
      </c>
      <c r="DG690" t="s">
        <v>267</v>
      </c>
      <c r="DI690">
        <v>96</v>
      </c>
      <c r="DN690" t="s">
        <v>268</v>
      </c>
      <c r="DR690">
        <v>1041454</v>
      </c>
      <c r="DS690">
        <v>10965</v>
      </c>
      <c r="EW690" t="s">
        <v>293</v>
      </c>
      <c r="GU690">
        <v>25</v>
      </c>
      <c r="GZ690" t="s">
        <v>296</v>
      </c>
      <c r="HH690" t="s">
        <v>272</v>
      </c>
      <c r="IE690" t="s">
        <v>1820</v>
      </c>
      <c r="IF690">
        <v>18580</v>
      </c>
      <c r="IG690" t="s">
        <v>1821</v>
      </c>
      <c r="IH690" t="s">
        <v>1822</v>
      </c>
      <c r="II690">
        <v>1996</v>
      </c>
      <c r="IJ690" t="s">
        <v>1823</v>
      </c>
    </row>
    <row r="691" spans="1:244" x14ac:dyDescent="0.45">
      <c r="A691">
        <v>2170781</v>
      </c>
      <c r="B691">
        <v>2336404</v>
      </c>
      <c r="C691">
        <v>7487947</v>
      </c>
      <c r="D691" t="s">
        <v>1602</v>
      </c>
      <c r="E691" t="s">
        <v>415</v>
      </c>
      <c r="F691" t="s">
        <v>245</v>
      </c>
      <c r="G691" t="s">
        <v>272</v>
      </c>
      <c r="N691" t="s">
        <v>416</v>
      </c>
      <c r="O691" t="s">
        <v>417</v>
      </c>
      <c r="P691" t="s">
        <v>249</v>
      </c>
      <c r="Q691" t="s">
        <v>250</v>
      </c>
      <c r="R691" t="s">
        <v>251</v>
      </c>
      <c r="T691" t="s">
        <v>252</v>
      </c>
      <c r="U691" t="s">
        <v>253</v>
      </c>
      <c r="V691" t="s">
        <v>418</v>
      </c>
      <c r="W691" t="s">
        <v>419</v>
      </c>
      <c r="X691" t="s">
        <v>420</v>
      </c>
      <c r="AJ691" t="s">
        <v>285</v>
      </c>
      <c r="AL691" t="s">
        <v>1622</v>
      </c>
      <c r="AM691" t="s">
        <v>287</v>
      </c>
      <c r="AN691" t="s">
        <v>259</v>
      </c>
      <c r="AO691" t="s">
        <v>260</v>
      </c>
      <c r="AP691">
        <v>6</v>
      </c>
      <c r="AQ691" t="s">
        <v>261</v>
      </c>
      <c r="AS691">
        <v>3.7999999999999999E-2</v>
      </c>
      <c r="AU691">
        <v>0.03</v>
      </c>
      <c r="AW691">
        <v>4.2000000000000003E-2</v>
      </c>
      <c r="AX691" t="s">
        <v>356</v>
      </c>
      <c r="BO691" t="s">
        <v>261</v>
      </c>
      <c r="BQ691">
        <v>3.7999999999999999E-2</v>
      </c>
      <c r="BS691">
        <v>0.03</v>
      </c>
      <c r="BU691">
        <v>4.2000000000000003E-2</v>
      </c>
      <c r="BV691" t="s">
        <v>263</v>
      </c>
      <c r="CM691" t="s">
        <v>264</v>
      </c>
      <c r="CN691" t="s">
        <v>264</v>
      </c>
      <c r="CP691" t="s">
        <v>265</v>
      </c>
      <c r="CQ691" t="s">
        <v>266</v>
      </c>
      <c r="DB691">
        <v>1</v>
      </c>
      <c r="DG691" t="s">
        <v>267</v>
      </c>
      <c r="DI691">
        <v>24</v>
      </c>
      <c r="DN691" t="s">
        <v>268</v>
      </c>
      <c r="DS691">
        <v>1009</v>
      </c>
      <c r="DV691">
        <v>96</v>
      </c>
      <c r="EA691" t="s">
        <v>268</v>
      </c>
      <c r="EC691">
        <v>4</v>
      </c>
      <c r="EH691" t="s">
        <v>267</v>
      </c>
      <c r="EJ691">
        <v>96</v>
      </c>
      <c r="EO691" t="s">
        <v>268</v>
      </c>
      <c r="EQ691">
        <v>4</v>
      </c>
      <c r="EV691" t="s">
        <v>267</v>
      </c>
      <c r="EW691" t="s">
        <v>293</v>
      </c>
      <c r="EZ691">
        <v>10</v>
      </c>
      <c r="FM691">
        <v>24.1</v>
      </c>
      <c r="FR691" t="s">
        <v>295</v>
      </c>
      <c r="GG691" t="s">
        <v>288</v>
      </c>
      <c r="GH691">
        <v>60</v>
      </c>
      <c r="GM691" t="s">
        <v>900</v>
      </c>
      <c r="GO691">
        <v>6.8</v>
      </c>
      <c r="GU691">
        <v>5</v>
      </c>
      <c r="GZ691" t="s">
        <v>296</v>
      </c>
      <c r="HH691" t="s">
        <v>272</v>
      </c>
      <c r="ID691" t="s">
        <v>1623</v>
      </c>
      <c r="IE691" t="s">
        <v>1624</v>
      </c>
      <c r="IF691">
        <v>172254</v>
      </c>
      <c r="IG691" t="s">
        <v>1625</v>
      </c>
      <c r="IH691" t="s">
        <v>1626</v>
      </c>
      <c r="II691">
        <v>2002</v>
      </c>
      <c r="IJ691" t="s">
        <v>1627</v>
      </c>
    </row>
    <row r="692" spans="1:244" x14ac:dyDescent="0.45">
      <c r="A692">
        <v>1151448</v>
      </c>
      <c r="B692">
        <v>84017</v>
      </c>
      <c r="C692">
        <v>7487947</v>
      </c>
      <c r="D692" t="s">
        <v>1602</v>
      </c>
      <c r="F692" t="s">
        <v>327</v>
      </c>
      <c r="G692" t="s">
        <v>246</v>
      </c>
      <c r="N692" t="s">
        <v>1064</v>
      </c>
      <c r="O692" t="s">
        <v>1065</v>
      </c>
      <c r="P692" t="s">
        <v>249</v>
      </c>
      <c r="Q692" t="s">
        <v>250</v>
      </c>
      <c r="R692" t="s">
        <v>251</v>
      </c>
      <c r="T692" t="s">
        <v>252</v>
      </c>
      <c r="U692" t="s">
        <v>253</v>
      </c>
      <c r="V692" t="s">
        <v>304</v>
      </c>
      <c r="W692" t="s">
        <v>1066</v>
      </c>
      <c r="X692" t="s">
        <v>1067</v>
      </c>
      <c r="Z692" t="s">
        <v>421</v>
      </c>
      <c r="AM692" t="s">
        <v>317</v>
      </c>
      <c r="AN692" t="s">
        <v>259</v>
      </c>
      <c r="AO692" t="s">
        <v>260</v>
      </c>
      <c r="AQ692" t="s">
        <v>261</v>
      </c>
      <c r="AS692">
        <v>340</v>
      </c>
      <c r="AX692" t="s">
        <v>262</v>
      </c>
      <c r="BO692" t="s">
        <v>261</v>
      </c>
      <c r="BQ692">
        <v>0.34</v>
      </c>
      <c r="BV692" t="s">
        <v>263</v>
      </c>
      <c r="CM692" t="s">
        <v>264</v>
      </c>
      <c r="CN692" t="s">
        <v>264</v>
      </c>
      <c r="CP692" t="s">
        <v>265</v>
      </c>
      <c r="CQ692" t="s">
        <v>266</v>
      </c>
      <c r="DB692">
        <v>4</v>
      </c>
      <c r="DG692" t="s">
        <v>267</v>
      </c>
      <c r="DI692">
        <v>96</v>
      </c>
      <c r="DN692" t="s">
        <v>268</v>
      </c>
      <c r="DP692" t="s">
        <v>1603</v>
      </c>
      <c r="DR692">
        <v>79674</v>
      </c>
      <c r="DS692">
        <v>648</v>
      </c>
      <c r="DT692" t="s">
        <v>1604</v>
      </c>
      <c r="EW692" t="s">
        <v>333</v>
      </c>
      <c r="FO692">
        <v>25.5</v>
      </c>
      <c r="FQ692">
        <v>27</v>
      </c>
      <c r="FR692" t="s">
        <v>295</v>
      </c>
      <c r="FT692">
        <v>400</v>
      </c>
      <c r="FY692" t="s">
        <v>572</v>
      </c>
      <c r="GJ692">
        <v>7</v>
      </c>
      <c r="GL692">
        <v>8</v>
      </c>
      <c r="GM692" t="s">
        <v>356</v>
      </c>
      <c r="GQ692">
        <v>7.5</v>
      </c>
      <c r="GS692">
        <v>8.5</v>
      </c>
      <c r="GU692">
        <v>12</v>
      </c>
      <c r="GZ692" t="s">
        <v>296</v>
      </c>
      <c r="HH692" t="s">
        <v>272</v>
      </c>
      <c r="IE692" t="s">
        <v>1605</v>
      </c>
      <c r="IF692">
        <v>12953</v>
      </c>
      <c r="IG692" t="s">
        <v>1606</v>
      </c>
      <c r="IH692" t="s">
        <v>1607</v>
      </c>
      <c r="II692">
        <v>1985</v>
      </c>
      <c r="IJ692" t="s">
        <v>1608</v>
      </c>
    </row>
    <row r="693" spans="1:244" x14ac:dyDescent="0.45">
      <c r="A693">
        <v>1153346</v>
      </c>
      <c r="B693">
        <v>160861</v>
      </c>
      <c r="C693">
        <v>7487947</v>
      </c>
      <c r="D693" t="s">
        <v>1602</v>
      </c>
      <c r="F693" t="s">
        <v>245</v>
      </c>
      <c r="G693" t="s">
        <v>246</v>
      </c>
      <c r="N693" t="s">
        <v>1672</v>
      </c>
      <c r="O693" t="s">
        <v>1673</v>
      </c>
      <c r="P693" t="s">
        <v>249</v>
      </c>
      <c r="Q693" t="s">
        <v>250</v>
      </c>
      <c r="R693" t="s">
        <v>251</v>
      </c>
      <c r="T693" t="s">
        <v>252</v>
      </c>
      <c r="U693" t="s">
        <v>253</v>
      </c>
      <c r="V693" t="s">
        <v>1674</v>
      </c>
      <c r="W693" t="s">
        <v>1675</v>
      </c>
      <c r="X693" t="s">
        <v>1676</v>
      </c>
      <c r="Z693" t="s">
        <v>1677</v>
      </c>
      <c r="AL693" t="s">
        <v>1678</v>
      </c>
      <c r="AM693" t="s">
        <v>287</v>
      </c>
      <c r="AN693" t="s">
        <v>259</v>
      </c>
      <c r="AO693" t="s">
        <v>260</v>
      </c>
      <c r="AQ693" t="s">
        <v>261</v>
      </c>
      <c r="AS693">
        <v>6100</v>
      </c>
      <c r="AX693" t="s">
        <v>262</v>
      </c>
      <c r="BO693" t="s">
        <v>261</v>
      </c>
      <c r="BQ693">
        <v>6.1</v>
      </c>
      <c r="BV693" t="s">
        <v>263</v>
      </c>
      <c r="CM693" t="s">
        <v>264</v>
      </c>
      <c r="CN693" t="s">
        <v>264</v>
      </c>
      <c r="CP693" t="s">
        <v>265</v>
      </c>
      <c r="DB693">
        <v>4</v>
      </c>
      <c r="DG693" t="s">
        <v>267</v>
      </c>
      <c r="DI693">
        <v>96</v>
      </c>
      <c r="DN693" t="s">
        <v>268</v>
      </c>
      <c r="DR693">
        <v>1460405</v>
      </c>
      <c r="DS693">
        <v>5936</v>
      </c>
      <c r="EW693" t="s">
        <v>293</v>
      </c>
      <c r="FK693" t="s">
        <v>1679</v>
      </c>
      <c r="HH693" t="s">
        <v>272</v>
      </c>
      <c r="ID693" t="s">
        <v>1680</v>
      </c>
      <c r="IE693" t="s">
        <v>1681</v>
      </c>
      <c r="IF693">
        <v>13233</v>
      </c>
      <c r="IG693" t="s">
        <v>1682</v>
      </c>
      <c r="IH693" t="s">
        <v>1683</v>
      </c>
      <c r="II693">
        <v>1988</v>
      </c>
      <c r="IJ693" t="s">
        <v>1684</v>
      </c>
    </row>
    <row r="694" spans="1:244" x14ac:dyDescent="0.45">
      <c r="A694">
        <v>1151447</v>
      </c>
      <c r="B694">
        <v>84016</v>
      </c>
      <c r="C694">
        <v>7487947</v>
      </c>
      <c r="D694" t="s">
        <v>1602</v>
      </c>
      <c r="F694" t="s">
        <v>327</v>
      </c>
      <c r="G694" t="s">
        <v>246</v>
      </c>
      <c r="N694" t="s">
        <v>1064</v>
      </c>
      <c r="O694" t="s">
        <v>1065</v>
      </c>
      <c r="P694" t="s">
        <v>249</v>
      </c>
      <c r="Q694" t="s">
        <v>250</v>
      </c>
      <c r="R694" t="s">
        <v>251</v>
      </c>
      <c r="T694" t="s">
        <v>252</v>
      </c>
      <c r="U694" t="s">
        <v>253</v>
      </c>
      <c r="V694" t="s">
        <v>304</v>
      </c>
      <c r="W694" t="s">
        <v>1066</v>
      </c>
      <c r="X694" t="s">
        <v>1067</v>
      </c>
      <c r="Z694" t="s">
        <v>421</v>
      </c>
      <c r="AM694" t="s">
        <v>317</v>
      </c>
      <c r="AN694" t="s">
        <v>259</v>
      </c>
      <c r="AO694" t="s">
        <v>260</v>
      </c>
      <c r="AQ694" t="s">
        <v>261</v>
      </c>
      <c r="AS694">
        <v>380</v>
      </c>
      <c r="AX694" t="s">
        <v>262</v>
      </c>
      <c r="BO694" t="s">
        <v>261</v>
      </c>
      <c r="BQ694">
        <v>0.38</v>
      </c>
      <c r="BV694" t="s">
        <v>263</v>
      </c>
      <c r="CM694" t="s">
        <v>264</v>
      </c>
      <c r="CN694" t="s">
        <v>264</v>
      </c>
      <c r="CP694" t="s">
        <v>265</v>
      </c>
      <c r="CQ694" t="s">
        <v>266</v>
      </c>
      <c r="DB694">
        <v>3</v>
      </c>
      <c r="DG694" t="s">
        <v>267</v>
      </c>
      <c r="DI694">
        <v>72</v>
      </c>
      <c r="DN694" t="s">
        <v>268</v>
      </c>
      <c r="DP694" t="s">
        <v>1603</v>
      </c>
      <c r="DR694">
        <v>79674</v>
      </c>
      <c r="DS694">
        <v>648</v>
      </c>
      <c r="DT694" t="s">
        <v>1604</v>
      </c>
      <c r="EW694" t="s">
        <v>333</v>
      </c>
      <c r="FO694">
        <v>25.5</v>
      </c>
      <c r="FQ694">
        <v>27</v>
      </c>
      <c r="FR694" t="s">
        <v>295</v>
      </c>
      <c r="FT694">
        <v>400</v>
      </c>
      <c r="FY694" t="s">
        <v>572</v>
      </c>
      <c r="GJ694">
        <v>7</v>
      </c>
      <c r="GL694">
        <v>8</v>
      </c>
      <c r="GM694" t="s">
        <v>356</v>
      </c>
      <c r="GQ694">
        <v>7.5</v>
      </c>
      <c r="GS694">
        <v>8.5</v>
      </c>
      <c r="GU694">
        <v>12</v>
      </c>
      <c r="GZ694" t="s">
        <v>296</v>
      </c>
      <c r="HH694" t="s">
        <v>272</v>
      </c>
      <c r="IE694" t="s">
        <v>1605</v>
      </c>
      <c r="IF694">
        <v>12953</v>
      </c>
      <c r="IG694" t="s">
        <v>1606</v>
      </c>
      <c r="IH694" t="s">
        <v>1607</v>
      </c>
      <c r="II694">
        <v>1985</v>
      </c>
      <c r="IJ694" t="s">
        <v>1608</v>
      </c>
    </row>
    <row r="695" spans="1:244" x14ac:dyDescent="0.45">
      <c r="A695">
        <v>1186868</v>
      </c>
      <c r="B695">
        <v>138559</v>
      </c>
      <c r="C695">
        <v>7487947</v>
      </c>
      <c r="D695" t="s">
        <v>1602</v>
      </c>
      <c r="F695" t="s">
        <v>245</v>
      </c>
      <c r="G695" t="s">
        <v>246</v>
      </c>
      <c r="N695" t="s">
        <v>789</v>
      </c>
      <c r="O695" t="s">
        <v>790</v>
      </c>
      <c r="P695" t="s">
        <v>249</v>
      </c>
      <c r="Q695" t="s">
        <v>250</v>
      </c>
      <c r="R695" t="s">
        <v>251</v>
      </c>
      <c r="T695" t="s">
        <v>252</v>
      </c>
      <c r="U695" t="s">
        <v>253</v>
      </c>
      <c r="V695" t="s">
        <v>418</v>
      </c>
      <c r="W695" t="s">
        <v>791</v>
      </c>
      <c r="X695" t="s">
        <v>792</v>
      </c>
      <c r="Z695" t="s">
        <v>284</v>
      </c>
      <c r="AL695" t="s">
        <v>1663</v>
      </c>
      <c r="AM695" t="s">
        <v>258</v>
      </c>
      <c r="AN695" t="s">
        <v>259</v>
      </c>
      <c r="AO695" t="s">
        <v>260</v>
      </c>
      <c r="AQ695" t="s">
        <v>261</v>
      </c>
      <c r="AS695">
        <v>11.3</v>
      </c>
      <c r="AX695" t="s">
        <v>262</v>
      </c>
      <c r="BO695" t="s">
        <v>261</v>
      </c>
      <c r="BQ695">
        <v>1.1299999999999999E-2</v>
      </c>
      <c r="BV695" t="s">
        <v>263</v>
      </c>
      <c r="CM695" t="s">
        <v>264</v>
      </c>
      <c r="CN695" t="s">
        <v>264</v>
      </c>
      <c r="CP695" t="s">
        <v>265</v>
      </c>
      <c r="DB695">
        <v>2</v>
      </c>
      <c r="DG695" t="s">
        <v>267</v>
      </c>
      <c r="DI695">
        <v>48</v>
      </c>
      <c r="DN695" t="s">
        <v>268</v>
      </c>
      <c r="DR695">
        <v>161924</v>
      </c>
      <c r="DS695">
        <v>3045</v>
      </c>
      <c r="EW695" t="s">
        <v>272</v>
      </c>
      <c r="FM695">
        <v>28</v>
      </c>
      <c r="FR695" t="s">
        <v>295</v>
      </c>
      <c r="GO695">
        <v>8.1999999999999993</v>
      </c>
      <c r="GU695">
        <v>32</v>
      </c>
      <c r="GZ695" t="s">
        <v>296</v>
      </c>
      <c r="HH695" t="s">
        <v>272</v>
      </c>
      <c r="IE695" t="s">
        <v>1652</v>
      </c>
      <c r="IF695">
        <v>16613</v>
      </c>
      <c r="IG695" t="s">
        <v>1653</v>
      </c>
      <c r="IH695" t="s">
        <v>1654</v>
      </c>
      <c r="II695">
        <v>1994</v>
      </c>
      <c r="IJ695" t="s">
        <v>1655</v>
      </c>
    </row>
    <row r="696" spans="1:244" x14ac:dyDescent="0.45">
      <c r="A696">
        <v>2170781</v>
      </c>
      <c r="B696">
        <v>2336407</v>
      </c>
      <c r="C696">
        <v>7487947</v>
      </c>
      <c r="D696" t="s">
        <v>1602</v>
      </c>
      <c r="E696" t="s">
        <v>415</v>
      </c>
      <c r="F696" t="s">
        <v>245</v>
      </c>
      <c r="G696" t="s">
        <v>272</v>
      </c>
      <c r="N696" t="s">
        <v>416</v>
      </c>
      <c r="O696" t="s">
        <v>417</v>
      </c>
      <c r="P696" t="s">
        <v>249</v>
      </c>
      <c r="Q696" t="s">
        <v>250</v>
      </c>
      <c r="R696" t="s">
        <v>251</v>
      </c>
      <c r="T696" t="s">
        <v>252</v>
      </c>
      <c r="U696" t="s">
        <v>253</v>
      </c>
      <c r="V696" t="s">
        <v>418</v>
      </c>
      <c r="W696" t="s">
        <v>419</v>
      </c>
      <c r="X696" t="s">
        <v>420</v>
      </c>
      <c r="AJ696" t="s">
        <v>285</v>
      </c>
      <c r="AL696" t="s">
        <v>1622</v>
      </c>
      <c r="AM696" t="s">
        <v>287</v>
      </c>
      <c r="AN696" t="s">
        <v>259</v>
      </c>
      <c r="AO696" t="s">
        <v>260</v>
      </c>
      <c r="AP696">
        <v>6</v>
      </c>
      <c r="AQ696" t="s">
        <v>261</v>
      </c>
      <c r="AS696">
        <v>2.4E-2</v>
      </c>
      <c r="AU696">
        <v>2.1999999999999999E-2</v>
      </c>
      <c r="AW696">
        <v>3.2000000000000001E-2</v>
      </c>
      <c r="AX696" t="s">
        <v>356</v>
      </c>
      <c r="BO696" t="s">
        <v>261</v>
      </c>
      <c r="BQ696">
        <v>2.4E-2</v>
      </c>
      <c r="BS696">
        <v>2.1999999999999999E-2</v>
      </c>
      <c r="BU696">
        <v>3.2000000000000001E-2</v>
      </c>
      <c r="BV696" t="s">
        <v>263</v>
      </c>
      <c r="CM696" t="s">
        <v>264</v>
      </c>
      <c r="CN696" t="s">
        <v>264</v>
      </c>
      <c r="CP696" t="s">
        <v>265</v>
      </c>
      <c r="CQ696" t="s">
        <v>266</v>
      </c>
      <c r="DB696">
        <v>4</v>
      </c>
      <c r="DG696" t="s">
        <v>267</v>
      </c>
      <c r="DI696">
        <v>96</v>
      </c>
      <c r="DN696" t="s">
        <v>268</v>
      </c>
      <c r="DS696">
        <v>1009</v>
      </c>
      <c r="DV696">
        <v>96</v>
      </c>
      <c r="EA696" t="s">
        <v>268</v>
      </c>
      <c r="EC696">
        <v>4</v>
      </c>
      <c r="EH696" t="s">
        <v>267</v>
      </c>
      <c r="EJ696">
        <v>96</v>
      </c>
      <c r="EO696" t="s">
        <v>268</v>
      </c>
      <c r="EQ696">
        <v>4</v>
      </c>
      <c r="EV696" t="s">
        <v>267</v>
      </c>
      <c r="EW696" t="s">
        <v>293</v>
      </c>
      <c r="EZ696">
        <v>10</v>
      </c>
      <c r="FM696">
        <v>24.1</v>
      </c>
      <c r="FR696" t="s">
        <v>295</v>
      </c>
      <c r="GG696" t="s">
        <v>288</v>
      </c>
      <c r="GH696">
        <v>60</v>
      </c>
      <c r="GM696" t="s">
        <v>900</v>
      </c>
      <c r="GO696">
        <v>6.8</v>
      </c>
      <c r="GU696">
        <v>5</v>
      </c>
      <c r="GZ696" t="s">
        <v>296</v>
      </c>
      <c r="HH696" t="s">
        <v>272</v>
      </c>
      <c r="ID696" t="s">
        <v>1623</v>
      </c>
      <c r="IE696" t="s">
        <v>1624</v>
      </c>
      <c r="IF696">
        <v>172254</v>
      </c>
      <c r="IG696" t="s">
        <v>1625</v>
      </c>
      <c r="IH696" t="s">
        <v>1626</v>
      </c>
      <c r="II696">
        <v>2002</v>
      </c>
      <c r="IJ696" t="s">
        <v>1627</v>
      </c>
    </row>
    <row r="697" spans="1:244" x14ac:dyDescent="0.45">
      <c r="A697">
        <v>2170781</v>
      </c>
      <c r="B697">
        <v>2336405</v>
      </c>
      <c r="C697">
        <v>7487947</v>
      </c>
      <c r="D697" t="s">
        <v>1602</v>
      </c>
      <c r="E697" t="s">
        <v>415</v>
      </c>
      <c r="F697" t="s">
        <v>245</v>
      </c>
      <c r="G697" t="s">
        <v>272</v>
      </c>
      <c r="N697" t="s">
        <v>416</v>
      </c>
      <c r="O697" t="s">
        <v>417</v>
      </c>
      <c r="P697" t="s">
        <v>249</v>
      </c>
      <c r="Q697" t="s">
        <v>250</v>
      </c>
      <c r="R697" t="s">
        <v>251</v>
      </c>
      <c r="T697" t="s">
        <v>252</v>
      </c>
      <c r="U697" t="s">
        <v>253</v>
      </c>
      <c r="V697" t="s">
        <v>418</v>
      </c>
      <c r="W697" t="s">
        <v>419</v>
      </c>
      <c r="X697" t="s">
        <v>420</v>
      </c>
      <c r="AJ697" t="s">
        <v>285</v>
      </c>
      <c r="AL697" t="s">
        <v>1622</v>
      </c>
      <c r="AM697" t="s">
        <v>287</v>
      </c>
      <c r="AN697" t="s">
        <v>259</v>
      </c>
      <c r="AO697" t="s">
        <v>260</v>
      </c>
      <c r="AP697">
        <v>6</v>
      </c>
      <c r="AQ697" t="s">
        <v>261</v>
      </c>
      <c r="AS697">
        <v>0.03</v>
      </c>
      <c r="AU697">
        <v>2.8000000000000001E-2</v>
      </c>
      <c r="AW697">
        <v>3.2000000000000001E-2</v>
      </c>
      <c r="AX697" t="s">
        <v>356</v>
      </c>
      <c r="BO697" t="s">
        <v>261</v>
      </c>
      <c r="BQ697">
        <v>0.03</v>
      </c>
      <c r="BS697">
        <v>2.8000000000000001E-2</v>
      </c>
      <c r="BU697">
        <v>3.2000000000000001E-2</v>
      </c>
      <c r="BV697" t="s">
        <v>263</v>
      </c>
      <c r="CM697" t="s">
        <v>264</v>
      </c>
      <c r="CN697" t="s">
        <v>264</v>
      </c>
      <c r="CP697" t="s">
        <v>265</v>
      </c>
      <c r="CQ697" t="s">
        <v>266</v>
      </c>
      <c r="DB697">
        <v>2</v>
      </c>
      <c r="DG697" t="s">
        <v>267</v>
      </c>
      <c r="DI697">
        <v>48</v>
      </c>
      <c r="DN697" t="s">
        <v>268</v>
      </c>
      <c r="DS697">
        <v>1009</v>
      </c>
      <c r="DV697">
        <v>96</v>
      </c>
      <c r="EA697" t="s">
        <v>268</v>
      </c>
      <c r="EC697">
        <v>4</v>
      </c>
      <c r="EH697" t="s">
        <v>267</v>
      </c>
      <c r="EJ697">
        <v>96</v>
      </c>
      <c r="EO697" t="s">
        <v>268</v>
      </c>
      <c r="EQ697">
        <v>4</v>
      </c>
      <c r="EV697" t="s">
        <v>267</v>
      </c>
      <c r="EW697" t="s">
        <v>293</v>
      </c>
      <c r="EZ697">
        <v>10</v>
      </c>
      <c r="FM697">
        <v>24.1</v>
      </c>
      <c r="FR697" t="s">
        <v>295</v>
      </c>
      <c r="GG697" t="s">
        <v>288</v>
      </c>
      <c r="GH697">
        <v>60</v>
      </c>
      <c r="GM697" t="s">
        <v>900</v>
      </c>
      <c r="GO697">
        <v>6.8</v>
      </c>
      <c r="GU697">
        <v>5</v>
      </c>
      <c r="GZ697" t="s">
        <v>296</v>
      </c>
      <c r="HH697" t="s">
        <v>272</v>
      </c>
      <c r="ID697" t="s">
        <v>1623</v>
      </c>
      <c r="IE697" t="s">
        <v>1624</v>
      </c>
      <c r="IF697">
        <v>172254</v>
      </c>
      <c r="IG697" t="s">
        <v>1625</v>
      </c>
      <c r="IH697" t="s">
        <v>1626</v>
      </c>
      <c r="II697">
        <v>2002</v>
      </c>
      <c r="IJ697" t="s">
        <v>1627</v>
      </c>
    </row>
    <row r="698" spans="1:244" x14ac:dyDescent="0.45">
      <c r="A698">
        <v>2170781</v>
      </c>
      <c r="B698">
        <v>2336406</v>
      </c>
      <c r="C698">
        <v>7487947</v>
      </c>
      <c r="D698" t="s">
        <v>1602</v>
      </c>
      <c r="E698" t="s">
        <v>415</v>
      </c>
      <c r="F698" t="s">
        <v>245</v>
      </c>
      <c r="G698" t="s">
        <v>272</v>
      </c>
      <c r="N698" t="s">
        <v>416</v>
      </c>
      <c r="O698" t="s">
        <v>417</v>
      </c>
      <c r="P698" t="s">
        <v>249</v>
      </c>
      <c r="Q698" t="s">
        <v>250</v>
      </c>
      <c r="R698" t="s">
        <v>251</v>
      </c>
      <c r="T698" t="s">
        <v>252</v>
      </c>
      <c r="U698" t="s">
        <v>253</v>
      </c>
      <c r="V698" t="s">
        <v>418</v>
      </c>
      <c r="W698" t="s">
        <v>419</v>
      </c>
      <c r="X698" t="s">
        <v>420</v>
      </c>
      <c r="AJ698" t="s">
        <v>285</v>
      </c>
      <c r="AL698" t="s">
        <v>1622</v>
      </c>
      <c r="AM698" t="s">
        <v>287</v>
      </c>
      <c r="AN698" t="s">
        <v>259</v>
      </c>
      <c r="AO698" t="s">
        <v>260</v>
      </c>
      <c r="AP698">
        <v>6</v>
      </c>
      <c r="AQ698" t="s">
        <v>261</v>
      </c>
      <c r="AS698">
        <v>2.8000000000000001E-2</v>
      </c>
      <c r="AU698">
        <v>2.5000000000000001E-2</v>
      </c>
      <c r="AW698">
        <v>3.5999999999999997E-2</v>
      </c>
      <c r="AX698" t="s">
        <v>356</v>
      </c>
      <c r="BO698" t="s">
        <v>261</v>
      </c>
      <c r="BQ698">
        <v>2.8000000000000001E-2</v>
      </c>
      <c r="BS698">
        <v>2.5000000000000001E-2</v>
      </c>
      <c r="BU698">
        <v>3.5999999999999997E-2</v>
      </c>
      <c r="BV698" t="s">
        <v>263</v>
      </c>
      <c r="CM698" t="s">
        <v>264</v>
      </c>
      <c r="CN698" t="s">
        <v>264</v>
      </c>
      <c r="CP698" t="s">
        <v>265</v>
      </c>
      <c r="CQ698" t="s">
        <v>266</v>
      </c>
      <c r="DB698">
        <v>3</v>
      </c>
      <c r="DG698" t="s">
        <v>267</v>
      </c>
      <c r="DI698">
        <v>72</v>
      </c>
      <c r="DN698" t="s">
        <v>268</v>
      </c>
      <c r="DS698">
        <v>1009</v>
      </c>
      <c r="DV698">
        <v>96</v>
      </c>
      <c r="EA698" t="s">
        <v>268</v>
      </c>
      <c r="EC698">
        <v>4</v>
      </c>
      <c r="EH698" t="s">
        <v>267</v>
      </c>
      <c r="EJ698">
        <v>96</v>
      </c>
      <c r="EO698" t="s">
        <v>268</v>
      </c>
      <c r="EQ698">
        <v>4</v>
      </c>
      <c r="EV698" t="s">
        <v>267</v>
      </c>
      <c r="EW698" t="s">
        <v>293</v>
      </c>
      <c r="EZ698">
        <v>10</v>
      </c>
      <c r="FM698">
        <v>24.1</v>
      </c>
      <c r="FR698" t="s">
        <v>295</v>
      </c>
      <c r="GG698" t="s">
        <v>288</v>
      </c>
      <c r="GH698">
        <v>60</v>
      </c>
      <c r="GM698" t="s">
        <v>900</v>
      </c>
      <c r="GO698">
        <v>6.8</v>
      </c>
      <c r="GU698">
        <v>5</v>
      </c>
      <c r="GZ698" t="s">
        <v>296</v>
      </c>
      <c r="HH698" t="s">
        <v>272</v>
      </c>
      <c r="ID698" t="s">
        <v>1623</v>
      </c>
      <c r="IE698" t="s">
        <v>1624</v>
      </c>
      <c r="IF698">
        <v>172254</v>
      </c>
      <c r="IG698" t="s">
        <v>1625</v>
      </c>
      <c r="IH698" t="s">
        <v>1626</v>
      </c>
      <c r="II698">
        <v>2002</v>
      </c>
      <c r="IJ698" t="s">
        <v>1627</v>
      </c>
    </row>
    <row r="699" spans="1:244" x14ac:dyDescent="0.45">
      <c r="A699">
        <v>1048990</v>
      </c>
      <c r="B699">
        <v>25173</v>
      </c>
      <c r="C699">
        <v>7487947</v>
      </c>
      <c r="D699" t="s">
        <v>1602</v>
      </c>
      <c r="F699" t="s">
        <v>245</v>
      </c>
      <c r="G699" t="s">
        <v>246</v>
      </c>
      <c r="N699" t="s">
        <v>690</v>
      </c>
      <c r="O699" t="s">
        <v>691</v>
      </c>
      <c r="P699" t="s">
        <v>249</v>
      </c>
      <c r="Q699" t="s">
        <v>250</v>
      </c>
      <c r="R699" t="s">
        <v>251</v>
      </c>
      <c r="T699" t="s">
        <v>252</v>
      </c>
      <c r="U699" t="s">
        <v>253</v>
      </c>
      <c r="V699" t="s">
        <v>418</v>
      </c>
      <c r="W699" t="s">
        <v>419</v>
      </c>
      <c r="X699" t="s">
        <v>692</v>
      </c>
      <c r="Z699" t="s">
        <v>284</v>
      </c>
      <c r="AM699" t="s">
        <v>317</v>
      </c>
      <c r="AN699" t="s">
        <v>259</v>
      </c>
      <c r="AO699" t="s">
        <v>260</v>
      </c>
      <c r="AQ699" t="s">
        <v>261</v>
      </c>
      <c r="AS699">
        <v>18</v>
      </c>
      <c r="AX699" t="s">
        <v>262</v>
      </c>
      <c r="BO699" t="s">
        <v>261</v>
      </c>
      <c r="BQ699">
        <v>1.7999999999999999E-2</v>
      </c>
      <c r="BV699" t="s">
        <v>263</v>
      </c>
      <c r="CM699" t="s">
        <v>264</v>
      </c>
      <c r="CN699" t="s">
        <v>264</v>
      </c>
      <c r="CP699" t="s">
        <v>265</v>
      </c>
      <c r="CQ699" t="s">
        <v>266</v>
      </c>
      <c r="DB699">
        <v>2</v>
      </c>
      <c r="DG699" t="s">
        <v>267</v>
      </c>
      <c r="DI699">
        <v>48</v>
      </c>
      <c r="DN699" t="s">
        <v>268</v>
      </c>
      <c r="DR699">
        <v>139456</v>
      </c>
      <c r="DS699">
        <v>3044</v>
      </c>
      <c r="EW699" t="s">
        <v>271</v>
      </c>
      <c r="HH699" t="s">
        <v>272</v>
      </c>
      <c r="IE699" t="s">
        <v>1743</v>
      </c>
      <c r="IF699">
        <v>3232</v>
      </c>
      <c r="IG699" t="s">
        <v>1744</v>
      </c>
      <c r="IH699" t="s">
        <v>1745</v>
      </c>
      <c r="II699">
        <v>1988</v>
      </c>
      <c r="IJ699" t="s">
        <v>1746</v>
      </c>
    </row>
    <row r="700" spans="1:244" x14ac:dyDescent="0.45">
      <c r="A700">
        <v>1078442</v>
      </c>
      <c r="B700">
        <v>112792</v>
      </c>
      <c r="C700">
        <v>7487947</v>
      </c>
      <c r="D700" t="s">
        <v>1602</v>
      </c>
      <c r="F700" t="s">
        <v>245</v>
      </c>
      <c r="G700" t="s">
        <v>246</v>
      </c>
      <c r="N700" t="s">
        <v>452</v>
      </c>
      <c r="O700" t="s">
        <v>346</v>
      </c>
      <c r="P700" t="s">
        <v>249</v>
      </c>
      <c r="Q700" t="s">
        <v>250</v>
      </c>
      <c r="R700" t="s">
        <v>251</v>
      </c>
      <c r="T700" t="s">
        <v>347</v>
      </c>
      <c r="U700" t="s">
        <v>348</v>
      </c>
      <c r="V700" t="s">
        <v>349</v>
      </c>
      <c r="W700" t="s">
        <v>350</v>
      </c>
      <c r="X700" t="s">
        <v>453</v>
      </c>
      <c r="AJ700" t="s">
        <v>285</v>
      </c>
      <c r="AM700" t="s">
        <v>317</v>
      </c>
      <c r="AN700" t="s">
        <v>259</v>
      </c>
      <c r="AO700" t="s">
        <v>260</v>
      </c>
      <c r="AP700" t="s">
        <v>1644</v>
      </c>
      <c r="AQ700" t="s">
        <v>261</v>
      </c>
      <c r="AS700">
        <v>42</v>
      </c>
      <c r="AX700" t="s">
        <v>290</v>
      </c>
      <c r="BO700" t="s">
        <v>261</v>
      </c>
      <c r="BQ700">
        <v>4.2000000000000003E-2</v>
      </c>
      <c r="BV700" t="s">
        <v>263</v>
      </c>
      <c r="CM700" t="s">
        <v>264</v>
      </c>
      <c r="CN700" t="s">
        <v>264</v>
      </c>
      <c r="CP700" t="s">
        <v>265</v>
      </c>
      <c r="CQ700" t="s">
        <v>266</v>
      </c>
      <c r="DB700">
        <v>1</v>
      </c>
      <c r="DG700" t="s">
        <v>267</v>
      </c>
      <c r="DI700">
        <v>24</v>
      </c>
      <c r="DN700" t="s">
        <v>268</v>
      </c>
      <c r="DR700">
        <v>85549</v>
      </c>
      <c r="DS700">
        <v>366</v>
      </c>
      <c r="EW700" t="s">
        <v>293</v>
      </c>
      <c r="FA700" t="s">
        <v>1645</v>
      </c>
      <c r="FK700" t="s">
        <v>1824</v>
      </c>
      <c r="FO700">
        <v>13</v>
      </c>
      <c r="FQ700">
        <v>21</v>
      </c>
      <c r="FR700" t="s">
        <v>295</v>
      </c>
      <c r="GW700">
        <v>27</v>
      </c>
      <c r="GY700">
        <v>36</v>
      </c>
      <c r="GZ700" t="s">
        <v>296</v>
      </c>
      <c r="HH700" t="s">
        <v>272</v>
      </c>
      <c r="ID700" t="s">
        <v>1825</v>
      </c>
      <c r="IE700" t="s">
        <v>1648</v>
      </c>
      <c r="IF700">
        <v>6045</v>
      </c>
      <c r="IG700" t="s">
        <v>1649</v>
      </c>
      <c r="IH700" t="s">
        <v>1650</v>
      </c>
      <c r="II700">
        <v>1976</v>
      </c>
      <c r="IJ700" t="s">
        <v>1651</v>
      </c>
    </row>
    <row r="701" spans="1:244" x14ac:dyDescent="0.45">
      <c r="A701">
        <v>2170782</v>
      </c>
      <c r="B701">
        <v>2336410</v>
      </c>
      <c r="C701">
        <v>7487947</v>
      </c>
      <c r="D701" t="s">
        <v>1602</v>
      </c>
      <c r="E701" t="s">
        <v>415</v>
      </c>
      <c r="F701" t="s">
        <v>245</v>
      </c>
      <c r="G701" t="s">
        <v>272</v>
      </c>
      <c r="N701" t="s">
        <v>416</v>
      </c>
      <c r="O701" t="s">
        <v>417</v>
      </c>
      <c r="P701" t="s">
        <v>249</v>
      </c>
      <c r="Q701" t="s">
        <v>250</v>
      </c>
      <c r="R701" t="s">
        <v>251</v>
      </c>
      <c r="T701" t="s">
        <v>252</v>
      </c>
      <c r="U701" t="s">
        <v>253</v>
      </c>
      <c r="V701" t="s">
        <v>418</v>
      </c>
      <c r="W701" t="s">
        <v>419</v>
      </c>
      <c r="X701" t="s">
        <v>420</v>
      </c>
      <c r="AJ701" t="s">
        <v>285</v>
      </c>
      <c r="AL701" t="s">
        <v>1622</v>
      </c>
      <c r="AM701" t="s">
        <v>287</v>
      </c>
      <c r="AN701" t="s">
        <v>259</v>
      </c>
      <c r="AO701" t="s">
        <v>260</v>
      </c>
      <c r="AP701">
        <v>6</v>
      </c>
      <c r="AQ701" t="s">
        <v>261</v>
      </c>
      <c r="AS701">
        <v>0.03</v>
      </c>
      <c r="AU701">
        <v>2.4E-2</v>
      </c>
      <c r="AW701">
        <v>3.5999999999999997E-2</v>
      </c>
      <c r="AX701" t="s">
        <v>356</v>
      </c>
      <c r="BO701" t="s">
        <v>261</v>
      </c>
      <c r="BQ701">
        <v>0.03</v>
      </c>
      <c r="BS701">
        <v>2.4E-2</v>
      </c>
      <c r="BU701">
        <v>3.5999999999999997E-2</v>
      </c>
      <c r="BV701" t="s">
        <v>263</v>
      </c>
      <c r="CM701" t="s">
        <v>264</v>
      </c>
      <c r="CN701" t="s">
        <v>264</v>
      </c>
      <c r="CP701" t="s">
        <v>265</v>
      </c>
      <c r="CQ701" t="s">
        <v>266</v>
      </c>
      <c r="DB701">
        <v>3</v>
      </c>
      <c r="DG701" t="s">
        <v>267</v>
      </c>
      <c r="DI701">
        <v>72</v>
      </c>
      <c r="DN701" t="s">
        <v>268</v>
      </c>
      <c r="DS701">
        <v>1009</v>
      </c>
      <c r="DV701">
        <v>96</v>
      </c>
      <c r="EA701" t="s">
        <v>268</v>
      </c>
      <c r="EC701">
        <v>4</v>
      </c>
      <c r="EH701" t="s">
        <v>267</v>
      </c>
      <c r="EJ701">
        <v>96</v>
      </c>
      <c r="EO701" t="s">
        <v>268</v>
      </c>
      <c r="EQ701">
        <v>4</v>
      </c>
      <c r="EV701" t="s">
        <v>267</v>
      </c>
      <c r="EW701" t="s">
        <v>293</v>
      </c>
      <c r="EZ701">
        <v>10</v>
      </c>
      <c r="FM701">
        <v>24.1</v>
      </c>
      <c r="FR701" t="s">
        <v>295</v>
      </c>
      <c r="GG701" t="s">
        <v>288</v>
      </c>
      <c r="GH701">
        <v>60</v>
      </c>
      <c r="GM701" t="s">
        <v>900</v>
      </c>
      <c r="GO701">
        <v>6.8</v>
      </c>
      <c r="GU701">
        <v>15</v>
      </c>
      <c r="GZ701" t="s">
        <v>296</v>
      </c>
      <c r="HH701" t="s">
        <v>272</v>
      </c>
      <c r="ID701" t="s">
        <v>1623</v>
      </c>
      <c r="IE701" t="s">
        <v>1624</v>
      </c>
      <c r="IF701">
        <v>172254</v>
      </c>
      <c r="IG701" t="s">
        <v>1625</v>
      </c>
      <c r="IH701" t="s">
        <v>1626</v>
      </c>
      <c r="II701">
        <v>2002</v>
      </c>
      <c r="IJ701" t="s">
        <v>1627</v>
      </c>
    </row>
    <row r="702" spans="1:244" x14ac:dyDescent="0.45">
      <c r="A702">
        <v>1328200</v>
      </c>
      <c r="B702">
        <v>787708</v>
      </c>
      <c r="C702">
        <v>7487947</v>
      </c>
      <c r="D702" t="s">
        <v>1602</v>
      </c>
      <c r="F702" t="s">
        <v>245</v>
      </c>
      <c r="G702" t="s">
        <v>246</v>
      </c>
      <c r="N702" t="s">
        <v>916</v>
      </c>
      <c r="O702" t="s">
        <v>917</v>
      </c>
      <c r="P702" t="s">
        <v>249</v>
      </c>
      <c r="Q702" t="s">
        <v>250</v>
      </c>
      <c r="R702" t="s">
        <v>251</v>
      </c>
      <c r="T702" t="s">
        <v>252</v>
      </c>
      <c r="U702" t="s">
        <v>253</v>
      </c>
      <c r="V702" t="s">
        <v>304</v>
      </c>
      <c r="W702" t="s">
        <v>305</v>
      </c>
      <c r="X702" t="s">
        <v>918</v>
      </c>
      <c r="AL702" t="s">
        <v>1826</v>
      </c>
      <c r="AM702" t="s">
        <v>317</v>
      </c>
      <c r="AN702" t="s">
        <v>259</v>
      </c>
      <c r="AO702" t="s">
        <v>260</v>
      </c>
      <c r="AQ702" t="s">
        <v>261</v>
      </c>
      <c r="AS702">
        <v>12.4</v>
      </c>
      <c r="AX702" t="s">
        <v>1167</v>
      </c>
      <c r="BO702" t="s">
        <v>261</v>
      </c>
      <c r="BQ702">
        <v>3.3665503999999999</v>
      </c>
      <c r="BV702" t="s">
        <v>263</v>
      </c>
      <c r="CM702" t="s">
        <v>264</v>
      </c>
      <c r="CN702" t="s">
        <v>264</v>
      </c>
      <c r="CP702" t="s">
        <v>265</v>
      </c>
      <c r="DB702">
        <v>1</v>
      </c>
      <c r="DG702" t="s">
        <v>267</v>
      </c>
      <c r="DI702">
        <v>24</v>
      </c>
      <c r="DN702" t="s">
        <v>268</v>
      </c>
      <c r="DP702" t="s">
        <v>1634</v>
      </c>
      <c r="DR702">
        <v>645159</v>
      </c>
      <c r="DS702">
        <v>730</v>
      </c>
      <c r="DT702" t="s">
        <v>1827</v>
      </c>
      <c r="EW702" t="s">
        <v>293</v>
      </c>
      <c r="FA702" t="s">
        <v>397</v>
      </c>
      <c r="FK702" t="s">
        <v>1828</v>
      </c>
      <c r="FM702">
        <v>25</v>
      </c>
      <c r="FR702" t="s">
        <v>295</v>
      </c>
      <c r="GO702">
        <v>8</v>
      </c>
      <c r="HH702" t="s">
        <v>272</v>
      </c>
      <c r="ID702" t="s">
        <v>1829</v>
      </c>
      <c r="IE702" t="s">
        <v>1830</v>
      </c>
      <c r="IF702">
        <v>118989</v>
      </c>
      <c r="IG702" t="s">
        <v>1831</v>
      </c>
      <c r="IH702" t="s">
        <v>1832</v>
      </c>
      <c r="II702">
        <v>2008</v>
      </c>
      <c r="IJ702" t="s">
        <v>1833</v>
      </c>
    </row>
    <row r="703" spans="1:244" x14ac:dyDescent="0.45">
      <c r="A703">
        <v>2170782</v>
      </c>
      <c r="B703">
        <v>2336409</v>
      </c>
      <c r="C703">
        <v>7487947</v>
      </c>
      <c r="D703" t="s">
        <v>1602</v>
      </c>
      <c r="E703" t="s">
        <v>415</v>
      </c>
      <c r="F703" t="s">
        <v>245</v>
      </c>
      <c r="G703" t="s">
        <v>272</v>
      </c>
      <c r="N703" t="s">
        <v>416</v>
      </c>
      <c r="O703" t="s">
        <v>417</v>
      </c>
      <c r="P703" t="s">
        <v>249</v>
      </c>
      <c r="Q703" t="s">
        <v>250</v>
      </c>
      <c r="R703" t="s">
        <v>251</v>
      </c>
      <c r="T703" t="s">
        <v>252</v>
      </c>
      <c r="U703" t="s">
        <v>253</v>
      </c>
      <c r="V703" t="s">
        <v>418</v>
      </c>
      <c r="W703" t="s">
        <v>419</v>
      </c>
      <c r="X703" t="s">
        <v>420</v>
      </c>
      <c r="AJ703" t="s">
        <v>285</v>
      </c>
      <c r="AL703" t="s">
        <v>1622</v>
      </c>
      <c r="AM703" t="s">
        <v>287</v>
      </c>
      <c r="AN703" t="s">
        <v>259</v>
      </c>
      <c r="AO703" t="s">
        <v>260</v>
      </c>
      <c r="AP703">
        <v>6</v>
      </c>
      <c r="AQ703" t="s">
        <v>261</v>
      </c>
      <c r="AS703">
        <v>3.2000000000000001E-2</v>
      </c>
      <c r="AU703">
        <v>2.8000000000000001E-2</v>
      </c>
      <c r="AW703">
        <v>3.7999999999999999E-2</v>
      </c>
      <c r="AX703" t="s">
        <v>356</v>
      </c>
      <c r="BO703" t="s">
        <v>261</v>
      </c>
      <c r="BQ703">
        <v>3.2000000000000001E-2</v>
      </c>
      <c r="BS703">
        <v>2.8000000000000001E-2</v>
      </c>
      <c r="BU703">
        <v>3.7999999999999999E-2</v>
      </c>
      <c r="BV703" t="s">
        <v>263</v>
      </c>
      <c r="CM703" t="s">
        <v>264</v>
      </c>
      <c r="CN703" t="s">
        <v>264</v>
      </c>
      <c r="CP703" t="s">
        <v>265</v>
      </c>
      <c r="CQ703" t="s">
        <v>266</v>
      </c>
      <c r="DB703">
        <v>2</v>
      </c>
      <c r="DG703" t="s">
        <v>267</v>
      </c>
      <c r="DI703">
        <v>48</v>
      </c>
      <c r="DN703" t="s">
        <v>268</v>
      </c>
      <c r="DS703">
        <v>1009</v>
      </c>
      <c r="DV703">
        <v>96</v>
      </c>
      <c r="EA703" t="s">
        <v>268</v>
      </c>
      <c r="EC703">
        <v>4</v>
      </c>
      <c r="EH703" t="s">
        <v>267</v>
      </c>
      <c r="EJ703">
        <v>96</v>
      </c>
      <c r="EO703" t="s">
        <v>268</v>
      </c>
      <c r="EQ703">
        <v>4</v>
      </c>
      <c r="EV703" t="s">
        <v>267</v>
      </c>
      <c r="EW703" t="s">
        <v>293</v>
      </c>
      <c r="EZ703">
        <v>10</v>
      </c>
      <c r="FM703">
        <v>24.1</v>
      </c>
      <c r="FR703" t="s">
        <v>295</v>
      </c>
      <c r="GG703" t="s">
        <v>288</v>
      </c>
      <c r="GH703">
        <v>60</v>
      </c>
      <c r="GM703" t="s">
        <v>900</v>
      </c>
      <c r="GO703">
        <v>6.8</v>
      </c>
      <c r="GU703">
        <v>15</v>
      </c>
      <c r="GZ703" t="s">
        <v>296</v>
      </c>
      <c r="HH703" t="s">
        <v>272</v>
      </c>
      <c r="ID703" t="s">
        <v>1623</v>
      </c>
      <c r="IE703" t="s">
        <v>1624</v>
      </c>
      <c r="IF703">
        <v>172254</v>
      </c>
      <c r="IG703" t="s">
        <v>1625</v>
      </c>
      <c r="IH703" t="s">
        <v>1626</v>
      </c>
      <c r="II703">
        <v>2002</v>
      </c>
      <c r="IJ703" t="s">
        <v>1627</v>
      </c>
    </row>
    <row r="704" spans="1:244" x14ac:dyDescent="0.45">
      <c r="A704">
        <v>2170782</v>
      </c>
      <c r="B704">
        <v>2336408</v>
      </c>
      <c r="C704">
        <v>7487947</v>
      </c>
      <c r="D704" t="s">
        <v>1602</v>
      </c>
      <c r="E704" t="s">
        <v>415</v>
      </c>
      <c r="F704" t="s">
        <v>245</v>
      </c>
      <c r="G704" t="s">
        <v>272</v>
      </c>
      <c r="N704" t="s">
        <v>416</v>
      </c>
      <c r="O704" t="s">
        <v>417</v>
      </c>
      <c r="P704" t="s">
        <v>249</v>
      </c>
      <c r="Q704" t="s">
        <v>250</v>
      </c>
      <c r="R704" t="s">
        <v>251</v>
      </c>
      <c r="T704" t="s">
        <v>252</v>
      </c>
      <c r="U704" t="s">
        <v>253</v>
      </c>
      <c r="V704" t="s">
        <v>418</v>
      </c>
      <c r="W704" t="s">
        <v>419</v>
      </c>
      <c r="X704" t="s">
        <v>420</v>
      </c>
      <c r="AJ704" t="s">
        <v>285</v>
      </c>
      <c r="AL704" t="s">
        <v>1622</v>
      </c>
      <c r="AM704" t="s">
        <v>287</v>
      </c>
      <c r="AN704" t="s">
        <v>259</v>
      </c>
      <c r="AO704" t="s">
        <v>260</v>
      </c>
      <c r="AP704">
        <v>6</v>
      </c>
      <c r="AQ704" t="s">
        <v>261</v>
      </c>
      <c r="AS704">
        <v>3.9E-2</v>
      </c>
      <c r="AU704">
        <v>0.03</v>
      </c>
      <c r="AW704">
        <v>4.5999999999999999E-2</v>
      </c>
      <c r="AX704" t="s">
        <v>356</v>
      </c>
      <c r="BO704" t="s">
        <v>261</v>
      </c>
      <c r="BQ704">
        <v>3.9E-2</v>
      </c>
      <c r="BS704">
        <v>0.03</v>
      </c>
      <c r="BU704">
        <v>4.5999999999999999E-2</v>
      </c>
      <c r="BV704" t="s">
        <v>263</v>
      </c>
      <c r="CM704" t="s">
        <v>264</v>
      </c>
      <c r="CN704" t="s">
        <v>264</v>
      </c>
      <c r="CP704" t="s">
        <v>265</v>
      </c>
      <c r="CQ704" t="s">
        <v>266</v>
      </c>
      <c r="DB704">
        <v>1</v>
      </c>
      <c r="DG704" t="s">
        <v>267</v>
      </c>
      <c r="DI704">
        <v>24</v>
      </c>
      <c r="DN704" t="s">
        <v>268</v>
      </c>
      <c r="DS704">
        <v>1009</v>
      </c>
      <c r="DV704">
        <v>96</v>
      </c>
      <c r="EA704" t="s">
        <v>268</v>
      </c>
      <c r="EC704">
        <v>4</v>
      </c>
      <c r="EH704" t="s">
        <v>267</v>
      </c>
      <c r="EJ704">
        <v>96</v>
      </c>
      <c r="EO704" t="s">
        <v>268</v>
      </c>
      <c r="EQ704">
        <v>4</v>
      </c>
      <c r="EV704" t="s">
        <v>267</v>
      </c>
      <c r="EW704" t="s">
        <v>293</v>
      </c>
      <c r="EZ704">
        <v>10</v>
      </c>
      <c r="FM704">
        <v>24.1</v>
      </c>
      <c r="FR704" t="s">
        <v>295</v>
      </c>
      <c r="GG704" t="s">
        <v>288</v>
      </c>
      <c r="GH704">
        <v>60</v>
      </c>
      <c r="GM704" t="s">
        <v>900</v>
      </c>
      <c r="GO704">
        <v>6.8</v>
      </c>
      <c r="GU704">
        <v>15</v>
      </c>
      <c r="GZ704" t="s">
        <v>296</v>
      </c>
      <c r="HH704" t="s">
        <v>272</v>
      </c>
      <c r="ID704" t="s">
        <v>1623</v>
      </c>
      <c r="IE704" t="s">
        <v>1624</v>
      </c>
      <c r="IF704">
        <v>172254</v>
      </c>
      <c r="IG704" t="s">
        <v>1625</v>
      </c>
      <c r="IH704" t="s">
        <v>1626</v>
      </c>
      <c r="II704">
        <v>2002</v>
      </c>
      <c r="IJ704" t="s">
        <v>1627</v>
      </c>
    </row>
    <row r="705" spans="1:244" x14ac:dyDescent="0.45">
      <c r="A705">
        <v>2170782</v>
      </c>
      <c r="B705">
        <v>2336411</v>
      </c>
      <c r="C705">
        <v>7487947</v>
      </c>
      <c r="D705" t="s">
        <v>1602</v>
      </c>
      <c r="E705" t="s">
        <v>415</v>
      </c>
      <c r="F705" t="s">
        <v>245</v>
      </c>
      <c r="G705" t="s">
        <v>272</v>
      </c>
      <c r="N705" t="s">
        <v>416</v>
      </c>
      <c r="O705" t="s">
        <v>417</v>
      </c>
      <c r="P705" t="s">
        <v>249</v>
      </c>
      <c r="Q705" t="s">
        <v>250</v>
      </c>
      <c r="R705" t="s">
        <v>251</v>
      </c>
      <c r="T705" t="s">
        <v>252</v>
      </c>
      <c r="U705" t="s">
        <v>253</v>
      </c>
      <c r="V705" t="s">
        <v>418</v>
      </c>
      <c r="W705" t="s">
        <v>419</v>
      </c>
      <c r="X705" t="s">
        <v>420</v>
      </c>
      <c r="AJ705" t="s">
        <v>285</v>
      </c>
      <c r="AL705" t="s">
        <v>1622</v>
      </c>
      <c r="AM705" t="s">
        <v>287</v>
      </c>
      <c r="AN705" t="s">
        <v>259</v>
      </c>
      <c r="AO705" t="s">
        <v>260</v>
      </c>
      <c r="AP705">
        <v>6</v>
      </c>
      <c r="AQ705" t="s">
        <v>261</v>
      </c>
      <c r="AS705">
        <v>2.5999999999999999E-2</v>
      </c>
      <c r="AU705">
        <v>0.02</v>
      </c>
      <c r="AW705">
        <v>2.8000000000000001E-2</v>
      </c>
      <c r="AX705" t="s">
        <v>356</v>
      </c>
      <c r="BO705" t="s">
        <v>261</v>
      </c>
      <c r="BQ705">
        <v>2.5999999999999999E-2</v>
      </c>
      <c r="BS705">
        <v>0.02</v>
      </c>
      <c r="BU705">
        <v>2.8000000000000001E-2</v>
      </c>
      <c r="BV705" t="s">
        <v>263</v>
      </c>
      <c r="CM705" t="s">
        <v>264</v>
      </c>
      <c r="CN705" t="s">
        <v>264</v>
      </c>
      <c r="CP705" t="s">
        <v>265</v>
      </c>
      <c r="CQ705" t="s">
        <v>266</v>
      </c>
      <c r="DB705">
        <v>4</v>
      </c>
      <c r="DG705" t="s">
        <v>267</v>
      </c>
      <c r="DI705">
        <v>96</v>
      </c>
      <c r="DN705" t="s">
        <v>268</v>
      </c>
      <c r="DS705">
        <v>1009</v>
      </c>
      <c r="DV705">
        <v>96</v>
      </c>
      <c r="EA705" t="s">
        <v>268</v>
      </c>
      <c r="EC705">
        <v>4</v>
      </c>
      <c r="EH705" t="s">
        <v>267</v>
      </c>
      <c r="EJ705">
        <v>96</v>
      </c>
      <c r="EO705" t="s">
        <v>268</v>
      </c>
      <c r="EQ705">
        <v>4</v>
      </c>
      <c r="EV705" t="s">
        <v>267</v>
      </c>
      <c r="EW705" t="s">
        <v>293</v>
      </c>
      <c r="EZ705">
        <v>10</v>
      </c>
      <c r="FM705">
        <v>24.1</v>
      </c>
      <c r="FR705" t="s">
        <v>295</v>
      </c>
      <c r="GG705" t="s">
        <v>288</v>
      </c>
      <c r="GH705">
        <v>60</v>
      </c>
      <c r="GM705" t="s">
        <v>900</v>
      </c>
      <c r="GO705">
        <v>6.8</v>
      </c>
      <c r="GU705">
        <v>15</v>
      </c>
      <c r="GZ705" t="s">
        <v>296</v>
      </c>
      <c r="HH705" t="s">
        <v>272</v>
      </c>
      <c r="ID705" t="s">
        <v>1623</v>
      </c>
      <c r="IE705" t="s">
        <v>1624</v>
      </c>
      <c r="IF705">
        <v>172254</v>
      </c>
      <c r="IG705" t="s">
        <v>1625</v>
      </c>
      <c r="IH705" t="s">
        <v>1626</v>
      </c>
      <c r="II705">
        <v>2002</v>
      </c>
      <c r="IJ705" t="s">
        <v>1627</v>
      </c>
    </row>
    <row r="706" spans="1:244" x14ac:dyDescent="0.45">
      <c r="A706">
        <v>1151407</v>
      </c>
      <c r="B706">
        <v>83974</v>
      </c>
      <c r="C706">
        <v>7487947</v>
      </c>
      <c r="D706" t="s">
        <v>1602</v>
      </c>
      <c r="F706" t="s">
        <v>327</v>
      </c>
      <c r="G706" t="s">
        <v>246</v>
      </c>
      <c r="N706" t="s">
        <v>1064</v>
      </c>
      <c r="O706" t="s">
        <v>1065</v>
      </c>
      <c r="P706" t="s">
        <v>249</v>
      </c>
      <c r="Q706" t="s">
        <v>250</v>
      </c>
      <c r="R706" t="s">
        <v>251</v>
      </c>
      <c r="T706" t="s">
        <v>252</v>
      </c>
      <c r="U706" t="s">
        <v>253</v>
      </c>
      <c r="V706" t="s">
        <v>304</v>
      </c>
      <c r="W706" t="s">
        <v>1066</v>
      </c>
      <c r="X706" t="s">
        <v>1067</v>
      </c>
      <c r="Z706" t="s">
        <v>284</v>
      </c>
      <c r="AB706">
        <v>2</v>
      </c>
      <c r="AG706" t="s">
        <v>598</v>
      </c>
      <c r="AM706" t="s">
        <v>317</v>
      </c>
      <c r="AN706" t="s">
        <v>259</v>
      </c>
      <c r="AO706" t="s">
        <v>260</v>
      </c>
      <c r="AQ706" t="s">
        <v>261</v>
      </c>
      <c r="AS706">
        <v>105</v>
      </c>
      <c r="AX706" t="s">
        <v>262</v>
      </c>
      <c r="BO706" t="s">
        <v>261</v>
      </c>
      <c r="BQ706">
        <v>0.105</v>
      </c>
      <c r="BV706" t="s">
        <v>263</v>
      </c>
      <c r="CM706" t="s">
        <v>264</v>
      </c>
      <c r="CN706" t="s">
        <v>264</v>
      </c>
      <c r="CP706" t="s">
        <v>265</v>
      </c>
      <c r="CQ706" t="s">
        <v>266</v>
      </c>
      <c r="DB706">
        <v>4</v>
      </c>
      <c r="DG706" t="s">
        <v>267</v>
      </c>
      <c r="DI706">
        <v>96</v>
      </c>
      <c r="DN706" t="s">
        <v>268</v>
      </c>
      <c r="DP706" t="s">
        <v>1603</v>
      </c>
      <c r="DR706">
        <v>79674</v>
      </c>
      <c r="DS706">
        <v>648</v>
      </c>
      <c r="DT706" t="s">
        <v>1604</v>
      </c>
      <c r="EW706" t="s">
        <v>333</v>
      </c>
      <c r="FO706">
        <v>25.5</v>
      </c>
      <c r="FQ706">
        <v>27</v>
      </c>
      <c r="FR706" t="s">
        <v>295</v>
      </c>
      <c r="FT706">
        <v>400</v>
      </c>
      <c r="FY706" t="s">
        <v>572</v>
      </c>
      <c r="GJ706">
        <v>7</v>
      </c>
      <c r="GL706">
        <v>8</v>
      </c>
      <c r="GM706" t="s">
        <v>356</v>
      </c>
      <c r="GQ706">
        <v>7.5</v>
      </c>
      <c r="GS706">
        <v>8.5</v>
      </c>
      <c r="GU706">
        <v>12</v>
      </c>
      <c r="GZ706" t="s">
        <v>296</v>
      </c>
      <c r="HH706" t="s">
        <v>272</v>
      </c>
      <c r="IE706" t="s">
        <v>1605</v>
      </c>
      <c r="IF706">
        <v>12953</v>
      </c>
      <c r="IG706" t="s">
        <v>1606</v>
      </c>
      <c r="IH706" t="s">
        <v>1607</v>
      </c>
      <c r="II706">
        <v>1985</v>
      </c>
      <c r="IJ706" t="s">
        <v>1608</v>
      </c>
    </row>
    <row r="707" spans="1:244" x14ac:dyDescent="0.45">
      <c r="A707">
        <v>1141307</v>
      </c>
      <c r="B707">
        <v>121177</v>
      </c>
      <c r="C707">
        <v>7487947</v>
      </c>
      <c r="D707" t="s">
        <v>1602</v>
      </c>
      <c r="F707" t="s">
        <v>245</v>
      </c>
      <c r="G707" t="s">
        <v>246</v>
      </c>
      <c r="N707" t="s">
        <v>1800</v>
      </c>
      <c r="O707" t="s">
        <v>1801</v>
      </c>
      <c r="P707" t="s">
        <v>249</v>
      </c>
      <c r="Q707" t="s">
        <v>250</v>
      </c>
      <c r="R707" t="s">
        <v>251</v>
      </c>
      <c r="T707" t="s">
        <v>252</v>
      </c>
      <c r="U707" t="s">
        <v>253</v>
      </c>
      <c r="V707" t="s">
        <v>418</v>
      </c>
      <c r="W707" t="s">
        <v>847</v>
      </c>
      <c r="X707" t="s">
        <v>1802</v>
      </c>
      <c r="AL707" t="s">
        <v>1834</v>
      </c>
      <c r="AM707" t="s">
        <v>258</v>
      </c>
      <c r="AN707" t="s">
        <v>259</v>
      </c>
      <c r="AO707" t="s">
        <v>260</v>
      </c>
      <c r="AQ707" t="s">
        <v>261</v>
      </c>
      <c r="AS707">
        <v>40</v>
      </c>
      <c r="AU707">
        <v>31.8</v>
      </c>
      <c r="AW707">
        <v>50.2</v>
      </c>
      <c r="AX707" t="s">
        <v>262</v>
      </c>
      <c r="BO707" t="s">
        <v>261</v>
      </c>
      <c r="BQ707">
        <v>0.04</v>
      </c>
      <c r="BS707">
        <v>3.1800000000000002E-2</v>
      </c>
      <c r="BU707">
        <v>5.0200000000000002E-2</v>
      </c>
      <c r="BV707" t="s">
        <v>263</v>
      </c>
      <c r="CM707" t="s">
        <v>264</v>
      </c>
      <c r="CN707" t="s">
        <v>264</v>
      </c>
      <c r="CP707" t="s">
        <v>265</v>
      </c>
      <c r="CQ707" t="s">
        <v>266</v>
      </c>
      <c r="DB707">
        <v>2</v>
      </c>
      <c r="DG707" t="s">
        <v>267</v>
      </c>
      <c r="DI707">
        <v>48</v>
      </c>
      <c r="DN707" t="s">
        <v>268</v>
      </c>
      <c r="DP707" t="s">
        <v>1804</v>
      </c>
      <c r="DR707">
        <v>1378283</v>
      </c>
      <c r="DS707">
        <v>4579</v>
      </c>
      <c r="EW707" t="s">
        <v>271</v>
      </c>
      <c r="FM707">
        <v>27.5</v>
      </c>
      <c r="FR707" t="s">
        <v>295</v>
      </c>
      <c r="GG707" t="s">
        <v>288</v>
      </c>
      <c r="GH707">
        <v>60</v>
      </c>
      <c r="GM707" t="s">
        <v>900</v>
      </c>
      <c r="GU707">
        <v>15</v>
      </c>
      <c r="GZ707" t="s">
        <v>296</v>
      </c>
      <c r="HH707" t="s">
        <v>272</v>
      </c>
      <c r="IE707" t="s">
        <v>1805</v>
      </c>
      <c r="IF707">
        <v>11853</v>
      </c>
      <c r="IG707" t="s">
        <v>1806</v>
      </c>
      <c r="IH707" t="s">
        <v>1807</v>
      </c>
      <c r="II707">
        <v>1986</v>
      </c>
      <c r="IJ707" t="s">
        <v>1808</v>
      </c>
    </row>
    <row r="708" spans="1:244" x14ac:dyDescent="0.45">
      <c r="A708">
        <v>1204322</v>
      </c>
      <c r="B708">
        <v>209173</v>
      </c>
      <c r="C708">
        <v>7487947</v>
      </c>
      <c r="D708" t="s">
        <v>1602</v>
      </c>
      <c r="E708" t="s">
        <v>622</v>
      </c>
      <c r="F708" t="s">
        <v>245</v>
      </c>
      <c r="G708" t="s">
        <v>246</v>
      </c>
      <c r="N708" t="s">
        <v>253</v>
      </c>
      <c r="O708" t="s">
        <v>1835</v>
      </c>
      <c r="P708" t="s">
        <v>249</v>
      </c>
      <c r="Q708" t="s">
        <v>250</v>
      </c>
      <c r="R708" t="s">
        <v>251</v>
      </c>
      <c r="T708" t="s">
        <v>252</v>
      </c>
      <c r="U708" t="s">
        <v>253</v>
      </c>
      <c r="Z708" t="s">
        <v>284</v>
      </c>
      <c r="AA708" t="s">
        <v>289</v>
      </c>
      <c r="AB708">
        <v>8</v>
      </c>
      <c r="AG708" t="s">
        <v>268</v>
      </c>
      <c r="AL708" t="s">
        <v>1836</v>
      </c>
      <c r="AM708" t="s">
        <v>258</v>
      </c>
      <c r="AN708" t="s">
        <v>259</v>
      </c>
      <c r="AO708" t="s">
        <v>260</v>
      </c>
      <c r="AQ708" t="s">
        <v>261</v>
      </c>
      <c r="AS708">
        <v>33</v>
      </c>
      <c r="AU708">
        <v>25.4</v>
      </c>
      <c r="AW708">
        <v>42.9</v>
      </c>
      <c r="AX708" t="s">
        <v>262</v>
      </c>
      <c r="BO708" t="s">
        <v>261</v>
      </c>
      <c r="BQ708">
        <v>3.3000000000000002E-2</v>
      </c>
      <c r="BS708">
        <v>2.5399999999999999E-2</v>
      </c>
      <c r="BU708">
        <v>4.2900000000000001E-2</v>
      </c>
      <c r="BV708" t="s">
        <v>263</v>
      </c>
      <c r="CM708" t="s">
        <v>264</v>
      </c>
      <c r="CN708" t="s">
        <v>264</v>
      </c>
      <c r="CP708" t="s">
        <v>265</v>
      </c>
      <c r="DB708">
        <v>4</v>
      </c>
      <c r="DG708" t="s">
        <v>267</v>
      </c>
      <c r="DI708">
        <v>96</v>
      </c>
      <c r="DN708" t="s">
        <v>268</v>
      </c>
      <c r="DR708">
        <v>6683</v>
      </c>
      <c r="DS708">
        <v>813</v>
      </c>
      <c r="EW708" t="s">
        <v>293</v>
      </c>
      <c r="GU708">
        <v>25</v>
      </c>
      <c r="GZ708" t="s">
        <v>296</v>
      </c>
      <c r="HH708" t="s">
        <v>272</v>
      </c>
      <c r="IE708" t="s">
        <v>1820</v>
      </c>
      <c r="IF708">
        <v>18580</v>
      </c>
      <c r="IG708" t="s">
        <v>1821</v>
      </c>
      <c r="IH708" t="s">
        <v>1822</v>
      </c>
      <c r="II708">
        <v>1996</v>
      </c>
      <c r="IJ708" t="s">
        <v>1823</v>
      </c>
    </row>
    <row r="709" spans="1:244" x14ac:dyDescent="0.45">
      <c r="A709">
        <v>1139781</v>
      </c>
      <c r="B709">
        <v>94083</v>
      </c>
      <c r="C709">
        <v>7487947</v>
      </c>
      <c r="D709" t="s">
        <v>1602</v>
      </c>
      <c r="F709" t="s">
        <v>327</v>
      </c>
      <c r="G709" t="s">
        <v>246</v>
      </c>
      <c r="N709" t="s">
        <v>416</v>
      </c>
      <c r="O709" t="s">
        <v>417</v>
      </c>
      <c r="P709" t="s">
        <v>249</v>
      </c>
      <c r="Q709" t="s">
        <v>250</v>
      </c>
      <c r="R709" t="s">
        <v>251</v>
      </c>
      <c r="T709" t="s">
        <v>252</v>
      </c>
      <c r="U709" t="s">
        <v>253</v>
      </c>
      <c r="V709" t="s">
        <v>418</v>
      </c>
      <c r="W709" t="s">
        <v>419</v>
      </c>
      <c r="X709" t="s">
        <v>420</v>
      </c>
      <c r="AM709" t="s">
        <v>307</v>
      </c>
      <c r="AN709" t="s">
        <v>259</v>
      </c>
      <c r="AO709" t="s">
        <v>260</v>
      </c>
      <c r="AQ709" t="s">
        <v>261</v>
      </c>
      <c r="AS709">
        <v>15.3</v>
      </c>
      <c r="AX709" t="s">
        <v>262</v>
      </c>
      <c r="BO709" t="s">
        <v>261</v>
      </c>
      <c r="BQ709">
        <v>1.5299999999999999E-2</v>
      </c>
      <c r="BV709" t="s">
        <v>263</v>
      </c>
      <c r="CM709" t="s">
        <v>264</v>
      </c>
      <c r="CN709" t="s">
        <v>264</v>
      </c>
      <c r="CP709" t="s">
        <v>265</v>
      </c>
      <c r="CQ709" t="s">
        <v>266</v>
      </c>
      <c r="DB709">
        <v>4</v>
      </c>
      <c r="DG709" t="s">
        <v>267</v>
      </c>
      <c r="DI709">
        <v>96</v>
      </c>
      <c r="DN709" t="s">
        <v>268</v>
      </c>
      <c r="DS709">
        <v>1009</v>
      </c>
      <c r="EW709" t="s">
        <v>271</v>
      </c>
      <c r="GU709">
        <v>35</v>
      </c>
      <c r="GZ709" t="s">
        <v>296</v>
      </c>
      <c r="HH709" t="s">
        <v>272</v>
      </c>
      <c r="IE709" t="s">
        <v>1747</v>
      </c>
      <c r="IF709">
        <v>11646</v>
      </c>
      <c r="IG709" t="s">
        <v>1748</v>
      </c>
      <c r="IH709" t="s">
        <v>1749</v>
      </c>
      <c r="II709">
        <v>1984</v>
      </c>
      <c r="IJ709" t="s">
        <v>1750</v>
      </c>
    </row>
    <row r="710" spans="1:244" x14ac:dyDescent="0.45">
      <c r="A710">
        <v>2170779</v>
      </c>
      <c r="B710">
        <v>2336396</v>
      </c>
      <c r="C710">
        <v>7487947</v>
      </c>
      <c r="D710" t="s">
        <v>1602</v>
      </c>
      <c r="E710" t="s">
        <v>415</v>
      </c>
      <c r="F710" t="s">
        <v>245</v>
      </c>
      <c r="G710" t="s">
        <v>272</v>
      </c>
      <c r="N710" t="s">
        <v>958</v>
      </c>
      <c r="O710" t="s">
        <v>959</v>
      </c>
      <c r="P710" t="s">
        <v>249</v>
      </c>
      <c r="Q710" t="s">
        <v>250</v>
      </c>
      <c r="R710" t="s">
        <v>251</v>
      </c>
      <c r="T710" t="s">
        <v>252</v>
      </c>
      <c r="U710" t="s">
        <v>253</v>
      </c>
      <c r="V710" t="s">
        <v>418</v>
      </c>
      <c r="W710" t="s">
        <v>419</v>
      </c>
      <c r="X710" t="s">
        <v>960</v>
      </c>
      <c r="AJ710" t="s">
        <v>285</v>
      </c>
      <c r="AL710" t="s">
        <v>1719</v>
      </c>
      <c r="AM710" t="s">
        <v>287</v>
      </c>
      <c r="AN710" t="s">
        <v>259</v>
      </c>
      <c r="AO710" t="s">
        <v>260</v>
      </c>
      <c r="AP710">
        <v>6</v>
      </c>
      <c r="AQ710" t="s">
        <v>261</v>
      </c>
      <c r="AS710">
        <v>5.6000000000000001E-2</v>
      </c>
      <c r="AU710">
        <v>4.4999999999999998E-2</v>
      </c>
      <c r="AW710">
        <v>6.8000000000000005E-2</v>
      </c>
      <c r="AX710" t="s">
        <v>356</v>
      </c>
      <c r="BO710" t="s">
        <v>261</v>
      </c>
      <c r="BQ710">
        <v>5.6000000000000001E-2</v>
      </c>
      <c r="BS710">
        <v>4.4999999999999998E-2</v>
      </c>
      <c r="BU710">
        <v>6.8000000000000005E-2</v>
      </c>
      <c r="BV710" t="s">
        <v>263</v>
      </c>
      <c r="CM710" t="s">
        <v>264</v>
      </c>
      <c r="CN710" t="s">
        <v>264</v>
      </c>
      <c r="CP710" t="s">
        <v>265</v>
      </c>
      <c r="CQ710" t="s">
        <v>266</v>
      </c>
      <c r="DB710">
        <v>1</v>
      </c>
      <c r="DG710" t="s">
        <v>267</v>
      </c>
      <c r="DI710">
        <v>24</v>
      </c>
      <c r="DN710" t="s">
        <v>268</v>
      </c>
      <c r="DR710">
        <v>6687</v>
      </c>
      <c r="DS710">
        <v>252</v>
      </c>
      <c r="DV710">
        <v>96</v>
      </c>
      <c r="EA710" t="s">
        <v>268</v>
      </c>
      <c r="EC710">
        <v>4</v>
      </c>
      <c r="EH710" t="s">
        <v>267</v>
      </c>
      <c r="EJ710">
        <v>96</v>
      </c>
      <c r="EO710" t="s">
        <v>268</v>
      </c>
      <c r="EQ710">
        <v>4</v>
      </c>
      <c r="EV710" t="s">
        <v>267</v>
      </c>
      <c r="EW710" t="s">
        <v>293</v>
      </c>
      <c r="EZ710">
        <v>10</v>
      </c>
      <c r="FM710">
        <v>24.1</v>
      </c>
      <c r="FR710" t="s">
        <v>295</v>
      </c>
      <c r="GG710" t="s">
        <v>288</v>
      </c>
      <c r="GH710">
        <v>60</v>
      </c>
      <c r="GM710" t="s">
        <v>900</v>
      </c>
      <c r="GO710">
        <v>6.8</v>
      </c>
      <c r="GU710">
        <v>15</v>
      </c>
      <c r="GZ710" t="s">
        <v>296</v>
      </c>
      <c r="HH710" t="s">
        <v>272</v>
      </c>
      <c r="ID710" t="s">
        <v>1623</v>
      </c>
      <c r="IE710" t="s">
        <v>1624</v>
      </c>
      <c r="IF710">
        <v>172254</v>
      </c>
      <c r="IG710" t="s">
        <v>1625</v>
      </c>
      <c r="IH710" t="s">
        <v>1626</v>
      </c>
      <c r="II710">
        <v>2002</v>
      </c>
      <c r="IJ710" t="s">
        <v>1627</v>
      </c>
    </row>
    <row r="711" spans="1:244" x14ac:dyDescent="0.45">
      <c r="A711">
        <v>1226456</v>
      </c>
      <c r="B711">
        <v>219632</v>
      </c>
      <c r="C711">
        <v>7487947</v>
      </c>
      <c r="D711" t="s">
        <v>1602</v>
      </c>
      <c r="E711" t="s">
        <v>386</v>
      </c>
      <c r="F711" t="s">
        <v>245</v>
      </c>
      <c r="G711" t="s">
        <v>246</v>
      </c>
      <c r="N711" t="s">
        <v>302</v>
      </c>
      <c r="O711" t="s">
        <v>303</v>
      </c>
      <c r="P711" t="s">
        <v>249</v>
      </c>
      <c r="Q711" t="s">
        <v>250</v>
      </c>
      <c r="R711" t="s">
        <v>251</v>
      </c>
      <c r="T711" t="s">
        <v>252</v>
      </c>
      <c r="U711" t="s">
        <v>253</v>
      </c>
      <c r="V711" t="s">
        <v>304</v>
      </c>
      <c r="W711" t="s">
        <v>305</v>
      </c>
      <c r="X711" t="s">
        <v>306</v>
      </c>
      <c r="Z711" t="s">
        <v>1057</v>
      </c>
      <c r="AL711" t="s">
        <v>1324</v>
      </c>
      <c r="AM711" t="s">
        <v>317</v>
      </c>
      <c r="AN711" t="s">
        <v>259</v>
      </c>
      <c r="AO711" t="s">
        <v>260</v>
      </c>
      <c r="AQ711" t="s">
        <v>261</v>
      </c>
      <c r="AS711">
        <v>9.5399999999999991</v>
      </c>
      <c r="AX711" t="s">
        <v>356</v>
      </c>
      <c r="BO711" t="s">
        <v>261</v>
      </c>
      <c r="BQ711">
        <v>9.5399999999999991</v>
      </c>
      <c r="BV711" t="s">
        <v>263</v>
      </c>
      <c r="CM711" t="s">
        <v>264</v>
      </c>
      <c r="CN711" t="s">
        <v>264</v>
      </c>
      <c r="CP711" t="s">
        <v>265</v>
      </c>
      <c r="CQ711" t="s">
        <v>266</v>
      </c>
      <c r="DB711">
        <v>1</v>
      </c>
      <c r="DG711" t="s">
        <v>267</v>
      </c>
      <c r="DI711">
        <v>24</v>
      </c>
      <c r="DN711" t="s">
        <v>268</v>
      </c>
      <c r="DR711">
        <v>338212</v>
      </c>
      <c r="DS711">
        <v>732</v>
      </c>
      <c r="DT711" t="s">
        <v>1211</v>
      </c>
      <c r="EW711" t="s">
        <v>293</v>
      </c>
      <c r="GU711">
        <v>36</v>
      </c>
      <c r="GZ711" t="s">
        <v>900</v>
      </c>
      <c r="HH711" t="s">
        <v>272</v>
      </c>
      <c r="IE711" t="s">
        <v>1212</v>
      </c>
      <c r="IF711">
        <v>51641</v>
      </c>
      <c r="IG711" t="s">
        <v>1213</v>
      </c>
      <c r="IH711" t="s">
        <v>1214</v>
      </c>
      <c r="II711">
        <v>2000</v>
      </c>
      <c r="IJ711" t="s">
        <v>1215</v>
      </c>
    </row>
    <row r="712" spans="1:244" x14ac:dyDescent="0.45">
      <c r="A712">
        <v>2170779</v>
      </c>
      <c r="B712">
        <v>2336398</v>
      </c>
      <c r="C712">
        <v>7487947</v>
      </c>
      <c r="D712" t="s">
        <v>1602</v>
      </c>
      <c r="E712" t="s">
        <v>415</v>
      </c>
      <c r="F712" t="s">
        <v>245</v>
      </c>
      <c r="G712" t="s">
        <v>272</v>
      </c>
      <c r="N712" t="s">
        <v>958</v>
      </c>
      <c r="O712" t="s">
        <v>959</v>
      </c>
      <c r="P712" t="s">
        <v>249</v>
      </c>
      <c r="Q712" t="s">
        <v>250</v>
      </c>
      <c r="R712" t="s">
        <v>251</v>
      </c>
      <c r="T712" t="s">
        <v>252</v>
      </c>
      <c r="U712" t="s">
        <v>253</v>
      </c>
      <c r="V712" t="s">
        <v>418</v>
      </c>
      <c r="W712" t="s">
        <v>419</v>
      </c>
      <c r="X712" t="s">
        <v>960</v>
      </c>
      <c r="AJ712" t="s">
        <v>285</v>
      </c>
      <c r="AL712" t="s">
        <v>1719</v>
      </c>
      <c r="AM712" t="s">
        <v>287</v>
      </c>
      <c r="AN712" t="s">
        <v>259</v>
      </c>
      <c r="AO712" t="s">
        <v>260</v>
      </c>
      <c r="AP712">
        <v>6</v>
      </c>
      <c r="AQ712" t="s">
        <v>261</v>
      </c>
      <c r="AS712">
        <v>0.04</v>
      </c>
      <c r="AU712">
        <v>3.7999999999999999E-2</v>
      </c>
      <c r="AW712">
        <v>4.5999999999999999E-2</v>
      </c>
      <c r="AX712" t="s">
        <v>356</v>
      </c>
      <c r="BO712" t="s">
        <v>261</v>
      </c>
      <c r="BQ712">
        <v>0.04</v>
      </c>
      <c r="BS712">
        <v>3.7999999999999999E-2</v>
      </c>
      <c r="BU712">
        <v>4.5999999999999999E-2</v>
      </c>
      <c r="BV712" t="s">
        <v>263</v>
      </c>
      <c r="CM712" t="s">
        <v>264</v>
      </c>
      <c r="CN712" t="s">
        <v>264</v>
      </c>
      <c r="CP712" t="s">
        <v>265</v>
      </c>
      <c r="CQ712" t="s">
        <v>266</v>
      </c>
      <c r="DB712">
        <v>3</v>
      </c>
      <c r="DG712" t="s">
        <v>267</v>
      </c>
      <c r="DI712">
        <v>72</v>
      </c>
      <c r="DN712" t="s">
        <v>268</v>
      </c>
      <c r="DR712">
        <v>6687</v>
      </c>
      <c r="DS712">
        <v>252</v>
      </c>
      <c r="DV712">
        <v>96</v>
      </c>
      <c r="EA712" t="s">
        <v>268</v>
      </c>
      <c r="EC712">
        <v>4</v>
      </c>
      <c r="EH712" t="s">
        <v>267</v>
      </c>
      <c r="EJ712">
        <v>96</v>
      </c>
      <c r="EO712" t="s">
        <v>268</v>
      </c>
      <c r="EQ712">
        <v>4</v>
      </c>
      <c r="EV712" t="s">
        <v>267</v>
      </c>
      <c r="EW712" t="s">
        <v>293</v>
      </c>
      <c r="EZ712">
        <v>10</v>
      </c>
      <c r="FM712">
        <v>24.1</v>
      </c>
      <c r="FR712" t="s">
        <v>295</v>
      </c>
      <c r="GG712" t="s">
        <v>288</v>
      </c>
      <c r="GH712">
        <v>60</v>
      </c>
      <c r="GM712" t="s">
        <v>900</v>
      </c>
      <c r="GO712">
        <v>6.8</v>
      </c>
      <c r="GU712">
        <v>15</v>
      </c>
      <c r="GZ712" t="s">
        <v>296</v>
      </c>
      <c r="HH712" t="s">
        <v>272</v>
      </c>
      <c r="ID712" t="s">
        <v>1623</v>
      </c>
      <c r="IE712" t="s">
        <v>1624</v>
      </c>
      <c r="IF712">
        <v>172254</v>
      </c>
      <c r="IG712" t="s">
        <v>1625</v>
      </c>
      <c r="IH712" t="s">
        <v>1626</v>
      </c>
      <c r="II712">
        <v>2002</v>
      </c>
      <c r="IJ712" t="s">
        <v>1627</v>
      </c>
    </row>
    <row r="713" spans="1:244" x14ac:dyDescent="0.45">
      <c r="A713">
        <v>2170779</v>
      </c>
      <c r="B713">
        <v>2336397</v>
      </c>
      <c r="C713">
        <v>7487947</v>
      </c>
      <c r="D713" t="s">
        <v>1602</v>
      </c>
      <c r="E713" t="s">
        <v>415</v>
      </c>
      <c r="F713" t="s">
        <v>245</v>
      </c>
      <c r="G713" t="s">
        <v>272</v>
      </c>
      <c r="N713" t="s">
        <v>958</v>
      </c>
      <c r="O713" t="s">
        <v>959</v>
      </c>
      <c r="P713" t="s">
        <v>249</v>
      </c>
      <c r="Q713" t="s">
        <v>250</v>
      </c>
      <c r="R713" t="s">
        <v>251</v>
      </c>
      <c r="T713" t="s">
        <v>252</v>
      </c>
      <c r="U713" t="s">
        <v>253</v>
      </c>
      <c r="V713" t="s">
        <v>418</v>
      </c>
      <c r="W713" t="s">
        <v>419</v>
      </c>
      <c r="X713" t="s">
        <v>960</v>
      </c>
      <c r="AJ713" t="s">
        <v>285</v>
      </c>
      <c r="AL713" t="s">
        <v>1719</v>
      </c>
      <c r="AM713" t="s">
        <v>287</v>
      </c>
      <c r="AN713" t="s">
        <v>259</v>
      </c>
      <c r="AO713" t="s">
        <v>260</v>
      </c>
      <c r="AP713">
        <v>6</v>
      </c>
      <c r="AQ713" t="s">
        <v>261</v>
      </c>
      <c r="AS713">
        <v>4.2000000000000003E-2</v>
      </c>
      <c r="AU713">
        <v>0.04</v>
      </c>
      <c r="AW713">
        <v>4.8000000000000001E-2</v>
      </c>
      <c r="AX713" t="s">
        <v>356</v>
      </c>
      <c r="BO713" t="s">
        <v>261</v>
      </c>
      <c r="BQ713">
        <v>4.2000000000000003E-2</v>
      </c>
      <c r="BS713">
        <v>0.04</v>
      </c>
      <c r="BU713">
        <v>4.8000000000000001E-2</v>
      </c>
      <c r="BV713" t="s">
        <v>263</v>
      </c>
      <c r="CM713" t="s">
        <v>264</v>
      </c>
      <c r="CN713" t="s">
        <v>264</v>
      </c>
      <c r="CP713" t="s">
        <v>265</v>
      </c>
      <c r="CQ713" t="s">
        <v>266</v>
      </c>
      <c r="DB713">
        <v>2</v>
      </c>
      <c r="DG713" t="s">
        <v>267</v>
      </c>
      <c r="DI713">
        <v>48</v>
      </c>
      <c r="DN713" t="s">
        <v>268</v>
      </c>
      <c r="DR713">
        <v>6687</v>
      </c>
      <c r="DS713">
        <v>252</v>
      </c>
      <c r="DV713">
        <v>96</v>
      </c>
      <c r="EA713" t="s">
        <v>268</v>
      </c>
      <c r="EC713">
        <v>4</v>
      </c>
      <c r="EH713" t="s">
        <v>267</v>
      </c>
      <c r="EJ713">
        <v>96</v>
      </c>
      <c r="EO713" t="s">
        <v>268</v>
      </c>
      <c r="EQ713">
        <v>4</v>
      </c>
      <c r="EV713" t="s">
        <v>267</v>
      </c>
      <c r="EW713" t="s">
        <v>293</v>
      </c>
      <c r="EZ713">
        <v>10</v>
      </c>
      <c r="FM713">
        <v>24.1</v>
      </c>
      <c r="FR713" t="s">
        <v>295</v>
      </c>
      <c r="GG713" t="s">
        <v>288</v>
      </c>
      <c r="GH713">
        <v>60</v>
      </c>
      <c r="GM713" t="s">
        <v>900</v>
      </c>
      <c r="GO713">
        <v>6.8</v>
      </c>
      <c r="GU713">
        <v>15</v>
      </c>
      <c r="GZ713" t="s">
        <v>296</v>
      </c>
      <c r="HH713" t="s">
        <v>272</v>
      </c>
      <c r="ID713" t="s">
        <v>1623</v>
      </c>
      <c r="IE713" t="s">
        <v>1624</v>
      </c>
      <c r="IF713">
        <v>172254</v>
      </c>
      <c r="IG713" t="s">
        <v>1625</v>
      </c>
      <c r="IH713" t="s">
        <v>1626</v>
      </c>
      <c r="II713">
        <v>2002</v>
      </c>
      <c r="IJ713" t="s">
        <v>1627</v>
      </c>
    </row>
    <row r="714" spans="1:244" x14ac:dyDescent="0.45">
      <c r="A714">
        <v>2170779</v>
      </c>
      <c r="B714">
        <v>2336399</v>
      </c>
      <c r="C714">
        <v>7487947</v>
      </c>
      <c r="D714" t="s">
        <v>1602</v>
      </c>
      <c r="E714" t="s">
        <v>415</v>
      </c>
      <c r="F714" t="s">
        <v>245</v>
      </c>
      <c r="G714" t="s">
        <v>272</v>
      </c>
      <c r="N714" t="s">
        <v>958</v>
      </c>
      <c r="O714" t="s">
        <v>959</v>
      </c>
      <c r="P714" t="s">
        <v>249</v>
      </c>
      <c r="Q714" t="s">
        <v>250</v>
      </c>
      <c r="R714" t="s">
        <v>251</v>
      </c>
      <c r="T714" t="s">
        <v>252</v>
      </c>
      <c r="U714" t="s">
        <v>253</v>
      </c>
      <c r="V714" t="s">
        <v>418</v>
      </c>
      <c r="W714" t="s">
        <v>419</v>
      </c>
      <c r="X714" t="s">
        <v>960</v>
      </c>
      <c r="AJ714" t="s">
        <v>285</v>
      </c>
      <c r="AL714" t="s">
        <v>1719</v>
      </c>
      <c r="AM714" t="s">
        <v>287</v>
      </c>
      <c r="AN714" t="s">
        <v>259</v>
      </c>
      <c r="AO714" t="s">
        <v>260</v>
      </c>
      <c r="AP714">
        <v>6</v>
      </c>
      <c r="AQ714" t="s">
        <v>261</v>
      </c>
      <c r="AS714">
        <v>3.4000000000000002E-2</v>
      </c>
      <c r="AU714">
        <v>3.2000000000000001E-2</v>
      </c>
      <c r="AW714">
        <v>0.04</v>
      </c>
      <c r="AX714" t="s">
        <v>356</v>
      </c>
      <c r="BO714" t="s">
        <v>261</v>
      </c>
      <c r="BQ714">
        <v>3.4000000000000002E-2</v>
      </c>
      <c r="BS714">
        <v>3.2000000000000001E-2</v>
      </c>
      <c r="BU714">
        <v>0.04</v>
      </c>
      <c r="BV714" t="s">
        <v>263</v>
      </c>
      <c r="CM714" t="s">
        <v>264</v>
      </c>
      <c r="CN714" t="s">
        <v>264</v>
      </c>
      <c r="CP714" t="s">
        <v>265</v>
      </c>
      <c r="CQ714" t="s">
        <v>266</v>
      </c>
      <c r="DB714">
        <v>4</v>
      </c>
      <c r="DG714" t="s">
        <v>267</v>
      </c>
      <c r="DI714">
        <v>96</v>
      </c>
      <c r="DN714" t="s">
        <v>268</v>
      </c>
      <c r="DR714">
        <v>6687</v>
      </c>
      <c r="DS714">
        <v>252</v>
      </c>
      <c r="DV714">
        <v>96</v>
      </c>
      <c r="EA714" t="s">
        <v>268</v>
      </c>
      <c r="EC714">
        <v>4</v>
      </c>
      <c r="EH714" t="s">
        <v>267</v>
      </c>
      <c r="EJ714">
        <v>96</v>
      </c>
      <c r="EO714" t="s">
        <v>268</v>
      </c>
      <c r="EQ714">
        <v>4</v>
      </c>
      <c r="EV714" t="s">
        <v>267</v>
      </c>
      <c r="EW714" t="s">
        <v>293</v>
      </c>
      <c r="EZ714">
        <v>10</v>
      </c>
      <c r="FM714">
        <v>24.1</v>
      </c>
      <c r="FR714" t="s">
        <v>295</v>
      </c>
      <c r="GG714" t="s">
        <v>288</v>
      </c>
      <c r="GH714">
        <v>60</v>
      </c>
      <c r="GM714" t="s">
        <v>900</v>
      </c>
      <c r="GO714">
        <v>6.8</v>
      </c>
      <c r="GU714">
        <v>15</v>
      </c>
      <c r="GZ714" t="s">
        <v>296</v>
      </c>
      <c r="HH714" t="s">
        <v>272</v>
      </c>
      <c r="ID714" t="s">
        <v>1623</v>
      </c>
      <c r="IE714" t="s">
        <v>1624</v>
      </c>
      <c r="IF714">
        <v>172254</v>
      </c>
      <c r="IG714" t="s">
        <v>1625</v>
      </c>
      <c r="IH714" t="s">
        <v>1626</v>
      </c>
      <c r="II714">
        <v>2002</v>
      </c>
      <c r="IJ714" t="s">
        <v>1627</v>
      </c>
    </row>
    <row r="715" spans="1:244" x14ac:dyDescent="0.45">
      <c r="A715">
        <v>1151422</v>
      </c>
      <c r="B715">
        <v>83991</v>
      </c>
      <c r="C715">
        <v>7487947</v>
      </c>
      <c r="D715" t="s">
        <v>1602</v>
      </c>
      <c r="F715" t="s">
        <v>327</v>
      </c>
      <c r="G715" t="s">
        <v>246</v>
      </c>
      <c r="N715" t="s">
        <v>1064</v>
      </c>
      <c r="O715" t="s">
        <v>1065</v>
      </c>
      <c r="P715" t="s">
        <v>249</v>
      </c>
      <c r="Q715" t="s">
        <v>250</v>
      </c>
      <c r="R715" t="s">
        <v>251</v>
      </c>
      <c r="T715" t="s">
        <v>252</v>
      </c>
      <c r="U715" t="s">
        <v>253</v>
      </c>
      <c r="V715" t="s">
        <v>304</v>
      </c>
      <c r="W715" t="s">
        <v>1066</v>
      </c>
      <c r="X715" t="s">
        <v>1067</v>
      </c>
      <c r="Z715" t="s">
        <v>284</v>
      </c>
      <c r="AB715">
        <v>6</v>
      </c>
      <c r="AG715" t="s">
        <v>598</v>
      </c>
      <c r="AM715" t="s">
        <v>317</v>
      </c>
      <c r="AN715" t="s">
        <v>259</v>
      </c>
      <c r="AO715" t="s">
        <v>260</v>
      </c>
      <c r="AQ715" t="s">
        <v>261</v>
      </c>
      <c r="AS715">
        <v>430</v>
      </c>
      <c r="AX715" t="s">
        <v>262</v>
      </c>
      <c r="BO715" t="s">
        <v>261</v>
      </c>
      <c r="BQ715">
        <v>0.43</v>
      </c>
      <c r="BV715" t="s">
        <v>263</v>
      </c>
      <c r="CM715" t="s">
        <v>264</v>
      </c>
      <c r="CN715" t="s">
        <v>264</v>
      </c>
      <c r="CP715" t="s">
        <v>265</v>
      </c>
      <c r="CQ715" t="s">
        <v>266</v>
      </c>
      <c r="DB715">
        <v>1</v>
      </c>
      <c r="DG715" t="s">
        <v>267</v>
      </c>
      <c r="DI715">
        <v>24</v>
      </c>
      <c r="DN715" t="s">
        <v>268</v>
      </c>
      <c r="DP715" t="s">
        <v>1603</v>
      </c>
      <c r="DR715">
        <v>79674</v>
      </c>
      <c r="DS715">
        <v>648</v>
      </c>
      <c r="DT715" t="s">
        <v>1604</v>
      </c>
      <c r="EW715" t="s">
        <v>333</v>
      </c>
      <c r="FO715">
        <v>25.5</v>
      </c>
      <c r="FQ715">
        <v>27</v>
      </c>
      <c r="FR715" t="s">
        <v>295</v>
      </c>
      <c r="FT715">
        <v>400</v>
      </c>
      <c r="FY715" t="s">
        <v>572</v>
      </c>
      <c r="GJ715">
        <v>7</v>
      </c>
      <c r="GL715">
        <v>8</v>
      </c>
      <c r="GM715" t="s">
        <v>356</v>
      </c>
      <c r="GQ715">
        <v>7.5</v>
      </c>
      <c r="GS715">
        <v>8.5</v>
      </c>
      <c r="GU715">
        <v>12</v>
      </c>
      <c r="GZ715" t="s">
        <v>296</v>
      </c>
      <c r="HH715" t="s">
        <v>272</v>
      </c>
      <c r="IE715" t="s">
        <v>1605</v>
      </c>
      <c r="IF715">
        <v>12953</v>
      </c>
      <c r="IG715" t="s">
        <v>1606</v>
      </c>
      <c r="IH715" t="s">
        <v>1607</v>
      </c>
      <c r="II715">
        <v>1985</v>
      </c>
      <c r="IJ715" t="s">
        <v>1608</v>
      </c>
    </row>
    <row r="716" spans="1:244" x14ac:dyDescent="0.45">
      <c r="A716">
        <v>1303374</v>
      </c>
      <c r="B716">
        <v>759871</v>
      </c>
      <c r="C716">
        <v>7487947</v>
      </c>
      <c r="D716" t="s">
        <v>1602</v>
      </c>
      <c r="E716" t="s">
        <v>622</v>
      </c>
      <c r="F716" t="s">
        <v>245</v>
      </c>
      <c r="G716" t="s">
        <v>246</v>
      </c>
      <c r="N716" t="s">
        <v>655</v>
      </c>
      <c r="O716" t="s">
        <v>656</v>
      </c>
      <c r="P716" t="s">
        <v>249</v>
      </c>
      <c r="Q716" t="s">
        <v>250</v>
      </c>
      <c r="R716" t="s">
        <v>251</v>
      </c>
      <c r="T716" t="s">
        <v>252</v>
      </c>
      <c r="U716" t="s">
        <v>253</v>
      </c>
      <c r="V716" t="s">
        <v>657</v>
      </c>
      <c r="W716" t="s">
        <v>658</v>
      </c>
      <c r="X716" t="s">
        <v>659</v>
      </c>
      <c r="AL716" t="s">
        <v>1792</v>
      </c>
      <c r="AM716" t="s">
        <v>258</v>
      </c>
      <c r="AN716" t="s">
        <v>259</v>
      </c>
      <c r="AO716" t="s">
        <v>260</v>
      </c>
      <c r="AQ716" t="s">
        <v>261</v>
      </c>
      <c r="AS716">
        <v>0.38</v>
      </c>
      <c r="AU716">
        <v>0.34</v>
      </c>
      <c r="AW716">
        <v>0.43</v>
      </c>
      <c r="AX716" t="s">
        <v>356</v>
      </c>
      <c r="BO716" t="s">
        <v>261</v>
      </c>
      <c r="BQ716">
        <v>0.38</v>
      </c>
      <c r="BS716">
        <v>0.34</v>
      </c>
      <c r="BU716">
        <v>0.43</v>
      </c>
      <c r="BV716" t="s">
        <v>263</v>
      </c>
      <c r="CM716" t="s">
        <v>264</v>
      </c>
      <c r="CN716" t="s">
        <v>264</v>
      </c>
      <c r="CP716" t="s">
        <v>265</v>
      </c>
      <c r="CQ716" t="s">
        <v>266</v>
      </c>
      <c r="DB716">
        <v>4</v>
      </c>
      <c r="DG716" t="s">
        <v>267</v>
      </c>
      <c r="DI716">
        <v>96</v>
      </c>
      <c r="DN716" t="s">
        <v>268</v>
      </c>
      <c r="DP716" t="s">
        <v>1634</v>
      </c>
      <c r="DS716">
        <v>20193</v>
      </c>
      <c r="EW716" t="s">
        <v>293</v>
      </c>
      <c r="FA716" t="s">
        <v>1793</v>
      </c>
      <c r="FK716" t="s">
        <v>1794</v>
      </c>
      <c r="FO716">
        <v>22</v>
      </c>
      <c r="FQ716">
        <v>24.5</v>
      </c>
      <c r="FR716" t="s">
        <v>295</v>
      </c>
      <c r="GU716">
        <v>15</v>
      </c>
      <c r="GZ716" t="s">
        <v>296</v>
      </c>
      <c r="HH716" t="s">
        <v>272</v>
      </c>
      <c r="ID716" t="s">
        <v>1795</v>
      </c>
      <c r="IE716" t="s">
        <v>1796</v>
      </c>
      <c r="IF716">
        <v>117013</v>
      </c>
      <c r="IG716" t="s">
        <v>1797</v>
      </c>
      <c r="IH716" t="s">
        <v>1798</v>
      </c>
      <c r="II716">
        <v>2003</v>
      </c>
      <c r="IJ716" t="s">
        <v>1799</v>
      </c>
    </row>
    <row r="717" spans="1:244" x14ac:dyDescent="0.45">
      <c r="A717">
        <v>1186869</v>
      </c>
      <c r="B717">
        <v>138560</v>
      </c>
      <c r="C717">
        <v>7487947</v>
      </c>
      <c r="D717" t="s">
        <v>1602</v>
      </c>
      <c r="F717" t="s">
        <v>245</v>
      </c>
      <c r="G717" t="s">
        <v>246</v>
      </c>
      <c r="N717" t="s">
        <v>789</v>
      </c>
      <c r="O717" t="s">
        <v>790</v>
      </c>
      <c r="P717" t="s">
        <v>249</v>
      </c>
      <c r="Q717" t="s">
        <v>250</v>
      </c>
      <c r="R717" t="s">
        <v>251</v>
      </c>
      <c r="T717" t="s">
        <v>252</v>
      </c>
      <c r="U717" t="s">
        <v>253</v>
      </c>
      <c r="V717" t="s">
        <v>418</v>
      </c>
      <c r="W717" t="s">
        <v>791</v>
      </c>
      <c r="X717" t="s">
        <v>792</v>
      </c>
      <c r="Z717" t="s">
        <v>421</v>
      </c>
      <c r="AM717" t="s">
        <v>258</v>
      </c>
      <c r="AN717" t="s">
        <v>259</v>
      </c>
      <c r="AO717" t="s">
        <v>260</v>
      </c>
      <c r="AQ717" t="s">
        <v>261</v>
      </c>
      <c r="AS717">
        <v>53.83</v>
      </c>
      <c r="AX717" t="s">
        <v>262</v>
      </c>
      <c r="BO717" t="s">
        <v>261</v>
      </c>
      <c r="BQ717">
        <v>5.3830000000000003E-2</v>
      </c>
      <c r="BV717" t="s">
        <v>263</v>
      </c>
      <c r="CM717" t="s">
        <v>264</v>
      </c>
      <c r="CN717" t="s">
        <v>264</v>
      </c>
      <c r="CP717" t="s">
        <v>265</v>
      </c>
      <c r="DB717">
        <v>1</v>
      </c>
      <c r="DG717" t="s">
        <v>267</v>
      </c>
      <c r="DI717">
        <v>24</v>
      </c>
      <c r="DN717" t="s">
        <v>268</v>
      </c>
      <c r="DR717">
        <v>161924</v>
      </c>
      <c r="DS717">
        <v>3045</v>
      </c>
      <c r="EW717" t="s">
        <v>272</v>
      </c>
      <c r="FM717">
        <v>28</v>
      </c>
      <c r="FR717" t="s">
        <v>295</v>
      </c>
      <c r="GO717">
        <v>8.1999999999999993</v>
      </c>
      <c r="GU717">
        <v>32</v>
      </c>
      <c r="GZ717" t="s">
        <v>296</v>
      </c>
      <c r="HH717" t="s">
        <v>272</v>
      </c>
      <c r="IE717" t="s">
        <v>1652</v>
      </c>
      <c r="IF717">
        <v>16613</v>
      </c>
      <c r="IG717" t="s">
        <v>1653</v>
      </c>
      <c r="IH717" t="s">
        <v>1654</v>
      </c>
      <c r="II717">
        <v>1994</v>
      </c>
      <c r="IJ717" t="s">
        <v>1655</v>
      </c>
    </row>
    <row r="718" spans="1:244" x14ac:dyDescent="0.45">
      <c r="A718">
        <v>1151430</v>
      </c>
      <c r="B718">
        <v>83999</v>
      </c>
      <c r="C718">
        <v>7487947</v>
      </c>
      <c r="D718" t="s">
        <v>1602</v>
      </c>
      <c r="F718" t="s">
        <v>327</v>
      </c>
      <c r="G718" t="s">
        <v>246</v>
      </c>
      <c r="N718" t="s">
        <v>1064</v>
      </c>
      <c r="O718" t="s">
        <v>1065</v>
      </c>
      <c r="P718" t="s">
        <v>249</v>
      </c>
      <c r="Q718" t="s">
        <v>250</v>
      </c>
      <c r="R718" t="s">
        <v>251</v>
      </c>
      <c r="T718" t="s">
        <v>252</v>
      </c>
      <c r="U718" t="s">
        <v>253</v>
      </c>
      <c r="V718" t="s">
        <v>304</v>
      </c>
      <c r="W718" t="s">
        <v>1066</v>
      </c>
      <c r="X718" t="s">
        <v>1067</v>
      </c>
      <c r="Z718" t="s">
        <v>284</v>
      </c>
      <c r="AB718">
        <v>8</v>
      </c>
      <c r="AG718" t="s">
        <v>598</v>
      </c>
      <c r="AM718" t="s">
        <v>317</v>
      </c>
      <c r="AN718" t="s">
        <v>259</v>
      </c>
      <c r="AO718" t="s">
        <v>260</v>
      </c>
      <c r="AQ718" t="s">
        <v>261</v>
      </c>
      <c r="AS718">
        <v>592</v>
      </c>
      <c r="AX718" t="s">
        <v>262</v>
      </c>
      <c r="BO718" t="s">
        <v>261</v>
      </c>
      <c r="BQ718">
        <v>0.59199999999999997</v>
      </c>
      <c r="BV718" t="s">
        <v>263</v>
      </c>
      <c r="CM718" t="s">
        <v>264</v>
      </c>
      <c r="CN718" t="s">
        <v>264</v>
      </c>
      <c r="CP718" t="s">
        <v>265</v>
      </c>
      <c r="CQ718" t="s">
        <v>266</v>
      </c>
      <c r="DB718">
        <v>1</v>
      </c>
      <c r="DG718" t="s">
        <v>267</v>
      </c>
      <c r="DI718">
        <v>24</v>
      </c>
      <c r="DN718" t="s">
        <v>268</v>
      </c>
      <c r="DP718" t="s">
        <v>1603</v>
      </c>
      <c r="DR718">
        <v>79674</v>
      </c>
      <c r="DS718">
        <v>648</v>
      </c>
      <c r="DT718" t="s">
        <v>1604</v>
      </c>
      <c r="EW718" t="s">
        <v>333</v>
      </c>
      <c r="FO718">
        <v>25.5</v>
      </c>
      <c r="FQ718">
        <v>27</v>
      </c>
      <c r="FR718" t="s">
        <v>295</v>
      </c>
      <c r="FT718">
        <v>400</v>
      </c>
      <c r="FY718" t="s">
        <v>572</v>
      </c>
      <c r="GJ718">
        <v>7</v>
      </c>
      <c r="GL718">
        <v>8</v>
      </c>
      <c r="GM718" t="s">
        <v>356</v>
      </c>
      <c r="GQ718">
        <v>7.5</v>
      </c>
      <c r="GS718">
        <v>8.5</v>
      </c>
      <c r="GU718">
        <v>12</v>
      </c>
      <c r="GZ718" t="s">
        <v>296</v>
      </c>
      <c r="HH718" t="s">
        <v>272</v>
      </c>
      <c r="IE718" t="s">
        <v>1605</v>
      </c>
      <c r="IF718">
        <v>12953</v>
      </c>
      <c r="IG718" t="s">
        <v>1606</v>
      </c>
      <c r="IH718" t="s">
        <v>1607</v>
      </c>
      <c r="II718">
        <v>1985</v>
      </c>
      <c r="IJ718" t="s">
        <v>1608</v>
      </c>
    </row>
    <row r="719" spans="1:244" x14ac:dyDescent="0.45">
      <c r="A719">
        <v>1041018</v>
      </c>
      <c r="B719">
        <v>25272</v>
      </c>
      <c r="C719">
        <v>7487947</v>
      </c>
      <c r="D719" t="s">
        <v>1602</v>
      </c>
      <c r="F719" t="s">
        <v>245</v>
      </c>
      <c r="G719" t="s">
        <v>246</v>
      </c>
      <c r="N719" t="s">
        <v>1837</v>
      </c>
      <c r="O719" t="s">
        <v>1783</v>
      </c>
      <c r="P719" t="s">
        <v>249</v>
      </c>
      <c r="Q719" t="s">
        <v>250</v>
      </c>
      <c r="R719" t="s">
        <v>251</v>
      </c>
      <c r="T719" t="s">
        <v>252</v>
      </c>
      <c r="U719" t="s">
        <v>253</v>
      </c>
      <c r="V719" t="s">
        <v>1735</v>
      </c>
      <c r="W719" t="s">
        <v>1784</v>
      </c>
      <c r="X719" t="s">
        <v>1838</v>
      </c>
      <c r="Z719" t="s">
        <v>1677</v>
      </c>
      <c r="AL719" t="s">
        <v>1786</v>
      </c>
      <c r="AM719" t="s">
        <v>258</v>
      </c>
      <c r="AN719" t="s">
        <v>259</v>
      </c>
      <c r="AO719" t="s">
        <v>260</v>
      </c>
      <c r="AQ719" t="s">
        <v>261</v>
      </c>
      <c r="AS719">
        <v>147</v>
      </c>
      <c r="AU719">
        <v>117</v>
      </c>
      <c r="AW719">
        <v>177</v>
      </c>
      <c r="AX719" t="s">
        <v>262</v>
      </c>
      <c r="BO719" t="s">
        <v>261</v>
      </c>
      <c r="BQ719">
        <v>0.14699999999999999</v>
      </c>
      <c r="BS719">
        <v>0.11700000000000001</v>
      </c>
      <c r="BU719">
        <v>0.17699999999999999</v>
      </c>
      <c r="BV719" t="s">
        <v>263</v>
      </c>
      <c r="CM719" t="s">
        <v>264</v>
      </c>
      <c r="CN719" t="s">
        <v>264</v>
      </c>
      <c r="CP719" t="s">
        <v>265</v>
      </c>
      <c r="CQ719" t="s">
        <v>266</v>
      </c>
      <c r="DB719">
        <v>2</v>
      </c>
      <c r="DG719" t="s">
        <v>267</v>
      </c>
      <c r="DI719">
        <v>48</v>
      </c>
      <c r="DN719" t="s">
        <v>268</v>
      </c>
      <c r="DP719" t="s">
        <v>977</v>
      </c>
      <c r="DS719">
        <v>2899</v>
      </c>
      <c r="DT719" t="s">
        <v>1787</v>
      </c>
      <c r="EW719" t="s">
        <v>333</v>
      </c>
      <c r="FM719">
        <v>29</v>
      </c>
      <c r="FR719" t="s">
        <v>295</v>
      </c>
      <c r="GU719">
        <v>25</v>
      </c>
      <c r="GZ719" t="s">
        <v>296</v>
      </c>
      <c r="HH719" t="s">
        <v>272</v>
      </c>
      <c r="IE719" t="s">
        <v>1788</v>
      </c>
      <c r="IF719">
        <v>2602</v>
      </c>
      <c r="IG719" t="s">
        <v>1789</v>
      </c>
      <c r="IH719" t="s">
        <v>1790</v>
      </c>
      <c r="II719">
        <v>1987</v>
      </c>
      <c r="IJ719" t="s">
        <v>1791</v>
      </c>
    </row>
    <row r="720" spans="1:244" x14ac:dyDescent="0.45">
      <c r="A720">
        <v>1151415</v>
      </c>
      <c r="B720">
        <v>83984</v>
      </c>
      <c r="C720">
        <v>7487947</v>
      </c>
      <c r="D720" t="s">
        <v>1602</v>
      </c>
      <c r="F720" t="s">
        <v>327</v>
      </c>
      <c r="G720" t="s">
        <v>246</v>
      </c>
      <c r="N720" t="s">
        <v>1064</v>
      </c>
      <c r="O720" t="s">
        <v>1065</v>
      </c>
      <c r="P720" t="s">
        <v>249</v>
      </c>
      <c r="Q720" t="s">
        <v>250</v>
      </c>
      <c r="R720" t="s">
        <v>251</v>
      </c>
      <c r="T720" t="s">
        <v>252</v>
      </c>
      <c r="U720" t="s">
        <v>253</v>
      </c>
      <c r="V720" t="s">
        <v>304</v>
      </c>
      <c r="W720" t="s">
        <v>1066</v>
      </c>
      <c r="X720" t="s">
        <v>1067</v>
      </c>
      <c r="Z720" t="s">
        <v>284</v>
      </c>
      <c r="AB720">
        <v>4</v>
      </c>
      <c r="AG720" t="s">
        <v>598</v>
      </c>
      <c r="AM720" t="s">
        <v>317</v>
      </c>
      <c r="AN720" t="s">
        <v>259</v>
      </c>
      <c r="AO720" t="s">
        <v>260</v>
      </c>
      <c r="AQ720" t="s">
        <v>261</v>
      </c>
      <c r="AS720">
        <v>155</v>
      </c>
      <c r="AX720" t="s">
        <v>262</v>
      </c>
      <c r="BO720" t="s">
        <v>261</v>
      </c>
      <c r="BQ720">
        <v>0.155</v>
      </c>
      <c r="BV720" t="s">
        <v>263</v>
      </c>
      <c r="CM720" t="s">
        <v>264</v>
      </c>
      <c r="CN720" t="s">
        <v>264</v>
      </c>
      <c r="CP720" t="s">
        <v>265</v>
      </c>
      <c r="CQ720" t="s">
        <v>266</v>
      </c>
      <c r="DB720">
        <v>3</v>
      </c>
      <c r="DG720" t="s">
        <v>267</v>
      </c>
      <c r="DI720">
        <v>72</v>
      </c>
      <c r="DN720" t="s">
        <v>268</v>
      </c>
      <c r="DP720" t="s">
        <v>1603</v>
      </c>
      <c r="DR720">
        <v>79674</v>
      </c>
      <c r="DS720">
        <v>648</v>
      </c>
      <c r="DT720" t="s">
        <v>1604</v>
      </c>
      <c r="EW720" t="s">
        <v>333</v>
      </c>
      <c r="FO720">
        <v>25.5</v>
      </c>
      <c r="FQ720">
        <v>27</v>
      </c>
      <c r="FR720" t="s">
        <v>295</v>
      </c>
      <c r="FT720">
        <v>400</v>
      </c>
      <c r="FY720" t="s">
        <v>572</v>
      </c>
      <c r="GJ720">
        <v>7</v>
      </c>
      <c r="GL720">
        <v>8</v>
      </c>
      <c r="GM720" t="s">
        <v>356</v>
      </c>
      <c r="GQ720">
        <v>7.5</v>
      </c>
      <c r="GS720">
        <v>8.5</v>
      </c>
      <c r="GU720">
        <v>12</v>
      </c>
      <c r="GZ720" t="s">
        <v>296</v>
      </c>
      <c r="HH720" t="s">
        <v>272</v>
      </c>
      <c r="IE720" t="s">
        <v>1605</v>
      </c>
      <c r="IF720">
        <v>12953</v>
      </c>
      <c r="IG720" t="s">
        <v>1606</v>
      </c>
      <c r="IH720" t="s">
        <v>1607</v>
      </c>
      <c r="II720">
        <v>1985</v>
      </c>
      <c r="IJ720" t="s">
        <v>1608</v>
      </c>
    </row>
    <row r="721" spans="1:244" x14ac:dyDescent="0.45">
      <c r="A721">
        <v>1111786</v>
      </c>
      <c r="B721">
        <v>29507</v>
      </c>
      <c r="C721">
        <v>7487947</v>
      </c>
      <c r="D721" t="s">
        <v>1602</v>
      </c>
      <c r="F721" t="s">
        <v>245</v>
      </c>
      <c r="G721" t="s">
        <v>246</v>
      </c>
      <c r="N721" t="s">
        <v>1609</v>
      </c>
      <c r="O721" t="s">
        <v>1610</v>
      </c>
      <c r="P721" t="s">
        <v>249</v>
      </c>
      <c r="Q721" t="s">
        <v>250</v>
      </c>
      <c r="R721" t="s">
        <v>251</v>
      </c>
      <c r="T721" t="s">
        <v>252</v>
      </c>
      <c r="U721" t="s">
        <v>253</v>
      </c>
      <c r="V721" t="s">
        <v>1611</v>
      </c>
      <c r="W721" t="s">
        <v>1612</v>
      </c>
      <c r="X721" t="s">
        <v>1613</v>
      </c>
      <c r="AM721" t="s">
        <v>317</v>
      </c>
      <c r="AN721" t="s">
        <v>259</v>
      </c>
      <c r="AO721" t="s">
        <v>260</v>
      </c>
      <c r="AQ721" t="s">
        <v>261</v>
      </c>
      <c r="AS721">
        <v>50</v>
      </c>
      <c r="AX721" t="s">
        <v>262</v>
      </c>
      <c r="BO721" t="s">
        <v>261</v>
      </c>
      <c r="BQ721">
        <v>0.05</v>
      </c>
      <c r="BV721" t="s">
        <v>263</v>
      </c>
      <c r="CM721" t="s">
        <v>264</v>
      </c>
      <c r="CN721" t="s">
        <v>264</v>
      </c>
      <c r="CP721" t="s">
        <v>265</v>
      </c>
      <c r="CQ721" t="s">
        <v>266</v>
      </c>
      <c r="DB721">
        <v>4</v>
      </c>
      <c r="DG721" t="s">
        <v>267</v>
      </c>
      <c r="DI721">
        <v>96</v>
      </c>
      <c r="DN721" t="s">
        <v>268</v>
      </c>
      <c r="DR721">
        <v>84662</v>
      </c>
      <c r="DS721">
        <v>1296</v>
      </c>
      <c r="DT721" t="s">
        <v>1614</v>
      </c>
      <c r="EW721" t="s">
        <v>333</v>
      </c>
      <c r="FA721" t="s">
        <v>1615</v>
      </c>
      <c r="FK721" t="s">
        <v>1616</v>
      </c>
      <c r="FO721">
        <v>20</v>
      </c>
      <c r="FQ721">
        <v>22</v>
      </c>
      <c r="FR721" t="s">
        <v>295</v>
      </c>
      <c r="GQ721">
        <v>8</v>
      </c>
      <c r="GS721">
        <v>8.4</v>
      </c>
      <c r="GU721">
        <v>7</v>
      </c>
      <c r="GZ721" t="s">
        <v>296</v>
      </c>
      <c r="HH721" t="s">
        <v>272</v>
      </c>
      <c r="ID721" t="s">
        <v>1617</v>
      </c>
      <c r="IE721" t="s">
        <v>1618</v>
      </c>
      <c r="IF721">
        <v>8436</v>
      </c>
      <c r="IG721" t="s">
        <v>1619</v>
      </c>
      <c r="IH721" t="s">
        <v>1620</v>
      </c>
      <c r="II721">
        <v>1974</v>
      </c>
      <c r="IJ721" t="s">
        <v>1621</v>
      </c>
    </row>
    <row r="722" spans="1:244" x14ac:dyDescent="0.45">
      <c r="A722">
        <v>1151446</v>
      </c>
      <c r="B722">
        <v>84015</v>
      </c>
      <c r="C722">
        <v>7487947</v>
      </c>
      <c r="D722" t="s">
        <v>1602</v>
      </c>
      <c r="F722" t="s">
        <v>327</v>
      </c>
      <c r="G722" t="s">
        <v>246</v>
      </c>
      <c r="N722" t="s">
        <v>1064</v>
      </c>
      <c r="O722" t="s">
        <v>1065</v>
      </c>
      <c r="P722" t="s">
        <v>249</v>
      </c>
      <c r="Q722" t="s">
        <v>250</v>
      </c>
      <c r="R722" t="s">
        <v>251</v>
      </c>
      <c r="T722" t="s">
        <v>252</v>
      </c>
      <c r="U722" t="s">
        <v>253</v>
      </c>
      <c r="V722" t="s">
        <v>304</v>
      </c>
      <c r="W722" t="s">
        <v>1066</v>
      </c>
      <c r="X722" t="s">
        <v>1067</v>
      </c>
      <c r="Z722" t="s">
        <v>421</v>
      </c>
      <c r="AM722" t="s">
        <v>317</v>
      </c>
      <c r="AN722" t="s">
        <v>259</v>
      </c>
      <c r="AO722" t="s">
        <v>260</v>
      </c>
      <c r="AQ722" t="s">
        <v>261</v>
      </c>
      <c r="AS722">
        <v>500</v>
      </c>
      <c r="AX722" t="s">
        <v>262</v>
      </c>
      <c r="BO722" t="s">
        <v>261</v>
      </c>
      <c r="BQ722">
        <v>0.5</v>
      </c>
      <c r="BV722" t="s">
        <v>263</v>
      </c>
      <c r="CM722" t="s">
        <v>264</v>
      </c>
      <c r="CN722" t="s">
        <v>264</v>
      </c>
      <c r="CP722" t="s">
        <v>265</v>
      </c>
      <c r="CQ722" t="s">
        <v>266</v>
      </c>
      <c r="DB722">
        <v>2</v>
      </c>
      <c r="DG722" t="s">
        <v>267</v>
      </c>
      <c r="DI722">
        <v>48</v>
      </c>
      <c r="DN722" t="s">
        <v>268</v>
      </c>
      <c r="DP722" t="s">
        <v>1603</v>
      </c>
      <c r="DR722">
        <v>79674</v>
      </c>
      <c r="DS722">
        <v>648</v>
      </c>
      <c r="DT722" t="s">
        <v>1604</v>
      </c>
      <c r="EW722" t="s">
        <v>333</v>
      </c>
      <c r="FO722">
        <v>25.5</v>
      </c>
      <c r="FQ722">
        <v>27</v>
      </c>
      <c r="FR722" t="s">
        <v>295</v>
      </c>
      <c r="FT722">
        <v>400</v>
      </c>
      <c r="FY722" t="s">
        <v>572</v>
      </c>
      <c r="GJ722">
        <v>7</v>
      </c>
      <c r="GL722">
        <v>8</v>
      </c>
      <c r="GM722" t="s">
        <v>356</v>
      </c>
      <c r="GQ722">
        <v>7.5</v>
      </c>
      <c r="GS722">
        <v>8.5</v>
      </c>
      <c r="GU722">
        <v>12</v>
      </c>
      <c r="GZ722" t="s">
        <v>296</v>
      </c>
      <c r="HH722" t="s">
        <v>272</v>
      </c>
      <c r="IE722" t="s">
        <v>1605</v>
      </c>
      <c r="IF722">
        <v>12953</v>
      </c>
      <c r="IG722" t="s">
        <v>1606</v>
      </c>
      <c r="IH722" t="s">
        <v>1607</v>
      </c>
      <c r="II722">
        <v>1985</v>
      </c>
      <c r="IJ722" t="s">
        <v>1608</v>
      </c>
    </row>
    <row r="723" spans="1:244" x14ac:dyDescent="0.45">
      <c r="A723">
        <v>1303356</v>
      </c>
      <c r="B723">
        <v>759853</v>
      </c>
      <c r="C723">
        <v>7487947</v>
      </c>
      <c r="D723" t="s">
        <v>1602</v>
      </c>
      <c r="E723" t="s">
        <v>622</v>
      </c>
      <c r="F723" t="s">
        <v>245</v>
      </c>
      <c r="G723" t="s">
        <v>246</v>
      </c>
      <c r="N723" t="s">
        <v>655</v>
      </c>
      <c r="O723" t="s">
        <v>656</v>
      </c>
      <c r="P723" t="s">
        <v>249</v>
      </c>
      <c r="Q723" t="s">
        <v>250</v>
      </c>
      <c r="R723" t="s">
        <v>251</v>
      </c>
      <c r="T723" t="s">
        <v>252</v>
      </c>
      <c r="U723" t="s">
        <v>253</v>
      </c>
      <c r="V723" t="s">
        <v>657</v>
      </c>
      <c r="W723" t="s">
        <v>658</v>
      </c>
      <c r="X723" t="s">
        <v>659</v>
      </c>
      <c r="AL723" t="s">
        <v>1792</v>
      </c>
      <c r="AM723" t="s">
        <v>258</v>
      </c>
      <c r="AN723" t="s">
        <v>259</v>
      </c>
      <c r="AO723" t="s">
        <v>260</v>
      </c>
      <c r="AQ723" t="s">
        <v>261</v>
      </c>
      <c r="AS723">
        <v>43.42</v>
      </c>
      <c r="AU723">
        <v>36.08</v>
      </c>
      <c r="AW723">
        <v>52.22</v>
      </c>
      <c r="AX723" t="s">
        <v>356</v>
      </c>
      <c r="BO723" t="s">
        <v>261</v>
      </c>
      <c r="BQ723">
        <v>43.42</v>
      </c>
      <c r="BS723">
        <v>36.08</v>
      </c>
      <c r="BU723">
        <v>52.22</v>
      </c>
      <c r="BV723" t="s">
        <v>263</v>
      </c>
      <c r="CM723" t="s">
        <v>264</v>
      </c>
      <c r="CN723" t="s">
        <v>264</v>
      </c>
      <c r="CP723" t="s">
        <v>265</v>
      </c>
      <c r="CQ723" t="s">
        <v>266</v>
      </c>
      <c r="DB723">
        <v>1</v>
      </c>
      <c r="DG723" t="s">
        <v>267</v>
      </c>
      <c r="DI723">
        <v>24</v>
      </c>
      <c r="DN723" t="s">
        <v>268</v>
      </c>
      <c r="DP723" t="s">
        <v>1634</v>
      </c>
      <c r="DS723">
        <v>20193</v>
      </c>
      <c r="EW723" t="s">
        <v>293</v>
      </c>
      <c r="FA723" t="s">
        <v>1793</v>
      </c>
      <c r="FK723" t="s">
        <v>1794</v>
      </c>
      <c r="FO723">
        <v>22</v>
      </c>
      <c r="FQ723">
        <v>24.5</v>
      </c>
      <c r="FR723" t="s">
        <v>295</v>
      </c>
      <c r="GU723">
        <v>15</v>
      </c>
      <c r="GZ723" t="s">
        <v>296</v>
      </c>
      <c r="HH723" t="s">
        <v>272</v>
      </c>
      <c r="ID723" t="s">
        <v>1795</v>
      </c>
      <c r="IE723" t="s">
        <v>1796</v>
      </c>
      <c r="IF723">
        <v>117013</v>
      </c>
      <c r="IG723" t="s">
        <v>1797</v>
      </c>
      <c r="IH723" t="s">
        <v>1798</v>
      </c>
      <c r="II723">
        <v>2003</v>
      </c>
      <c r="IJ723" t="s">
        <v>1799</v>
      </c>
    </row>
    <row r="724" spans="1:244" x14ac:dyDescent="0.45">
      <c r="A724">
        <v>1122234</v>
      </c>
      <c r="B724">
        <v>126273</v>
      </c>
      <c r="C724">
        <v>7487947</v>
      </c>
      <c r="D724" t="s">
        <v>1602</v>
      </c>
      <c r="F724" t="s">
        <v>245</v>
      </c>
      <c r="G724" t="s">
        <v>246</v>
      </c>
      <c r="N724" t="s">
        <v>1705</v>
      </c>
      <c r="O724" t="s">
        <v>1706</v>
      </c>
      <c r="P724" t="s">
        <v>249</v>
      </c>
      <c r="Q724" t="s">
        <v>250</v>
      </c>
      <c r="R724" t="s">
        <v>251</v>
      </c>
      <c r="T724" t="s">
        <v>347</v>
      </c>
      <c r="U724" t="s">
        <v>1707</v>
      </c>
      <c r="V724" t="s">
        <v>1708</v>
      </c>
      <c r="W724" t="s">
        <v>1709</v>
      </c>
      <c r="X724" t="s">
        <v>1710</v>
      </c>
      <c r="AM724" t="s">
        <v>287</v>
      </c>
      <c r="AN724" t="s">
        <v>259</v>
      </c>
      <c r="AO724" t="s">
        <v>260</v>
      </c>
      <c r="AQ724" t="s">
        <v>261</v>
      </c>
      <c r="AS724">
        <v>4.62</v>
      </c>
      <c r="AU724">
        <v>3.5</v>
      </c>
      <c r="AW724">
        <v>6.1</v>
      </c>
      <c r="AX724" t="s">
        <v>262</v>
      </c>
      <c r="BO724" t="s">
        <v>261</v>
      </c>
      <c r="BQ724">
        <v>4.62E-3</v>
      </c>
      <c r="BS724">
        <v>3.5000000000000001E-3</v>
      </c>
      <c r="BU724">
        <v>6.1000000000000004E-3</v>
      </c>
      <c r="BV724" t="s">
        <v>263</v>
      </c>
      <c r="CM724" t="s">
        <v>264</v>
      </c>
      <c r="CN724" t="s">
        <v>264</v>
      </c>
      <c r="CP724" t="s">
        <v>265</v>
      </c>
      <c r="CQ724" t="s">
        <v>266</v>
      </c>
      <c r="DB724">
        <v>1</v>
      </c>
      <c r="DG724" t="s">
        <v>267</v>
      </c>
      <c r="DI724">
        <v>24</v>
      </c>
      <c r="DN724" t="s">
        <v>268</v>
      </c>
      <c r="DR724">
        <v>700594</v>
      </c>
      <c r="DS724">
        <v>4630</v>
      </c>
      <c r="EW724" t="s">
        <v>271</v>
      </c>
      <c r="FM724">
        <v>25</v>
      </c>
      <c r="FR724" t="s">
        <v>295</v>
      </c>
      <c r="GO724">
        <v>7.85</v>
      </c>
      <c r="GU724">
        <v>31.7</v>
      </c>
      <c r="GZ724" t="s">
        <v>296</v>
      </c>
      <c r="HH724" t="s">
        <v>272</v>
      </c>
      <c r="IE724" t="s">
        <v>1711</v>
      </c>
      <c r="IF724">
        <v>9624</v>
      </c>
      <c r="IG724" t="s">
        <v>1712</v>
      </c>
      <c r="IH724" t="s">
        <v>1713</v>
      </c>
      <c r="II724">
        <v>1991</v>
      </c>
      <c r="IJ724" t="s">
        <v>1714</v>
      </c>
    </row>
    <row r="725" spans="1:244" x14ac:dyDescent="0.45">
      <c r="A725">
        <v>1166385</v>
      </c>
      <c r="B725">
        <v>1777</v>
      </c>
      <c r="C725">
        <v>7487947</v>
      </c>
      <c r="D725" t="s">
        <v>1602</v>
      </c>
      <c r="F725" t="s">
        <v>272</v>
      </c>
      <c r="G725" t="s">
        <v>246</v>
      </c>
      <c r="N725" t="s">
        <v>302</v>
      </c>
      <c r="O725" t="s">
        <v>303</v>
      </c>
      <c r="P725" t="s">
        <v>249</v>
      </c>
      <c r="Q725" t="s">
        <v>250</v>
      </c>
      <c r="R725" t="s">
        <v>251</v>
      </c>
      <c r="T725" t="s">
        <v>252</v>
      </c>
      <c r="U725" t="s">
        <v>253</v>
      </c>
      <c r="V725" t="s">
        <v>304</v>
      </c>
      <c r="W725" t="s">
        <v>305</v>
      </c>
      <c r="X725" t="s">
        <v>306</v>
      </c>
      <c r="AM725" t="s">
        <v>258</v>
      </c>
      <c r="AN725" t="s">
        <v>259</v>
      </c>
      <c r="AO725" t="s">
        <v>260</v>
      </c>
      <c r="AQ725" t="s">
        <v>261</v>
      </c>
      <c r="AS725">
        <v>116</v>
      </c>
      <c r="AU725">
        <v>101</v>
      </c>
      <c r="AW725">
        <v>134</v>
      </c>
      <c r="AX725" t="s">
        <v>262</v>
      </c>
      <c r="BO725" t="s">
        <v>261</v>
      </c>
      <c r="BQ725">
        <v>0.11600000000000001</v>
      </c>
      <c r="BS725">
        <v>0.10100000000000001</v>
      </c>
      <c r="BU725">
        <v>0.13400000000000001</v>
      </c>
      <c r="BV725" t="s">
        <v>263</v>
      </c>
      <c r="CM725" t="s">
        <v>264</v>
      </c>
      <c r="CN725" t="s">
        <v>264</v>
      </c>
      <c r="CP725" t="s">
        <v>265</v>
      </c>
      <c r="CQ725" t="s">
        <v>266</v>
      </c>
      <c r="DB725">
        <v>4</v>
      </c>
      <c r="DG725" t="s">
        <v>267</v>
      </c>
      <c r="DI725">
        <v>96</v>
      </c>
      <c r="DN725" t="s">
        <v>268</v>
      </c>
      <c r="DR725">
        <v>338212</v>
      </c>
      <c r="DS725">
        <v>732</v>
      </c>
      <c r="EW725" t="s">
        <v>272</v>
      </c>
      <c r="FM725">
        <v>20</v>
      </c>
      <c r="FR725" t="s">
        <v>295</v>
      </c>
      <c r="GU725">
        <v>38</v>
      </c>
      <c r="GZ725" t="s">
        <v>296</v>
      </c>
      <c r="HH725" t="s">
        <v>272</v>
      </c>
      <c r="IE725" t="s">
        <v>308</v>
      </c>
      <c r="IF725">
        <v>14770</v>
      </c>
      <c r="IG725" t="s">
        <v>309</v>
      </c>
      <c r="IH725" t="s">
        <v>310</v>
      </c>
      <c r="II725">
        <v>1991</v>
      </c>
      <c r="IJ725" t="s">
        <v>311</v>
      </c>
    </row>
    <row r="726" spans="1:244" x14ac:dyDescent="0.45">
      <c r="A726">
        <v>2170786</v>
      </c>
      <c r="B726">
        <v>2336424</v>
      </c>
      <c r="C726">
        <v>7487947</v>
      </c>
      <c r="D726" t="s">
        <v>1602</v>
      </c>
      <c r="E726" t="s">
        <v>415</v>
      </c>
      <c r="F726" t="s">
        <v>245</v>
      </c>
      <c r="G726" t="s">
        <v>272</v>
      </c>
      <c r="N726" t="s">
        <v>416</v>
      </c>
      <c r="O726" t="s">
        <v>417</v>
      </c>
      <c r="P726" t="s">
        <v>249</v>
      </c>
      <c r="Q726" t="s">
        <v>250</v>
      </c>
      <c r="R726" t="s">
        <v>251</v>
      </c>
      <c r="T726" t="s">
        <v>252</v>
      </c>
      <c r="U726" t="s">
        <v>253</v>
      </c>
      <c r="V726" t="s">
        <v>418</v>
      </c>
      <c r="W726" t="s">
        <v>419</v>
      </c>
      <c r="X726" t="s">
        <v>420</v>
      </c>
      <c r="AJ726" t="s">
        <v>285</v>
      </c>
      <c r="AL726" t="s">
        <v>1719</v>
      </c>
      <c r="AM726" t="s">
        <v>287</v>
      </c>
      <c r="AN726" t="s">
        <v>259</v>
      </c>
      <c r="AO726" t="s">
        <v>260</v>
      </c>
      <c r="AP726">
        <v>6</v>
      </c>
      <c r="AQ726" t="s">
        <v>261</v>
      </c>
      <c r="AS726">
        <v>6.9000000000000006E-2</v>
      </c>
      <c r="AU726">
        <v>6.5000000000000002E-2</v>
      </c>
      <c r="AW726">
        <v>7.3999999999999996E-2</v>
      </c>
      <c r="AX726" t="s">
        <v>356</v>
      </c>
      <c r="BO726" t="s">
        <v>261</v>
      </c>
      <c r="BQ726">
        <v>6.9000000000000006E-2</v>
      </c>
      <c r="BS726">
        <v>6.5000000000000002E-2</v>
      </c>
      <c r="BU726">
        <v>7.3999999999999996E-2</v>
      </c>
      <c r="BV726" t="s">
        <v>263</v>
      </c>
      <c r="CM726" t="s">
        <v>264</v>
      </c>
      <c r="CN726" t="s">
        <v>264</v>
      </c>
      <c r="CP726" t="s">
        <v>265</v>
      </c>
      <c r="CQ726" t="s">
        <v>266</v>
      </c>
      <c r="DB726">
        <v>1</v>
      </c>
      <c r="DG726" t="s">
        <v>267</v>
      </c>
      <c r="DI726">
        <v>24</v>
      </c>
      <c r="DN726" t="s">
        <v>268</v>
      </c>
      <c r="DS726">
        <v>1009</v>
      </c>
      <c r="DV726">
        <v>96</v>
      </c>
      <c r="EA726" t="s">
        <v>268</v>
      </c>
      <c r="EC726">
        <v>4</v>
      </c>
      <c r="EH726" t="s">
        <v>267</v>
      </c>
      <c r="EJ726">
        <v>96</v>
      </c>
      <c r="EO726" t="s">
        <v>268</v>
      </c>
      <c r="EQ726">
        <v>4</v>
      </c>
      <c r="EV726" t="s">
        <v>267</v>
      </c>
      <c r="EW726" t="s">
        <v>293</v>
      </c>
      <c r="EZ726">
        <v>10</v>
      </c>
      <c r="FM726">
        <v>24.1</v>
      </c>
      <c r="FR726" t="s">
        <v>295</v>
      </c>
      <c r="GG726" t="s">
        <v>288</v>
      </c>
      <c r="GH726">
        <v>60</v>
      </c>
      <c r="GM726" t="s">
        <v>900</v>
      </c>
      <c r="GO726">
        <v>6.8</v>
      </c>
      <c r="GU726">
        <v>25</v>
      </c>
      <c r="GZ726" t="s">
        <v>296</v>
      </c>
      <c r="HH726" t="s">
        <v>272</v>
      </c>
      <c r="ID726" t="s">
        <v>1623</v>
      </c>
      <c r="IE726" t="s">
        <v>1624</v>
      </c>
      <c r="IF726">
        <v>172254</v>
      </c>
      <c r="IG726" t="s">
        <v>1625</v>
      </c>
      <c r="IH726" t="s">
        <v>1626</v>
      </c>
      <c r="II726">
        <v>2002</v>
      </c>
      <c r="IJ726" t="s">
        <v>1627</v>
      </c>
    </row>
    <row r="727" spans="1:244" x14ac:dyDescent="0.45">
      <c r="A727">
        <v>2170786</v>
      </c>
      <c r="B727">
        <v>2336425</v>
      </c>
      <c r="C727">
        <v>7487947</v>
      </c>
      <c r="D727" t="s">
        <v>1602</v>
      </c>
      <c r="E727" t="s">
        <v>415</v>
      </c>
      <c r="F727" t="s">
        <v>245</v>
      </c>
      <c r="G727" t="s">
        <v>272</v>
      </c>
      <c r="N727" t="s">
        <v>416</v>
      </c>
      <c r="O727" t="s">
        <v>417</v>
      </c>
      <c r="P727" t="s">
        <v>249</v>
      </c>
      <c r="Q727" t="s">
        <v>250</v>
      </c>
      <c r="R727" t="s">
        <v>251</v>
      </c>
      <c r="T727" t="s">
        <v>252</v>
      </c>
      <c r="U727" t="s">
        <v>253</v>
      </c>
      <c r="V727" t="s">
        <v>418</v>
      </c>
      <c r="W727" t="s">
        <v>419</v>
      </c>
      <c r="X727" t="s">
        <v>420</v>
      </c>
      <c r="AJ727" t="s">
        <v>285</v>
      </c>
      <c r="AL727" t="s">
        <v>1719</v>
      </c>
      <c r="AM727" t="s">
        <v>287</v>
      </c>
      <c r="AN727" t="s">
        <v>259</v>
      </c>
      <c r="AO727" t="s">
        <v>260</v>
      </c>
      <c r="AP727">
        <v>6</v>
      </c>
      <c r="AQ727" t="s">
        <v>261</v>
      </c>
      <c r="AS727">
        <v>6.6000000000000003E-2</v>
      </c>
      <c r="AU727">
        <v>5.5E-2</v>
      </c>
      <c r="AW727">
        <v>7.0000000000000007E-2</v>
      </c>
      <c r="AX727" t="s">
        <v>356</v>
      </c>
      <c r="BO727" t="s">
        <v>261</v>
      </c>
      <c r="BQ727">
        <v>6.6000000000000003E-2</v>
      </c>
      <c r="BS727">
        <v>5.5E-2</v>
      </c>
      <c r="BU727">
        <v>7.0000000000000007E-2</v>
      </c>
      <c r="BV727" t="s">
        <v>263</v>
      </c>
      <c r="CM727" t="s">
        <v>264</v>
      </c>
      <c r="CN727" t="s">
        <v>264</v>
      </c>
      <c r="CP727" t="s">
        <v>265</v>
      </c>
      <c r="CQ727" t="s">
        <v>266</v>
      </c>
      <c r="DB727">
        <v>2</v>
      </c>
      <c r="DG727" t="s">
        <v>267</v>
      </c>
      <c r="DI727">
        <v>48</v>
      </c>
      <c r="DN727" t="s">
        <v>268</v>
      </c>
      <c r="DS727">
        <v>1009</v>
      </c>
      <c r="DV727">
        <v>96</v>
      </c>
      <c r="EA727" t="s">
        <v>268</v>
      </c>
      <c r="EC727">
        <v>4</v>
      </c>
      <c r="EH727" t="s">
        <v>267</v>
      </c>
      <c r="EJ727">
        <v>96</v>
      </c>
      <c r="EO727" t="s">
        <v>268</v>
      </c>
      <c r="EQ727">
        <v>4</v>
      </c>
      <c r="EV727" t="s">
        <v>267</v>
      </c>
      <c r="EW727" t="s">
        <v>293</v>
      </c>
      <c r="EZ727">
        <v>10</v>
      </c>
      <c r="FM727">
        <v>24.1</v>
      </c>
      <c r="FR727" t="s">
        <v>295</v>
      </c>
      <c r="GG727" t="s">
        <v>288</v>
      </c>
      <c r="GH727">
        <v>60</v>
      </c>
      <c r="GM727" t="s">
        <v>900</v>
      </c>
      <c r="GO727">
        <v>6.8</v>
      </c>
      <c r="GU727">
        <v>25</v>
      </c>
      <c r="GZ727" t="s">
        <v>296</v>
      </c>
      <c r="HH727" t="s">
        <v>272</v>
      </c>
      <c r="ID727" t="s">
        <v>1623</v>
      </c>
      <c r="IE727" t="s">
        <v>1624</v>
      </c>
      <c r="IF727">
        <v>172254</v>
      </c>
      <c r="IG727" t="s">
        <v>1625</v>
      </c>
      <c r="IH727" t="s">
        <v>1626</v>
      </c>
      <c r="II727">
        <v>2002</v>
      </c>
      <c r="IJ727" t="s">
        <v>1627</v>
      </c>
    </row>
    <row r="728" spans="1:244" x14ac:dyDescent="0.45">
      <c r="A728">
        <v>1297232</v>
      </c>
      <c r="B728">
        <v>752591</v>
      </c>
      <c r="C728">
        <v>7487947</v>
      </c>
      <c r="D728" t="s">
        <v>1602</v>
      </c>
      <c r="F728" t="s">
        <v>245</v>
      </c>
      <c r="G728" t="s">
        <v>246</v>
      </c>
      <c r="N728" t="s">
        <v>1242</v>
      </c>
      <c r="O728" t="s">
        <v>1243</v>
      </c>
      <c r="P728" t="s">
        <v>249</v>
      </c>
      <c r="Q728" t="s">
        <v>250</v>
      </c>
      <c r="R728" t="s">
        <v>251</v>
      </c>
      <c r="T728" t="s">
        <v>252</v>
      </c>
      <c r="U728" t="s">
        <v>1244</v>
      </c>
      <c r="V728" t="s">
        <v>1245</v>
      </c>
      <c r="W728" t="s">
        <v>1246</v>
      </c>
      <c r="X728" t="s">
        <v>1247</v>
      </c>
      <c r="Z728" t="s">
        <v>1248</v>
      </c>
      <c r="AL728" t="s">
        <v>1249</v>
      </c>
      <c r="AM728" t="s">
        <v>317</v>
      </c>
      <c r="AN728" t="s">
        <v>259</v>
      </c>
      <c r="AO728" t="s">
        <v>260</v>
      </c>
      <c r="AP728">
        <v>6</v>
      </c>
      <c r="AQ728" t="s">
        <v>261</v>
      </c>
      <c r="AS728">
        <v>0.14000000000000001</v>
      </c>
      <c r="AU728">
        <v>0.04</v>
      </c>
      <c r="AW728">
        <v>0.45</v>
      </c>
      <c r="AX728" t="s">
        <v>356</v>
      </c>
      <c r="BO728" t="s">
        <v>261</v>
      </c>
      <c r="BQ728">
        <v>0.14000000000000001</v>
      </c>
      <c r="BS728">
        <v>0.04</v>
      </c>
      <c r="BU728">
        <v>0.45</v>
      </c>
      <c r="BV728" t="s">
        <v>263</v>
      </c>
      <c r="CM728" t="s">
        <v>264</v>
      </c>
      <c r="CN728" t="s">
        <v>264</v>
      </c>
      <c r="CP728" t="s">
        <v>265</v>
      </c>
      <c r="CQ728" t="s">
        <v>266</v>
      </c>
      <c r="DB728">
        <v>4</v>
      </c>
      <c r="DG728" t="s">
        <v>267</v>
      </c>
      <c r="DI728">
        <v>96</v>
      </c>
      <c r="DN728" t="s">
        <v>268</v>
      </c>
      <c r="DP728" t="s">
        <v>1634</v>
      </c>
      <c r="DR728">
        <v>82763</v>
      </c>
      <c r="DS728">
        <v>1070</v>
      </c>
      <c r="DT728" t="s">
        <v>1250</v>
      </c>
      <c r="EW728" t="s">
        <v>293</v>
      </c>
      <c r="FA728" t="s">
        <v>1222</v>
      </c>
      <c r="FK728" t="s">
        <v>1839</v>
      </c>
      <c r="FM728">
        <v>16</v>
      </c>
      <c r="FR728" t="s">
        <v>295</v>
      </c>
      <c r="HH728" t="s">
        <v>272</v>
      </c>
      <c r="ID728" t="s">
        <v>1840</v>
      </c>
      <c r="IE728" t="s">
        <v>1253</v>
      </c>
      <c r="IF728">
        <v>115536</v>
      </c>
      <c r="IG728" t="s">
        <v>1254</v>
      </c>
      <c r="IH728" t="s">
        <v>1255</v>
      </c>
      <c r="II728">
        <v>2007</v>
      </c>
      <c r="IJ728" t="s">
        <v>1256</v>
      </c>
    </row>
    <row r="729" spans="1:244" x14ac:dyDescent="0.45">
      <c r="A729">
        <v>2170786</v>
      </c>
      <c r="B729">
        <v>2336426</v>
      </c>
      <c r="C729">
        <v>7487947</v>
      </c>
      <c r="D729" t="s">
        <v>1602</v>
      </c>
      <c r="E729" t="s">
        <v>415</v>
      </c>
      <c r="F729" t="s">
        <v>245</v>
      </c>
      <c r="G729" t="s">
        <v>272</v>
      </c>
      <c r="N729" t="s">
        <v>416</v>
      </c>
      <c r="O729" t="s">
        <v>417</v>
      </c>
      <c r="P729" t="s">
        <v>249</v>
      </c>
      <c r="Q729" t="s">
        <v>250</v>
      </c>
      <c r="R729" t="s">
        <v>251</v>
      </c>
      <c r="T729" t="s">
        <v>252</v>
      </c>
      <c r="U729" t="s">
        <v>253</v>
      </c>
      <c r="V729" t="s">
        <v>418</v>
      </c>
      <c r="W729" t="s">
        <v>419</v>
      </c>
      <c r="X729" t="s">
        <v>420</v>
      </c>
      <c r="AJ729" t="s">
        <v>285</v>
      </c>
      <c r="AL729" t="s">
        <v>1719</v>
      </c>
      <c r="AM729" t="s">
        <v>287</v>
      </c>
      <c r="AN729" t="s">
        <v>259</v>
      </c>
      <c r="AO729" t="s">
        <v>260</v>
      </c>
      <c r="AP729">
        <v>6</v>
      </c>
      <c r="AQ729" t="s">
        <v>261</v>
      </c>
      <c r="AS729">
        <v>5.1999999999999998E-2</v>
      </c>
      <c r="AU729">
        <v>4.4999999999999998E-2</v>
      </c>
      <c r="AW729">
        <v>5.8000000000000003E-2</v>
      </c>
      <c r="AX729" t="s">
        <v>356</v>
      </c>
      <c r="BO729" t="s">
        <v>261</v>
      </c>
      <c r="BQ729">
        <v>5.1999999999999998E-2</v>
      </c>
      <c r="BS729">
        <v>4.4999999999999998E-2</v>
      </c>
      <c r="BU729">
        <v>5.8000000000000003E-2</v>
      </c>
      <c r="BV729" t="s">
        <v>263</v>
      </c>
      <c r="CM729" t="s">
        <v>264</v>
      </c>
      <c r="CN729" t="s">
        <v>264</v>
      </c>
      <c r="CP729" t="s">
        <v>265</v>
      </c>
      <c r="CQ729" t="s">
        <v>266</v>
      </c>
      <c r="DB729">
        <v>3</v>
      </c>
      <c r="DG729" t="s">
        <v>267</v>
      </c>
      <c r="DI729">
        <v>72</v>
      </c>
      <c r="DN729" t="s">
        <v>268</v>
      </c>
      <c r="DS729">
        <v>1009</v>
      </c>
      <c r="DV729">
        <v>96</v>
      </c>
      <c r="EA729" t="s">
        <v>268</v>
      </c>
      <c r="EC729">
        <v>4</v>
      </c>
      <c r="EH729" t="s">
        <v>267</v>
      </c>
      <c r="EJ729">
        <v>96</v>
      </c>
      <c r="EO729" t="s">
        <v>268</v>
      </c>
      <c r="EQ729">
        <v>4</v>
      </c>
      <c r="EV729" t="s">
        <v>267</v>
      </c>
      <c r="EW729" t="s">
        <v>293</v>
      </c>
      <c r="EZ729">
        <v>10</v>
      </c>
      <c r="FM729">
        <v>24.1</v>
      </c>
      <c r="FR729" t="s">
        <v>295</v>
      </c>
      <c r="GG729" t="s">
        <v>288</v>
      </c>
      <c r="GH729">
        <v>60</v>
      </c>
      <c r="GM729" t="s">
        <v>900</v>
      </c>
      <c r="GO729">
        <v>6.8</v>
      </c>
      <c r="GU729">
        <v>25</v>
      </c>
      <c r="GZ729" t="s">
        <v>296</v>
      </c>
      <c r="HH729" t="s">
        <v>272</v>
      </c>
      <c r="ID729" t="s">
        <v>1623</v>
      </c>
      <c r="IE729" t="s">
        <v>1624</v>
      </c>
      <c r="IF729">
        <v>172254</v>
      </c>
      <c r="IG729" t="s">
        <v>1625</v>
      </c>
      <c r="IH729" t="s">
        <v>1626</v>
      </c>
      <c r="II729">
        <v>2002</v>
      </c>
      <c r="IJ729" t="s">
        <v>1627</v>
      </c>
    </row>
    <row r="730" spans="1:244" x14ac:dyDescent="0.45">
      <c r="A730">
        <v>2170786</v>
      </c>
      <c r="B730">
        <v>2336427</v>
      </c>
      <c r="C730">
        <v>7487947</v>
      </c>
      <c r="D730" t="s">
        <v>1602</v>
      </c>
      <c r="E730" t="s">
        <v>415</v>
      </c>
      <c r="F730" t="s">
        <v>245</v>
      </c>
      <c r="G730" t="s">
        <v>272</v>
      </c>
      <c r="N730" t="s">
        <v>416</v>
      </c>
      <c r="O730" t="s">
        <v>417</v>
      </c>
      <c r="P730" t="s">
        <v>249</v>
      </c>
      <c r="Q730" t="s">
        <v>250</v>
      </c>
      <c r="R730" t="s">
        <v>251</v>
      </c>
      <c r="T730" t="s">
        <v>252</v>
      </c>
      <c r="U730" t="s">
        <v>253</v>
      </c>
      <c r="V730" t="s">
        <v>418</v>
      </c>
      <c r="W730" t="s">
        <v>419</v>
      </c>
      <c r="X730" t="s">
        <v>420</v>
      </c>
      <c r="AJ730" t="s">
        <v>285</v>
      </c>
      <c r="AL730" t="s">
        <v>1719</v>
      </c>
      <c r="AM730" t="s">
        <v>287</v>
      </c>
      <c r="AN730" t="s">
        <v>259</v>
      </c>
      <c r="AO730" t="s">
        <v>260</v>
      </c>
      <c r="AP730">
        <v>6</v>
      </c>
      <c r="AQ730" t="s">
        <v>261</v>
      </c>
      <c r="AS730">
        <v>4.2000000000000003E-2</v>
      </c>
      <c r="AU730">
        <v>3.5999999999999997E-2</v>
      </c>
      <c r="AW730">
        <v>4.3999999999999997E-2</v>
      </c>
      <c r="AX730" t="s">
        <v>356</v>
      </c>
      <c r="BO730" t="s">
        <v>261</v>
      </c>
      <c r="BQ730">
        <v>4.2000000000000003E-2</v>
      </c>
      <c r="BS730">
        <v>3.5999999999999997E-2</v>
      </c>
      <c r="BU730">
        <v>4.3999999999999997E-2</v>
      </c>
      <c r="BV730" t="s">
        <v>263</v>
      </c>
      <c r="CM730" t="s">
        <v>264</v>
      </c>
      <c r="CN730" t="s">
        <v>264</v>
      </c>
      <c r="CP730" t="s">
        <v>265</v>
      </c>
      <c r="CQ730" t="s">
        <v>266</v>
      </c>
      <c r="DB730">
        <v>4</v>
      </c>
      <c r="DG730" t="s">
        <v>267</v>
      </c>
      <c r="DI730">
        <v>96</v>
      </c>
      <c r="DN730" t="s">
        <v>268</v>
      </c>
      <c r="DS730">
        <v>1009</v>
      </c>
      <c r="DV730">
        <v>96</v>
      </c>
      <c r="EA730" t="s">
        <v>268</v>
      </c>
      <c r="EC730">
        <v>4</v>
      </c>
      <c r="EH730" t="s">
        <v>267</v>
      </c>
      <c r="EJ730">
        <v>96</v>
      </c>
      <c r="EO730" t="s">
        <v>268</v>
      </c>
      <c r="EQ730">
        <v>4</v>
      </c>
      <c r="EV730" t="s">
        <v>267</v>
      </c>
      <c r="EW730" t="s">
        <v>293</v>
      </c>
      <c r="EZ730">
        <v>10</v>
      </c>
      <c r="FM730">
        <v>24.1</v>
      </c>
      <c r="FR730" t="s">
        <v>295</v>
      </c>
      <c r="GG730" t="s">
        <v>288</v>
      </c>
      <c r="GH730">
        <v>60</v>
      </c>
      <c r="GM730" t="s">
        <v>900</v>
      </c>
      <c r="GO730">
        <v>6.8</v>
      </c>
      <c r="GU730">
        <v>25</v>
      </c>
      <c r="GZ730" t="s">
        <v>296</v>
      </c>
      <c r="HH730" t="s">
        <v>272</v>
      </c>
      <c r="ID730" t="s">
        <v>1623</v>
      </c>
      <c r="IE730" t="s">
        <v>1624</v>
      </c>
      <c r="IF730">
        <v>172254</v>
      </c>
      <c r="IG730" t="s">
        <v>1625</v>
      </c>
      <c r="IH730" t="s">
        <v>1626</v>
      </c>
      <c r="II730">
        <v>2002</v>
      </c>
      <c r="IJ730" t="s">
        <v>1627</v>
      </c>
    </row>
    <row r="731" spans="1:244" x14ac:dyDescent="0.45">
      <c r="A731">
        <v>1151411</v>
      </c>
      <c r="B731">
        <v>83980</v>
      </c>
      <c r="C731">
        <v>7487947</v>
      </c>
      <c r="D731" t="s">
        <v>1602</v>
      </c>
      <c r="F731" t="s">
        <v>327</v>
      </c>
      <c r="G731" t="s">
        <v>246</v>
      </c>
      <c r="N731" t="s">
        <v>1064</v>
      </c>
      <c r="O731" t="s">
        <v>1065</v>
      </c>
      <c r="P731" t="s">
        <v>249</v>
      </c>
      <c r="Q731" t="s">
        <v>250</v>
      </c>
      <c r="R731" t="s">
        <v>251</v>
      </c>
      <c r="T731" t="s">
        <v>252</v>
      </c>
      <c r="U731" t="s">
        <v>253</v>
      </c>
      <c r="V731" t="s">
        <v>304</v>
      </c>
      <c r="W731" t="s">
        <v>1066</v>
      </c>
      <c r="X731" t="s">
        <v>1067</v>
      </c>
      <c r="Z731" t="s">
        <v>284</v>
      </c>
      <c r="AB731">
        <v>3</v>
      </c>
      <c r="AG731" t="s">
        <v>598</v>
      </c>
      <c r="AM731" t="s">
        <v>317</v>
      </c>
      <c r="AN731" t="s">
        <v>259</v>
      </c>
      <c r="AO731" t="s">
        <v>260</v>
      </c>
      <c r="AQ731" t="s">
        <v>261</v>
      </c>
      <c r="AS731">
        <v>125</v>
      </c>
      <c r="AX731" t="s">
        <v>262</v>
      </c>
      <c r="BO731" t="s">
        <v>261</v>
      </c>
      <c r="BQ731">
        <v>0.125</v>
      </c>
      <c r="BV731" t="s">
        <v>263</v>
      </c>
      <c r="CM731" t="s">
        <v>264</v>
      </c>
      <c r="CN731" t="s">
        <v>264</v>
      </c>
      <c r="CP731" t="s">
        <v>265</v>
      </c>
      <c r="CQ731" t="s">
        <v>266</v>
      </c>
      <c r="DB731">
        <v>3</v>
      </c>
      <c r="DG731" t="s">
        <v>267</v>
      </c>
      <c r="DI731">
        <v>72</v>
      </c>
      <c r="DN731" t="s">
        <v>268</v>
      </c>
      <c r="DP731" t="s">
        <v>1603</v>
      </c>
      <c r="DR731">
        <v>79674</v>
      </c>
      <c r="DS731">
        <v>648</v>
      </c>
      <c r="DT731" t="s">
        <v>1604</v>
      </c>
      <c r="EW731" t="s">
        <v>333</v>
      </c>
      <c r="FO731">
        <v>25.5</v>
      </c>
      <c r="FQ731">
        <v>27</v>
      </c>
      <c r="FR731" t="s">
        <v>295</v>
      </c>
      <c r="FT731">
        <v>400</v>
      </c>
      <c r="FY731" t="s">
        <v>572</v>
      </c>
      <c r="GJ731">
        <v>7</v>
      </c>
      <c r="GL731">
        <v>8</v>
      </c>
      <c r="GM731" t="s">
        <v>356</v>
      </c>
      <c r="GQ731">
        <v>7.5</v>
      </c>
      <c r="GS731">
        <v>8.5</v>
      </c>
      <c r="GU731">
        <v>12</v>
      </c>
      <c r="GZ731" t="s">
        <v>296</v>
      </c>
      <c r="HH731" t="s">
        <v>272</v>
      </c>
      <c r="IE731" t="s">
        <v>1605</v>
      </c>
      <c r="IF731">
        <v>12953</v>
      </c>
      <c r="IG731" t="s">
        <v>1606</v>
      </c>
      <c r="IH731" t="s">
        <v>1607</v>
      </c>
      <c r="II731">
        <v>1985</v>
      </c>
      <c r="IJ731" t="s">
        <v>1608</v>
      </c>
    </row>
    <row r="732" spans="1:244" x14ac:dyDescent="0.45">
      <c r="A732">
        <v>1151431</v>
      </c>
      <c r="B732">
        <v>84000</v>
      </c>
      <c r="C732">
        <v>7487947</v>
      </c>
      <c r="D732" t="s">
        <v>1602</v>
      </c>
      <c r="F732" t="s">
        <v>327</v>
      </c>
      <c r="G732" t="s">
        <v>246</v>
      </c>
      <c r="N732" t="s">
        <v>1064</v>
      </c>
      <c r="O732" t="s">
        <v>1065</v>
      </c>
      <c r="P732" t="s">
        <v>249</v>
      </c>
      <c r="Q732" t="s">
        <v>250</v>
      </c>
      <c r="R732" t="s">
        <v>251</v>
      </c>
      <c r="T732" t="s">
        <v>252</v>
      </c>
      <c r="U732" t="s">
        <v>253</v>
      </c>
      <c r="V732" t="s">
        <v>304</v>
      </c>
      <c r="W732" t="s">
        <v>1066</v>
      </c>
      <c r="X732" t="s">
        <v>1067</v>
      </c>
      <c r="Z732" t="s">
        <v>284</v>
      </c>
      <c r="AB732">
        <v>8</v>
      </c>
      <c r="AG732" t="s">
        <v>598</v>
      </c>
      <c r="AM732" t="s">
        <v>317</v>
      </c>
      <c r="AN732" t="s">
        <v>259</v>
      </c>
      <c r="AO732" t="s">
        <v>260</v>
      </c>
      <c r="AQ732" t="s">
        <v>261</v>
      </c>
      <c r="AS732">
        <v>440</v>
      </c>
      <c r="AX732" t="s">
        <v>262</v>
      </c>
      <c r="BO732" t="s">
        <v>261</v>
      </c>
      <c r="BQ732">
        <v>0.44</v>
      </c>
      <c r="BV732" t="s">
        <v>263</v>
      </c>
      <c r="CM732" t="s">
        <v>264</v>
      </c>
      <c r="CN732" t="s">
        <v>264</v>
      </c>
      <c r="CP732" t="s">
        <v>265</v>
      </c>
      <c r="CQ732" t="s">
        <v>266</v>
      </c>
      <c r="DB732">
        <v>2</v>
      </c>
      <c r="DG732" t="s">
        <v>267</v>
      </c>
      <c r="DI732">
        <v>48</v>
      </c>
      <c r="DN732" t="s">
        <v>268</v>
      </c>
      <c r="DP732" t="s">
        <v>1603</v>
      </c>
      <c r="DR732">
        <v>79674</v>
      </c>
      <c r="DS732">
        <v>648</v>
      </c>
      <c r="DT732" t="s">
        <v>1604</v>
      </c>
      <c r="EW732" t="s">
        <v>333</v>
      </c>
      <c r="FO732">
        <v>25.5</v>
      </c>
      <c r="FQ732">
        <v>27</v>
      </c>
      <c r="FR732" t="s">
        <v>295</v>
      </c>
      <c r="FT732">
        <v>400</v>
      </c>
      <c r="FY732" t="s">
        <v>572</v>
      </c>
      <c r="GJ732">
        <v>7</v>
      </c>
      <c r="GL732">
        <v>8</v>
      </c>
      <c r="GM732" t="s">
        <v>356</v>
      </c>
      <c r="GQ732">
        <v>7.5</v>
      </c>
      <c r="GS732">
        <v>8.5</v>
      </c>
      <c r="GU732">
        <v>12</v>
      </c>
      <c r="GZ732" t="s">
        <v>296</v>
      </c>
      <c r="HH732" t="s">
        <v>272</v>
      </c>
      <c r="IE732" t="s">
        <v>1605</v>
      </c>
      <c r="IF732">
        <v>12953</v>
      </c>
      <c r="IG732" t="s">
        <v>1606</v>
      </c>
      <c r="IH732" t="s">
        <v>1607</v>
      </c>
      <c r="II732">
        <v>1985</v>
      </c>
      <c r="IJ732" t="s">
        <v>1608</v>
      </c>
    </row>
    <row r="733" spans="1:244" x14ac:dyDescent="0.45">
      <c r="A733">
        <v>1036975</v>
      </c>
      <c r="B733">
        <v>112776</v>
      </c>
      <c r="C733">
        <v>7487947</v>
      </c>
      <c r="D733" t="s">
        <v>1602</v>
      </c>
      <c r="F733" t="s">
        <v>245</v>
      </c>
      <c r="G733" t="s">
        <v>246</v>
      </c>
      <c r="N733" t="s">
        <v>1724</v>
      </c>
      <c r="O733" t="s">
        <v>1725</v>
      </c>
      <c r="P733" t="s">
        <v>249</v>
      </c>
      <c r="Q733" t="s">
        <v>250</v>
      </c>
      <c r="R733" t="s">
        <v>251</v>
      </c>
      <c r="T733" t="s">
        <v>252</v>
      </c>
      <c r="U733" t="s">
        <v>253</v>
      </c>
      <c r="V733" t="s">
        <v>1726</v>
      </c>
      <c r="W733" t="s">
        <v>1727</v>
      </c>
      <c r="X733" t="s">
        <v>1728</v>
      </c>
      <c r="Z733" t="s">
        <v>315</v>
      </c>
      <c r="AM733" t="s">
        <v>317</v>
      </c>
      <c r="AN733" t="s">
        <v>259</v>
      </c>
      <c r="AO733" t="s">
        <v>260</v>
      </c>
      <c r="AQ733" t="s">
        <v>261</v>
      </c>
      <c r="AS733">
        <v>50</v>
      </c>
      <c r="AX733" t="s">
        <v>262</v>
      </c>
      <c r="BO733" t="s">
        <v>261</v>
      </c>
      <c r="BQ733">
        <v>0.05</v>
      </c>
      <c r="BV733" t="s">
        <v>263</v>
      </c>
      <c r="CM733" t="s">
        <v>264</v>
      </c>
      <c r="CN733" t="s">
        <v>264</v>
      </c>
      <c r="CP733" t="s">
        <v>265</v>
      </c>
      <c r="CQ733" t="s">
        <v>266</v>
      </c>
      <c r="DB733">
        <v>4</v>
      </c>
      <c r="DG733" t="s">
        <v>267</v>
      </c>
      <c r="DI733">
        <v>96</v>
      </c>
      <c r="DN733" t="s">
        <v>268</v>
      </c>
      <c r="DP733" t="s">
        <v>570</v>
      </c>
      <c r="DR733">
        <v>111067</v>
      </c>
      <c r="DS733">
        <v>490</v>
      </c>
      <c r="DT733" t="s">
        <v>1729</v>
      </c>
      <c r="EW733" t="s">
        <v>333</v>
      </c>
      <c r="FM733">
        <v>20</v>
      </c>
      <c r="FR733" t="s">
        <v>295</v>
      </c>
      <c r="GG733" t="s">
        <v>288</v>
      </c>
      <c r="GH733">
        <v>4</v>
      </c>
      <c r="GM733" t="s">
        <v>356</v>
      </c>
      <c r="GU733">
        <v>20</v>
      </c>
      <c r="GZ733" t="s">
        <v>296</v>
      </c>
      <c r="HH733" t="s">
        <v>272</v>
      </c>
      <c r="IE733" t="s">
        <v>1730</v>
      </c>
      <c r="IF733">
        <v>2253</v>
      </c>
      <c r="IG733" t="s">
        <v>1731</v>
      </c>
      <c r="IH733" t="s">
        <v>1732</v>
      </c>
      <c r="II733">
        <v>1977</v>
      </c>
      <c r="IJ733" t="s">
        <v>1733</v>
      </c>
    </row>
    <row r="734" spans="1:244" x14ac:dyDescent="0.45">
      <c r="A734">
        <v>1078423</v>
      </c>
      <c r="B734">
        <v>73177</v>
      </c>
      <c r="C734">
        <v>7487947</v>
      </c>
      <c r="D734" t="s">
        <v>1602</v>
      </c>
      <c r="F734" t="s">
        <v>245</v>
      </c>
      <c r="G734" t="s">
        <v>246</v>
      </c>
      <c r="N734" t="s">
        <v>452</v>
      </c>
      <c r="O734" t="s">
        <v>346</v>
      </c>
      <c r="P734" t="s">
        <v>249</v>
      </c>
      <c r="Q734" t="s">
        <v>250</v>
      </c>
      <c r="R734" t="s">
        <v>251</v>
      </c>
      <c r="T734" t="s">
        <v>347</v>
      </c>
      <c r="U734" t="s">
        <v>348</v>
      </c>
      <c r="V734" t="s">
        <v>349</v>
      </c>
      <c r="W734" t="s">
        <v>350</v>
      </c>
      <c r="X734" t="s">
        <v>453</v>
      </c>
      <c r="AJ734" t="s">
        <v>285</v>
      </c>
      <c r="AM734" t="s">
        <v>317</v>
      </c>
      <c r="AN734" t="s">
        <v>259</v>
      </c>
      <c r="AO734" t="s">
        <v>260</v>
      </c>
      <c r="AP734" t="s">
        <v>1644</v>
      </c>
      <c r="AQ734" t="s">
        <v>261</v>
      </c>
      <c r="AS734">
        <v>35</v>
      </c>
      <c r="AX734" t="s">
        <v>290</v>
      </c>
      <c r="BO734" t="s">
        <v>261</v>
      </c>
      <c r="BQ734">
        <v>3.5000000000000003E-2</v>
      </c>
      <c r="BV734" t="s">
        <v>263</v>
      </c>
      <c r="CM734" t="s">
        <v>264</v>
      </c>
      <c r="CN734" t="s">
        <v>264</v>
      </c>
      <c r="CP734" t="s">
        <v>265</v>
      </c>
      <c r="CQ734" t="s">
        <v>266</v>
      </c>
      <c r="DB734">
        <v>1</v>
      </c>
      <c r="DG734" t="s">
        <v>267</v>
      </c>
      <c r="DI734">
        <v>24</v>
      </c>
      <c r="DN734" t="s">
        <v>268</v>
      </c>
      <c r="DR734">
        <v>85549</v>
      </c>
      <c r="DS734">
        <v>366</v>
      </c>
      <c r="EW734" t="s">
        <v>293</v>
      </c>
      <c r="FA734" t="s">
        <v>1645</v>
      </c>
      <c r="FK734" t="s">
        <v>1841</v>
      </c>
      <c r="FO734">
        <v>13</v>
      </c>
      <c r="FQ734">
        <v>21</v>
      </c>
      <c r="FR734" t="s">
        <v>295</v>
      </c>
      <c r="GW734">
        <v>27</v>
      </c>
      <c r="GY734">
        <v>36</v>
      </c>
      <c r="GZ734" t="s">
        <v>296</v>
      </c>
      <c r="HH734" t="s">
        <v>272</v>
      </c>
      <c r="ID734" t="s">
        <v>1842</v>
      </c>
      <c r="IE734" t="s">
        <v>1648</v>
      </c>
      <c r="IF734">
        <v>6045</v>
      </c>
      <c r="IG734" t="s">
        <v>1649</v>
      </c>
      <c r="IH734" t="s">
        <v>1650</v>
      </c>
      <c r="II734">
        <v>1976</v>
      </c>
      <c r="IJ734" t="s">
        <v>1651</v>
      </c>
    </row>
    <row r="735" spans="1:244" x14ac:dyDescent="0.45">
      <c r="A735">
        <v>1151161</v>
      </c>
      <c r="B735">
        <v>104868</v>
      </c>
      <c r="C735">
        <v>7487947</v>
      </c>
      <c r="D735" t="s">
        <v>1602</v>
      </c>
      <c r="F735" t="s">
        <v>245</v>
      </c>
      <c r="G735" t="s">
        <v>246</v>
      </c>
      <c r="N735" t="s">
        <v>247</v>
      </c>
      <c r="O735" t="s">
        <v>248</v>
      </c>
      <c r="P735" t="s">
        <v>249</v>
      </c>
      <c r="Q735" t="s">
        <v>250</v>
      </c>
      <c r="R735" t="s">
        <v>251</v>
      </c>
      <c r="T735" t="s">
        <v>252</v>
      </c>
      <c r="U735" t="s">
        <v>253</v>
      </c>
      <c r="V735" t="s">
        <v>254</v>
      </c>
      <c r="W735" t="s">
        <v>255</v>
      </c>
      <c r="X735" t="s">
        <v>256</v>
      </c>
      <c r="Z735" t="s">
        <v>1057</v>
      </c>
      <c r="AL735" t="s">
        <v>1777</v>
      </c>
      <c r="AM735" t="s">
        <v>317</v>
      </c>
      <c r="AN735" t="s">
        <v>259</v>
      </c>
      <c r="AO735" t="s">
        <v>260</v>
      </c>
      <c r="AQ735" t="s">
        <v>261</v>
      </c>
      <c r="AS735">
        <v>12790</v>
      </c>
      <c r="AX735" t="s">
        <v>262</v>
      </c>
      <c r="BO735" t="s">
        <v>261</v>
      </c>
      <c r="BQ735">
        <v>12.79</v>
      </c>
      <c r="BV735" t="s">
        <v>263</v>
      </c>
      <c r="CM735" t="s">
        <v>264</v>
      </c>
      <c r="CN735" t="s">
        <v>264</v>
      </c>
      <c r="CP735" t="s">
        <v>265</v>
      </c>
      <c r="DB735">
        <v>1</v>
      </c>
      <c r="DG735" t="s">
        <v>267</v>
      </c>
      <c r="DI735">
        <v>24</v>
      </c>
      <c r="DN735" t="s">
        <v>268</v>
      </c>
      <c r="DR735">
        <v>6761</v>
      </c>
      <c r="DS735">
        <v>2461</v>
      </c>
      <c r="EW735" t="s">
        <v>293</v>
      </c>
      <c r="HH735" t="s">
        <v>272</v>
      </c>
      <c r="IE735" t="s">
        <v>1778</v>
      </c>
      <c r="IF735">
        <v>12895</v>
      </c>
      <c r="IG735" t="s">
        <v>1779</v>
      </c>
      <c r="IH735" t="s">
        <v>1780</v>
      </c>
      <c r="II735">
        <v>1986</v>
      </c>
      <c r="IJ735" t="s">
        <v>1781</v>
      </c>
    </row>
    <row r="736" spans="1:244" x14ac:dyDescent="0.45">
      <c r="A736">
        <v>1278020</v>
      </c>
      <c r="B736">
        <v>731266</v>
      </c>
      <c r="C736">
        <v>7487947</v>
      </c>
      <c r="D736" t="s">
        <v>1602</v>
      </c>
      <c r="E736" t="s">
        <v>439</v>
      </c>
      <c r="F736" t="s">
        <v>245</v>
      </c>
      <c r="G736" t="s">
        <v>246</v>
      </c>
      <c r="N736" t="s">
        <v>968</v>
      </c>
      <c r="O736" t="s">
        <v>969</v>
      </c>
      <c r="P736" t="s">
        <v>249</v>
      </c>
      <c r="Q736" t="s">
        <v>250</v>
      </c>
      <c r="R736" t="s">
        <v>251</v>
      </c>
      <c r="T736" t="s">
        <v>252</v>
      </c>
      <c r="U736" t="s">
        <v>253</v>
      </c>
      <c r="V736" t="s">
        <v>418</v>
      </c>
      <c r="W736" t="s">
        <v>419</v>
      </c>
      <c r="X736" t="s">
        <v>970</v>
      </c>
      <c r="Z736" t="s">
        <v>649</v>
      </c>
      <c r="AL736" t="s">
        <v>1174</v>
      </c>
      <c r="AM736" t="s">
        <v>258</v>
      </c>
      <c r="AN736" t="s">
        <v>259</v>
      </c>
      <c r="AO736" t="s">
        <v>260</v>
      </c>
      <c r="AQ736" t="s">
        <v>261</v>
      </c>
      <c r="AS736">
        <v>0.03</v>
      </c>
      <c r="AU736">
        <v>0.01</v>
      </c>
      <c r="AW736">
        <v>7.0000000000000007E-2</v>
      </c>
      <c r="AX736" t="s">
        <v>356</v>
      </c>
      <c r="BO736" t="s">
        <v>261</v>
      </c>
      <c r="BQ736">
        <v>0.03</v>
      </c>
      <c r="BS736">
        <v>0.01</v>
      </c>
      <c r="BU736">
        <v>7.0000000000000007E-2</v>
      </c>
      <c r="BV736" t="s">
        <v>263</v>
      </c>
      <c r="CM736" t="s">
        <v>264</v>
      </c>
      <c r="CN736" t="s">
        <v>264</v>
      </c>
      <c r="CP736" t="s">
        <v>265</v>
      </c>
      <c r="CQ736" t="s">
        <v>266</v>
      </c>
      <c r="DB736">
        <v>4</v>
      </c>
      <c r="DG736" t="s">
        <v>267</v>
      </c>
      <c r="DI736">
        <v>96</v>
      </c>
      <c r="DN736" t="s">
        <v>268</v>
      </c>
      <c r="DP736" t="s">
        <v>1637</v>
      </c>
      <c r="DS736">
        <v>1010</v>
      </c>
      <c r="DT736" t="s">
        <v>1176</v>
      </c>
      <c r="EW736" t="s">
        <v>293</v>
      </c>
      <c r="FK736" t="s">
        <v>1843</v>
      </c>
      <c r="FM736">
        <v>35</v>
      </c>
      <c r="FR736" t="s">
        <v>295</v>
      </c>
      <c r="GG736" t="s">
        <v>288</v>
      </c>
      <c r="GH736">
        <v>90</v>
      </c>
      <c r="GM736" t="s">
        <v>900</v>
      </c>
      <c r="GO736">
        <v>8</v>
      </c>
      <c r="GU736">
        <v>36</v>
      </c>
      <c r="GZ736" t="s">
        <v>296</v>
      </c>
      <c r="HH736" t="s">
        <v>272</v>
      </c>
      <c r="ID736" t="s">
        <v>1844</v>
      </c>
      <c r="IE736" t="s">
        <v>1179</v>
      </c>
      <c r="IF736">
        <v>4973</v>
      </c>
      <c r="IG736" t="s">
        <v>1180</v>
      </c>
      <c r="IH736" t="s">
        <v>1181</v>
      </c>
      <c r="II736">
        <v>1982</v>
      </c>
      <c r="IJ736" t="s">
        <v>1182</v>
      </c>
    </row>
    <row r="737" spans="1:244" x14ac:dyDescent="0.45">
      <c r="A737">
        <v>1141309</v>
      </c>
      <c r="B737">
        <v>121179</v>
      </c>
      <c r="C737">
        <v>7487947</v>
      </c>
      <c r="D737" t="s">
        <v>1602</v>
      </c>
      <c r="F737" t="s">
        <v>245</v>
      </c>
      <c r="G737" t="s">
        <v>246</v>
      </c>
      <c r="N737" t="s">
        <v>1800</v>
      </c>
      <c r="O737" t="s">
        <v>1801</v>
      </c>
      <c r="P737" t="s">
        <v>249</v>
      </c>
      <c r="Q737" t="s">
        <v>250</v>
      </c>
      <c r="R737" t="s">
        <v>251</v>
      </c>
      <c r="T737" t="s">
        <v>252</v>
      </c>
      <c r="U737" t="s">
        <v>253</v>
      </c>
      <c r="V737" t="s">
        <v>418</v>
      </c>
      <c r="W737" t="s">
        <v>847</v>
      </c>
      <c r="X737" t="s">
        <v>1802</v>
      </c>
      <c r="AL737" t="s">
        <v>1834</v>
      </c>
      <c r="AM737" t="s">
        <v>258</v>
      </c>
      <c r="AN737" t="s">
        <v>259</v>
      </c>
      <c r="AO737" t="s">
        <v>260</v>
      </c>
      <c r="AQ737" t="s">
        <v>261</v>
      </c>
      <c r="AS737">
        <v>35</v>
      </c>
      <c r="AU737">
        <v>25.1</v>
      </c>
      <c r="AW737">
        <v>48.7</v>
      </c>
      <c r="AX737" t="s">
        <v>262</v>
      </c>
      <c r="BO737" t="s">
        <v>261</v>
      </c>
      <c r="BQ737">
        <v>3.5000000000000003E-2</v>
      </c>
      <c r="BS737">
        <v>2.5100000000000001E-2</v>
      </c>
      <c r="BU737">
        <v>4.87E-2</v>
      </c>
      <c r="BV737" t="s">
        <v>263</v>
      </c>
      <c r="CM737" t="s">
        <v>264</v>
      </c>
      <c r="CN737" t="s">
        <v>264</v>
      </c>
      <c r="CP737" t="s">
        <v>265</v>
      </c>
      <c r="CQ737" t="s">
        <v>266</v>
      </c>
      <c r="DB737">
        <v>4</v>
      </c>
      <c r="DG737" t="s">
        <v>267</v>
      </c>
      <c r="DI737">
        <v>96</v>
      </c>
      <c r="DN737" t="s">
        <v>268</v>
      </c>
      <c r="DP737" t="s">
        <v>1804</v>
      </c>
      <c r="DR737">
        <v>1378283</v>
      </c>
      <c r="DS737">
        <v>4579</v>
      </c>
      <c r="EW737" t="s">
        <v>271</v>
      </c>
      <c r="FM737">
        <v>27.5</v>
      </c>
      <c r="FR737" t="s">
        <v>295</v>
      </c>
      <c r="GG737" t="s">
        <v>288</v>
      </c>
      <c r="GH737">
        <v>60</v>
      </c>
      <c r="GM737" t="s">
        <v>900</v>
      </c>
      <c r="GU737">
        <v>15</v>
      </c>
      <c r="GZ737" t="s">
        <v>296</v>
      </c>
      <c r="HH737" t="s">
        <v>272</v>
      </c>
      <c r="IE737" t="s">
        <v>1805</v>
      </c>
      <c r="IF737">
        <v>11853</v>
      </c>
      <c r="IG737" t="s">
        <v>1806</v>
      </c>
      <c r="IH737" t="s">
        <v>1807</v>
      </c>
      <c r="II737">
        <v>1986</v>
      </c>
      <c r="IJ737" t="s">
        <v>1808</v>
      </c>
    </row>
    <row r="738" spans="1:244" x14ac:dyDescent="0.45">
      <c r="A738">
        <v>1026065</v>
      </c>
      <c r="B738">
        <v>123811</v>
      </c>
      <c r="C738">
        <v>7487947</v>
      </c>
      <c r="D738" t="s">
        <v>1602</v>
      </c>
      <c r="F738" t="s">
        <v>245</v>
      </c>
      <c r="G738" t="s">
        <v>246</v>
      </c>
      <c r="N738" t="s">
        <v>1845</v>
      </c>
      <c r="O738" t="s">
        <v>1846</v>
      </c>
      <c r="P738" t="s">
        <v>249</v>
      </c>
      <c r="Q738" t="s">
        <v>250</v>
      </c>
      <c r="R738" t="s">
        <v>251</v>
      </c>
      <c r="T738" t="s">
        <v>252</v>
      </c>
      <c r="U738" t="s">
        <v>253</v>
      </c>
      <c r="V738" t="s">
        <v>1847</v>
      </c>
      <c r="W738" t="s">
        <v>1848</v>
      </c>
      <c r="X738" t="s">
        <v>1849</v>
      </c>
      <c r="Z738" t="s">
        <v>315</v>
      </c>
      <c r="AM738" t="s">
        <v>258</v>
      </c>
      <c r="AN738" t="s">
        <v>259</v>
      </c>
      <c r="AO738" t="s">
        <v>260</v>
      </c>
      <c r="AQ738" t="s">
        <v>261</v>
      </c>
      <c r="AS738">
        <v>75</v>
      </c>
      <c r="AX738" t="s">
        <v>262</v>
      </c>
      <c r="BO738" t="s">
        <v>261</v>
      </c>
      <c r="BQ738">
        <v>7.4999999999999997E-2</v>
      </c>
      <c r="BV738" t="s">
        <v>263</v>
      </c>
      <c r="CM738" t="s">
        <v>264</v>
      </c>
      <c r="CN738" t="s">
        <v>264</v>
      </c>
      <c r="CP738" t="s">
        <v>265</v>
      </c>
      <c r="CQ738" t="s">
        <v>266</v>
      </c>
      <c r="DB738">
        <v>2</v>
      </c>
      <c r="DG738" t="s">
        <v>267</v>
      </c>
      <c r="DI738">
        <v>48</v>
      </c>
      <c r="DN738" t="s">
        <v>268</v>
      </c>
      <c r="DR738">
        <v>397978</v>
      </c>
      <c r="DS738">
        <v>37</v>
      </c>
      <c r="EW738" t="s">
        <v>360</v>
      </c>
      <c r="FM738">
        <v>15</v>
      </c>
      <c r="FR738" t="s">
        <v>295</v>
      </c>
      <c r="HH738" t="s">
        <v>272</v>
      </c>
      <c r="IE738" t="s">
        <v>552</v>
      </c>
      <c r="IF738">
        <v>906</v>
      </c>
      <c r="IG738" t="s">
        <v>553</v>
      </c>
      <c r="IH738" t="s">
        <v>554</v>
      </c>
      <c r="II738">
        <v>1971</v>
      </c>
      <c r="IJ738" t="s">
        <v>555</v>
      </c>
    </row>
    <row r="739" spans="1:244" x14ac:dyDescent="0.45">
      <c r="A739">
        <v>1186866</v>
      </c>
      <c r="B739">
        <v>138557</v>
      </c>
      <c r="C739">
        <v>7487947</v>
      </c>
      <c r="D739" t="s">
        <v>1602</v>
      </c>
      <c r="F739" t="s">
        <v>245</v>
      </c>
      <c r="G739" t="s">
        <v>246</v>
      </c>
      <c r="N739" t="s">
        <v>789</v>
      </c>
      <c r="O739" t="s">
        <v>790</v>
      </c>
      <c r="P739" t="s">
        <v>249</v>
      </c>
      <c r="Q739" t="s">
        <v>250</v>
      </c>
      <c r="R739" t="s">
        <v>251</v>
      </c>
      <c r="T739" t="s">
        <v>252</v>
      </c>
      <c r="U739" t="s">
        <v>253</v>
      </c>
      <c r="V739" t="s">
        <v>418</v>
      </c>
      <c r="W739" t="s">
        <v>791</v>
      </c>
      <c r="X739" t="s">
        <v>792</v>
      </c>
      <c r="Z739" t="s">
        <v>284</v>
      </c>
      <c r="AL739" t="s">
        <v>1742</v>
      </c>
      <c r="AM739" t="s">
        <v>258</v>
      </c>
      <c r="AN739" t="s">
        <v>259</v>
      </c>
      <c r="AO739" t="s">
        <v>260</v>
      </c>
      <c r="AQ739" t="s">
        <v>261</v>
      </c>
      <c r="AS739">
        <v>4.09</v>
      </c>
      <c r="AX739" t="s">
        <v>262</v>
      </c>
      <c r="BO739" t="s">
        <v>261</v>
      </c>
      <c r="BQ739">
        <v>4.0899999999999999E-3</v>
      </c>
      <c r="BV739" t="s">
        <v>263</v>
      </c>
      <c r="CM739" t="s">
        <v>264</v>
      </c>
      <c r="CN739" t="s">
        <v>264</v>
      </c>
      <c r="CP739" t="s">
        <v>265</v>
      </c>
      <c r="DB739">
        <v>2</v>
      </c>
      <c r="DG739" t="s">
        <v>267</v>
      </c>
      <c r="DI739">
        <v>48</v>
      </c>
      <c r="DN739" t="s">
        <v>268</v>
      </c>
      <c r="DR739">
        <v>161924</v>
      </c>
      <c r="DS739">
        <v>3045</v>
      </c>
      <c r="EW739" t="s">
        <v>272</v>
      </c>
      <c r="FM739">
        <v>28</v>
      </c>
      <c r="FR739" t="s">
        <v>295</v>
      </c>
      <c r="GO739">
        <v>8.1999999999999993</v>
      </c>
      <c r="GU739">
        <v>32</v>
      </c>
      <c r="GZ739" t="s">
        <v>296</v>
      </c>
      <c r="HH739" t="s">
        <v>272</v>
      </c>
      <c r="IE739" t="s">
        <v>1652</v>
      </c>
      <c r="IF739">
        <v>16613</v>
      </c>
      <c r="IG739" t="s">
        <v>1653</v>
      </c>
      <c r="IH739" t="s">
        <v>1654</v>
      </c>
      <c r="II739">
        <v>1994</v>
      </c>
      <c r="IJ739" t="s">
        <v>1655</v>
      </c>
    </row>
    <row r="740" spans="1:244" x14ac:dyDescent="0.45">
      <c r="A740">
        <v>1146874</v>
      </c>
      <c r="B740">
        <v>104712</v>
      </c>
      <c r="C740">
        <v>7487947</v>
      </c>
      <c r="D740" t="s">
        <v>1602</v>
      </c>
      <c r="F740" t="s">
        <v>245</v>
      </c>
      <c r="G740" t="s">
        <v>246</v>
      </c>
      <c r="N740" t="s">
        <v>247</v>
      </c>
      <c r="O740" t="s">
        <v>248</v>
      </c>
      <c r="P740" t="s">
        <v>249</v>
      </c>
      <c r="Q740" t="s">
        <v>250</v>
      </c>
      <c r="R740" t="s">
        <v>251</v>
      </c>
      <c r="T740" t="s">
        <v>252</v>
      </c>
      <c r="U740" t="s">
        <v>253</v>
      </c>
      <c r="V740" t="s">
        <v>254</v>
      </c>
      <c r="W740" t="s">
        <v>255</v>
      </c>
      <c r="X740" t="s">
        <v>256</v>
      </c>
      <c r="AL740" t="s">
        <v>257</v>
      </c>
      <c r="AM740" t="s">
        <v>258</v>
      </c>
      <c r="AN740" t="s">
        <v>259</v>
      </c>
      <c r="AO740" t="s">
        <v>260</v>
      </c>
      <c r="AQ740" t="s">
        <v>261</v>
      </c>
      <c r="AS740">
        <v>800</v>
      </c>
      <c r="AU740">
        <v>740</v>
      </c>
      <c r="AW740">
        <v>860</v>
      </c>
      <c r="AX740" t="s">
        <v>262</v>
      </c>
      <c r="BO740" t="s">
        <v>261</v>
      </c>
      <c r="BQ740">
        <v>0.8</v>
      </c>
      <c r="BS740">
        <v>0.74</v>
      </c>
      <c r="BU740">
        <v>0.86</v>
      </c>
      <c r="BV740" t="s">
        <v>263</v>
      </c>
      <c r="CM740" t="s">
        <v>264</v>
      </c>
      <c r="CN740" t="s">
        <v>264</v>
      </c>
      <c r="CP740" t="s">
        <v>265</v>
      </c>
      <c r="CQ740" t="s">
        <v>266</v>
      </c>
      <c r="DB740">
        <v>2</v>
      </c>
      <c r="DG740" t="s">
        <v>267</v>
      </c>
      <c r="DI740">
        <v>48</v>
      </c>
      <c r="DN740" t="s">
        <v>268</v>
      </c>
      <c r="DR740">
        <v>6761</v>
      </c>
      <c r="DS740">
        <v>2461</v>
      </c>
      <c r="DT740" t="s">
        <v>270</v>
      </c>
      <c r="EW740" t="s">
        <v>271</v>
      </c>
      <c r="HH740" t="s">
        <v>272</v>
      </c>
      <c r="IE740" t="s">
        <v>273</v>
      </c>
      <c r="IF740">
        <v>12413</v>
      </c>
      <c r="IG740" t="s">
        <v>274</v>
      </c>
      <c r="IH740" t="s">
        <v>275</v>
      </c>
      <c r="II740">
        <v>1987</v>
      </c>
      <c r="IJ740" t="s">
        <v>276</v>
      </c>
    </row>
    <row r="741" spans="1:244" x14ac:dyDescent="0.45">
      <c r="A741">
        <v>1141308</v>
      </c>
      <c r="B741">
        <v>121178</v>
      </c>
      <c r="C741">
        <v>7487947</v>
      </c>
      <c r="D741" t="s">
        <v>1602</v>
      </c>
      <c r="F741" t="s">
        <v>245</v>
      </c>
      <c r="G741" t="s">
        <v>246</v>
      </c>
      <c r="N741" t="s">
        <v>1800</v>
      </c>
      <c r="O741" t="s">
        <v>1801</v>
      </c>
      <c r="P741" t="s">
        <v>249</v>
      </c>
      <c r="Q741" t="s">
        <v>250</v>
      </c>
      <c r="R741" t="s">
        <v>251</v>
      </c>
      <c r="T741" t="s">
        <v>252</v>
      </c>
      <c r="U741" t="s">
        <v>253</v>
      </c>
      <c r="V741" t="s">
        <v>418</v>
      </c>
      <c r="W741" t="s">
        <v>847</v>
      </c>
      <c r="X741" t="s">
        <v>1802</v>
      </c>
      <c r="AL741" t="s">
        <v>1834</v>
      </c>
      <c r="AM741" t="s">
        <v>258</v>
      </c>
      <c r="AN741" t="s">
        <v>259</v>
      </c>
      <c r="AO741" t="s">
        <v>260</v>
      </c>
      <c r="AQ741" t="s">
        <v>261</v>
      </c>
      <c r="AS741">
        <v>40</v>
      </c>
      <c r="AU741">
        <v>31.8</v>
      </c>
      <c r="AW741">
        <v>50.2</v>
      </c>
      <c r="AX741" t="s">
        <v>262</v>
      </c>
      <c r="BO741" t="s">
        <v>261</v>
      </c>
      <c r="BQ741">
        <v>0.04</v>
      </c>
      <c r="BS741">
        <v>3.1800000000000002E-2</v>
      </c>
      <c r="BU741">
        <v>5.0200000000000002E-2</v>
      </c>
      <c r="BV741" t="s">
        <v>263</v>
      </c>
      <c r="CM741" t="s">
        <v>264</v>
      </c>
      <c r="CN741" t="s">
        <v>264</v>
      </c>
      <c r="CP741" t="s">
        <v>265</v>
      </c>
      <c r="CQ741" t="s">
        <v>266</v>
      </c>
      <c r="DB741">
        <v>3</v>
      </c>
      <c r="DG741" t="s">
        <v>267</v>
      </c>
      <c r="DI741">
        <v>72</v>
      </c>
      <c r="DN741" t="s">
        <v>268</v>
      </c>
      <c r="DP741" t="s">
        <v>1804</v>
      </c>
      <c r="DR741">
        <v>1378283</v>
      </c>
      <c r="DS741">
        <v>4579</v>
      </c>
      <c r="EW741" t="s">
        <v>271</v>
      </c>
      <c r="FM741">
        <v>27.5</v>
      </c>
      <c r="FR741" t="s">
        <v>295</v>
      </c>
      <c r="GG741" t="s">
        <v>288</v>
      </c>
      <c r="GH741">
        <v>60</v>
      </c>
      <c r="GM741" t="s">
        <v>900</v>
      </c>
      <c r="GU741">
        <v>15</v>
      </c>
      <c r="GZ741" t="s">
        <v>296</v>
      </c>
      <c r="HH741" t="s">
        <v>272</v>
      </c>
      <c r="IE741" t="s">
        <v>1805</v>
      </c>
      <c r="IF741">
        <v>11853</v>
      </c>
      <c r="IG741" t="s">
        <v>1806</v>
      </c>
      <c r="IH741" t="s">
        <v>1807</v>
      </c>
      <c r="II741">
        <v>1986</v>
      </c>
      <c r="IJ741" t="s">
        <v>1808</v>
      </c>
    </row>
    <row r="742" spans="1:244" x14ac:dyDescent="0.45">
      <c r="A742">
        <v>1299335</v>
      </c>
      <c r="B742">
        <v>754898</v>
      </c>
      <c r="C742">
        <v>7487947</v>
      </c>
      <c r="D742" t="s">
        <v>1602</v>
      </c>
      <c r="F742" t="s">
        <v>245</v>
      </c>
      <c r="G742" t="s">
        <v>246</v>
      </c>
      <c r="N742" t="s">
        <v>1341</v>
      </c>
      <c r="O742" t="s">
        <v>578</v>
      </c>
      <c r="P742" t="s">
        <v>249</v>
      </c>
      <c r="Q742" t="s">
        <v>250</v>
      </c>
      <c r="R742" t="s">
        <v>251</v>
      </c>
      <c r="T742" t="s">
        <v>252</v>
      </c>
      <c r="U742" t="s">
        <v>499</v>
      </c>
      <c r="V742" t="s">
        <v>1342</v>
      </c>
      <c r="W742" t="s">
        <v>1343</v>
      </c>
      <c r="X742" t="s">
        <v>1344</v>
      </c>
      <c r="Z742" t="s">
        <v>315</v>
      </c>
      <c r="AL742" t="s">
        <v>1345</v>
      </c>
      <c r="AM742" t="s">
        <v>317</v>
      </c>
      <c r="AN742" t="s">
        <v>259</v>
      </c>
      <c r="AO742" t="s">
        <v>260</v>
      </c>
      <c r="AP742">
        <v>6</v>
      </c>
      <c r="AQ742" t="s">
        <v>261</v>
      </c>
      <c r="AS742">
        <v>0.02</v>
      </c>
      <c r="AU742">
        <v>0.01</v>
      </c>
      <c r="AW742">
        <v>0.04</v>
      </c>
      <c r="AX742" t="s">
        <v>422</v>
      </c>
      <c r="BO742" t="s">
        <v>261</v>
      </c>
      <c r="BQ742">
        <v>0.02</v>
      </c>
      <c r="BS742">
        <v>0.01</v>
      </c>
      <c r="BU742">
        <v>0.04</v>
      </c>
      <c r="BV742" t="s">
        <v>263</v>
      </c>
      <c r="CM742" t="s">
        <v>264</v>
      </c>
      <c r="CN742" t="s">
        <v>264</v>
      </c>
      <c r="CP742" t="s">
        <v>265</v>
      </c>
      <c r="CQ742" t="s">
        <v>266</v>
      </c>
      <c r="DB742">
        <v>3</v>
      </c>
      <c r="DG742" t="s">
        <v>267</v>
      </c>
      <c r="DI742">
        <v>72</v>
      </c>
      <c r="DN742" t="s">
        <v>268</v>
      </c>
      <c r="DP742" t="s">
        <v>1634</v>
      </c>
      <c r="DR742">
        <v>191375</v>
      </c>
      <c r="DS742">
        <v>20130</v>
      </c>
      <c r="DT742" t="s">
        <v>1346</v>
      </c>
      <c r="EW742" t="s">
        <v>293</v>
      </c>
      <c r="FK742" t="s">
        <v>1850</v>
      </c>
      <c r="FM742">
        <v>14.5</v>
      </c>
      <c r="FR742" t="s">
        <v>295</v>
      </c>
      <c r="GU742">
        <v>33</v>
      </c>
      <c r="GZ742" t="s">
        <v>296</v>
      </c>
      <c r="HH742" t="s">
        <v>272</v>
      </c>
      <c r="ID742" t="s">
        <v>1851</v>
      </c>
      <c r="IE742" t="s">
        <v>1349</v>
      </c>
      <c r="IF742">
        <v>115864</v>
      </c>
      <c r="IG742" t="s">
        <v>1350</v>
      </c>
      <c r="IH742" t="s">
        <v>1351</v>
      </c>
      <c r="II742">
        <v>2009</v>
      </c>
      <c r="IJ742" t="s">
        <v>1352</v>
      </c>
    </row>
    <row r="743" spans="1:244" x14ac:dyDescent="0.45">
      <c r="A743">
        <v>2170776</v>
      </c>
      <c r="B743">
        <v>2336386</v>
      </c>
      <c r="C743">
        <v>7487947</v>
      </c>
      <c r="D743" t="s">
        <v>1602</v>
      </c>
      <c r="E743" t="s">
        <v>415</v>
      </c>
      <c r="F743" t="s">
        <v>245</v>
      </c>
      <c r="G743" t="s">
        <v>272</v>
      </c>
      <c r="N743" t="s">
        <v>958</v>
      </c>
      <c r="O743" t="s">
        <v>959</v>
      </c>
      <c r="P743" t="s">
        <v>249</v>
      </c>
      <c r="Q743" t="s">
        <v>250</v>
      </c>
      <c r="R743" t="s">
        <v>251</v>
      </c>
      <c r="T743" t="s">
        <v>252</v>
      </c>
      <c r="U743" t="s">
        <v>253</v>
      </c>
      <c r="V743" t="s">
        <v>418</v>
      </c>
      <c r="W743" t="s">
        <v>419</v>
      </c>
      <c r="X743" t="s">
        <v>960</v>
      </c>
      <c r="AJ743" t="s">
        <v>285</v>
      </c>
      <c r="AL743" t="s">
        <v>1622</v>
      </c>
      <c r="AM743" t="s">
        <v>287</v>
      </c>
      <c r="AN743" t="s">
        <v>259</v>
      </c>
      <c r="AO743" t="s">
        <v>260</v>
      </c>
      <c r="AP743">
        <v>6</v>
      </c>
      <c r="AQ743" t="s">
        <v>261</v>
      </c>
      <c r="AS743">
        <v>2.1999999999999999E-2</v>
      </c>
      <c r="AU743">
        <v>0.02</v>
      </c>
      <c r="AW743">
        <v>2.9000000000000001E-2</v>
      </c>
      <c r="AX743" t="s">
        <v>356</v>
      </c>
      <c r="BO743" t="s">
        <v>261</v>
      </c>
      <c r="BQ743">
        <v>2.1999999999999999E-2</v>
      </c>
      <c r="BS743">
        <v>0.02</v>
      </c>
      <c r="BU743">
        <v>2.9000000000000001E-2</v>
      </c>
      <c r="BV743" t="s">
        <v>263</v>
      </c>
      <c r="CM743" t="s">
        <v>264</v>
      </c>
      <c r="CN743" t="s">
        <v>264</v>
      </c>
      <c r="CP743" t="s">
        <v>265</v>
      </c>
      <c r="CQ743" t="s">
        <v>266</v>
      </c>
      <c r="DB743">
        <v>3</v>
      </c>
      <c r="DG743" t="s">
        <v>267</v>
      </c>
      <c r="DI743">
        <v>72</v>
      </c>
      <c r="DN743" t="s">
        <v>268</v>
      </c>
      <c r="DR743">
        <v>6687</v>
      </c>
      <c r="DS743">
        <v>252</v>
      </c>
      <c r="DV743">
        <v>96</v>
      </c>
      <c r="EA743" t="s">
        <v>268</v>
      </c>
      <c r="EC743">
        <v>4</v>
      </c>
      <c r="EH743" t="s">
        <v>267</v>
      </c>
      <c r="EJ743">
        <v>96</v>
      </c>
      <c r="EO743" t="s">
        <v>268</v>
      </c>
      <c r="EQ743">
        <v>4</v>
      </c>
      <c r="EV743" t="s">
        <v>267</v>
      </c>
      <c r="EW743" t="s">
        <v>293</v>
      </c>
      <c r="EZ743">
        <v>10</v>
      </c>
      <c r="FM743">
        <v>24.1</v>
      </c>
      <c r="FR743" t="s">
        <v>295</v>
      </c>
      <c r="GG743" t="s">
        <v>288</v>
      </c>
      <c r="GH743">
        <v>60</v>
      </c>
      <c r="GM743" t="s">
        <v>900</v>
      </c>
      <c r="GO743">
        <v>6.8</v>
      </c>
      <c r="GU743">
        <v>15</v>
      </c>
      <c r="GZ743" t="s">
        <v>296</v>
      </c>
      <c r="HH743" t="s">
        <v>272</v>
      </c>
      <c r="ID743" t="s">
        <v>1623</v>
      </c>
      <c r="IE743" t="s">
        <v>1624</v>
      </c>
      <c r="IF743">
        <v>172254</v>
      </c>
      <c r="IG743" t="s">
        <v>1625</v>
      </c>
      <c r="IH743" t="s">
        <v>1626</v>
      </c>
      <c r="II743">
        <v>2002</v>
      </c>
      <c r="IJ743" t="s">
        <v>1627</v>
      </c>
    </row>
    <row r="744" spans="1:244" x14ac:dyDescent="0.45">
      <c r="A744">
        <v>1151443</v>
      </c>
      <c r="B744">
        <v>84012</v>
      </c>
      <c r="C744">
        <v>7487947</v>
      </c>
      <c r="D744" t="s">
        <v>1602</v>
      </c>
      <c r="F744" t="s">
        <v>327</v>
      </c>
      <c r="G744" t="s">
        <v>246</v>
      </c>
      <c r="N744" t="s">
        <v>1064</v>
      </c>
      <c r="O744" t="s">
        <v>1065</v>
      </c>
      <c r="P744" t="s">
        <v>249</v>
      </c>
      <c r="Q744" t="s">
        <v>250</v>
      </c>
      <c r="R744" t="s">
        <v>251</v>
      </c>
      <c r="T744" t="s">
        <v>252</v>
      </c>
      <c r="U744" t="s">
        <v>253</v>
      </c>
      <c r="V744" t="s">
        <v>304</v>
      </c>
      <c r="W744" t="s">
        <v>1066</v>
      </c>
      <c r="X744" t="s">
        <v>1067</v>
      </c>
      <c r="Z744" t="s">
        <v>284</v>
      </c>
      <c r="AB744">
        <v>11</v>
      </c>
      <c r="AG744" t="s">
        <v>598</v>
      </c>
      <c r="AM744" t="s">
        <v>317</v>
      </c>
      <c r="AN744" t="s">
        <v>259</v>
      </c>
      <c r="AO744" t="s">
        <v>260</v>
      </c>
      <c r="AQ744" t="s">
        <v>261</v>
      </c>
      <c r="AS744">
        <v>500</v>
      </c>
      <c r="AX744" t="s">
        <v>262</v>
      </c>
      <c r="BO744" t="s">
        <v>261</v>
      </c>
      <c r="BQ744">
        <v>0.5</v>
      </c>
      <c r="BV744" t="s">
        <v>263</v>
      </c>
      <c r="CM744" t="s">
        <v>264</v>
      </c>
      <c r="CN744" t="s">
        <v>264</v>
      </c>
      <c r="CP744" t="s">
        <v>265</v>
      </c>
      <c r="CQ744" t="s">
        <v>266</v>
      </c>
      <c r="DB744">
        <v>2</v>
      </c>
      <c r="DG744" t="s">
        <v>267</v>
      </c>
      <c r="DI744">
        <v>48</v>
      </c>
      <c r="DN744" t="s">
        <v>268</v>
      </c>
      <c r="DP744" t="s">
        <v>1603</v>
      </c>
      <c r="DR744">
        <v>79674</v>
      </c>
      <c r="DS744">
        <v>648</v>
      </c>
      <c r="DT744" t="s">
        <v>1604</v>
      </c>
      <c r="EW744" t="s">
        <v>333</v>
      </c>
      <c r="FO744">
        <v>25.5</v>
      </c>
      <c r="FQ744">
        <v>27</v>
      </c>
      <c r="FR744" t="s">
        <v>295</v>
      </c>
      <c r="FT744">
        <v>400</v>
      </c>
      <c r="FY744" t="s">
        <v>572</v>
      </c>
      <c r="GJ744">
        <v>7</v>
      </c>
      <c r="GL744">
        <v>8</v>
      </c>
      <c r="GM744" t="s">
        <v>356</v>
      </c>
      <c r="GQ744">
        <v>7.5</v>
      </c>
      <c r="GS744">
        <v>8.5</v>
      </c>
      <c r="GU744">
        <v>12</v>
      </c>
      <c r="GZ744" t="s">
        <v>296</v>
      </c>
      <c r="HH744" t="s">
        <v>272</v>
      </c>
      <c r="IE744" t="s">
        <v>1605</v>
      </c>
      <c r="IF744">
        <v>12953</v>
      </c>
      <c r="IG744" t="s">
        <v>1606</v>
      </c>
      <c r="IH744" t="s">
        <v>1607</v>
      </c>
      <c r="II744">
        <v>1985</v>
      </c>
      <c r="IJ744" t="s">
        <v>1608</v>
      </c>
    </row>
    <row r="745" spans="1:244" x14ac:dyDescent="0.45">
      <c r="A745">
        <v>1078444</v>
      </c>
      <c r="B745">
        <v>130921</v>
      </c>
      <c r="C745">
        <v>7487947</v>
      </c>
      <c r="D745" t="s">
        <v>1602</v>
      </c>
      <c r="F745" t="s">
        <v>245</v>
      </c>
      <c r="G745" t="s">
        <v>246</v>
      </c>
      <c r="N745" t="s">
        <v>1852</v>
      </c>
      <c r="O745" t="s">
        <v>631</v>
      </c>
      <c r="P745" t="s">
        <v>249</v>
      </c>
      <c r="Q745" t="s">
        <v>250</v>
      </c>
      <c r="R745" t="s">
        <v>251</v>
      </c>
      <c r="T745" t="s">
        <v>389</v>
      </c>
      <c r="U745" t="s">
        <v>632</v>
      </c>
      <c r="V745" t="s">
        <v>1853</v>
      </c>
      <c r="W745" t="s">
        <v>1854</v>
      </c>
      <c r="X745" t="s">
        <v>1855</v>
      </c>
      <c r="AJ745" t="s">
        <v>285</v>
      </c>
      <c r="AM745" t="s">
        <v>317</v>
      </c>
      <c r="AN745" t="s">
        <v>259</v>
      </c>
      <c r="AO745" t="s">
        <v>260</v>
      </c>
      <c r="AP745" t="s">
        <v>1644</v>
      </c>
      <c r="AQ745" t="s">
        <v>261</v>
      </c>
      <c r="AS745">
        <v>31</v>
      </c>
      <c r="AX745" t="s">
        <v>290</v>
      </c>
      <c r="BO745" t="s">
        <v>261</v>
      </c>
      <c r="BQ745">
        <v>3.1E-2</v>
      </c>
      <c r="BV745" t="s">
        <v>263</v>
      </c>
      <c r="CM745" t="s">
        <v>264</v>
      </c>
      <c r="CN745" t="s">
        <v>264</v>
      </c>
      <c r="CP745" t="s">
        <v>265</v>
      </c>
      <c r="DB745">
        <v>1</v>
      </c>
      <c r="DG745" t="s">
        <v>267</v>
      </c>
      <c r="DI745">
        <v>24</v>
      </c>
      <c r="DN745" t="s">
        <v>268</v>
      </c>
      <c r="DR745">
        <v>163468</v>
      </c>
      <c r="DS745">
        <v>4813</v>
      </c>
      <c r="EW745" t="s">
        <v>293</v>
      </c>
      <c r="FA745" t="s">
        <v>1645</v>
      </c>
      <c r="FK745" t="s">
        <v>1856</v>
      </c>
      <c r="FO745">
        <v>13</v>
      </c>
      <c r="FQ745">
        <v>21</v>
      </c>
      <c r="FR745" t="s">
        <v>295</v>
      </c>
      <c r="GW745">
        <v>27</v>
      </c>
      <c r="GY745">
        <v>36</v>
      </c>
      <c r="GZ745" t="s">
        <v>296</v>
      </c>
      <c r="HH745" t="s">
        <v>272</v>
      </c>
      <c r="ID745" t="s">
        <v>1857</v>
      </c>
      <c r="IE745" t="s">
        <v>1648</v>
      </c>
      <c r="IF745">
        <v>6045</v>
      </c>
      <c r="IG745" t="s">
        <v>1649</v>
      </c>
      <c r="IH745" t="s">
        <v>1650</v>
      </c>
      <c r="II745">
        <v>1976</v>
      </c>
      <c r="IJ745" t="s">
        <v>1651</v>
      </c>
    </row>
    <row r="746" spans="1:244" x14ac:dyDescent="0.45">
      <c r="A746">
        <v>2170776</v>
      </c>
      <c r="B746">
        <v>2336385</v>
      </c>
      <c r="C746">
        <v>7487947</v>
      </c>
      <c r="D746" t="s">
        <v>1602</v>
      </c>
      <c r="E746" t="s">
        <v>415</v>
      </c>
      <c r="F746" t="s">
        <v>245</v>
      </c>
      <c r="G746" t="s">
        <v>272</v>
      </c>
      <c r="N746" t="s">
        <v>958</v>
      </c>
      <c r="O746" t="s">
        <v>959</v>
      </c>
      <c r="P746" t="s">
        <v>249</v>
      </c>
      <c r="Q746" t="s">
        <v>250</v>
      </c>
      <c r="R746" t="s">
        <v>251</v>
      </c>
      <c r="T746" t="s">
        <v>252</v>
      </c>
      <c r="U746" t="s">
        <v>253</v>
      </c>
      <c r="V746" t="s">
        <v>418</v>
      </c>
      <c r="W746" t="s">
        <v>419</v>
      </c>
      <c r="X746" t="s">
        <v>960</v>
      </c>
      <c r="AJ746" t="s">
        <v>285</v>
      </c>
      <c r="AL746" t="s">
        <v>1622</v>
      </c>
      <c r="AM746" t="s">
        <v>287</v>
      </c>
      <c r="AN746" t="s">
        <v>259</v>
      </c>
      <c r="AO746" t="s">
        <v>260</v>
      </c>
      <c r="AP746">
        <v>6</v>
      </c>
      <c r="AQ746" t="s">
        <v>261</v>
      </c>
      <c r="AS746">
        <v>2.8000000000000001E-2</v>
      </c>
      <c r="AX746" t="s">
        <v>356</v>
      </c>
      <c r="BO746" t="s">
        <v>261</v>
      </c>
      <c r="BQ746">
        <v>2.8000000000000001E-2</v>
      </c>
      <c r="BV746" t="s">
        <v>263</v>
      </c>
      <c r="CM746" t="s">
        <v>264</v>
      </c>
      <c r="CN746" t="s">
        <v>264</v>
      </c>
      <c r="CP746" t="s">
        <v>265</v>
      </c>
      <c r="CQ746" t="s">
        <v>266</v>
      </c>
      <c r="DB746">
        <v>2</v>
      </c>
      <c r="DG746" t="s">
        <v>267</v>
      </c>
      <c r="DI746">
        <v>48</v>
      </c>
      <c r="DN746" t="s">
        <v>268</v>
      </c>
      <c r="DR746">
        <v>6687</v>
      </c>
      <c r="DS746">
        <v>252</v>
      </c>
      <c r="DV746">
        <v>96</v>
      </c>
      <c r="EA746" t="s">
        <v>268</v>
      </c>
      <c r="EC746">
        <v>4</v>
      </c>
      <c r="EH746" t="s">
        <v>267</v>
      </c>
      <c r="EJ746">
        <v>96</v>
      </c>
      <c r="EO746" t="s">
        <v>268</v>
      </c>
      <c r="EQ746">
        <v>4</v>
      </c>
      <c r="EV746" t="s">
        <v>267</v>
      </c>
      <c r="EW746" t="s">
        <v>293</v>
      </c>
      <c r="EZ746">
        <v>10</v>
      </c>
      <c r="FK746" t="s">
        <v>1858</v>
      </c>
      <c r="FM746">
        <v>24.1</v>
      </c>
      <c r="FR746" t="s">
        <v>295</v>
      </c>
      <c r="GG746" t="s">
        <v>288</v>
      </c>
      <c r="GH746">
        <v>60</v>
      </c>
      <c r="GM746" t="s">
        <v>900</v>
      </c>
      <c r="GO746">
        <v>6.8</v>
      </c>
      <c r="GU746">
        <v>15</v>
      </c>
      <c r="GZ746" t="s">
        <v>296</v>
      </c>
      <c r="HH746" t="s">
        <v>272</v>
      </c>
      <c r="ID746" t="s">
        <v>1859</v>
      </c>
      <c r="IE746" t="s">
        <v>1624</v>
      </c>
      <c r="IF746">
        <v>172254</v>
      </c>
      <c r="IG746" t="s">
        <v>1625</v>
      </c>
      <c r="IH746" t="s">
        <v>1626</v>
      </c>
      <c r="II746">
        <v>2002</v>
      </c>
      <c r="IJ746" t="s">
        <v>1627</v>
      </c>
    </row>
    <row r="747" spans="1:244" x14ac:dyDescent="0.45">
      <c r="A747">
        <v>2170776</v>
      </c>
      <c r="B747">
        <v>2336384</v>
      </c>
      <c r="C747">
        <v>7487947</v>
      </c>
      <c r="D747" t="s">
        <v>1602</v>
      </c>
      <c r="E747" t="s">
        <v>415</v>
      </c>
      <c r="F747" t="s">
        <v>245</v>
      </c>
      <c r="G747" t="s">
        <v>272</v>
      </c>
      <c r="N747" t="s">
        <v>958</v>
      </c>
      <c r="O747" t="s">
        <v>959</v>
      </c>
      <c r="P747" t="s">
        <v>249</v>
      </c>
      <c r="Q747" t="s">
        <v>250</v>
      </c>
      <c r="R747" t="s">
        <v>251</v>
      </c>
      <c r="T747" t="s">
        <v>252</v>
      </c>
      <c r="U747" t="s">
        <v>253</v>
      </c>
      <c r="V747" t="s">
        <v>418</v>
      </c>
      <c r="W747" t="s">
        <v>419</v>
      </c>
      <c r="X747" t="s">
        <v>960</v>
      </c>
      <c r="AJ747" t="s">
        <v>285</v>
      </c>
      <c r="AL747" t="s">
        <v>1622</v>
      </c>
      <c r="AM747" t="s">
        <v>287</v>
      </c>
      <c r="AN747" t="s">
        <v>259</v>
      </c>
      <c r="AO747" t="s">
        <v>260</v>
      </c>
      <c r="AP747">
        <v>6</v>
      </c>
      <c r="AQ747" t="s">
        <v>261</v>
      </c>
      <c r="AS747">
        <v>3.5999999999999997E-2</v>
      </c>
      <c r="AU747">
        <v>3.2000000000000001E-2</v>
      </c>
      <c r="AW747">
        <v>3.7999999999999999E-2</v>
      </c>
      <c r="AX747" t="s">
        <v>356</v>
      </c>
      <c r="BO747" t="s">
        <v>261</v>
      </c>
      <c r="BQ747">
        <v>3.5999999999999997E-2</v>
      </c>
      <c r="BS747">
        <v>3.2000000000000001E-2</v>
      </c>
      <c r="BU747">
        <v>3.7999999999999999E-2</v>
      </c>
      <c r="BV747" t="s">
        <v>263</v>
      </c>
      <c r="CM747" t="s">
        <v>264</v>
      </c>
      <c r="CN747" t="s">
        <v>264</v>
      </c>
      <c r="CP747" t="s">
        <v>265</v>
      </c>
      <c r="CQ747" t="s">
        <v>266</v>
      </c>
      <c r="DB747">
        <v>1</v>
      </c>
      <c r="DG747" t="s">
        <v>267</v>
      </c>
      <c r="DI747">
        <v>24</v>
      </c>
      <c r="DN747" t="s">
        <v>268</v>
      </c>
      <c r="DR747">
        <v>6687</v>
      </c>
      <c r="DS747">
        <v>252</v>
      </c>
      <c r="DV747">
        <v>96</v>
      </c>
      <c r="EA747" t="s">
        <v>268</v>
      </c>
      <c r="EC747">
        <v>4</v>
      </c>
      <c r="EH747" t="s">
        <v>267</v>
      </c>
      <c r="EJ747">
        <v>96</v>
      </c>
      <c r="EO747" t="s">
        <v>268</v>
      </c>
      <c r="EQ747">
        <v>4</v>
      </c>
      <c r="EV747" t="s">
        <v>267</v>
      </c>
      <c r="EW747" t="s">
        <v>293</v>
      </c>
      <c r="EZ747">
        <v>10</v>
      </c>
      <c r="FM747">
        <v>24.1</v>
      </c>
      <c r="FR747" t="s">
        <v>295</v>
      </c>
      <c r="GG747" t="s">
        <v>288</v>
      </c>
      <c r="GH747">
        <v>60</v>
      </c>
      <c r="GM747" t="s">
        <v>900</v>
      </c>
      <c r="GO747">
        <v>6.8</v>
      </c>
      <c r="GU747">
        <v>15</v>
      </c>
      <c r="GZ747" t="s">
        <v>296</v>
      </c>
      <c r="HH747" t="s">
        <v>272</v>
      </c>
      <c r="ID747" t="s">
        <v>1623</v>
      </c>
      <c r="IE747" t="s">
        <v>1624</v>
      </c>
      <c r="IF747">
        <v>172254</v>
      </c>
      <c r="IG747" t="s">
        <v>1625</v>
      </c>
      <c r="IH747" t="s">
        <v>1626</v>
      </c>
      <c r="II747">
        <v>2002</v>
      </c>
      <c r="IJ747" t="s">
        <v>1627</v>
      </c>
    </row>
    <row r="748" spans="1:244" x14ac:dyDescent="0.45">
      <c r="A748">
        <v>2170776</v>
      </c>
      <c r="B748">
        <v>2336387</v>
      </c>
      <c r="C748">
        <v>7487947</v>
      </c>
      <c r="D748" t="s">
        <v>1602</v>
      </c>
      <c r="E748" t="s">
        <v>415</v>
      </c>
      <c r="F748" t="s">
        <v>245</v>
      </c>
      <c r="G748" t="s">
        <v>272</v>
      </c>
      <c r="N748" t="s">
        <v>958</v>
      </c>
      <c r="O748" t="s">
        <v>959</v>
      </c>
      <c r="P748" t="s">
        <v>249</v>
      </c>
      <c r="Q748" t="s">
        <v>250</v>
      </c>
      <c r="R748" t="s">
        <v>251</v>
      </c>
      <c r="T748" t="s">
        <v>252</v>
      </c>
      <c r="U748" t="s">
        <v>253</v>
      </c>
      <c r="V748" t="s">
        <v>418</v>
      </c>
      <c r="W748" t="s">
        <v>419</v>
      </c>
      <c r="X748" t="s">
        <v>960</v>
      </c>
      <c r="AJ748" t="s">
        <v>285</v>
      </c>
      <c r="AL748" t="s">
        <v>1622</v>
      </c>
      <c r="AM748" t="s">
        <v>287</v>
      </c>
      <c r="AN748" t="s">
        <v>259</v>
      </c>
      <c r="AO748" t="s">
        <v>260</v>
      </c>
      <c r="AP748">
        <v>6</v>
      </c>
      <c r="AQ748" t="s">
        <v>261</v>
      </c>
      <c r="AS748">
        <v>1.7000000000000001E-2</v>
      </c>
      <c r="AU748">
        <v>1.4E-2</v>
      </c>
      <c r="AW748">
        <v>0.02</v>
      </c>
      <c r="AX748" t="s">
        <v>356</v>
      </c>
      <c r="BO748" t="s">
        <v>261</v>
      </c>
      <c r="BQ748">
        <v>1.7000000000000001E-2</v>
      </c>
      <c r="BS748">
        <v>1.4E-2</v>
      </c>
      <c r="BU748">
        <v>0.02</v>
      </c>
      <c r="BV748" t="s">
        <v>263</v>
      </c>
      <c r="CM748" t="s">
        <v>264</v>
      </c>
      <c r="CN748" t="s">
        <v>264</v>
      </c>
      <c r="CP748" t="s">
        <v>265</v>
      </c>
      <c r="CQ748" t="s">
        <v>266</v>
      </c>
      <c r="DB748">
        <v>4</v>
      </c>
      <c r="DG748" t="s">
        <v>267</v>
      </c>
      <c r="DI748">
        <v>96</v>
      </c>
      <c r="DN748" t="s">
        <v>268</v>
      </c>
      <c r="DR748">
        <v>6687</v>
      </c>
      <c r="DS748">
        <v>252</v>
      </c>
      <c r="DV748">
        <v>96</v>
      </c>
      <c r="EA748" t="s">
        <v>268</v>
      </c>
      <c r="EC748">
        <v>4</v>
      </c>
      <c r="EH748" t="s">
        <v>267</v>
      </c>
      <c r="EJ748">
        <v>96</v>
      </c>
      <c r="EO748" t="s">
        <v>268</v>
      </c>
      <c r="EQ748">
        <v>4</v>
      </c>
      <c r="EV748" t="s">
        <v>267</v>
      </c>
      <c r="EW748" t="s">
        <v>293</v>
      </c>
      <c r="EZ748">
        <v>10</v>
      </c>
      <c r="FM748">
        <v>24.1</v>
      </c>
      <c r="FR748" t="s">
        <v>295</v>
      </c>
      <c r="GG748" t="s">
        <v>288</v>
      </c>
      <c r="GH748">
        <v>60</v>
      </c>
      <c r="GM748" t="s">
        <v>900</v>
      </c>
      <c r="GO748">
        <v>6.8</v>
      </c>
      <c r="GU748">
        <v>15</v>
      </c>
      <c r="GZ748" t="s">
        <v>296</v>
      </c>
      <c r="HH748" t="s">
        <v>272</v>
      </c>
      <c r="ID748" t="s">
        <v>1623</v>
      </c>
      <c r="IE748" t="s">
        <v>1624</v>
      </c>
      <c r="IF748">
        <v>172254</v>
      </c>
      <c r="IG748" t="s">
        <v>1625</v>
      </c>
      <c r="IH748" t="s">
        <v>1626</v>
      </c>
      <c r="II748">
        <v>2002</v>
      </c>
      <c r="IJ748" t="s">
        <v>1627</v>
      </c>
    </row>
    <row r="749" spans="1:244" x14ac:dyDescent="0.45">
      <c r="A749">
        <v>1111785</v>
      </c>
      <c r="B749">
        <v>29506</v>
      </c>
      <c r="C749">
        <v>7487947</v>
      </c>
      <c r="D749" t="s">
        <v>1602</v>
      </c>
      <c r="F749" t="s">
        <v>245</v>
      </c>
      <c r="G749" t="s">
        <v>246</v>
      </c>
      <c r="N749" t="s">
        <v>1609</v>
      </c>
      <c r="O749" t="s">
        <v>1610</v>
      </c>
      <c r="P749" t="s">
        <v>249</v>
      </c>
      <c r="Q749" t="s">
        <v>250</v>
      </c>
      <c r="R749" t="s">
        <v>251</v>
      </c>
      <c r="T749" t="s">
        <v>252</v>
      </c>
      <c r="U749" t="s">
        <v>253</v>
      </c>
      <c r="V749" t="s">
        <v>1611</v>
      </c>
      <c r="W749" t="s">
        <v>1612</v>
      </c>
      <c r="X749" t="s">
        <v>1613</v>
      </c>
      <c r="AM749" t="s">
        <v>317</v>
      </c>
      <c r="AN749" t="s">
        <v>259</v>
      </c>
      <c r="AO749" t="s">
        <v>260</v>
      </c>
      <c r="AQ749" t="s">
        <v>261</v>
      </c>
      <c r="AS749">
        <v>54</v>
      </c>
      <c r="AX749" t="s">
        <v>262</v>
      </c>
      <c r="BO749" t="s">
        <v>261</v>
      </c>
      <c r="BQ749">
        <v>5.3999999999999999E-2</v>
      </c>
      <c r="BV749" t="s">
        <v>263</v>
      </c>
      <c r="CM749" t="s">
        <v>264</v>
      </c>
      <c r="CN749" t="s">
        <v>264</v>
      </c>
      <c r="CP749" t="s">
        <v>265</v>
      </c>
      <c r="CQ749" t="s">
        <v>266</v>
      </c>
      <c r="DB749">
        <v>2</v>
      </c>
      <c r="DG749" t="s">
        <v>267</v>
      </c>
      <c r="DI749">
        <v>48</v>
      </c>
      <c r="DN749" t="s">
        <v>268</v>
      </c>
      <c r="DR749">
        <v>84662</v>
      </c>
      <c r="DS749">
        <v>1296</v>
      </c>
      <c r="DT749" t="s">
        <v>1614</v>
      </c>
      <c r="EW749" t="s">
        <v>333</v>
      </c>
      <c r="FA749" t="s">
        <v>1615</v>
      </c>
      <c r="FK749" t="s">
        <v>1616</v>
      </c>
      <c r="FO749">
        <v>20</v>
      </c>
      <c r="FQ749">
        <v>22</v>
      </c>
      <c r="FR749" t="s">
        <v>295</v>
      </c>
      <c r="GQ749">
        <v>8</v>
      </c>
      <c r="GS749">
        <v>8.4</v>
      </c>
      <c r="GU749">
        <v>7</v>
      </c>
      <c r="GZ749" t="s">
        <v>296</v>
      </c>
      <c r="HH749" t="s">
        <v>272</v>
      </c>
      <c r="ID749" t="s">
        <v>1617</v>
      </c>
      <c r="IE749" t="s">
        <v>1618</v>
      </c>
      <c r="IF749">
        <v>8436</v>
      </c>
      <c r="IG749" t="s">
        <v>1619</v>
      </c>
      <c r="IH749" t="s">
        <v>1620</v>
      </c>
      <c r="II749">
        <v>1974</v>
      </c>
      <c r="IJ749" t="s">
        <v>1621</v>
      </c>
    </row>
    <row r="750" spans="1:244" x14ac:dyDescent="0.45">
      <c r="A750">
        <v>1141306</v>
      </c>
      <c r="B750">
        <v>121176</v>
      </c>
      <c r="C750">
        <v>7487947</v>
      </c>
      <c r="D750" t="s">
        <v>1602</v>
      </c>
      <c r="F750" t="s">
        <v>245</v>
      </c>
      <c r="G750" t="s">
        <v>246</v>
      </c>
      <c r="N750" t="s">
        <v>1800</v>
      </c>
      <c r="O750" t="s">
        <v>1801</v>
      </c>
      <c r="P750" t="s">
        <v>249</v>
      </c>
      <c r="Q750" t="s">
        <v>250</v>
      </c>
      <c r="R750" t="s">
        <v>251</v>
      </c>
      <c r="T750" t="s">
        <v>252</v>
      </c>
      <c r="U750" t="s">
        <v>253</v>
      </c>
      <c r="V750" t="s">
        <v>418</v>
      </c>
      <c r="W750" t="s">
        <v>847</v>
      </c>
      <c r="X750" t="s">
        <v>1802</v>
      </c>
      <c r="Z750" t="s">
        <v>649</v>
      </c>
      <c r="AL750" t="s">
        <v>1803</v>
      </c>
      <c r="AM750" t="s">
        <v>258</v>
      </c>
      <c r="AN750" t="s">
        <v>259</v>
      </c>
      <c r="AO750" t="s">
        <v>260</v>
      </c>
      <c r="AQ750" t="s">
        <v>261</v>
      </c>
      <c r="AS750">
        <v>20</v>
      </c>
      <c r="AU750">
        <v>14.9</v>
      </c>
      <c r="AW750">
        <v>26.7</v>
      </c>
      <c r="AX750" t="s">
        <v>262</v>
      </c>
      <c r="BO750" t="s">
        <v>261</v>
      </c>
      <c r="BQ750">
        <v>0.02</v>
      </c>
      <c r="BS750">
        <v>1.49E-2</v>
      </c>
      <c r="BU750">
        <v>2.6700000000000002E-2</v>
      </c>
      <c r="BV750" t="s">
        <v>263</v>
      </c>
      <c r="CM750" t="s">
        <v>264</v>
      </c>
      <c r="CN750" t="s">
        <v>264</v>
      </c>
      <c r="CP750" t="s">
        <v>265</v>
      </c>
      <c r="CQ750" t="s">
        <v>266</v>
      </c>
      <c r="DB750">
        <v>4</v>
      </c>
      <c r="DG750" t="s">
        <v>267</v>
      </c>
      <c r="DI750">
        <v>96</v>
      </c>
      <c r="DN750" t="s">
        <v>268</v>
      </c>
      <c r="DP750" t="s">
        <v>1804</v>
      </c>
      <c r="DR750">
        <v>1378283</v>
      </c>
      <c r="DS750">
        <v>4579</v>
      </c>
      <c r="EW750" t="s">
        <v>271</v>
      </c>
      <c r="FM750">
        <v>27.5</v>
      </c>
      <c r="FR750" t="s">
        <v>295</v>
      </c>
      <c r="GG750" t="s">
        <v>288</v>
      </c>
      <c r="GH750">
        <v>60</v>
      </c>
      <c r="GM750" t="s">
        <v>900</v>
      </c>
      <c r="GU750">
        <v>15</v>
      </c>
      <c r="GZ750" t="s">
        <v>296</v>
      </c>
      <c r="HH750" t="s">
        <v>272</v>
      </c>
      <c r="IE750" t="s">
        <v>1805</v>
      </c>
      <c r="IF750">
        <v>11853</v>
      </c>
      <c r="IG750" t="s">
        <v>1806</v>
      </c>
      <c r="IH750" t="s">
        <v>1807</v>
      </c>
      <c r="II750">
        <v>1986</v>
      </c>
      <c r="IJ750" t="s">
        <v>1808</v>
      </c>
    </row>
    <row r="751" spans="1:244" x14ac:dyDescent="0.45">
      <c r="A751">
        <v>1078430</v>
      </c>
      <c r="B751">
        <v>100482</v>
      </c>
      <c r="C751">
        <v>7487947</v>
      </c>
      <c r="D751" t="s">
        <v>1602</v>
      </c>
      <c r="F751" t="s">
        <v>245</v>
      </c>
      <c r="G751" t="s">
        <v>246</v>
      </c>
      <c r="N751" t="s">
        <v>452</v>
      </c>
      <c r="O751" t="s">
        <v>346</v>
      </c>
      <c r="P751" t="s">
        <v>249</v>
      </c>
      <c r="Q751" t="s">
        <v>250</v>
      </c>
      <c r="R751" t="s">
        <v>251</v>
      </c>
      <c r="T751" t="s">
        <v>347</v>
      </c>
      <c r="U751" t="s">
        <v>348</v>
      </c>
      <c r="V751" t="s">
        <v>349</v>
      </c>
      <c r="W751" t="s">
        <v>350</v>
      </c>
      <c r="X751" t="s">
        <v>453</v>
      </c>
      <c r="AJ751" t="s">
        <v>285</v>
      </c>
      <c r="AM751" t="s">
        <v>317</v>
      </c>
      <c r="AN751" t="s">
        <v>259</v>
      </c>
      <c r="AO751" t="s">
        <v>260</v>
      </c>
      <c r="AP751" t="s">
        <v>1644</v>
      </c>
      <c r="AQ751" t="s">
        <v>261</v>
      </c>
      <c r="AS751">
        <v>180</v>
      </c>
      <c r="AX751" t="s">
        <v>290</v>
      </c>
      <c r="BO751" t="s">
        <v>261</v>
      </c>
      <c r="BQ751">
        <v>0.18</v>
      </c>
      <c r="BV751" t="s">
        <v>263</v>
      </c>
      <c r="CM751" t="s">
        <v>264</v>
      </c>
      <c r="CN751" t="s">
        <v>264</v>
      </c>
      <c r="CP751" t="s">
        <v>265</v>
      </c>
      <c r="CQ751" t="s">
        <v>266</v>
      </c>
      <c r="DB751">
        <v>1</v>
      </c>
      <c r="DG751" t="s">
        <v>267</v>
      </c>
      <c r="DI751">
        <v>24</v>
      </c>
      <c r="DN751" t="s">
        <v>268</v>
      </c>
      <c r="DR751">
        <v>85549</v>
      </c>
      <c r="DS751">
        <v>366</v>
      </c>
      <c r="EW751" t="s">
        <v>293</v>
      </c>
      <c r="FA751" t="s">
        <v>1645</v>
      </c>
      <c r="FK751" t="s">
        <v>1860</v>
      </c>
      <c r="FO751">
        <v>13</v>
      </c>
      <c r="FQ751">
        <v>21</v>
      </c>
      <c r="FR751" t="s">
        <v>295</v>
      </c>
      <c r="GW751">
        <v>27</v>
      </c>
      <c r="GY751">
        <v>36</v>
      </c>
      <c r="GZ751" t="s">
        <v>296</v>
      </c>
      <c r="HH751" t="s">
        <v>272</v>
      </c>
      <c r="ID751" t="s">
        <v>1861</v>
      </c>
      <c r="IE751" t="s">
        <v>1648</v>
      </c>
      <c r="IF751">
        <v>6045</v>
      </c>
      <c r="IG751" t="s">
        <v>1649</v>
      </c>
      <c r="IH751" t="s">
        <v>1650</v>
      </c>
      <c r="II751">
        <v>1976</v>
      </c>
      <c r="IJ751" t="s">
        <v>1651</v>
      </c>
    </row>
    <row r="752" spans="1:244" x14ac:dyDescent="0.45">
      <c r="A752">
        <v>1137534</v>
      </c>
      <c r="B752">
        <v>115052</v>
      </c>
      <c r="C752">
        <v>7487947</v>
      </c>
      <c r="D752" t="s">
        <v>1602</v>
      </c>
      <c r="F752" t="s">
        <v>327</v>
      </c>
      <c r="G752" t="s">
        <v>246</v>
      </c>
      <c r="N752" t="s">
        <v>1695</v>
      </c>
      <c r="O752" t="s">
        <v>646</v>
      </c>
      <c r="P752" t="s">
        <v>249</v>
      </c>
      <c r="Q752" t="s">
        <v>250</v>
      </c>
      <c r="R752" t="s">
        <v>251</v>
      </c>
      <c r="T752" t="s">
        <v>252</v>
      </c>
      <c r="U752" t="s">
        <v>253</v>
      </c>
      <c r="V752" t="s">
        <v>1696</v>
      </c>
      <c r="W752" t="s">
        <v>1697</v>
      </c>
      <c r="X752" t="s">
        <v>1698</v>
      </c>
      <c r="AL752" t="s">
        <v>1699</v>
      </c>
      <c r="AM752" t="s">
        <v>258</v>
      </c>
      <c r="AN752" t="s">
        <v>259</v>
      </c>
      <c r="AO752" t="s">
        <v>260</v>
      </c>
      <c r="AQ752" t="s">
        <v>261</v>
      </c>
      <c r="AS752">
        <v>42</v>
      </c>
      <c r="AX752" t="s">
        <v>262</v>
      </c>
      <c r="BO752" t="s">
        <v>261</v>
      </c>
      <c r="BQ752">
        <v>4.2000000000000003E-2</v>
      </c>
      <c r="BV752" t="s">
        <v>263</v>
      </c>
      <c r="CM752" t="s">
        <v>264</v>
      </c>
      <c r="CN752" t="s">
        <v>264</v>
      </c>
      <c r="CP752" t="s">
        <v>265</v>
      </c>
      <c r="CQ752" t="s">
        <v>266</v>
      </c>
      <c r="DB752">
        <v>2</v>
      </c>
      <c r="DG752" t="s">
        <v>267</v>
      </c>
      <c r="DI752">
        <v>48</v>
      </c>
      <c r="DN752" t="s">
        <v>268</v>
      </c>
      <c r="DS752">
        <v>3048</v>
      </c>
      <c r="DT752" t="s">
        <v>1700</v>
      </c>
      <c r="EW752" t="s">
        <v>271</v>
      </c>
      <c r="FM752">
        <v>22</v>
      </c>
      <c r="FR752" t="s">
        <v>295</v>
      </c>
      <c r="GU752">
        <v>39.36</v>
      </c>
      <c r="GZ752" t="s">
        <v>296</v>
      </c>
      <c r="HH752" t="s">
        <v>272</v>
      </c>
      <c r="IE752" t="s">
        <v>1701</v>
      </c>
      <c r="IF752">
        <v>11326</v>
      </c>
      <c r="IG752" t="s">
        <v>1702</v>
      </c>
      <c r="IH752" t="s">
        <v>1703</v>
      </c>
      <c r="II752">
        <v>1981</v>
      </c>
      <c r="IJ752" t="s">
        <v>1704</v>
      </c>
    </row>
    <row r="753" spans="1:244" x14ac:dyDescent="0.45">
      <c r="A753">
        <v>2170778</v>
      </c>
      <c r="B753">
        <v>2336395</v>
      </c>
      <c r="C753">
        <v>7487947</v>
      </c>
      <c r="D753" t="s">
        <v>1602</v>
      </c>
      <c r="E753" t="s">
        <v>415</v>
      </c>
      <c r="F753" t="s">
        <v>245</v>
      </c>
      <c r="G753" t="s">
        <v>272</v>
      </c>
      <c r="N753" t="s">
        <v>958</v>
      </c>
      <c r="O753" t="s">
        <v>959</v>
      </c>
      <c r="P753" t="s">
        <v>249</v>
      </c>
      <c r="Q753" t="s">
        <v>250</v>
      </c>
      <c r="R753" t="s">
        <v>251</v>
      </c>
      <c r="T753" t="s">
        <v>252</v>
      </c>
      <c r="U753" t="s">
        <v>253</v>
      </c>
      <c r="V753" t="s">
        <v>418</v>
      </c>
      <c r="W753" t="s">
        <v>419</v>
      </c>
      <c r="X753" t="s">
        <v>960</v>
      </c>
      <c r="AJ753" t="s">
        <v>285</v>
      </c>
      <c r="AL753" t="s">
        <v>1719</v>
      </c>
      <c r="AM753" t="s">
        <v>287</v>
      </c>
      <c r="AN753" t="s">
        <v>259</v>
      </c>
      <c r="AO753" t="s">
        <v>260</v>
      </c>
      <c r="AP753">
        <v>6</v>
      </c>
      <c r="AQ753" t="s">
        <v>261</v>
      </c>
      <c r="AS753">
        <v>0.03</v>
      </c>
      <c r="AU753">
        <v>2.1999999999999999E-2</v>
      </c>
      <c r="AW753">
        <v>3.2000000000000001E-2</v>
      </c>
      <c r="AX753" t="s">
        <v>356</v>
      </c>
      <c r="BO753" t="s">
        <v>261</v>
      </c>
      <c r="BQ753">
        <v>0.03</v>
      </c>
      <c r="BS753">
        <v>2.1999999999999999E-2</v>
      </c>
      <c r="BU753">
        <v>3.2000000000000001E-2</v>
      </c>
      <c r="BV753" t="s">
        <v>263</v>
      </c>
      <c r="CM753" t="s">
        <v>264</v>
      </c>
      <c r="CN753" t="s">
        <v>264</v>
      </c>
      <c r="CP753" t="s">
        <v>265</v>
      </c>
      <c r="CQ753" t="s">
        <v>266</v>
      </c>
      <c r="DB753">
        <v>4</v>
      </c>
      <c r="DG753" t="s">
        <v>267</v>
      </c>
      <c r="DI753">
        <v>96</v>
      </c>
      <c r="DN753" t="s">
        <v>268</v>
      </c>
      <c r="DR753">
        <v>6687</v>
      </c>
      <c r="DS753">
        <v>252</v>
      </c>
      <c r="DV753">
        <v>96</v>
      </c>
      <c r="EA753" t="s">
        <v>268</v>
      </c>
      <c r="EC753">
        <v>4</v>
      </c>
      <c r="EH753" t="s">
        <v>267</v>
      </c>
      <c r="EJ753">
        <v>96</v>
      </c>
      <c r="EO753" t="s">
        <v>268</v>
      </c>
      <c r="EQ753">
        <v>4</v>
      </c>
      <c r="EV753" t="s">
        <v>267</v>
      </c>
      <c r="EW753" t="s">
        <v>293</v>
      </c>
      <c r="EZ753">
        <v>10</v>
      </c>
      <c r="FM753">
        <v>24.1</v>
      </c>
      <c r="FR753" t="s">
        <v>295</v>
      </c>
      <c r="GG753" t="s">
        <v>288</v>
      </c>
      <c r="GH753">
        <v>60</v>
      </c>
      <c r="GM753" t="s">
        <v>900</v>
      </c>
      <c r="GO753">
        <v>6.8</v>
      </c>
      <c r="GU753">
        <v>5</v>
      </c>
      <c r="GZ753" t="s">
        <v>296</v>
      </c>
      <c r="HH753" t="s">
        <v>272</v>
      </c>
      <c r="ID753" t="s">
        <v>1623</v>
      </c>
      <c r="IE753" t="s">
        <v>1624</v>
      </c>
      <c r="IF753">
        <v>172254</v>
      </c>
      <c r="IG753" t="s">
        <v>1625</v>
      </c>
      <c r="IH753" t="s">
        <v>1626</v>
      </c>
      <c r="II753">
        <v>2002</v>
      </c>
      <c r="IJ753" t="s">
        <v>1627</v>
      </c>
    </row>
    <row r="754" spans="1:244" x14ac:dyDescent="0.45">
      <c r="A754">
        <v>1146876</v>
      </c>
      <c r="B754">
        <v>104714</v>
      </c>
      <c r="C754">
        <v>7487947</v>
      </c>
      <c r="D754" t="s">
        <v>1602</v>
      </c>
      <c r="F754" t="s">
        <v>245</v>
      </c>
      <c r="G754" t="s">
        <v>246</v>
      </c>
      <c r="N754" t="s">
        <v>247</v>
      </c>
      <c r="O754" t="s">
        <v>248</v>
      </c>
      <c r="P754" t="s">
        <v>249</v>
      </c>
      <c r="Q754" t="s">
        <v>250</v>
      </c>
      <c r="R754" t="s">
        <v>251</v>
      </c>
      <c r="T754" t="s">
        <v>252</v>
      </c>
      <c r="U754" t="s">
        <v>253</v>
      </c>
      <c r="V754" t="s">
        <v>254</v>
      </c>
      <c r="W754" t="s">
        <v>255</v>
      </c>
      <c r="X754" t="s">
        <v>256</v>
      </c>
      <c r="AL754" t="s">
        <v>257</v>
      </c>
      <c r="AM754" t="s">
        <v>258</v>
      </c>
      <c r="AN754" t="s">
        <v>259</v>
      </c>
      <c r="AO754" t="s">
        <v>260</v>
      </c>
      <c r="AQ754" t="s">
        <v>261</v>
      </c>
      <c r="AS754">
        <v>680</v>
      </c>
      <c r="AU754">
        <v>600</v>
      </c>
      <c r="AW754">
        <v>760</v>
      </c>
      <c r="AX754" t="s">
        <v>262</v>
      </c>
      <c r="BO754" t="s">
        <v>261</v>
      </c>
      <c r="BQ754">
        <v>0.68</v>
      </c>
      <c r="BS754">
        <v>0.6</v>
      </c>
      <c r="BU754">
        <v>0.76</v>
      </c>
      <c r="BV754" t="s">
        <v>263</v>
      </c>
      <c r="CM754" t="s">
        <v>264</v>
      </c>
      <c r="CN754" t="s">
        <v>264</v>
      </c>
      <c r="CP754" t="s">
        <v>265</v>
      </c>
      <c r="CQ754" t="s">
        <v>266</v>
      </c>
      <c r="DB754">
        <v>4</v>
      </c>
      <c r="DG754" t="s">
        <v>267</v>
      </c>
      <c r="DI754">
        <v>96</v>
      </c>
      <c r="DN754" t="s">
        <v>268</v>
      </c>
      <c r="DR754">
        <v>6761</v>
      </c>
      <c r="DS754">
        <v>2461</v>
      </c>
      <c r="DT754" t="s">
        <v>270</v>
      </c>
      <c r="EW754" t="s">
        <v>271</v>
      </c>
      <c r="HH754" t="s">
        <v>272</v>
      </c>
      <c r="IE754" t="s">
        <v>273</v>
      </c>
      <c r="IF754">
        <v>12413</v>
      </c>
      <c r="IG754" t="s">
        <v>274</v>
      </c>
      <c r="IH754" t="s">
        <v>275</v>
      </c>
      <c r="II754">
        <v>1987</v>
      </c>
      <c r="IJ754" t="s">
        <v>276</v>
      </c>
    </row>
    <row r="755" spans="1:244" x14ac:dyDescent="0.45">
      <c r="A755">
        <v>2170778</v>
      </c>
      <c r="B755">
        <v>2336393</v>
      </c>
      <c r="C755">
        <v>7487947</v>
      </c>
      <c r="D755" t="s">
        <v>1602</v>
      </c>
      <c r="E755" t="s">
        <v>415</v>
      </c>
      <c r="F755" t="s">
        <v>245</v>
      </c>
      <c r="G755" t="s">
        <v>272</v>
      </c>
      <c r="N755" t="s">
        <v>958</v>
      </c>
      <c r="O755" t="s">
        <v>959</v>
      </c>
      <c r="P755" t="s">
        <v>249</v>
      </c>
      <c r="Q755" t="s">
        <v>250</v>
      </c>
      <c r="R755" t="s">
        <v>251</v>
      </c>
      <c r="T755" t="s">
        <v>252</v>
      </c>
      <c r="U755" t="s">
        <v>253</v>
      </c>
      <c r="V755" t="s">
        <v>418</v>
      </c>
      <c r="W755" t="s">
        <v>419</v>
      </c>
      <c r="X755" t="s">
        <v>960</v>
      </c>
      <c r="AJ755" t="s">
        <v>285</v>
      </c>
      <c r="AL755" t="s">
        <v>1719</v>
      </c>
      <c r="AM755" t="s">
        <v>287</v>
      </c>
      <c r="AN755" t="s">
        <v>259</v>
      </c>
      <c r="AO755" t="s">
        <v>260</v>
      </c>
      <c r="AP755">
        <v>6</v>
      </c>
      <c r="AQ755" t="s">
        <v>261</v>
      </c>
      <c r="AS755">
        <v>3.5999999999999997E-2</v>
      </c>
      <c r="AU755">
        <v>2.5000000000000001E-2</v>
      </c>
      <c r="AW755">
        <v>3.9E-2</v>
      </c>
      <c r="AX755" t="s">
        <v>356</v>
      </c>
      <c r="BO755" t="s">
        <v>261</v>
      </c>
      <c r="BQ755">
        <v>3.5999999999999997E-2</v>
      </c>
      <c r="BS755">
        <v>2.5000000000000001E-2</v>
      </c>
      <c r="BU755">
        <v>3.9E-2</v>
      </c>
      <c r="BV755" t="s">
        <v>263</v>
      </c>
      <c r="CM755" t="s">
        <v>264</v>
      </c>
      <c r="CN755" t="s">
        <v>264</v>
      </c>
      <c r="CP755" t="s">
        <v>265</v>
      </c>
      <c r="CQ755" t="s">
        <v>266</v>
      </c>
      <c r="DB755">
        <v>2</v>
      </c>
      <c r="DG755" t="s">
        <v>267</v>
      </c>
      <c r="DI755">
        <v>48</v>
      </c>
      <c r="DN755" t="s">
        <v>268</v>
      </c>
      <c r="DR755">
        <v>6687</v>
      </c>
      <c r="DS755">
        <v>252</v>
      </c>
      <c r="DV755">
        <v>96</v>
      </c>
      <c r="EA755" t="s">
        <v>268</v>
      </c>
      <c r="EC755">
        <v>4</v>
      </c>
      <c r="EH755" t="s">
        <v>267</v>
      </c>
      <c r="EJ755">
        <v>96</v>
      </c>
      <c r="EO755" t="s">
        <v>268</v>
      </c>
      <c r="EQ755">
        <v>4</v>
      </c>
      <c r="EV755" t="s">
        <v>267</v>
      </c>
      <c r="EW755" t="s">
        <v>293</v>
      </c>
      <c r="EZ755">
        <v>10</v>
      </c>
      <c r="FM755">
        <v>24.1</v>
      </c>
      <c r="FR755" t="s">
        <v>295</v>
      </c>
      <c r="GG755" t="s">
        <v>288</v>
      </c>
      <c r="GH755">
        <v>60</v>
      </c>
      <c r="GM755" t="s">
        <v>900</v>
      </c>
      <c r="GO755">
        <v>6.8</v>
      </c>
      <c r="GU755">
        <v>5</v>
      </c>
      <c r="GZ755" t="s">
        <v>296</v>
      </c>
      <c r="HH755" t="s">
        <v>272</v>
      </c>
      <c r="ID755" t="s">
        <v>1623</v>
      </c>
      <c r="IE755" t="s">
        <v>1624</v>
      </c>
      <c r="IF755">
        <v>172254</v>
      </c>
      <c r="IG755" t="s">
        <v>1625</v>
      </c>
      <c r="IH755" t="s">
        <v>1626</v>
      </c>
      <c r="II755">
        <v>2002</v>
      </c>
      <c r="IJ755" t="s">
        <v>1627</v>
      </c>
    </row>
    <row r="756" spans="1:244" x14ac:dyDescent="0.45">
      <c r="A756">
        <v>2170778</v>
      </c>
      <c r="B756">
        <v>2336392</v>
      </c>
      <c r="C756">
        <v>7487947</v>
      </c>
      <c r="D756" t="s">
        <v>1602</v>
      </c>
      <c r="E756" t="s">
        <v>415</v>
      </c>
      <c r="F756" t="s">
        <v>245</v>
      </c>
      <c r="G756" t="s">
        <v>272</v>
      </c>
      <c r="N756" t="s">
        <v>958</v>
      </c>
      <c r="O756" t="s">
        <v>959</v>
      </c>
      <c r="P756" t="s">
        <v>249</v>
      </c>
      <c r="Q756" t="s">
        <v>250</v>
      </c>
      <c r="R756" t="s">
        <v>251</v>
      </c>
      <c r="T756" t="s">
        <v>252</v>
      </c>
      <c r="U756" t="s">
        <v>253</v>
      </c>
      <c r="V756" t="s">
        <v>418</v>
      </c>
      <c r="W756" t="s">
        <v>419</v>
      </c>
      <c r="X756" t="s">
        <v>960</v>
      </c>
      <c r="AJ756" t="s">
        <v>285</v>
      </c>
      <c r="AL756" t="s">
        <v>1719</v>
      </c>
      <c r="AM756" t="s">
        <v>287</v>
      </c>
      <c r="AN756" t="s">
        <v>259</v>
      </c>
      <c r="AO756" t="s">
        <v>260</v>
      </c>
      <c r="AP756">
        <v>6</v>
      </c>
      <c r="AQ756" t="s">
        <v>261</v>
      </c>
      <c r="AS756">
        <v>3.7999999999999999E-2</v>
      </c>
      <c r="AU756">
        <v>2.9000000000000001E-2</v>
      </c>
      <c r="AW756">
        <v>4.7E-2</v>
      </c>
      <c r="AX756" t="s">
        <v>356</v>
      </c>
      <c r="BO756" t="s">
        <v>261</v>
      </c>
      <c r="BQ756">
        <v>3.7999999999999999E-2</v>
      </c>
      <c r="BS756">
        <v>2.9000000000000001E-2</v>
      </c>
      <c r="BU756">
        <v>4.7E-2</v>
      </c>
      <c r="BV756" t="s">
        <v>263</v>
      </c>
      <c r="CM756" t="s">
        <v>264</v>
      </c>
      <c r="CN756" t="s">
        <v>264</v>
      </c>
      <c r="CP756" t="s">
        <v>265</v>
      </c>
      <c r="CQ756" t="s">
        <v>266</v>
      </c>
      <c r="DB756">
        <v>1</v>
      </c>
      <c r="DG756" t="s">
        <v>267</v>
      </c>
      <c r="DI756">
        <v>24</v>
      </c>
      <c r="DN756" t="s">
        <v>268</v>
      </c>
      <c r="DR756">
        <v>6687</v>
      </c>
      <c r="DS756">
        <v>252</v>
      </c>
      <c r="DV756">
        <v>96</v>
      </c>
      <c r="EA756" t="s">
        <v>268</v>
      </c>
      <c r="EC756">
        <v>4</v>
      </c>
      <c r="EH756" t="s">
        <v>267</v>
      </c>
      <c r="EJ756">
        <v>96</v>
      </c>
      <c r="EO756" t="s">
        <v>268</v>
      </c>
      <c r="EQ756">
        <v>4</v>
      </c>
      <c r="EV756" t="s">
        <v>267</v>
      </c>
      <c r="EW756" t="s">
        <v>293</v>
      </c>
      <c r="EZ756">
        <v>10</v>
      </c>
      <c r="FM756">
        <v>24.1</v>
      </c>
      <c r="FR756" t="s">
        <v>295</v>
      </c>
      <c r="GG756" t="s">
        <v>288</v>
      </c>
      <c r="GH756">
        <v>60</v>
      </c>
      <c r="GM756" t="s">
        <v>900</v>
      </c>
      <c r="GO756">
        <v>6.8</v>
      </c>
      <c r="GU756">
        <v>5</v>
      </c>
      <c r="GZ756" t="s">
        <v>296</v>
      </c>
      <c r="HH756" t="s">
        <v>272</v>
      </c>
      <c r="ID756" t="s">
        <v>1623</v>
      </c>
      <c r="IE756" t="s">
        <v>1624</v>
      </c>
      <c r="IF756">
        <v>172254</v>
      </c>
      <c r="IG756" t="s">
        <v>1625</v>
      </c>
      <c r="IH756" t="s">
        <v>1626</v>
      </c>
      <c r="II756">
        <v>2002</v>
      </c>
      <c r="IJ756" t="s">
        <v>1627</v>
      </c>
    </row>
    <row r="757" spans="1:244" x14ac:dyDescent="0.45">
      <c r="A757">
        <v>2170778</v>
      </c>
      <c r="B757">
        <v>2336394</v>
      </c>
      <c r="C757">
        <v>7487947</v>
      </c>
      <c r="D757" t="s">
        <v>1602</v>
      </c>
      <c r="E757" t="s">
        <v>415</v>
      </c>
      <c r="F757" t="s">
        <v>245</v>
      </c>
      <c r="G757" t="s">
        <v>272</v>
      </c>
      <c r="N757" t="s">
        <v>958</v>
      </c>
      <c r="O757" t="s">
        <v>959</v>
      </c>
      <c r="P757" t="s">
        <v>249</v>
      </c>
      <c r="Q757" t="s">
        <v>250</v>
      </c>
      <c r="R757" t="s">
        <v>251</v>
      </c>
      <c r="T757" t="s">
        <v>252</v>
      </c>
      <c r="U757" t="s">
        <v>253</v>
      </c>
      <c r="V757" t="s">
        <v>418</v>
      </c>
      <c r="W757" t="s">
        <v>419</v>
      </c>
      <c r="X757" t="s">
        <v>960</v>
      </c>
      <c r="AJ757" t="s">
        <v>285</v>
      </c>
      <c r="AL757" t="s">
        <v>1719</v>
      </c>
      <c r="AM757" t="s">
        <v>287</v>
      </c>
      <c r="AN757" t="s">
        <v>259</v>
      </c>
      <c r="AO757" t="s">
        <v>260</v>
      </c>
      <c r="AP757">
        <v>6</v>
      </c>
      <c r="AQ757" t="s">
        <v>261</v>
      </c>
      <c r="AS757">
        <v>3.2000000000000001E-2</v>
      </c>
      <c r="AU757">
        <v>2.8000000000000001E-2</v>
      </c>
      <c r="AW757">
        <v>3.5000000000000003E-2</v>
      </c>
      <c r="AX757" t="s">
        <v>356</v>
      </c>
      <c r="BO757" t="s">
        <v>261</v>
      </c>
      <c r="BQ757">
        <v>3.2000000000000001E-2</v>
      </c>
      <c r="BS757">
        <v>2.8000000000000001E-2</v>
      </c>
      <c r="BU757">
        <v>3.5000000000000003E-2</v>
      </c>
      <c r="BV757" t="s">
        <v>263</v>
      </c>
      <c r="CM757" t="s">
        <v>264</v>
      </c>
      <c r="CN757" t="s">
        <v>264</v>
      </c>
      <c r="CP757" t="s">
        <v>265</v>
      </c>
      <c r="CQ757" t="s">
        <v>266</v>
      </c>
      <c r="DB757">
        <v>3</v>
      </c>
      <c r="DG757" t="s">
        <v>267</v>
      </c>
      <c r="DI757">
        <v>72</v>
      </c>
      <c r="DN757" t="s">
        <v>268</v>
      </c>
      <c r="DR757">
        <v>6687</v>
      </c>
      <c r="DS757">
        <v>252</v>
      </c>
      <c r="DV757">
        <v>96</v>
      </c>
      <c r="EA757" t="s">
        <v>268</v>
      </c>
      <c r="EC757">
        <v>4</v>
      </c>
      <c r="EH757" t="s">
        <v>267</v>
      </c>
      <c r="EJ757">
        <v>96</v>
      </c>
      <c r="EO757" t="s">
        <v>268</v>
      </c>
      <c r="EQ757">
        <v>4</v>
      </c>
      <c r="EV757" t="s">
        <v>267</v>
      </c>
      <c r="EW757" t="s">
        <v>293</v>
      </c>
      <c r="EZ757">
        <v>10</v>
      </c>
      <c r="FM757">
        <v>24.1</v>
      </c>
      <c r="FR757" t="s">
        <v>295</v>
      </c>
      <c r="GG757" t="s">
        <v>288</v>
      </c>
      <c r="GH757">
        <v>60</v>
      </c>
      <c r="GM757" t="s">
        <v>900</v>
      </c>
      <c r="GO757">
        <v>6.8</v>
      </c>
      <c r="GU757">
        <v>5</v>
      </c>
      <c r="GZ757" t="s">
        <v>296</v>
      </c>
      <c r="HH757" t="s">
        <v>272</v>
      </c>
      <c r="ID757" t="s">
        <v>1623</v>
      </c>
      <c r="IE757" t="s">
        <v>1624</v>
      </c>
      <c r="IF757">
        <v>172254</v>
      </c>
      <c r="IG757" t="s">
        <v>1625</v>
      </c>
      <c r="IH757" t="s">
        <v>1626</v>
      </c>
      <c r="II757">
        <v>2002</v>
      </c>
      <c r="IJ757" t="s">
        <v>1627</v>
      </c>
    </row>
    <row r="758" spans="1:244" x14ac:dyDescent="0.45">
      <c r="A758">
        <v>1111788</v>
      </c>
      <c r="B758">
        <v>29509</v>
      </c>
      <c r="C758">
        <v>7487947</v>
      </c>
      <c r="D758" t="s">
        <v>1602</v>
      </c>
      <c r="F758" t="s">
        <v>245</v>
      </c>
      <c r="G758" t="s">
        <v>246</v>
      </c>
      <c r="N758" t="s">
        <v>1609</v>
      </c>
      <c r="O758" t="s">
        <v>1610</v>
      </c>
      <c r="P758" t="s">
        <v>249</v>
      </c>
      <c r="Q758" t="s">
        <v>250</v>
      </c>
      <c r="R758" t="s">
        <v>251</v>
      </c>
      <c r="T758" t="s">
        <v>252</v>
      </c>
      <c r="U758" t="s">
        <v>253</v>
      </c>
      <c r="V758" t="s">
        <v>1611</v>
      </c>
      <c r="W758" t="s">
        <v>1612</v>
      </c>
      <c r="X758" t="s">
        <v>1613</v>
      </c>
      <c r="AM758" t="s">
        <v>317</v>
      </c>
      <c r="AN758" t="s">
        <v>259</v>
      </c>
      <c r="AO758" t="s">
        <v>260</v>
      </c>
      <c r="AQ758" t="s">
        <v>261</v>
      </c>
      <c r="AS758">
        <v>60</v>
      </c>
      <c r="AX758" t="s">
        <v>262</v>
      </c>
      <c r="BO758" t="s">
        <v>261</v>
      </c>
      <c r="BQ758">
        <v>0.06</v>
      </c>
      <c r="BV758" t="s">
        <v>263</v>
      </c>
      <c r="CM758" t="s">
        <v>264</v>
      </c>
      <c r="CN758" t="s">
        <v>264</v>
      </c>
      <c r="CP758" t="s">
        <v>265</v>
      </c>
      <c r="CQ758" t="s">
        <v>266</v>
      </c>
      <c r="DB758">
        <v>4</v>
      </c>
      <c r="DG758" t="s">
        <v>267</v>
      </c>
      <c r="DI758">
        <v>96</v>
      </c>
      <c r="DN758" t="s">
        <v>268</v>
      </c>
      <c r="DR758">
        <v>84662</v>
      </c>
      <c r="DS758">
        <v>1296</v>
      </c>
      <c r="DT758" t="s">
        <v>1614</v>
      </c>
      <c r="EW758" t="s">
        <v>333</v>
      </c>
      <c r="FK758" t="s">
        <v>1751</v>
      </c>
      <c r="FO758">
        <v>20</v>
      </c>
      <c r="FQ758">
        <v>22</v>
      </c>
      <c r="FR758" t="s">
        <v>295</v>
      </c>
      <c r="GQ758">
        <v>8</v>
      </c>
      <c r="GS758">
        <v>8.4</v>
      </c>
      <c r="GU758">
        <v>14</v>
      </c>
      <c r="GZ758" t="s">
        <v>296</v>
      </c>
      <c r="HH758" t="s">
        <v>272</v>
      </c>
      <c r="ID758" t="s">
        <v>1752</v>
      </c>
      <c r="IE758" t="s">
        <v>1618</v>
      </c>
      <c r="IF758">
        <v>8436</v>
      </c>
      <c r="IG758" t="s">
        <v>1619</v>
      </c>
      <c r="IH758" t="s">
        <v>1620</v>
      </c>
      <c r="II758">
        <v>1974</v>
      </c>
      <c r="IJ758" t="s">
        <v>1621</v>
      </c>
    </row>
    <row r="759" spans="1:244" x14ac:dyDescent="0.45">
      <c r="A759">
        <v>1053120</v>
      </c>
      <c r="B759">
        <v>120260</v>
      </c>
      <c r="C759">
        <v>7487947</v>
      </c>
      <c r="D759" t="s">
        <v>1602</v>
      </c>
      <c r="F759" t="s">
        <v>245</v>
      </c>
      <c r="G759" t="s">
        <v>246</v>
      </c>
      <c r="N759" t="s">
        <v>690</v>
      </c>
      <c r="O759" t="s">
        <v>691</v>
      </c>
      <c r="P759" t="s">
        <v>249</v>
      </c>
      <c r="Q759" t="s">
        <v>250</v>
      </c>
      <c r="R759" t="s">
        <v>251</v>
      </c>
      <c r="T759" t="s">
        <v>252</v>
      </c>
      <c r="U759" t="s">
        <v>253</v>
      </c>
      <c r="V759" t="s">
        <v>418</v>
      </c>
      <c r="W759" t="s">
        <v>419</v>
      </c>
      <c r="X759" t="s">
        <v>692</v>
      </c>
      <c r="Z759" t="s">
        <v>284</v>
      </c>
      <c r="AM759" t="s">
        <v>287</v>
      </c>
      <c r="AN759" t="s">
        <v>259</v>
      </c>
      <c r="AO759" t="s">
        <v>260</v>
      </c>
      <c r="AQ759" t="s">
        <v>261</v>
      </c>
      <c r="AS759">
        <v>1.5100000000000001E-3</v>
      </c>
      <c r="AU759">
        <v>1.25E-3</v>
      </c>
      <c r="AW759">
        <v>2.7000000000000001E-3</v>
      </c>
      <c r="AX759" t="s">
        <v>262</v>
      </c>
      <c r="BO759" t="s">
        <v>261</v>
      </c>
      <c r="BQ759">
        <v>1.5099999999999999E-6</v>
      </c>
      <c r="BS759">
        <v>1.2500000000000001E-6</v>
      </c>
      <c r="BU759">
        <v>2.7E-6</v>
      </c>
      <c r="BV759" t="s">
        <v>263</v>
      </c>
      <c r="CM759" t="s">
        <v>264</v>
      </c>
      <c r="CN759" t="s">
        <v>264</v>
      </c>
      <c r="CP759" t="s">
        <v>265</v>
      </c>
      <c r="CQ759" t="s">
        <v>266</v>
      </c>
      <c r="DB759">
        <v>4</v>
      </c>
      <c r="DG759" t="s">
        <v>267</v>
      </c>
      <c r="DI759">
        <v>96</v>
      </c>
      <c r="DN759" t="s">
        <v>268</v>
      </c>
      <c r="DR759">
        <v>139456</v>
      </c>
      <c r="DS759">
        <v>3044</v>
      </c>
      <c r="EW759" t="s">
        <v>271</v>
      </c>
      <c r="HH759" t="s">
        <v>272</v>
      </c>
      <c r="IE759" t="s">
        <v>1862</v>
      </c>
      <c r="IF759">
        <v>3702</v>
      </c>
      <c r="IG759" t="s">
        <v>1863</v>
      </c>
      <c r="IH759" t="s">
        <v>1864</v>
      </c>
      <c r="II759">
        <v>1990</v>
      </c>
      <c r="IJ759" t="s">
        <v>1865</v>
      </c>
    </row>
    <row r="760" spans="1:244" x14ac:dyDescent="0.45">
      <c r="A760">
        <v>1041017</v>
      </c>
      <c r="B760">
        <v>25271</v>
      </c>
      <c r="C760">
        <v>7487947</v>
      </c>
      <c r="D760" t="s">
        <v>1602</v>
      </c>
      <c r="F760" t="s">
        <v>245</v>
      </c>
      <c r="G760" t="s">
        <v>246</v>
      </c>
      <c r="N760" t="s">
        <v>1837</v>
      </c>
      <c r="O760" t="s">
        <v>1783</v>
      </c>
      <c r="P760" t="s">
        <v>249</v>
      </c>
      <c r="Q760" t="s">
        <v>250</v>
      </c>
      <c r="R760" t="s">
        <v>251</v>
      </c>
      <c r="T760" t="s">
        <v>252</v>
      </c>
      <c r="U760" t="s">
        <v>253</v>
      </c>
      <c r="V760" t="s">
        <v>1735</v>
      </c>
      <c r="W760" t="s">
        <v>1784</v>
      </c>
      <c r="X760" t="s">
        <v>1838</v>
      </c>
      <c r="Z760" t="s">
        <v>1677</v>
      </c>
      <c r="AL760" t="s">
        <v>1786</v>
      </c>
      <c r="AM760" t="s">
        <v>258</v>
      </c>
      <c r="AN760" t="s">
        <v>259</v>
      </c>
      <c r="AO760" t="s">
        <v>260</v>
      </c>
      <c r="AQ760" t="s">
        <v>261</v>
      </c>
      <c r="AS760">
        <v>72</v>
      </c>
      <c r="AU760">
        <v>57</v>
      </c>
      <c r="AW760">
        <v>87</v>
      </c>
      <c r="AX760" t="s">
        <v>262</v>
      </c>
      <c r="BO760" t="s">
        <v>261</v>
      </c>
      <c r="BQ760">
        <v>7.1999999999999995E-2</v>
      </c>
      <c r="BS760">
        <v>5.7000000000000002E-2</v>
      </c>
      <c r="BU760">
        <v>8.6999999999999994E-2</v>
      </c>
      <c r="BV760" t="s">
        <v>263</v>
      </c>
      <c r="CM760" t="s">
        <v>264</v>
      </c>
      <c r="CN760" t="s">
        <v>264</v>
      </c>
      <c r="CP760" t="s">
        <v>265</v>
      </c>
      <c r="CQ760" t="s">
        <v>266</v>
      </c>
      <c r="DB760">
        <v>4</v>
      </c>
      <c r="DG760" t="s">
        <v>267</v>
      </c>
      <c r="DI760">
        <v>96</v>
      </c>
      <c r="DN760" t="s">
        <v>268</v>
      </c>
      <c r="DP760" t="s">
        <v>977</v>
      </c>
      <c r="DS760">
        <v>2899</v>
      </c>
      <c r="DT760" t="s">
        <v>1787</v>
      </c>
      <c r="EW760" t="s">
        <v>333</v>
      </c>
      <c r="FM760">
        <v>29</v>
      </c>
      <c r="FR760" t="s">
        <v>295</v>
      </c>
      <c r="GU760">
        <v>25</v>
      </c>
      <c r="GZ760" t="s">
        <v>296</v>
      </c>
      <c r="HH760" t="s">
        <v>272</v>
      </c>
      <c r="IE760" t="s">
        <v>1788</v>
      </c>
      <c r="IF760">
        <v>2602</v>
      </c>
      <c r="IG760" t="s">
        <v>1789</v>
      </c>
      <c r="IH760" t="s">
        <v>1790</v>
      </c>
      <c r="II760">
        <v>1987</v>
      </c>
      <c r="IJ760" t="s">
        <v>1791</v>
      </c>
    </row>
    <row r="761" spans="1:244" x14ac:dyDescent="0.45">
      <c r="A761">
        <v>2170785</v>
      </c>
      <c r="B761">
        <v>2336423</v>
      </c>
      <c r="C761">
        <v>7487947</v>
      </c>
      <c r="D761" t="s">
        <v>1602</v>
      </c>
      <c r="E761" t="s">
        <v>415</v>
      </c>
      <c r="F761" t="s">
        <v>245</v>
      </c>
      <c r="G761" t="s">
        <v>272</v>
      </c>
      <c r="N761" t="s">
        <v>416</v>
      </c>
      <c r="O761" t="s">
        <v>417</v>
      </c>
      <c r="P761" t="s">
        <v>249</v>
      </c>
      <c r="Q761" t="s">
        <v>250</v>
      </c>
      <c r="R761" t="s">
        <v>251</v>
      </c>
      <c r="T761" t="s">
        <v>252</v>
      </c>
      <c r="U761" t="s">
        <v>253</v>
      </c>
      <c r="V761" t="s">
        <v>418</v>
      </c>
      <c r="W761" t="s">
        <v>419</v>
      </c>
      <c r="X761" t="s">
        <v>420</v>
      </c>
      <c r="AJ761" t="s">
        <v>285</v>
      </c>
      <c r="AL761" t="s">
        <v>1719</v>
      </c>
      <c r="AM761" t="s">
        <v>287</v>
      </c>
      <c r="AN761" t="s">
        <v>259</v>
      </c>
      <c r="AO761" t="s">
        <v>260</v>
      </c>
      <c r="AP761">
        <v>6</v>
      </c>
      <c r="AQ761" t="s">
        <v>261</v>
      </c>
      <c r="AS761">
        <v>3.9E-2</v>
      </c>
      <c r="AU761">
        <v>3.1E-2</v>
      </c>
      <c r="AW761">
        <v>4.1000000000000002E-2</v>
      </c>
      <c r="AX761" t="s">
        <v>356</v>
      </c>
      <c r="BO761" t="s">
        <v>261</v>
      </c>
      <c r="BQ761">
        <v>3.9E-2</v>
      </c>
      <c r="BS761">
        <v>3.1E-2</v>
      </c>
      <c r="BU761">
        <v>4.1000000000000002E-2</v>
      </c>
      <c r="BV761" t="s">
        <v>263</v>
      </c>
      <c r="CM761" t="s">
        <v>264</v>
      </c>
      <c r="CN761" t="s">
        <v>264</v>
      </c>
      <c r="CP761" t="s">
        <v>265</v>
      </c>
      <c r="CQ761" t="s">
        <v>266</v>
      </c>
      <c r="DB761">
        <v>4</v>
      </c>
      <c r="DG761" t="s">
        <v>267</v>
      </c>
      <c r="DI761">
        <v>96</v>
      </c>
      <c r="DN761" t="s">
        <v>268</v>
      </c>
      <c r="DS761">
        <v>1009</v>
      </c>
      <c r="DV761">
        <v>96</v>
      </c>
      <c r="EA761" t="s">
        <v>268</v>
      </c>
      <c r="EC761">
        <v>4</v>
      </c>
      <c r="EH761" t="s">
        <v>267</v>
      </c>
      <c r="EJ761">
        <v>96</v>
      </c>
      <c r="EO761" t="s">
        <v>268</v>
      </c>
      <c r="EQ761">
        <v>4</v>
      </c>
      <c r="EV761" t="s">
        <v>267</v>
      </c>
      <c r="EW761" t="s">
        <v>293</v>
      </c>
      <c r="EZ761">
        <v>10</v>
      </c>
      <c r="FM761">
        <v>24.1</v>
      </c>
      <c r="FR761" t="s">
        <v>295</v>
      </c>
      <c r="GG761" t="s">
        <v>288</v>
      </c>
      <c r="GH761">
        <v>60</v>
      </c>
      <c r="GM761" t="s">
        <v>900</v>
      </c>
      <c r="GO761">
        <v>6.8</v>
      </c>
      <c r="GU761">
        <v>15</v>
      </c>
      <c r="GZ761" t="s">
        <v>296</v>
      </c>
      <c r="HH761" t="s">
        <v>272</v>
      </c>
      <c r="ID761" t="s">
        <v>1623</v>
      </c>
      <c r="IE761" t="s">
        <v>1624</v>
      </c>
      <c r="IF761">
        <v>172254</v>
      </c>
      <c r="IG761" t="s">
        <v>1625</v>
      </c>
      <c r="IH761" t="s">
        <v>1626</v>
      </c>
      <c r="II761">
        <v>2002</v>
      </c>
      <c r="IJ761" t="s">
        <v>1627</v>
      </c>
    </row>
    <row r="762" spans="1:244" x14ac:dyDescent="0.45">
      <c r="A762">
        <v>1123283</v>
      </c>
      <c r="B762">
        <v>145123</v>
      </c>
      <c r="C762">
        <v>7487947</v>
      </c>
      <c r="D762" t="s">
        <v>1602</v>
      </c>
      <c r="E762" t="s">
        <v>386</v>
      </c>
      <c r="F762" t="s">
        <v>245</v>
      </c>
      <c r="G762" t="s">
        <v>246</v>
      </c>
      <c r="N762" t="s">
        <v>1202</v>
      </c>
      <c r="O762" t="s">
        <v>498</v>
      </c>
      <c r="P762" t="s">
        <v>249</v>
      </c>
      <c r="Q762" t="s">
        <v>250</v>
      </c>
      <c r="R762" t="s">
        <v>251</v>
      </c>
      <c r="T762" t="s">
        <v>252</v>
      </c>
      <c r="U762" t="s">
        <v>499</v>
      </c>
      <c r="V762" t="s">
        <v>500</v>
      </c>
      <c r="W762" t="s">
        <v>501</v>
      </c>
      <c r="X762" t="s">
        <v>1203</v>
      </c>
      <c r="AL762" t="s">
        <v>1204</v>
      </c>
      <c r="AM762" t="s">
        <v>287</v>
      </c>
      <c r="AN762" t="s">
        <v>259</v>
      </c>
      <c r="AO762" t="s">
        <v>260</v>
      </c>
      <c r="AQ762" t="s">
        <v>261</v>
      </c>
      <c r="AS762">
        <v>20</v>
      </c>
      <c r="AU762">
        <v>20</v>
      </c>
      <c r="AW762">
        <v>40</v>
      </c>
      <c r="AX762" t="s">
        <v>262</v>
      </c>
      <c r="BO762" t="s">
        <v>261</v>
      </c>
      <c r="BQ762">
        <v>0.02</v>
      </c>
      <c r="BS762">
        <v>0.02</v>
      </c>
      <c r="BU762">
        <v>0.04</v>
      </c>
      <c r="BV762" t="s">
        <v>263</v>
      </c>
      <c r="CM762" t="s">
        <v>264</v>
      </c>
      <c r="CN762" t="s">
        <v>264</v>
      </c>
      <c r="CO762" t="s">
        <v>1866</v>
      </c>
      <c r="CP762" t="s">
        <v>265</v>
      </c>
      <c r="CQ762" t="s">
        <v>266</v>
      </c>
      <c r="DB762">
        <v>4</v>
      </c>
      <c r="DG762" t="s">
        <v>267</v>
      </c>
      <c r="DI762">
        <v>96</v>
      </c>
      <c r="DN762" t="s">
        <v>268</v>
      </c>
      <c r="DS762">
        <v>4697</v>
      </c>
      <c r="DT762" t="s">
        <v>1205</v>
      </c>
      <c r="EW762" t="s">
        <v>293</v>
      </c>
      <c r="FM762">
        <v>19</v>
      </c>
      <c r="FR762" t="s">
        <v>295</v>
      </c>
      <c r="HH762" t="s">
        <v>272</v>
      </c>
      <c r="IE762" t="s">
        <v>1206</v>
      </c>
      <c r="IF762">
        <v>9755</v>
      </c>
      <c r="IG762" t="s">
        <v>1207</v>
      </c>
      <c r="IH762" t="s">
        <v>1208</v>
      </c>
      <c r="II762">
        <v>1993</v>
      </c>
      <c r="IJ762" t="s">
        <v>1209</v>
      </c>
    </row>
    <row r="763" spans="1:244" x14ac:dyDescent="0.45">
      <c r="A763">
        <v>2170785</v>
      </c>
      <c r="B763">
        <v>2336421</v>
      </c>
      <c r="C763">
        <v>7487947</v>
      </c>
      <c r="D763" t="s">
        <v>1602</v>
      </c>
      <c r="E763" t="s">
        <v>415</v>
      </c>
      <c r="F763" t="s">
        <v>245</v>
      </c>
      <c r="G763" t="s">
        <v>272</v>
      </c>
      <c r="N763" t="s">
        <v>416</v>
      </c>
      <c r="O763" t="s">
        <v>417</v>
      </c>
      <c r="P763" t="s">
        <v>249</v>
      </c>
      <c r="Q763" t="s">
        <v>250</v>
      </c>
      <c r="R763" t="s">
        <v>251</v>
      </c>
      <c r="T763" t="s">
        <v>252</v>
      </c>
      <c r="U763" t="s">
        <v>253</v>
      </c>
      <c r="V763" t="s">
        <v>418</v>
      </c>
      <c r="W763" t="s">
        <v>419</v>
      </c>
      <c r="X763" t="s">
        <v>420</v>
      </c>
      <c r="AJ763" t="s">
        <v>285</v>
      </c>
      <c r="AL763" t="s">
        <v>1719</v>
      </c>
      <c r="AM763" t="s">
        <v>287</v>
      </c>
      <c r="AN763" t="s">
        <v>259</v>
      </c>
      <c r="AO763" t="s">
        <v>260</v>
      </c>
      <c r="AP763">
        <v>6</v>
      </c>
      <c r="AQ763" t="s">
        <v>261</v>
      </c>
      <c r="AS763">
        <v>5.0999999999999997E-2</v>
      </c>
      <c r="AU763">
        <v>4.4999999999999998E-2</v>
      </c>
      <c r="AW763">
        <v>5.8999999999999997E-2</v>
      </c>
      <c r="AX763" t="s">
        <v>356</v>
      </c>
      <c r="BO763" t="s">
        <v>261</v>
      </c>
      <c r="BQ763">
        <v>5.0999999999999997E-2</v>
      </c>
      <c r="BS763">
        <v>4.4999999999999998E-2</v>
      </c>
      <c r="BU763">
        <v>5.8999999999999997E-2</v>
      </c>
      <c r="BV763" t="s">
        <v>263</v>
      </c>
      <c r="CM763" t="s">
        <v>264</v>
      </c>
      <c r="CN763" t="s">
        <v>264</v>
      </c>
      <c r="CP763" t="s">
        <v>265</v>
      </c>
      <c r="CQ763" t="s">
        <v>266</v>
      </c>
      <c r="DB763">
        <v>2</v>
      </c>
      <c r="DG763" t="s">
        <v>267</v>
      </c>
      <c r="DI763">
        <v>48</v>
      </c>
      <c r="DN763" t="s">
        <v>268</v>
      </c>
      <c r="DS763">
        <v>1009</v>
      </c>
      <c r="DV763">
        <v>96</v>
      </c>
      <c r="EA763" t="s">
        <v>268</v>
      </c>
      <c r="EC763">
        <v>4</v>
      </c>
      <c r="EH763" t="s">
        <v>267</v>
      </c>
      <c r="EJ763">
        <v>96</v>
      </c>
      <c r="EO763" t="s">
        <v>268</v>
      </c>
      <c r="EQ763">
        <v>4</v>
      </c>
      <c r="EV763" t="s">
        <v>267</v>
      </c>
      <c r="EW763" t="s">
        <v>293</v>
      </c>
      <c r="EZ763">
        <v>10</v>
      </c>
      <c r="FM763">
        <v>24.1</v>
      </c>
      <c r="FR763" t="s">
        <v>295</v>
      </c>
      <c r="GG763" t="s">
        <v>288</v>
      </c>
      <c r="GH763">
        <v>60</v>
      </c>
      <c r="GM763" t="s">
        <v>900</v>
      </c>
      <c r="GO763">
        <v>6.8</v>
      </c>
      <c r="GU763">
        <v>15</v>
      </c>
      <c r="GZ763" t="s">
        <v>296</v>
      </c>
      <c r="HH763" t="s">
        <v>272</v>
      </c>
      <c r="ID763" t="s">
        <v>1623</v>
      </c>
      <c r="IE763" t="s">
        <v>1624</v>
      </c>
      <c r="IF763">
        <v>172254</v>
      </c>
      <c r="IG763" t="s">
        <v>1625</v>
      </c>
      <c r="IH763" t="s">
        <v>1626</v>
      </c>
      <c r="II763">
        <v>2002</v>
      </c>
      <c r="IJ763" t="s">
        <v>1627</v>
      </c>
    </row>
    <row r="764" spans="1:244" x14ac:dyDescent="0.45">
      <c r="A764">
        <v>2170785</v>
      </c>
      <c r="B764">
        <v>2336422</v>
      </c>
      <c r="C764">
        <v>7487947</v>
      </c>
      <c r="D764" t="s">
        <v>1602</v>
      </c>
      <c r="E764" t="s">
        <v>415</v>
      </c>
      <c r="F764" t="s">
        <v>245</v>
      </c>
      <c r="G764" t="s">
        <v>272</v>
      </c>
      <c r="N764" t="s">
        <v>416</v>
      </c>
      <c r="O764" t="s">
        <v>417</v>
      </c>
      <c r="P764" t="s">
        <v>249</v>
      </c>
      <c r="Q764" t="s">
        <v>250</v>
      </c>
      <c r="R764" t="s">
        <v>251</v>
      </c>
      <c r="T764" t="s">
        <v>252</v>
      </c>
      <c r="U764" t="s">
        <v>253</v>
      </c>
      <c r="V764" t="s">
        <v>418</v>
      </c>
      <c r="W764" t="s">
        <v>419</v>
      </c>
      <c r="X764" t="s">
        <v>420</v>
      </c>
      <c r="AJ764" t="s">
        <v>285</v>
      </c>
      <c r="AL764" t="s">
        <v>1719</v>
      </c>
      <c r="AM764" t="s">
        <v>287</v>
      </c>
      <c r="AN764" t="s">
        <v>259</v>
      </c>
      <c r="AO764" t="s">
        <v>260</v>
      </c>
      <c r="AP764">
        <v>6</v>
      </c>
      <c r="AQ764" t="s">
        <v>261</v>
      </c>
      <c r="AS764">
        <v>4.3999999999999997E-2</v>
      </c>
      <c r="AU764">
        <v>3.5999999999999997E-2</v>
      </c>
      <c r="AW764">
        <v>4.8000000000000001E-2</v>
      </c>
      <c r="AX764" t="s">
        <v>356</v>
      </c>
      <c r="BO764" t="s">
        <v>261</v>
      </c>
      <c r="BQ764">
        <v>4.3999999999999997E-2</v>
      </c>
      <c r="BS764">
        <v>3.5999999999999997E-2</v>
      </c>
      <c r="BU764">
        <v>4.8000000000000001E-2</v>
      </c>
      <c r="BV764" t="s">
        <v>263</v>
      </c>
      <c r="CM764" t="s">
        <v>264</v>
      </c>
      <c r="CN764" t="s">
        <v>264</v>
      </c>
      <c r="CP764" t="s">
        <v>265</v>
      </c>
      <c r="CQ764" t="s">
        <v>266</v>
      </c>
      <c r="DB764">
        <v>3</v>
      </c>
      <c r="DG764" t="s">
        <v>267</v>
      </c>
      <c r="DI764">
        <v>72</v>
      </c>
      <c r="DN764" t="s">
        <v>268</v>
      </c>
      <c r="DS764">
        <v>1009</v>
      </c>
      <c r="DV764">
        <v>96</v>
      </c>
      <c r="EA764" t="s">
        <v>268</v>
      </c>
      <c r="EC764">
        <v>4</v>
      </c>
      <c r="EH764" t="s">
        <v>267</v>
      </c>
      <c r="EJ764">
        <v>96</v>
      </c>
      <c r="EO764" t="s">
        <v>268</v>
      </c>
      <c r="EQ764">
        <v>4</v>
      </c>
      <c r="EV764" t="s">
        <v>267</v>
      </c>
      <c r="EW764" t="s">
        <v>293</v>
      </c>
      <c r="EZ764">
        <v>10</v>
      </c>
      <c r="FM764">
        <v>24.1</v>
      </c>
      <c r="FR764" t="s">
        <v>295</v>
      </c>
      <c r="GG764" t="s">
        <v>288</v>
      </c>
      <c r="GH764">
        <v>60</v>
      </c>
      <c r="GM764" t="s">
        <v>900</v>
      </c>
      <c r="GO764">
        <v>6.8</v>
      </c>
      <c r="GU764">
        <v>15</v>
      </c>
      <c r="GZ764" t="s">
        <v>296</v>
      </c>
      <c r="HH764" t="s">
        <v>272</v>
      </c>
      <c r="ID764" t="s">
        <v>1623</v>
      </c>
      <c r="IE764" t="s">
        <v>1624</v>
      </c>
      <c r="IF764">
        <v>172254</v>
      </c>
      <c r="IG764" t="s">
        <v>1625</v>
      </c>
      <c r="IH764" t="s">
        <v>1626</v>
      </c>
      <c r="II764">
        <v>2002</v>
      </c>
      <c r="IJ764" t="s">
        <v>1627</v>
      </c>
    </row>
    <row r="765" spans="1:244" x14ac:dyDescent="0.45">
      <c r="A765">
        <v>2170785</v>
      </c>
      <c r="B765">
        <v>2336420</v>
      </c>
      <c r="C765">
        <v>7487947</v>
      </c>
      <c r="D765" t="s">
        <v>1602</v>
      </c>
      <c r="E765" t="s">
        <v>415</v>
      </c>
      <c r="F765" t="s">
        <v>245</v>
      </c>
      <c r="G765" t="s">
        <v>272</v>
      </c>
      <c r="N765" t="s">
        <v>416</v>
      </c>
      <c r="O765" t="s">
        <v>417</v>
      </c>
      <c r="P765" t="s">
        <v>249</v>
      </c>
      <c r="Q765" t="s">
        <v>250</v>
      </c>
      <c r="R765" t="s">
        <v>251</v>
      </c>
      <c r="T765" t="s">
        <v>252</v>
      </c>
      <c r="U765" t="s">
        <v>253</v>
      </c>
      <c r="V765" t="s">
        <v>418</v>
      </c>
      <c r="W765" t="s">
        <v>419</v>
      </c>
      <c r="X765" t="s">
        <v>420</v>
      </c>
      <c r="AJ765" t="s">
        <v>285</v>
      </c>
      <c r="AL765" t="s">
        <v>1719</v>
      </c>
      <c r="AM765" t="s">
        <v>287</v>
      </c>
      <c r="AN765" t="s">
        <v>259</v>
      </c>
      <c r="AO765" t="s">
        <v>260</v>
      </c>
      <c r="AP765">
        <v>6</v>
      </c>
      <c r="AQ765" t="s">
        <v>261</v>
      </c>
      <c r="AS765">
        <v>5.6000000000000001E-2</v>
      </c>
      <c r="AU765">
        <v>5.0999999999999997E-2</v>
      </c>
      <c r="AW765">
        <v>7.5999999999999998E-2</v>
      </c>
      <c r="AX765" t="s">
        <v>356</v>
      </c>
      <c r="BO765" t="s">
        <v>261</v>
      </c>
      <c r="BQ765">
        <v>5.6000000000000001E-2</v>
      </c>
      <c r="BS765">
        <v>5.0999999999999997E-2</v>
      </c>
      <c r="BU765">
        <v>7.5999999999999998E-2</v>
      </c>
      <c r="BV765" t="s">
        <v>263</v>
      </c>
      <c r="CM765" t="s">
        <v>264</v>
      </c>
      <c r="CN765" t="s">
        <v>264</v>
      </c>
      <c r="CP765" t="s">
        <v>265</v>
      </c>
      <c r="CQ765" t="s">
        <v>266</v>
      </c>
      <c r="DB765">
        <v>1</v>
      </c>
      <c r="DG765" t="s">
        <v>267</v>
      </c>
      <c r="DI765">
        <v>24</v>
      </c>
      <c r="DN765" t="s">
        <v>268</v>
      </c>
      <c r="DS765">
        <v>1009</v>
      </c>
      <c r="DV765">
        <v>96</v>
      </c>
      <c r="EA765" t="s">
        <v>268</v>
      </c>
      <c r="EC765">
        <v>4</v>
      </c>
      <c r="EH765" t="s">
        <v>267</v>
      </c>
      <c r="EJ765">
        <v>96</v>
      </c>
      <c r="EO765" t="s">
        <v>268</v>
      </c>
      <c r="EQ765">
        <v>4</v>
      </c>
      <c r="EV765" t="s">
        <v>267</v>
      </c>
      <c r="EW765" t="s">
        <v>293</v>
      </c>
      <c r="EZ765">
        <v>10</v>
      </c>
      <c r="FM765">
        <v>24.1</v>
      </c>
      <c r="FR765" t="s">
        <v>295</v>
      </c>
      <c r="GG765" t="s">
        <v>288</v>
      </c>
      <c r="GH765">
        <v>60</v>
      </c>
      <c r="GM765" t="s">
        <v>900</v>
      </c>
      <c r="GO765">
        <v>6.8</v>
      </c>
      <c r="GU765">
        <v>15</v>
      </c>
      <c r="GZ765" t="s">
        <v>296</v>
      </c>
      <c r="HH765" t="s">
        <v>272</v>
      </c>
      <c r="ID765" t="s">
        <v>1623</v>
      </c>
      <c r="IE765" t="s">
        <v>1624</v>
      </c>
      <c r="IF765">
        <v>172254</v>
      </c>
      <c r="IG765" t="s">
        <v>1625</v>
      </c>
      <c r="IH765" t="s">
        <v>1626</v>
      </c>
      <c r="II765">
        <v>2002</v>
      </c>
      <c r="IJ765" t="s">
        <v>1627</v>
      </c>
    </row>
    <row r="766" spans="1:244" x14ac:dyDescent="0.45">
      <c r="A766">
        <v>1071200</v>
      </c>
      <c r="B766">
        <v>22982</v>
      </c>
      <c r="C766">
        <v>7487947</v>
      </c>
      <c r="D766" t="s">
        <v>1602</v>
      </c>
      <c r="E766" t="s">
        <v>439</v>
      </c>
      <c r="F766" t="s">
        <v>327</v>
      </c>
      <c r="G766" t="s">
        <v>246</v>
      </c>
      <c r="N766" t="s">
        <v>1492</v>
      </c>
      <c r="O766" t="s">
        <v>1493</v>
      </c>
      <c r="P766" t="s">
        <v>249</v>
      </c>
      <c r="Q766" t="s">
        <v>250</v>
      </c>
      <c r="R766" t="s">
        <v>251</v>
      </c>
      <c r="T766" t="s">
        <v>252</v>
      </c>
      <c r="U766" t="s">
        <v>253</v>
      </c>
      <c r="V766" t="s">
        <v>281</v>
      </c>
      <c r="W766" t="s">
        <v>282</v>
      </c>
      <c r="X766" t="s">
        <v>1494</v>
      </c>
      <c r="Z766" t="s">
        <v>1046</v>
      </c>
      <c r="AB766">
        <v>1</v>
      </c>
      <c r="AG766" t="s">
        <v>598</v>
      </c>
      <c r="AM766" t="s">
        <v>317</v>
      </c>
      <c r="AN766" t="s">
        <v>259</v>
      </c>
      <c r="AO766" t="s">
        <v>260</v>
      </c>
      <c r="AQ766" t="s">
        <v>261</v>
      </c>
      <c r="AS766">
        <v>6.6</v>
      </c>
      <c r="AX766" t="s">
        <v>262</v>
      </c>
      <c r="BO766" t="s">
        <v>261</v>
      </c>
      <c r="BQ766">
        <v>6.6E-3</v>
      </c>
      <c r="BV766" t="s">
        <v>263</v>
      </c>
      <c r="CM766" t="s">
        <v>264</v>
      </c>
      <c r="CN766" t="s">
        <v>264</v>
      </c>
      <c r="CP766" t="s">
        <v>265</v>
      </c>
      <c r="DB766">
        <v>4</v>
      </c>
      <c r="DG766" t="s">
        <v>267</v>
      </c>
      <c r="DI766">
        <v>96</v>
      </c>
      <c r="DN766" t="s">
        <v>268</v>
      </c>
      <c r="DR766">
        <v>29965</v>
      </c>
      <c r="DS766">
        <v>339</v>
      </c>
      <c r="DT766" t="s">
        <v>1628</v>
      </c>
      <c r="EW766" t="s">
        <v>293</v>
      </c>
      <c r="FA766" t="s">
        <v>1629</v>
      </c>
      <c r="FM766">
        <v>15</v>
      </c>
      <c r="FR766" t="s">
        <v>295</v>
      </c>
      <c r="GJ766">
        <v>6.5</v>
      </c>
      <c r="GL766">
        <v>8</v>
      </c>
      <c r="GM766" t="s">
        <v>356</v>
      </c>
      <c r="GO766">
        <v>8.1</v>
      </c>
      <c r="GU766">
        <v>33.79</v>
      </c>
      <c r="GZ766" t="s">
        <v>296</v>
      </c>
      <c r="HH766" t="s">
        <v>272</v>
      </c>
      <c r="IE766" t="s">
        <v>1630</v>
      </c>
      <c r="IF766">
        <v>5603</v>
      </c>
      <c r="IG766" t="s">
        <v>1631</v>
      </c>
      <c r="IH766" t="s">
        <v>1632</v>
      </c>
      <c r="II766">
        <v>1978</v>
      </c>
      <c r="IJ766" t="s">
        <v>1633</v>
      </c>
    </row>
    <row r="767" spans="1:244" x14ac:dyDescent="0.45">
      <c r="A767">
        <v>1151413</v>
      </c>
      <c r="B767">
        <v>83982</v>
      </c>
      <c r="C767">
        <v>7487947</v>
      </c>
      <c r="D767" t="s">
        <v>1602</v>
      </c>
      <c r="F767" t="s">
        <v>327</v>
      </c>
      <c r="G767" t="s">
        <v>246</v>
      </c>
      <c r="N767" t="s">
        <v>1064</v>
      </c>
      <c r="O767" t="s">
        <v>1065</v>
      </c>
      <c r="P767" t="s">
        <v>249</v>
      </c>
      <c r="Q767" t="s">
        <v>250</v>
      </c>
      <c r="R767" t="s">
        <v>251</v>
      </c>
      <c r="T767" t="s">
        <v>252</v>
      </c>
      <c r="U767" t="s">
        <v>253</v>
      </c>
      <c r="V767" t="s">
        <v>304</v>
      </c>
      <c r="W767" t="s">
        <v>1066</v>
      </c>
      <c r="X767" t="s">
        <v>1067</v>
      </c>
      <c r="Z767" t="s">
        <v>284</v>
      </c>
      <c r="AB767">
        <v>4</v>
      </c>
      <c r="AG767" t="s">
        <v>598</v>
      </c>
      <c r="AM767" t="s">
        <v>317</v>
      </c>
      <c r="AN767" t="s">
        <v>259</v>
      </c>
      <c r="AO767" t="s">
        <v>260</v>
      </c>
      <c r="AQ767" t="s">
        <v>261</v>
      </c>
      <c r="AS767">
        <v>390</v>
      </c>
      <c r="AX767" t="s">
        <v>262</v>
      </c>
      <c r="BO767" t="s">
        <v>261</v>
      </c>
      <c r="BQ767">
        <v>0.39</v>
      </c>
      <c r="BV767" t="s">
        <v>263</v>
      </c>
      <c r="CM767" t="s">
        <v>264</v>
      </c>
      <c r="CN767" t="s">
        <v>264</v>
      </c>
      <c r="CP767" t="s">
        <v>265</v>
      </c>
      <c r="CQ767" t="s">
        <v>266</v>
      </c>
      <c r="DB767">
        <v>1</v>
      </c>
      <c r="DG767" t="s">
        <v>267</v>
      </c>
      <c r="DI767">
        <v>24</v>
      </c>
      <c r="DN767" t="s">
        <v>268</v>
      </c>
      <c r="DP767" t="s">
        <v>1603</v>
      </c>
      <c r="DR767">
        <v>79674</v>
      </c>
      <c r="DS767">
        <v>648</v>
      </c>
      <c r="DT767" t="s">
        <v>1604</v>
      </c>
      <c r="EW767" t="s">
        <v>333</v>
      </c>
      <c r="FO767">
        <v>25.5</v>
      </c>
      <c r="FQ767">
        <v>27</v>
      </c>
      <c r="FR767" t="s">
        <v>295</v>
      </c>
      <c r="FT767">
        <v>400</v>
      </c>
      <c r="FY767" t="s">
        <v>572</v>
      </c>
      <c r="GJ767">
        <v>7</v>
      </c>
      <c r="GL767">
        <v>8</v>
      </c>
      <c r="GM767" t="s">
        <v>356</v>
      </c>
      <c r="GQ767">
        <v>7.5</v>
      </c>
      <c r="GS767">
        <v>8.5</v>
      </c>
      <c r="GU767">
        <v>12</v>
      </c>
      <c r="GZ767" t="s">
        <v>296</v>
      </c>
      <c r="HH767" t="s">
        <v>272</v>
      </c>
      <c r="IE767" t="s">
        <v>1605</v>
      </c>
      <c r="IF767">
        <v>12953</v>
      </c>
      <c r="IG767" t="s">
        <v>1606</v>
      </c>
      <c r="IH767" t="s">
        <v>1607</v>
      </c>
      <c r="II767">
        <v>1985</v>
      </c>
      <c r="IJ767" t="s">
        <v>1608</v>
      </c>
    </row>
    <row r="768" spans="1:244" x14ac:dyDescent="0.45">
      <c r="A768">
        <v>1226464</v>
      </c>
      <c r="B768">
        <v>219640</v>
      </c>
      <c r="C768">
        <v>7487947</v>
      </c>
      <c r="D768" t="s">
        <v>1602</v>
      </c>
      <c r="E768" t="s">
        <v>386</v>
      </c>
      <c r="F768" t="s">
        <v>245</v>
      </c>
      <c r="G768" t="s">
        <v>246</v>
      </c>
      <c r="N768" t="s">
        <v>302</v>
      </c>
      <c r="O768" t="s">
        <v>303</v>
      </c>
      <c r="P768" t="s">
        <v>249</v>
      </c>
      <c r="Q768" t="s">
        <v>250</v>
      </c>
      <c r="R768" t="s">
        <v>251</v>
      </c>
      <c r="T768" t="s">
        <v>252</v>
      </c>
      <c r="U768" t="s">
        <v>253</v>
      </c>
      <c r="V768" t="s">
        <v>304</v>
      </c>
      <c r="W768" t="s">
        <v>305</v>
      </c>
      <c r="X768" t="s">
        <v>306</v>
      </c>
      <c r="Z768" t="s">
        <v>1057</v>
      </c>
      <c r="AL768" t="s">
        <v>1210</v>
      </c>
      <c r="AM768" t="s">
        <v>317</v>
      </c>
      <c r="AN768" t="s">
        <v>259</v>
      </c>
      <c r="AO768" t="s">
        <v>260</v>
      </c>
      <c r="AQ768" t="s">
        <v>261</v>
      </c>
      <c r="AS768">
        <v>0.15</v>
      </c>
      <c r="AX768" t="s">
        <v>356</v>
      </c>
      <c r="BO768" t="s">
        <v>261</v>
      </c>
      <c r="BQ768">
        <v>0.15</v>
      </c>
      <c r="BV768" t="s">
        <v>263</v>
      </c>
      <c r="CM768" t="s">
        <v>264</v>
      </c>
      <c r="CN768" t="s">
        <v>264</v>
      </c>
      <c r="CP768" t="s">
        <v>265</v>
      </c>
      <c r="CQ768" t="s">
        <v>266</v>
      </c>
      <c r="DB768">
        <v>4</v>
      </c>
      <c r="DG768" t="s">
        <v>267</v>
      </c>
      <c r="DI768">
        <v>96</v>
      </c>
      <c r="DN768" t="s">
        <v>268</v>
      </c>
      <c r="DR768">
        <v>338212</v>
      </c>
      <c r="DS768">
        <v>732</v>
      </c>
      <c r="DT768" t="s">
        <v>1211</v>
      </c>
      <c r="EW768" t="s">
        <v>293</v>
      </c>
      <c r="GU768">
        <v>36</v>
      </c>
      <c r="GZ768" t="s">
        <v>900</v>
      </c>
      <c r="HH768" t="s">
        <v>272</v>
      </c>
      <c r="IE768" t="s">
        <v>1212</v>
      </c>
      <c r="IF768">
        <v>51641</v>
      </c>
      <c r="IG768" t="s">
        <v>1213</v>
      </c>
      <c r="IH768" t="s">
        <v>1214</v>
      </c>
      <c r="II768">
        <v>2000</v>
      </c>
      <c r="IJ768" t="s">
        <v>1215</v>
      </c>
    </row>
    <row r="769" spans="1:244" x14ac:dyDescent="0.45">
      <c r="A769">
        <v>2170777</v>
      </c>
      <c r="B769">
        <v>2336391</v>
      </c>
      <c r="C769">
        <v>7487947</v>
      </c>
      <c r="D769" t="s">
        <v>1602</v>
      </c>
      <c r="E769" t="s">
        <v>415</v>
      </c>
      <c r="F769" t="s">
        <v>245</v>
      </c>
      <c r="G769" t="s">
        <v>272</v>
      </c>
      <c r="N769" t="s">
        <v>958</v>
      </c>
      <c r="O769" t="s">
        <v>959</v>
      </c>
      <c r="P769" t="s">
        <v>249</v>
      </c>
      <c r="Q769" t="s">
        <v>250</v>
      </c>
      <c r="R769" t="s">
        <v>251</v>
      </c>
      <c r="T769" t="s">
        <v>252</v>
      </c>
      <c r="U769" t="s">
        <v>253</v>
      </c>
      <c r="V769" t="s">
        <v>418</v>
      </c>
      <c r="W769" t="s">
        <v>419</v>
      </c>
      <c r="X769" t="s">
        <v>960</v>
      </c>
      <c r="AJ769" t="s">
        <v>285</v>
      </c>
      <c r="AL769" t="s">
        <v>1622</v>
      </c>
      <c r="AM769" t="s">
        <v>287</v>
      </c>
      <c r="AN769" t="s">
        <v>259</v>
      </c>
      <c r="AO769" t="s">
        <v>260</v>
      </c>
      <c r="AP769">
        <v>6</v>
      </c>
      <c r="AQ769" t="s">
        <v>261</v>
      </c>
      <c r="AS769">
        <v>1.7999999999999999E-2</v>
      </c>
      <c r="AU769">
        <v>0.01</v>
      </c>
      <c r="AW769">
        <v>0.02</v>
      </c>
      <c r="AX769" t="s">
        <v>356</v>
      </c>
      <c r="BO769" t="s">
        <v>261</v>
      </c>
      <c r="BQ769">
        <v>1.7999999999999999E-2</v>
      </c>
      <c r="BS769">
        <v>0.01</v>
      </c>
      <c r="BU769">
        <v>0.02</v>
      </c>
      <c r="BV769" t="s">
        <v>263</v>
      </c>
      <c r="CM769" t="s">
        <v>264</v>
      </c>
      <c r="CN769" t="s">
        <v>264</v>
      </c>
      <c r="CP769" t="s">
        <v>265</v>
      </c>
      <c r="CQ769" t="s">
        <v>266</v>
      </c>
      <c r="DB769">
        <v>4</v>
      </c>
      <c r="DG769" t="s">
        <v>267</v>
      </c>
      <c r="DI769">
        <v>96</v>
      </c>
      <c r="DN769" t="s">
        <v>268</v>
      </c>
      <c r="DR769">
        <v>6687</v>
      </c>
      <c r="DS769">
        <v>252</v>
      </c>
      <c r="DV769">
        <v>96</v>
      </c>
      <c r="EA769" t="s">
        <v>268</v>
      </c>
      <c r="EC769">
        <v>4</v>
      </c>
      <c r="EH769" t="s">
        <v>267</v>
      </c>
      <c r="EJ769">
        <v>96</v>
      </c>
      <c r="EO769" t="s">
        <v>268</v>
      </c>
      <c r="EQ769">
        <v>4</v>
      </c>
      <c r="EV769" t="s">
        <v>267</v>
      </c>
      <c r="EW769" t="s">
        <v>293</v>
      </c>
      <c r="EZ769">
        <v>10</v>
      </c>
      <c r="FM769">
        <v>24.1</v>
      </c>
      <c r="FR769" t="s">
        <v>295</v>
      </c>
      <c r="GG769" t="s">
        <v>288</v>
      </c>
      <c r="GH769">
        <v>60</v>
      </c>
      <c r="GM769" t="s">
        <v>900</v>
      </c>
      <c r="GO769">
        <v>6.8</v>
      </c>
      <c r="GU769">
        <v>25</v>
      </c>
      <c r="GZ769" t="s">
        <v>296</v>
      </c>
      <c r="HH769" t="s">
        <v>272</v>
      </c>
      <c r="ID769" t="s">
        <v>1623</v>
      </c>
      <c r="IE769" t="s">
        <v>1624</v>
      </c>
      <c r="IF769">
        <v>172254</v>
      </c>
      <c r="IG769" t="s">
        <v>1625</v>
      </c>
      <c r="IH769" t="s">
        <v>1626</v>
      </c>
      <c r="II769">
        <v>2002</v>
      </c>
      <c r="IJ769" t="s">
        <v>1627</v>
      </c>
    </row>
    <row r="770" spans="1:244" x14ac:dyDescent="0.45">
      <c r="A770">
        <v>1226457</v>
      </c>
      <c r="B770">
        <v>219633</v>
      </c>
      <c r="C770">
        <v>7487947</v>
      </c>
      <c r="D770" t="s">
        <v>1602</v>
      </c>
      <c r="E770" t="s">
        <v>386</v>
      </c>
      <c r="F770" t="s">
        <v>245</v>
      </c>
      <c r="G770" t="s">
        <v>246</v>
      </c>
      <c r="N770" t="s">
        <v>302</v>
      </c>
      <c r="O770" t="s">
        <v>303</v>
      </c>
      <c r="P770" t="s">
        <v>249</v>
      </c>
      <c r="Q770" t="s">
        <v>250</v>
      </c>
      <c r="R770" t="s">
        <v>251</v>
      </c>
      <c r="T770" t="s">
        <v>252</v>
      </c>
      <c r="U770" t="s">
        <v>253</v>
      </c>
      <c r="V770" t="s">
        <v>304</v>
      </c>
      <c r="W770" t="s">
        <v>305</v>
      </c>
      <c r="X770" t="s">
        <v>306</v>
      </c>
      <c r="Z770" t="s">
        <v>1057</v>
      </c>
      <c r="AL770" t="s">
        <v>1324</v>
      </c>
      <c r="AM770" t="s">
        <v>317</v>
      </c>
      <c r="AN770" t="s">
        <v>259</v>
      </c>
      <c r="AO770" t="s">
        <v>260</v>
      </c>
      <c r="AQ770" t="s">
        <v>261</v>
      </c>
      <c r="AS770">
        <v>3.54</v>
      </c>
      <c r="AX770" t="s">
        <v>356</v>
      </c>
      <c r="BO770" t="s">
        <v>261</v>
      </c>
      <c r="BQ770">
        <v>3.54</v>
      </c>
      <c r="BV770" t="s">
        <v>263</v>
      </c>
      <c r="CM770" t="s">
        <v>264</v>
      </c>
      <c r="CN770" t="s">
        <v>264</v>
      </c>
      <c r="CP770" t="s">
        <v>265</v>
      </c>
      <c r="CQ770" t="s">
        <v>266</v>
      </c>
      <c r="DB770">
        <v>2</v>
      </c>
      <c r="DG770" t="s">
        <v>267</v>
      </c>
      <c r="DI770">
        <v>48</v>
      </c>
      <c r="DN770" t="s">
        <v>268</v>
      </c>
      <c r="DR770">
        <v>338212</v>
      </c>
      <c r="DS770">
        <v>732</v>
      </c>
      <c r="DT770" t="s">
        <v>1211</v>
      </c>
      <c r="EW770" t="s">
        <v>293</v>
      </c>
      <c r="GU770">
        <v>36</v>
      </c>
      <c r="GZ770" t="s">
        <v>900</v>
      </c>
      <c r="HH770" t="s">
        <v>272</v>
      </c>
      <c r="IE770" t="s">
        <v>1212</v>
      </c>
      <c r="IF770">
        <v>51641</v>
      </c>
      <c r="IG770" t="s">
        <v>1213</v>
      </c>
      <c r="IH770" t="s">
        <v>1214</v>
      </c>
      <c r="II770">
        <v>2000</v>
      </c>
      <c r="IJ770" t="s">
        <v>1215</v>
      </c>
    </row>
    <row r="771" spans="1:244" x14ac:dyDescent="0.45">
      <c r="A771">
        <v>2170777</v>
      </c>
      <c r="B771">
        <v>2336389</v>
      </c>
      <c r="C771">
        <v>7487947</v>
      </c>
      <c r="D771" t="s">
        <v>1602</v>
      </c>
      <c r="E771" t="s">
        <v>415</v>
      </c>
      <c r="F771" t="s">
        <v>245</v>
      </c>
      <c r="G771" t="s">
        <v>272</v>
      </c>
      <c r="N771" t="s">
        <v>958</v>
      </c>
      <c r="O771" t="s">
        <v>959</v>
      </c>
      <c r="P771" t="s">
        <v>249</v>
      </c>
      <c r="Q771" t="s">
        <v>250</v>
      </c>
      <c r="R771" t="s">
        <v>251</v>
      </c>
      <c r="T771" t="s">
        <v>252</v>
      </c>
      <c r="U771" t="s">
        <v>253</v>
      </c>
      <c r="V771" t="s">
        <v>418</v>
      </c>
      <c r="W771" t="s">
        <v>419</v>
      </c>
      <c r="X771" t="s">
        <v>960</v>
      </c>
      <c r="AJ771" t="s">
        <v>285</v>
      </c>
      <c r="AL771" t="s">
        <v>1622</v>
      </c>
      <c r="AM771" t="s">
        <v>287</v>
      </c>
      <c r="AN771" t="s">
        <v>259</v>
      </c>
      <c r="AO771" t="s">
        <v>260</v>
      </c>
      <c r="AP771">
        <v>6</v>
      </c>
      <c r="AQ771" t="s">
        <v>261</v>
      </c>
      <c r="AS771">
        <v>0.03</v>
      </c>
      <c r="AU771">
        <v>2.3E-2</v>
      </c>
      <c r="AW771">
        <v>3.9E-2</v>
      </c>
      <c r="AX771" t="s">
        <v>356</v>
      </c>
      <c r="BO771" t="s">
        <v>261</v>
      </c>
      <c r="BQ771">
        <v>0.03</v>
      </c>
      <c r="BS771">
        <v>2.3E-2</v>
      </c>
      <c r="BU771">
        <v>3.9E-2</v>
      </c>
      <c r="BV771" t="s">
        <v>263</v>
      </c>
      <c r="CM771" t="s">
        <v>264</v>
      </c>
      <c r="CN771" t="s">
        <v>264</v>
      </c>
      <c r="CP771" t="s">
        <v>265</v>
      </c>
      <c r="CQ771" t="s">
        <v>266</v>
      </c>
      <c r="DB771">
        <v>2</v>
      </c>
      <c r="DG771" t="s">
        <v>267</v>
      </c>
      <c r="DI771">
        <v>48</v>
      </c>
      <c r="DN771" t="s">
        <v>268</v>
      </c>
      <c r="DR771">
        <v>6687</v>
      </c>
      <c r="DS771">
        <v>252</v>
      </c>
      <c r="DV771">
        <v>96</v>
      </c>
      <c r="EA771" t="s">
        <v>268</v>
      </c>
      <c r="EC771">
        <v>4</v>
      </c>
      <c r="EH771" t="s">
        <v>267</v>
      </c>
      <c r="EJ771">
        <v>96</v>
      </c>
      <c r="EO771" t="s">
        <v>268</v>
      </c>
      <c r="EQ771">
        <v>4</v>
      </c>
      <c r="EV771" t="s">
        <v>267</v>
      </c>
      <c r="EW771" t="s">
        <v>293</v>
      </c>
      <c r="EZ771">
        <v>10</v>
      </c>
      <c r="FM771">
        <v>24.1</v>
      </c>
      <c r="FR771" t="s">
        <v>295</v>
      </c>
      <c r="GG771" t="s">
        <v>288</v>
      </c>
      <c r="GH771">
        <v>60</v>
      </c>
      <c r="GM771" t="s">
        <v>900</v>
      </c>
      <c r="GO771">
        <v>6.8</v>
      </c>
      <c r="GU771">
        <v>25</v>
      </c>
      <c r="GZ771" t="s">
        <v>296</v>
      </c>
      <c r="HH771" t="s">
        <v>272</v>
      </c>
      <c r="ID771" t="s">
        <v>1623</v>
      </c>
      <c r="IE771" t="s">
        <v>1624</v>
      </c>
      <c r="IF771">
        <v>172254</v>
      </c>
      <c r="IG771" t="s">
        <v>1625</v>
      </c>
      <c r="IH771" t="s">
        <v>1626</v>
      </c>
      <c r="II771">
        <v>2002</v>
      </c>
      <c r="IJ771" t="s">
        <v>1627</v>
      </c>
    </row>
    <row r="772" spans="1:244" x14ac:dyDescent="0.45">
      <c r="A772">
        <v>2170777</v>
      </c>
      <c r="B772">
        <v>2336390</v>
      </c>
      <c r="C772">
        <v>7487947</v>
      </c>
      <c r="D772" t="s">
        <v>1602</v>
      </c>
      <c r="E772" t="s">
        <v>415</v>
      </c>
      <c r="F772" t="s">
        <v>245</v>
      </c>
      <c r="G772" t="s">
        <v>272</v>
      </c>
      <c r="N772" t="s">
        <v>958</v>
      </c>
      <c r="O772" t="s">
        <v>959</v>
      </c>
      <c r="P772" t="s">
        <v>249</v>
      </c>
      <c r="Q772" t="s">
        <v>250</v>
      </c>
      <c r="R772" t="s">
        <v>251</v>
      </c>
      <c r="T772" t="s">
        <v>252</v>
      </c>
      <c r="U772" t="s">
        <v>253</v>
      </c>
      <c r="V772" t="s">
        <v>418</v>
      </c>
      <c r="W772" t="s">
        <v>419</v>
      </c>
      <c r="X772" t="s">
        <v>960</v>
      </c>
      <c r="AJ772" t="s">
        <v>285</v>
      </c>
      <c r="AL772" t="s">
        <v>1622</v>
      </c>
      <c r="AM772" t="s">
        <v>287</v>
      </c>
      <c r="AN772" t="s">
        <v>259</v>
      </c>
      <c r="AO772" t="s">
        <v>260</v>
      </c>
      <c r="AP772">
        <v>6</v>
      </c>
      <c r="AQ772" t="s">
        <v>261</v>
      </c>
      <c r="AS772">
        <v>2.5000000000000001E-2</v>
      </c>
      <c r="AU772">
        <v>1.7999999999999999E-2</v>
      </c>
      <c r="AW772">
        <v>2.5999999999999999E-2</v>
      </c>
      <c r="AX772" t="s">
        <v>356</v>
      </c>
      <c r="BO772" t="s">
        <v>261</v>
      </c>
      <c r="BQ772">
        <v>2.5000000000000001E-2</v>
      </c>
      <c r="BS772">
        <v>1.7999999999999999E-2</v>
      </c>
      <c r="BU772">
        <v>2.5999999999999999E-2</v>
      </c>
      <c r="BV772" t="s">
        <v>263</v>
      </c>
      <c r="CM772" t="s">
        <v>264</v>
      </c>
      <c r="CN772" t="s">
        <v>264</v>
      </c>
      <c r="CP772" t="s">
        <v>265</v>
      </c>
      <c r="CQ772" t="s">
        <v>266</v>
      </c>
      <c r="DB772">
        <v>3</v>
      </c>
      <c r="DG772" t="s">
        <v>267</v>
      </c>
      <c r="DI772">
        <v>72</v>
      </c>
      <c r="DN772" t="s">
        <v>268</v>
      </c>
      <c r="DR772">
        <v>6687</v>
      </c>
      <c r="DS772">
        <v>252</v>
      </c>
      <c r="DV772">
        <v>96</v>
      </c>
      <c r="EA772" t="s">
        <v>268</v>
      </c>
      <c r="EC772">
        <v>4</v>
      </c>
      <c r="EH772" t="s">
        <v>267</v>
      </c>
      <c r="EJ772">
        <v>96</v>
      </c>
      <c r="EO772" t="s">
        <v>268</v>
      </c>
      <c r="EQ772">
        <v>4</v>
      </c>
      <c r="EV772" t="s">
        <v>267</v>
      </c>
      <c r="EW772" t="s">
        <v>293</v>
      </c>
      <c r="EZ772">
        <v>10</v>
      </c>
      <c r="FM772">
        <v>24.1</v>
      </c>
      <c r="FR772" t="s">
        <v>295</v>
      </c>
      <c r="GG772" t="s">
        <v>288</v>
      </c>
      <c r="GH772">
        <v>60</v>
      </c>
      <c r="GM772" t="s">
        <v>900</v>
      </c>
      <c r="GO772">
        <v>6.8</v>
      </c>
      <c r="GU772">
        <v>25</v>
      </c>
      <c r="GZ772" t="s">
        <v>296</v>
      </c>
      <c r="HH772" t="s">
        <v>272</v>
      </c>
      <c r="ID772" t="s">
        <v>1623</v>
      </c>
      <c r="IE772" t="s">
        <v>1624</v>
      </c>
      <c r="IF772">
        <v>172254</v>
      </c>
      <c r="IG772" t="s">
        <v>1625</v>
      </c>
      <c r="IH772" t="s">
        <v>1626</v>
      </c>
      <c r="II772">
        <v>2002</v>
      </c>
      <c r="IJ772" t="s">
        <v>1627</v>
      </c>
    </row>
    <row r="773" spans="1:244" x14ac:dyDescent="0.45">
      <c r="A773">
        <v>2170777</v>
      </c>
      <c r="B773">
        <v>2336388</v>
      </c>
      <c r="C773">
        <v>7487947</v>
      </c>
      <c r="D773" t="s">
        <v>1602</v>
      </c>
      <c r="E773" t="s">
        <v>415</v>
      </c>
      <c r="F773" t="s">
        <v>245</v>
      </c>
      <c r="G773" t="s">
        <v>272</v>
      </c>
      <c r="N773" t="s">
        <v>958</v>
      </c>
      <c r="O773" t="s">
        <v>959</v>
      </c>
      <c r="P773" t="s">
        <v>249</v>
      </c>
      <c r="Q773" t="s">
        <v>250</v>
      </c>
      <c r="R773" t="s">
        <v>251</v>
      </c>
      <c r="T773" t="s">
        <v>252</v>
      </c>
      <c r="U773" t="s">
        <v>253</v>
      </c>
      <c r="V773" t="s">
        <v>418</v>
      </c>
      <c r="W773" t="s">
        <v>419</v>
      </c>
      <c r="X773" t="s">
        <v>960</v>
      </c>
      <c r="AJ773" t="s">
        <v>285</v>
      </c>
      <c r="AL773" t="s">
        <v>1622</v>
      </c>
      <c r="AM773" t="s">
        <v>287</v>
      </c>
      <c r="AN773" t="s">
        <v>259</v>
      </c>
      <c r="AO773" t="s">
        <v>260</v>
      </c>
      <c r="AP773">
        <v>6</v>
      </c>
      <c r="AQ773" t="s">
        <v>261</v>
      </c>
      <c r="AS773">
        <v>3.7999999999999999E-2</v>
      </c>
      <c r="AU773">
        <v>3.2000000000000001E-2</v>
      </c>
      <c r="AW773">
        <v>3.7999999999999999E-2</v>
      </c>
      <c r="AX773" t="s">
        <v>356</v>
      </c>
      <c r="BO773" t="s">
        <v>261</v>
      </c>
      <c r="BQ773">
        <v>3.7999999999999999E-2</v>
      </c>
      <c r="BS773">
        <v>3.2000000000000001E-2</v>
      </c>
      <c r="BU773">
        <v>3.7999999999999999E-2</v>
      </c>
      <c r="BV773" t="s">
        <v>263</v>
      </c>
      <c r="CM773" t="s">
        <v>264</v>
      </c>
      <c r="CN773" t="s">
        <v>264</v>
      </c>
      <c r="CP773" t="s">
        <v>265</v>
      </c>
      <c r="CQ773" t="s">
        <v>266</v>
      </c>
      <c r="DB773">
        <v>1</v>
      </c>
      <c r="DG773" t="s">
        <v>267</v>
      </c>
      <c r="DI773">
        <v>24</v>
      </c>
      <c r="DN773" t="s">
        <v>268</v>
      </c>
      <c r="DR773">
        <v>6687</v>
      </c>
      <c r="DS773">
        <v>252</v>
      </c>
      <c r="DV773">
        <v>96</v>
      </c>
      <c r="EA773" t="s">
        <v>268</v>
      </c>
      <c r="EC773">
        <v>4</v>
      </c>
      <c r="EH773" t="s">
        <v>267</v>
      </c>
      <c r="EJ773">
        <v>96</v>
      </c>
      <c r="EO773" t="s">
        <v>268</v>
      </c>
      <c r="EQ773">
        <v>4</v>
      </c>
      <c r="EV773" t="s">
        <v>267</v>
      </c>
      <c r="EW773" t="s">
        <v>293</v>
      </c>
      <c r="EZ773">
        <v>10</v>
      </c>
      <c r="FM773">
        <v>24.1</v>
      </c>
      <c r="FR773" t="s">
        <v>295</v>
      </c>
      <c r="GG773" t="s">
        <v>288</v>
      </c>
      <c r="GH773">
        <v>60</v>
      </c>
      <c r="GM773" t="s">
        <v>900</v>
      </c>
      <c r="GO773">
        <v>6.8</v>
      </c>
      <c r="GU773">
        <v>25</v>
      </c>
      <c r="GZ773" t="s">
        <v>296</v>
      </c>
      <c r="HH773" t="s">
        <v>272</v>
      </c>
      <c r="ID773" t="s">
        <v>1623</v>
      </c>
      <c r="IE773" t="s">
        <v>1624</v>
      </c>
      <c r="IF773">
        <v>172254</v>
      </c>
      <c r="IG773" t="s">
        <v>1625</v>
      </c>
      <c r="IH773" t="s">
        <v>1626</v>
      </c>
      <c r="II773">
        <v>2002</v>
      </c>
      <c r="IJ773" t="s">
        <v>1627</v>
      </c>
    </row>
    <row r="774" spans="1:244" x14ac:dyDescent="0.45">
      <c r="A774">
        <v>1153344</v>
      </c>
      <c r="B774">
        <v>160859</v>
      </c>
      <c r="C774">
        <v>7487947</v>
      </c>
      <c r="D774" t="s">
        <v>1602</v>
      </c>
      <c r="F774" t="s">
        <v>245</v>
      </c>
      <c r="G774" t="s">
        <v>246</v>
      </c>
      <c r="N774" t="s">
        <v>1672</v>
      </c>
      <c r="O774" t="s">
        <v>1673</v>
      </c>
      <c r="P774" t="s">
        <v>249</v>
      </c>
      <c r="Q774" t="s">
        <v>250</v>
      </c>
      <c r="R774" t="s">
        <v>251</v>
      </c>
      <c r="T774" t="s">
        <v>252</v>
      </c>
      <c r="U774" t="s">
        <v>253</v>
      </c>
      <c r="V774" t="s">
        <v>1674</v>
      </c>
      <c r="W774" t="s">
        <v>1675</v>
      </c>
      <c r="X774" t="s">
        <v>1676</v>
      </c>
      <c r="Z774" t="s">
        <v>1677</v>
      </c>
      <c r="AL774" t="s">
        <v>1678</v>
      </c>
      <c r="AM774" t="s">
        <v>287</v>
      </c>
      <c r="AN774" t="s">
        <v>259</v>
      </c>
      <c r="AO774" t="s">
        <v>260</v>
      </c>
      <c r="AQ774" t="s">
        <v>261</v>
      </c>
      <c r="AS774">
        <v>8430</v>
      </c>
      <c r="AX774" t="s">
        <v>262</v>
      </c>
      <c r="BO774" t="s">
        <v>261</v>
      </c>
      <c r="BQ774">
        <v>8.43</v>
      </c>
      <c r="BV774" t="s">
        <v>263</v>
      </c>
      <c r="CM774" t="s">
        <v>264</v>
      </c>
      <c r="CN774" t="s">
        <v>264</v>
      </c>
      <c r="CP774" t="s">
        <v>265</v>
      </c>
      <c r="DB774">
        <v>2</v>
      </c>
      <c r="DG774" t="s">
        <v>267</v>
      </c>
      <c r="DI774">
        <v>48</v>
      </c>
      <c r="DN774" t="s">
        <v>268</v>
      </c>
      <c r="DR774">
        <v>1460405</v>
      </c>
      <c r="DS774">
        <v>5936</v>
      </c>
      <c r="EW774" t="s">
        <v>293</v>
      </c>
      <c r="FK774" t="s">
        <v>1679</v>
      </c>
      <c r="HH774" t="s">
        <v>272</v>
      </c>
      <c r="ID774" t="s">
        <v>1680</v>
      </c>
      <c r="IE774" t="s">
        <v>1681</v>
      </c>
      <c r="IF774">
        <v>13233</v>
      </c>
      <c r="IG774" t="s">
        <v>1682</v>
      </c>
      <c r="IH774" t="s">
        <v>1683</v>
      </c>
      <c r="II774">
        <v>1988</v>
      </c>
      <c r="IJ774" t="s">
        <v>1684</v>
      </c>
    </row>
    <row r="775" spans="1:244" x14ac:dyDescent="0.45">
      <c r="A775">
        <v>1271214</v>
      </c>
      <c r="B775">
        <v>722512</v>
      </c>
      <c r="C775">
        <v>7487947</v>
      </c>
      <c r="D775" t="s">
        <v>1602</v>
      </c>
      <c r="E775" t="s">
        <v>415</v>
      </c>
      <c r="F775" t="s">
        <v>245</v>
      </c>
      <c r="G775" t="s">
        <v>246</v>
      </c>
      <c r="N775" t="s">
        <v>1782</v>
      </c>
      <c r="O775" t="s">
        <v>1783</v>
      </c>
      <c r="P775" t="s">
        <v>249</v>
      </c>
      <c r="Q775" t="s">
        <v>250</v>
      </c>
      <c r="R775" t="s">
        <v>251</v>
      </c>
      <c r="T775" t="s">
        <v>252</v>
      </c>
      <c r="U775" t="s">
        <v>253</v>
      </c>
      <c r="V775" t="s">
        <v>1735</v>
      </c>
      <c r="W775" t="s">
        <v>1784</v>
      </c>
      <c r="X775" t="s">
        <v>1785</v>
      </c>
      <c r="AL775" t="s">
        <v>1809</v>
      </c>
      <c r="AM775" t="s">
        <v>258</v>
      </c>
      <c r="AN775" t="s">
        <v>259</v>
      </c>
      <c r="AO775" t="s">
        <v>260</v>
      </c>
      <c r="AP775">
        <v>7</v>
      </c>
      <c r="AQ775" t="s">
        <v>261</v>
      </c>
      <c r="AS775">
        <v>2.21</v>
      </c>
      <c r="AU775">
        <v>1.99</v>
      </c>
      <c r="AW775">
        <v>2.4500000000000002</v>
      </c>
      <c r="AX775" t="s">
        <v>422</v>
      </c>
      <c r="BO775" t="s">
        <v>261</v>
      </c>
      <c r="BQ775">
        <v>2.21</v>
      </c>
      <c r="BS775">
        <v>1.99</v>
      </c>
      <c r="BU775">
        <v>2.4500000000000002</v>
      </c>
      <c r="BV775" t="s">
        <v>263</v>
      </c>
      <c r="CM775" t="s">
        <v>264</v>
      </c>
      <c r="CN775" t="s">
        <v>264</v>
      </c>
      <c r="CP775" t="s">
        <v>265</v>
      </c>
      <c r="CQ775" t="s">
        <v>266</v>
      </c>
      <c r="DB775">
        <v>4</v>
      </c>
      <c r="DG775" t="s">
        <v>267</v>
      </c>
      <c r="DI775">
        <v>96</v>
      </c>
      <c r="DN775" t="s">
        <v>268</v>
      </c>
      <c r="DP775" t="s">
        <v>1637</v>
      </c>
      <c r="DS775">
        <v>2838</v>
      </c>
      <c r="EW775" t="s">
        <v>293</v>
      </c>
      <c r="FK775" t="s">
        <v>1810</v>
      </c>
      <c r="FM775">
        <v>29</v>
      </c>
      <c r="FR775" t="s">
        <v>295</v>
      </c>
      <c r="GO775">
        <v>8</v>
      </c>
      <c r="GU775">
        <v>15</v>
      </c>
      <c r="GZ775" t="s">
        <v>296</v>
      </c>
      <c r="HH775" t="s">
        <v>272</v>
      </c>
      <c r="ID775" t="s">
        <v>1811</v>
      </c>
      <c r="IE775" t="s">
        <v>1812</v>
      </c>
      <c r="IF775">
        <v>16623</v>
      </c>
      <c r="IG775" t="s">
        <v>1813</v>
      </c>
      <c r="IH775" t="s">
        <v>1814</v>
      </c>
      <c r="II775">
        <v>1987</v>
      </c>
      <c r="IJ775" t="s">
        <v>1815</v>
      </c>
    </row>
    <row r="776" spans="1:244" x14ac:dyDescent="0.45">
      <c r="A776">
        <v>1146875</v>
      </c>
      <c r="B776">
        <v>104713</v>
      </c>
      <c r="C776">
        <v>7487947</v>
      </c>
      <c r="D776" t="s">
        <v>1602</v>
      </c>
      <c r="F776" t="s">
        <v>245</v>
      </c>
      <c r="G776" t="s">
        <v>246</v>
      </c>
      <c r="N776" t="s">
        <v>247</v>
      </c>
      <c r="O776" t="s">
        <v>248</v>
      </c>
      <c r="P776" t="s">
        <v>249</v>
      </c>
      <c r="Q776" t="s">
        <v>250</v>
      </c>
      <c r="R776" t="s">
        <v>251</v>
      </c>
      <c r="T776" t="s">
        <v>252</v>
      </c>
      <c r="U776" t="s">
        <v>253</v>
      </c>
      <c r="V776" t="s">
        <v>254</v>
      </c>
      <c r="W776" t="s">
        <v>255</v>
      </c>
      <c r="X776" t="s">
        <v>256</v>
      </c>
      <c r="AL776" t="s">
        <v>257</v>
      </c>
      <c r="AM776" t="s">
        <v>258</v>
      </c>
      <c r="AN776" t="s">
        <v>259</v>
      </c>
      <c r="AO776" t="s">
        <v>260</v>
      </c>
      <c r="AQ776" t="s">
        <v>261</v>
      </c>
      <c r="AS776">
        <v>680</v>
      </c>
      <c r="AX776" t="s">
        <v>262</v>
      </c>
      <c r="BO776" t="s">
        <v>261</v>
      </c>
      <c r="BQ776">
        <v>0.68</v>
      </c>
      <c r="BV776" t="s">
        <v>263</v>
      </c>
      <c r="CM776" t="s">
        <v>264</v>
      </c>
      <c r="CN776" t="s">
        <v>264</v>
      </c>
      <c r="CP776" t="s">
        <v>265</v>
      </c>
      <c r="CQ776" t="s">
        <v>266</v>
      </c>
      <c r="DB776">
        <v>3</v>
      </c>
      <c r="DG776" t="s">
        <v>267</v>
      </c>
      <c r="DI776">
        <v>72</v>
      </c>
      <c r="DN776" t="s">
        <v>268</v>
      </c>
      <c r="DR776">
        <v>6761</v>
      </c>
      <c r="DS776">
        <v>2461</v>
      </c>
      <c r="DT776" t="s">
        <v>270</v>
      </c>
      <c r="EW776" t="s">
        <v>271</v>
      </c>
      <c r="HH776" t="s">
        <v>272</v>
      </c>
      <c r="IE776" t="s">
        <v>273</v>
      </c>
      <c r="IF776">
        <v>12413</v>
      </c>
      <c r="IG776" t="s">
        <v>274</v>
      </c>
      <c r="IH776" t="s">
        <v>275</v>
      </c>
      <c r="II776">
        <v>1987</v>
      </c>
      <c r="IJ776" t="s">
        <v>276</v>
      </c>
    </row>
    <row r="777" spans="1:244" x14ac:dyDescent="0.45">
      <c r="A777">
        <v>1151409</v>
      </c>
      <c r="B777">
        <v>83976</v>
      </c>
      <c r="C777">
        <v>7487947</v>
      </c>
      <c r="D777" t="s">
        <v>1602</v>
      </c>
      <c r="F777" t="s">
        <v>327</v>
      </c>
      <c r="G777" t="s">
        <v>246</v>
      </c>
      <c r="N777" t="s">
        <v>1064</v>
      </c>
      <c r="O777" t="s">
        <v>1065</v>
      </c>
      <c r="P777" t="s">
        <v>249</v>
      </c>
      <c r="Q777" t="s">
        <v>250</v>
      </c>
      <c r="R777" t="s">
        <v>251</v>
      </c>
      <c r="T777" t="s">
        <v>252</v>
      </c>
      <c r="U777" t="s">
        <v>253</v>
      </c>
      <c r="V777" t="s">
        <v>304</v>
      </c>
      <c r="W777" t="s">
        <v>1066</v>
      </c>
      <c r="X777" t="s">
        <v>1067</v>
      </c>
      <c r="Z777" t="s">
        <v>284</v>
      </c>
      <c r="AB777">
        <v>3</v>
      </c>
      <c r="AG777" t="s">
        <v>598</v>
      </c>
      <c r="AM777" t="s">
        <v>317</v>
      </c>
      <c r="AN777" t="s">
        <v>259</v>
      </c>
      <c r="AO777" t="s">
        <v>260</v>
      </c>
      <c r="AQ777" t="s">
        <v>261</v>
      </c>
      <c r="AS777">
        <v>340</v>
      </c>
      <c r="AX777" t="s">
        <v>262</v>
      </c>
      <c r="BO777" t="s">
        <v>261</v>
      </c>
      <c r="BQ777">
        <v>0.34</v>
      </c>
      <c r="BV777" t="s">
        <v>263</v>
      </c>
      <c r="CM777" t="s">
        <v>264</v>
      </c>
      <c r="CN777" t="s">
        <v>264</v>
      </c>
      <c r="CP777" t="s">
        <v>265</v>
      </c>
      <c r="CQ777" t="s">
        <v>266</v>
      </c>
      <c r="DB777">
        <v>1</v>
      </c>
      <c r="DG777" t="s">
        <v>267</v>
      </c>
      <c r="DI777">
        <v>24</v>
      </c>
      <c r="DN777" t="s">
        <v>268</v>
      </c>
      <c r="DP777" t="s">
        <v>1603</v>
      </c>
      <c r="DR777">
        <v>79674</v>
      </c>
      <c r="DS777">
        <v>648</v>
      </c>
      <c r="DT777" t="s">
        <v>1604</v>
      </c>
      <c r="EW777" t="s">
        <v>333</v>
      </c>
      <c r="FO777">
        <v>25.5</v>
      </c>
      <c r="FQ777">
        <v>27</v>
      </c>
      <c r="FR777" t="s">
        <v>295</v>
      </c>
      <c r="FT777">
        <v>400</v>
      </c>
      <c r="FY777" t="s">
        <v>572</v>
      </c>
      <c r="GJ777">
        <v>7</v>
      </c>
      <c r="GL777">
        <v>8</v>
      </c>
      <c r="GM777" t="s">
        <v>356</v>
      </c>
      <c r="GQ777">
        <v>7.5</v>
      </c>
      <c r="GS777">
        <v>8.5</v>
      </c>
      <c r="GU777">
        <v>12</v>
      </c>
      <c r="GZ777" t="s">
        <v>296</v>
      </c>
      <c r="HH777" t="s">
        <v>272</v>
      </c>
      <c r="IE777" t="s">
        <v>1605</v>
      </c>
      <c r="IF777">
        <v>12953</v>
      </c>
      <c r="IG777" t="s">
        <v>1606</v>
      </c>
      <c r="IH777" t="s">
        <v>1607</v>
      </c>
      <c r="II777">
        <v>1985</v>
      </c>
      <c r="IJ777" t="s">
        <v>1608</v>
      </c>
    </row>
    <row r="778" spans="1:244" x14ac:dyDescent="0.45">
      <c r="A778">
        <v>1226463</v>
      </c>
      <c r="B778">
        <v>219639</v>
      </c>
      <c r="C778">
        <v>7487947</v>
      </c>
      <c r="D778" t="s">
        <v>1602</v>
      </c>
      <c r="E778" t="s">
        <v>386</v>
      </c>
      <c r="F778" t="s">
        <v>245</v>
      </c>
      <c r="G778" t="s">
        <v>246</v>
      </c>
      <c r="N778" t="s">
        <v>302</v>
      </c>
      <c r="O778" t="s">
        <v>303</v>
      </c>
      <c r="P778" t="s">
        <v>249</v>
      </c>
      <c r="Q778" t="s">
        <v>250</v>
      </c>
      <c r="R778" t="s">
        <v>251</v>
      </c>
      <c r="T778" t="s">
        <v>252</v>
      </c>
      <c r="U778" t="s">
        <v>253</v>
      </c>
      <c r="V778" t="s">
        <v>304</v>
      </c>
      <c r="W778" t="s">
        <v>305</v>
      </c>
      <c r="X778" t="s">
        <v>306</v>
      </c>
      <c r="Z778" t="s">
        <v>1057</v>
      </c>
      <c r="AL778" t="s">
        <v>1210</v>
      </c>
      <c r="AM778" t="s">
        <v>317</v>
      </c>
      <c r="AN778" t="s">
        <v>259</v>
      </c>
      <c r="AO778" t="s">
        <v>260</v>
      </c>
      <c r="AQ778" t="s">
        <v>261</v>
      </c>
      <c r="AS778">
        <v>0.26</v>
      </c>
      <c r="AX778" t="s">
        <v>356</v>
      </c>
      <c r="BO778" t="s">
        <v>261</v>
      </c>
      <c r="BQ778">
        <v>0.26</v>
      </c>
      <c r="BV778" t="s">
        <v>263</v>
      </c>
      <c r="CM778" t="s">
        <v>264</v>
      </c>
      <c r="CN778" t="s">
        <v>264</v>
      </c>
      <c r="CP778" t="s">
        <v>265</v>
      </c>
      <c r="CQ778" t="s">
        <v>266</v>
      </c>
      <c r="DB778">
        <v>2</v>
      </c>
      <c r="DG778" t="s">
        <v>267</v>
      </c>
      <c r="DI778">
        <v>48</v>
      </c>
      <c r="DN778" t="s">
        <v>268</v>
      </c>
      <c r="DR778">
        <v>338212</v>
      </c>
      <c r="DS778">
        <v>732</v>
      </c>
      <c r="DT778" t="s">
        <v>1211</v>
      </c>
      <c r="EW778" t="s">
        <v>293</v>
      </c>
      <c r="GU778">
        <v>36</v>
      </c>
      <c r="GZ778" t="s">
        <v>900</v>
      </c>
      <c r="HH778" t="s">
        <v>272</v>
      </c>
      <c r="IE778" t="s">
        <v>1212</v>
      </c>
      <c r="IF778">
        <v>51641</v>
      </c>
      <c r="IG778" t="s">
        <v>1213</v>
      </c>
      <c r="IH778" t="s">
        <v>1214</v>
      </c>
      <c r="II778">
        <v>2000</v>
      </c>
      <c r="IJ778" t="s">
        <v>1215</v>
      </c>
    </row>
    <row r="779" spans="1:244" x14ac:dyDescent="0.45">
      <c r="A779">
        <v>1151164</v>
      </c>
      <c r="B779">
        <v>104871</v>
      </c>
      <c r="C779">
        <v>7487947</v>
      </c>
      <c r="D779" t="s">
        <v>1602</v>
      </c>
      <c r="F779" t="s">
        <v>245</v>
      </c>
      <c r="G779" t="s">
        <v>246</v>
      </c>
      <c r="N779" t="s">
        <v>247</v>
      </c>
      <c r="O779" t="s">
        <v>248</v>
      </c>
      <c r="P779" t="s">
        <v>249</v>
      </c>
      <c r="Q779" t="s">
        <v>250</v>
      </c>
      <c r="R779" t="s">
        <v>251</v>
      </c>
      <c r="T779" t="s">
        <v>252</v>
      </c>
      <c r="U779" t="s">
        <v>253</v>
      </c>
      <c r="V779" t="s">
        <v>254</v>
      </c>
      <c r="W779" t="s">
        <v>255</v>
      </c>
      <c r="X779" t="s">
        <v>256</v>
      </c>
      <c r="Z779" t="s">
        <v>1057</v>
      </c>
      <c r="AL779" t="s">
        <v>1777</v>
      </c>
      <c r="AM779" t="s">
        <v>317</v>
      </c>
      <c r="AN779" t="s">
        <v>259</v>
      </c>
      <c r="AO779" t="s">
        <v>260</v>
      </c>
      <c r="AQ779" t="s">
        <v>261</v>
      </c>
      <c r="AS779">
        <v>5880</v>
      </c>
      <c r="AX779" t="s">
        <v>262</v>
      </c>
      <c r="BO779" t="s">
        <v>261</v>
      </c>
      <c r="BQ779">
        <v>5.88</v>
      </c>
      <c r="BV779" t="s">
        <v>263</v>
      </c>
      <c r="CM779" t="s">
        <v>264</v>
      </c>
      <c r="CN779" t="s">
        <v>264</v>
      </c>
      <c r="CP779" t="s">
        <v>265</v>
      </c>
      <c r="DB779">
        <v>4</v>
      </c>
      <c r="DG779" t="s">
        <v>267</v>
      </c>
      <c r="DI779">
        <v>96</v>
      </c>
      <c r="DN779" t="s">
        <v>268</v>
      </c>
      <c r="DR779">
        <v>6761</v>
      </c>
      <c r="DS779">
        <v>2461</v>
      </c>
      <c r="EW779" t="s">
        <v>293</v>
      </c>
      <c r="HH779" t="s">
        <v>272</v>
      </c>
      <c r="IE779" t="s">
        <v>1778</v>
      </c>
      <c r="IF779">
        <v>12895</v>
      </c>
      <c r="IG779" t="s">
        <v>1779</v>
      </c>
      <c r="IH779" t="s">
        <v>1780</v>
      </c>
      <c r="II779">
        <v>1986</v>
      </c>
      <c r="IJ779" t="s">
        <v>1781</v>
      </c>
    </row>
    <row r="780" spans="1:244" x14ac:dyDescent="0.45">
      <c r="A780">
        <v>1279022</v>
      </c>
      <c r="B780">
        <v>732326</v>
      </c>
      <c r="C780">
        <v>7487947</v>
      </c>
      <c r="D780" t="s">
        <v>1602</v>
      </c>
      <c r="E780" t="s">
        <v>439</v>
      </c>
      <c r="F780" t="s">
        <v>327</v>
      </c>
      <c r="G780" t="s">
        <v>246</v>
      </c>
      <c r="N780" t="s">
        <v>1426</v>
      </c>
      <c r="O780" t="s">
        <v>370</v>
      </c>
      <c r="P780" t="s">
        <v>249</v>
      </c>
      <c r="Q780" t="s">
        <v>250</v>
      </c>
      <c r="R780" t="s">
        <v>251</v>
      </c>
      <c r="T780" t="s">
        <v>252</v>
      </c>
      <c r="U780" t="s">
        <v>371</v>
      </c>
      <c r="V780" t="s">
        <v>372</v>
      </c>
      <c r="W780" t="s">
        <v>1427</v>
      </c>
      <c r="X780" t="s">
        <v>1428</v>
      </c>
      <c r="Z780" t="s">
        <v>649</v>
      </c>
      <c r="AD780">
        <v>1</v>
      </c>
      <c r="AF780">
        <v>5</v>
      </c>
      <c r="AG780" t="s">
        <v>267</v>
      </c>
      <c r="AM780" t="s">
        <v>258</v>
      </c>
      <c r="AN780" t="s">
        <v>259</v>
      </c>
      <c r="AO780" t="s">
        <v>260</v>
      </c>
      <c r="AP780">
        <v>6</v>
      </c>
      <c r="AQ780" t="s">
        <v>261</v>
      </c>
      <c r="AS780">
        <v>6.9</v>
      </c>
      <c r="AU780">
        <v>3.1</v>
      </c>
      <c r="AW780">
        <v>10.7</v>
      </c>
      <c r="AX780" t="s">
        <v>262</v>
      </c>
      <c r="BO780" t="s">
        <v>261</v>
      </c>
      <c r="BQ780">
        <v>6.8999999999999999E-3</v>
      </c>
      <c r="BS780">
        <v>3.0999999999999999E-3</v>
      </c>
      <c r="BU780">
        <v>1.0699999999999999E-2</v>
      </c>
      <c r="BV780" t="s">
        <v>263</v>
      </c>
      <c r="CM780" t="s">
        <v>264</v>
      </c>
      <c r="CN780" t="s">
        <v>264</v>
      </c>
      <c r="CP780" t="s">
        <v>265</v>
      </c>
      <c r="CQ780" t="s">
        <v>266</v>
      </c>
      <c r="DB780">
        <v>4</v>
      </c>
      <c r="DG780" t="s">
        <v>267</v>
      </c>
      <c r="DI780">
        <v>96</v>
      </c>
      <c r="DN780" t="s">
        <v>268</v>
      </c>
      <c r="DP780" t="s">
        <v>1691</v>
      </c>
      <c r="DR780">
        <v>223650</v>
      </c>
      <c r="DS780">
        <v>1577</v>
      </c>
      <c r="DT780" t="s">
        <v>1430</v>
      </c>
      <c r="EW780" t="s">
        <v>293</v>
      </c>
      <c r="FA780" t="s">
        <v>1867</v>
      </c>
      <c r="FK780" t="s">
        <v>1868</v>
      </c>
      <c r="FM780">
        <v>20</v>
      </c>
      <c r="FR780" t="s">
        <v>295</v>
      </c>
      <c r="GU780">
        <v>5</v>
      </c>
      <c r="GZ780" t="s">
        <v>296</v>
      </c>
      <c r="HH780" t="s">
        <v>272</v>
      </c>
      <c r="ID780" t="s">
        <v>1869</v>
      </c>
      <c r="IE780" t="s">
        <v>1433</v>
      </c>
      <c r="IF780">
        <v>75445</v>
      </c>
      <c r="IG780" t="s">
        <v>1434</v>
      </c>
      <c r="IH780" t="s">
        <v>1435</v>
      </c>
      <c r="II780">
        <v>2003</v>
      </c>
      <c r="IJ780" t="s">
        <v>1436</v>
      </c>
    </row>
    <row r="781" spans="1:244" x14ac:dyDescent="0.45">
      <c r="A781">
        <v>1026066</v>
      </c>
      <c r="B781">
        <v>123812</v>
      </c>
      <c r="C781">
        <v>7487947</v>
      </c>
      <c r="D781" t="s">
        <v>1602</v>
      </c>
      <c r="F781" t="s">
        <v>245</v>
      </c>
      <c r="G781" t="s">
        <v>246</v>
      </c>
      <c r="N781" t="s">
        <v>546</v>
      </c>
      <c r="O781" t="s">
        <v>547</v>
      </c>
      <c r="P781" t="s">
        <v>249</v>
      </c>
      <c r="Q781" t="s">
        <v>250</v>
      </c>
      <c r="R781" t="s">
        <v>251</v>
      </c>
      <c r="T781" t="s">
        <v>252</v>
      </c>
      <c r="U781" t="s">
        <v>253</v>
      </c>
      <c r="V781" t="s">
        <v>548</v>
      </c>
      <c r="W781" t="s">
        <v>549</v>
      </c>
      <c r="X781" t="s">
        <v>550</v>
      </c>
      <c r="Z781" t="s">
        <v>315</v>
      </c>
      <c r="AM781" t="s">
        <v>258</v>
      </c>
      <c r="AN781" t="s">
        <v>259</v>
      </c>
      <c r="AO781" t="s">
        <v>260</v>
      </c>
      <c r="AQ781" t="s">
        <v>261</v>
      </c>
      <c r="AU781">
        <v>3300</v>
      </c>
      <c r="AW781">
        <v>10000</v>
      </c>
      <c r="AX781" t="s">
        <v>262</v>
      </c>
      <c r="BO781" t="s">
        <v>261</v>
      </c>
      <c r="BS781">
        <v>3.3</v>
      </c>
      <c r="BU781">
        <v>10</v>
      </c>
      <c r="BV781" t="s">
        <v>263</v>
      </c>
      <c r="CM781" t="s">
        <v>264</v>
      </c>
      <c r="CN781" t="s">
        <v>264</v>
      </c>
      <c r="CP781" t="s">
        <v>265</v>
      </c>
      <c r="CQ781" t="s">
        <v>266</v>
      </c>
      <c r="DB781">
        <v>2</v>
      </c>
      <c r="DG781" t="s">
        <v>267</v>
      </c>
      <c r="DI781">
        <v>48</v>
      </c>
      <c r="DN781" t="s">
        <v>268</v>
      </c>
      <c r="DR781">
        <v>491138</v>
      </c>
      <c r="DS781">
        <v>11</v>
      </c>
      <c r="EW781" t="s">
        <v>360</v>
      </c>
      <c r="FM781">
        <v>15</v>
      </c>
      <c r="FR781" t="s">
        <v>295</v>
      </c>
      <c r="HH781" t="s">
        <v>272</v>
      </c>
      <c r="IE781" t="s">
        <v>552</v>
      </c>
      <c r="IF781">
        <v>906</v>
      </c>
      <c r="IG781" t="s">
        <v>553</v>
      </c>
      <c r="IH781" t="s">
        <v>554</v>
      </c>
      <c r="II781">
        <v>1971</v>
      </c>
      <c r="IJ781" t="s">
        <v>555</v>
      </c>
    </row>
    <row r="782" spans="1:244" x14ac:dyDescent="0.45">
      <c r="A782">
        <v>1141304</v>
      </c>
      <c r="B782">
        <v>121174</v>
      </c>
      <c r="C782">
        <v>7487947</v>
      </c>
      <c r="D782" t="s">
        <v>1602</v>
      </c>
      <c r="F782" t="s">
        <v>245</v>
      </c>
      <c r="G782" t="s">
        <v>246</v>
      </c>
      <c r="N782" t="s">
        <v>1800</v>
      </c>
      <c r="O782" t="s">
        <v>1801</v>
      </c>
      <c r="P782" t="s">
        <v>249</v>
      </c>
      <c r="Q782" t="s">
        <v>250</v>
      </c>
      <c r="R782" t="s">
        <v>251</v>
      </c>
      <c r="T782" t="s">
        <v>252</v>
      </c>
      <c r="U782" t="s">
        <v>253</v>
      </c>
      <c r="V782" t="s">
        <v>418</v>
      </c>
      <c r="W782" t="s">
        <v>847</v>
      </c>
      <c r="X782" t="s">
        <v>1802</v>
      </c>
      <c r="Z782" t="s">
        <v>649</v>
      </c>
      <c r="AL782" t="s">
        <v>1803</v>
      </c>
      <c r="AM782" t="s">
        <v>258</v>
      </c>
      <c r="AN782" t="s">
        <v>259</v>
      </c>
      <c r="AO782" t="s">
        <v>260</v>
      </c>
      <c r="AQ782" t="s">
        <v>261</v>
      </c>
      <c r="AS782">
        <v>32</v>
      </c>
      <c r="AU782">
        <v>25.7</v>
      </c>
      <c r="AW782">
        <v>39.9</v>
      </c>
      <c r="AX782" t="s">
        <v>262</v>
      </c>
      <c r="BO782" t="s">
        <v>261</v>
      </c>
      <c r="BQ782">
        <v>3.2000000000000001E-2</v>
      </c>
      <c r="BS782">
        <v>2.5700000000000001E-2</v>
      </c>
      <c r="BU782">
        <v>3.9899999999999998E-2</v>
      </c>
      <c r="BV782" t="s">
        <v>263</v>
      </c>
      <c r="CM782" t="s">
        <v>264</v>
      </c>
      <c r="CN782" t="s">
        <v>264</v>
      </c>
      <c r="CP782" t="s">
        <v>265</v>
      </c>
      <c r="CQ782" t="s">
        <v>266</v>
      </c>
      <c r="DB782">
        <v>2</v>
      </c>
      <c r="DG782" t="s">
        <v>267</v>
      </c>
      <c r="DI782">
        <v>48</v>
      </c>
      <c r="DN782" t="s">
        <v>268</v>
      </c>
      <c r="DP782" t="s">
        <v>1804</v>
      </c>
      <c r="DR782">
        <v>1378283</v>
      </c>
      <c r="DS782">
        <v>4579</v>
      </c>
      <c r="EW782" t="s">
        <v>271</v>
      </c>
      <c r="FM782">
        <v>27.5</v>
      </c>
      <c r="FR782" t="s">
        <v>295</v>
      </c>
      <c r="GG782" t="s">
        <v>288</v>
      </c>
      <c r="GH782">
        <v>60</v>
      </c>
      <c r="GM782" t="s">
        <v>900</v>
      </c>
      <c r="GU782">
        <v>15</v>
      </c>
      <c r="GZ782" t="s">
        <v>296</v>
      </c>
      <c r="HH782" t="s">
        <v>272</v>
      </c>
      <c r="IE782" t="s">
        <v>1805</v>
      </c>
      <c r="IF782">
        <v>11853</v>
      </c>
      <c r="IG782" t="s">
        <v>1806</v>
      </c>
      <c r="IH782" t="s">
        <v>1807</v>
      </c>
      <c r="II782">
        <v>1986</v>
      </c>
      <c r="IJ782" t="s">
        <v>1808</v>
      </c>
    </row>
    <row r="783" spans="1:244" x14ac:dyDescent="0.45">
      <c r="A783">
        <v>1178660</v>
      </c>
      <c r="B783">
        <v>79749</v>
      </c>
      <c r="C783">
        <v>7487947</v>
      </c>
      <c r="D783" t="s">
        <v>1602</v>
      </c>
      <c r="F783" t="s">
        <v>245</v>
      </c>
      <c r="G783" t="s">
        <v>246</v>
      </c>
      <c r="N783" t="s">
        <v>328</v>
      </c>
      <c r="O783" t="s">
        <v>329</v>
      </c>
      <c r="P783" t="s">
        <v>249</v>
      </c>
      <c r="Q783" t="s">
        <v>250</v>
      </c>
      <c r="R783" t="s">
        <v>251</v>
      </c>
      <c r="T783" t="s">
        <v>252</v>
      </c>
      <c r="U783" t="s">
        <v>253</v>
      </c>
      <c r="V783" t="s">
        <v>304</v>
      </c>
      <c r="W783" t="s">
        <v>330</v>
      </c>
      <c r="X783" t="s">
        <v>331</v>
      </c>
      <c r="Z783" t="s">
        <v>284</v>
      </c>
      <c r="AB783">
        <v>1</v>
      </c>
      <c r="AG783" t="s">
        <v>598</v>
      </c>
      <c r="AM783" t="s">
        <v>317</v>
      </c>
      <c r="AN783" t="s">
        <v>259</v>
      </c>
      <c r="AO783" t="s">
        <v>260</v>
      </c>
      <c r="AQ783" t="s">
        <v>261</v>
      </c>
      <c r="AS783">
        <v>0.01</v>
      </c>
      <c r="AU783">
        <v>7.7999999999999996E-3</v>
      </c>
      <c r="AW783">
        <v>1.2699999999999999E-2</v>
      </c>
      <c r="AX783" t="s">
        <v>422</v>
      </c>
      <c r="BO783" t="s">
        <v>261</v>
      </c>
      <c r="BQ783">
        <v>0.01</v>
      </c>
      <c r="BS783">
        <v>7.7999999999999996E-3</v>
      </c>
      <c r="BU783">
        <v>1.2699999999999999E-2</v>
      </c>
      <c r="BV783" t="s">
        <v>263</v>
      </c>
      <c r="CM783" t="s">
        <v>264</v>
      </c>
      <c r="CN783" t="s">
        <v>264</v>
      </c>
      <c r="CO783" t="s">
        <v>1870</v>
      </c>
      <c r="CP783" t="s">
        <v>265</v>
      </c>
      <c r="CQ783" t="s">
        <v>266</v>
      </c>
      <c r="DB783">
        <v>2</v>
      </c>
      <c r="DG783" t="s">
        <v>267</v>
      </c>
      <c r="DI783">
        <v>48</v>
      </c>
      <c r="DN783" t="s">
        <v>268</v>
      </c>
      <c r="DR783">
        <v>294125</v>
      </c>
      <c r="DS783">
        <v>72</v>
      </c>
      <c r="DT783" t="s">
        <v>1871</v>
      </c>
      <c r="EW783" t="s">
        <v>333</v>
      </c>
      <c r="FA783" t="s">
        <v>1872</v>
      </c>
      <c r="FK783" t="s">
        <v>1873</v>
      </c>
      <c r="FO783">
        <v>26.5</v>
      </c>
      <c r="FQ783">
        <v>27</v>
      </c>
      <c r="FR783" t="s">
        <v>295</v>
      </c>
      <c r="GH783">
        <v>5.6</v>
      </c>
      <c r="GM783" t="s">
        <v>356</v>
      </c>
      <c r="GQ783">
        <v>6.3</v>
      </c>
      <c r="GS783">
        <v>6.9</v>
      </c>
      <c r="GU783">
        <v>33</v>
      </c>
      <c r="GZ783" t="s">
        <v>296</v>
      </c>
      <c r="HH783" t="s">
        <v>272</v>
      </c>
      <c r="ID783" t="s">
        <v>1874</v>
      </c>
      <c r="IE783" t="s">
        <v>1875</v>
      </c>
      <c r="IF783">
        <v>15540</v>
      </c>
      <c r="IG783" t="s">
        <v>1876</v>
      </c>
      <c r="IH783" t="s">
        <v>1877</v>
      </c>
      <c r="II783">
        <v>1975</v>
      </c>
      <c r="IJ783" t="s">
        <v>1878</v>
      </c>
    </row>
    <row r="784" spans="1:244" x14ac:dyDescent="0.45">
      <c r="A784">
        <v>1111649</v>
      </c>
      <c r="B784">
        <v>29513</v>
      </c>
      <c r="C784">
        <v>7487947</v>
      </c>
      <c r="D784" t="s">
        <v>1602</v>
      </c>
      <c r="F784" t="s">
        <v>327</v>
      </c>
      <c r="G784" t="s">
        <v>246</v>
      </c>
      <c r="N784" t="s">
        <v>328</v>
      </c>
      <c r="O784" t="s">
        <v>329</v>
      </c>
      <c r="P784" t="s">
        <v>249</v>
      </c>
      <c r="Q784" t="s">
        <v>250</v>
      </c>
      <c r="R784" t="s">
        <v>251</v>
      </c>
      <c r="T784" t="s">
        <v>252</v>
      </c>
      <c r="U784" t="s">
        <v>253</v>
      </c>
      <c r="V784" t="s">
        <v>304</v>
      </c>
      <c r="W784" t="s">
        <v>330</v>
      </c>
      <c r="X784" t="s">
        <v>331</v>
      </c>
      <c r="AM784" t="s">
        <v>317</v>
      </c>
      <c r="AN784" t="s">
        <v>259</v>
      </c>
      <c r="AO784" t="s">
        <v>260</v>
      </c>
      <c r="AQ784" t="s">
        <v>261</v>
      </c>
      <c r="AS784">
        <v>400</v>
      </c>
      <c r="AX784" t="s">
        <v>262</v>
      </c>
      <c r="BO784" t="s">
        <v>261</v>
      </c>
      <c r="BQ784">
        <v>0.4</v>
      </c>
      <c r="BV784" t="s">
        <v>263</v>
      </c>
      <c r="CM784" t="s">
        <v>264</v>
      </c>
      <c r="CN784" t="s">
        <v>264</v>
      </c>
      <c r="CP784" t="s">
        <v>265</v>
      </c>
      <c r="CQ784" t="s">
        <v>266</v>
      </c>
      <c r="DB784">
        <v>1</v>
      </c>
      <c r="DG784" t="s">
        <v>267</v>
      </c>
      <c r="DI784">
        <v>24</v>
      </c>
      <c r="DN784" t="s">
        <v>268</v>
      </c>
      <c r="DR784">
        <v>294125</v>
      </c>
      <c r="DS784">
        <v>72</v>
      </c>
      <c r="DT784" t="s">
        <v>332</v>
      </c>
      <c r="EW784" t="s">
        <v>333</v>
      </c>
      <c r="FA784" t="s">
        <v>320</v>
      </c>
      <c r="FK784" t="s">
        <v>1879</v>
      </c>
      <c r="FM784">
        <v>20</v>
      </c>
      <c r="FR784" t="s">
        <v>295</v>
      </c>
      <c r="GQ784">
        <v>8</v>
      </c>
      <c r="GS784">
        <v>8.4</v>
      </c>
      <c r="GU784">
        <v>25</v>
      </c>
      <c r="GZ784" t="s">
        <v>296</v>
      </c>
      <c r="HH784" t="s">
        <v>272</v>
      </c>
      <c r="ID784" t="s">
        <v>1880</v>
      </c>
      <c r="IE784" t="s">
        <v>336</v>
      </c>
      <c r="IF784">
        <v>8425</v>
      </c>
      <c r="IG784" t="s">
        <v>337</v>
      </c>
      <c r="IH784" t="s">
        <v>338</v>
      </c>
      <c r="II784">
        <v>1976</v>
      </c>
      <c r="IJ784" t="s">
        <v>339</v>
      </c>
    </row>
    <row r="785" spans="1:244" x14ac:dyDescent="0.45">
      <c r="A785">
        <v>1035611</v>
      </c>
      <c r="B785">
        <v>29495</v>
      </c>
      <c r="C785">
        <v>7487947</v>
      </c>
      <c r="D785" t="s">
        <v>1602</v>
      </c>
      <c r="F785" t="s">
        <v>245</v>
      </c>
      <c r="G785" t="s">
        <v>246</v>
      </c>
      <c r="N785" t="s">
        <v>566</v>
      </c>
      <c r="O785" t="s">
        <v>388</v>
      </c>
      <c r="P785" t="s">
        <v>249</v>
      </c>
      <c r="Q785" t="s">
        <v>250</v>
      </c>
      <c r="R785" t="s">
        <v>251</v>
      </c>
      <c r="T785" t="s">
        <v>389</v>
      </c>
      <c r="U785" t="s">
        <v>390</v>
      </c>
      <c r="V785" t="s">
        <v>567</v>
      </c>
      <c r="W785" t="s">
        <v>568</v>
      </c>
      <c r="X785" t="s">
        <v>569</v>
      </c>
      <c r="Z785" t="s">
        <v>315</v>
      </c>
      <c r="AM785" t="s">
        <v>317</v>
      </c>
      <c r="AN785" t="s">
        <v>259</v>
      </c>
      <c r="AO785" t="s">
        <v>260</v>
      </c>
      <c r="AQ785" t="s">
        <v>261</v>
      </c>
      <c r="AS785">
        <v>230</v>
      </c>
      <c r="AU785">
        <v>180</v>
      </c>
      <c r="AW785">
        <v>290</v>
      </c>
      <c r="AX785" t="s">
        <v>262</v>
      </c>
      <c r="BO785" t="s">
        <v>261</v>
      </c>
      <c r="BQ785">
        <v>0.23</v>
      </c>
      <c r="BS785">
        <v>0.18</v>
      </c>
      <c r="BU785">
        <v>0.28999999999999998</v>
      </c>
      <c r="BV785" t="s">
        <v>263</v>
      </c>
      <c r="CM785" t="s">
        <v>264</v>
      </c>
      <c r="CN785" t="s">
        <v>264</v>
      </c>
      <c r="CP785" t="s">
        <v>265</v>
      </c>
      <c r="CQ785" t="s">
        <v>266</v>
      </c>
      <c r="DB785">
        <v>4</v>
      </c>
      <c r="DG785" t="s">
        <v>267</v>
      </c>
      <c r="DI785">
        <v>96</v>
      </c>
      <c r="DN785" t="s">
        <v>268</v>
      </c>
      <c r="DP785" t="s">
        <v>570</v>
      </c>
      <c r="DS785">
        <v>212</v>
      </c>
      <c r="DT785" t="s">
        <v>571</v>
      </c>
      <c r="EW785" t="s">
        <v>271</v>
      </c>
      <c r="FM785">
        <v>20</v>
      </c>
      <c r="FR785" t="s">
        <v>295</v>
      </c>
      <c r="GA785">
        <v>75</v>
      </c>
      <c r="GF785" t="s">
        <v>572</v>
      </c>
      <c r="GO785">
        <v>8</v>
      </c>
      <c r="GU785">
        <v>7</v>
      </c>
      <c r="GZ785" t="s">
        <v>296</v>
      </c>
      <c r="HH785" t="s">
        <v>272</v>
      </c>
      <c r="IE785" t="s">
        <v>573</v>
      </c>
      <c r="IF785">
        <v>2183</v>
      </c>
      <c r="IG785" t="s">
        <v>574</v>
      </c>
      <c r="IH785" t="s">
        <v>575</v>
      </c>
      <c r="II785">
        <v>1978</v>
      </c>
      <c r="IJ785" t="s">
        <v>576</v>
      </c>
    </row>
    <row r="786" spans="1:244" x14ac:dyDescent="0.45">
      <c r="A786">
        <v>1145282</v>
      </c>
      <c r="B786">
        <v>132097</v>
      </c>
      <c r="C786">
        <v>7487947</v>
      </c>
      <c r="D786" t="s">
        <v>1602</v>
      </c>
      <c r="F786" t="s">
        <v>245</v>
      </c>
      <c r="G786" t="s">
        <v>246</v>
      </c>
      <c r="N786" t="s">
        <v>312</v>
      </c>
      <c r="O786" t="s">
        <v>313</v>
      </c>
      <c r="P786" t="s">
        <v>249</v>
      </c>
      <c r="Q786" t="s">
        <v>250</v>
      </c>
      <c r="R786" t="s">
        <v>251</v>
      </c>
      <c r="T786" t="s">
        <v>252</v>
      </c>
      <c r="U786" t="s">
        <v>253</v>
      </c>
      <c r="V786" t="s">
        <v>304</v>
      </c>
      <c r="W786" t="s">
        <v>305</v>
      </c>
      <c r="X786" t="s">
        <v>314</v>
      </c>
      <c r="Z786" t="s">
        <v>315</v>
      </c>
      <c r="AJ786" t="s">
        <v>285</v>
      </c>
      <c r="AL786" t="s">
        <v>1881</v>
      </c>
      <c r="AM786" t="s">
        <v>317</v>
      </c>
      <c r="AN786" t="s">
        <v>259</v>
      </c>
      <c r="AO786" t="s">
        <v>260</v>
      </c>
      <c r="AP786">
        <v>9</v>
      </c>
      <c r="AQ786" t="s">
        <v>261</v>
      </c>
      <c r="AS786">
        <v>2600</v>
      </c>
      <c r="AX786" t="s">
        <v>262</v>
      </c>
      <c r="BO786" t="s">
        <v>261</v>
      </c>
      <c r="BQ786">
        <v>2.6</v>
      </c>
      <c r="BV786" t="s">
        <v>263</v>
      </c>
      <c r="CM786" t="s">
        <v>264</v>
      </c>
      <c r="CN786" t="s">
        <v>264</v>
      </c>
      <c r="CP786" t="s">
        <v>265</v>
      </c>
      <c r="CQ786" t="s">
        <v>266</v>
      </c>
      <c r="DB786">
        <v>4</v>
      </c>
      <c r="DG786" t="s">
        <v>267</v>
      </c>
      <c r="DI786">
        <v>96</v>
      </c>
      <c r="DN786" t="s">
        <v>268</v>
      </c>
      <c r="DP786" t="s">
        <v>1664</v>
      </c>
      <c r="DR786">
        <v>221654</v>
      </c>
      <c r="DS786">
        <v>65263</v>
      </c>
      <c r="DT786" t="s">
        <v>319</v>
      </c>
      <c r="EW786" t="s">
        <v>293</v>
      </c>
      <c r="FA786" t="s">
        <v>320</v>
      </c>
      <c r="FK786" t="s">
        <v>1882</v>
      </c>
      <c r="FO786">
        <v>22</v>
      </c>
      <c r="FQ786">
        <v>24</v>
      </c>
      <c r="FR786" t="s">
        <v>295</v>
      </c>
      <c r="GU786">
        <v>20</v>
      </c>
      <c r="GZ786" t="s">
        <v>296</v>
      </c>
      <c r="HH786" t="s">
        <v>272</v>
      </c>
      <c r="ID786" t="s">
        <v>1883</v>
      </c>
      <c r="IE786" t="s">
        <v>323</v>
      </c>
      <c r="IF786">
        <v>12227</v>
      </c>
      <c r="IG786" t="s">
        <v>324</v>
      </c>
      <c r="IH786" t="s">
        <v>325</v>
      </c>
      <c r="II786">
        <v>1986</v>
      </c>
      <c r="IJ786" t="s">
        <v>326</v>
      </c>
    </row>
    <row r="787" spans="1:244" x14ac:dyDescent="0.45">
      <c r="A787">
        <v>1178661</v>
      </c>
      <c r="B787">
        <v>79750</v>
      </c>
      <c r="C787">
        <v>7487947</v>
      </c>
      <c r="D787" t="s">
        <v>1602</v>
      </c>
      <c r="F787" t="s">
        <v>245</v>
      </c>
      <c r="G787" t="s">
        <v>246</v>
      </c>
      <c r="N787" t="s">
        <v>328</v>
      </c>
      <c r="O787" t="s">
        <v>329</v>
      </c>
      <c r="P787" t="s">
        <v>249</v>
      </c>
      <c r="Q787" t="s">
        <v>250</v>
      </c>
      <c r="R787" t="s">
        <v>251</v>
      </c>
      <c r="T787" t="s">
        <v>252</v>
      </c>
      <c r="U787" t="s">
        <v>253</v>
      </c>
      <c r="V787" t="s">
        <v>304</v>
      </c>
      <c r="W787" t="s">
        <v>330</v>
      </c>
      <c r="X787" t="s">
        <v>331</v>
      </c>
      <c r="Z787" t="s">
        <v>284</v>
      </c>
      <c r="AB787">
        <v>1</v>
      </c>
      <c r="AG787" t="s">
        <v>598</v>
      </c>
      <c r="AM787" t="s">
        <v>317</v>
      </c>
      <c r="AN787" t="s">
        <v>259</v>
      </c>
      <c r="AO787" t="s">
        <v>260</v>
      </c>
      <c r="AQ787" t="s">
        <v>261</v>
      </c>
      <c r="AS787">
        <v>1.5599999999999999E-2</v>
      </c>
      <c r="AU787">
        <v>1.2699999999999999E-2</v>
      </c>
      <c r="AW787">
        <v>1.9300000000000001E-2</v>
      </c>
      <c r="AX787" t="s">
        <v>422</v>
      </c>
      <c r="BO787" t="s">
        <v>261</v>
      </c>
      <c r="BQ787">
        <v>1.5599999999999999E-2</v>
      </c>
      <c r="BS787">
        <v>1.2699999999999999E-2</v>
      </c>
      <c r="BU787">
        <v>1.9300000000000001E-2</v>
      </c>
      <c r="BV787" t="s">
        <v>263</v>
      </c>
      <c r="CM787" t="s">
        <v>264</v>
      </c>
      <c r="CN787" t="s">
        <v>264</v>
      </c>
      <c r="CO787" t="s">
        <v>1870</v>
      </c>
      <c r="CP787" t="s">
        <v>265</v>
      </c>
      <c r="CQ787" t="s">
        <v>266</v>
      </c>
      <c r="DB787">
        <v>2</v>
      </c>
      <c r="DG787" t="s">
        <v>267</v>
      </c>
      <c r="DI787">
        <v>48</v>
      </c>
      <c r="DN787" t="s">
        <v>268</v>
      </c>
      <c r="DR787">
        <v>294125</v>
      </c>
      <c r="DS787">
        <v>72</v>
      </c>
      <c r="DT787" t="s">
        <v>1871</v>
      </c>
      <c r="EW787" t="s">
        <v>333</v>
      </c>
      <c r="FA787" t="s">
        <v>1872</v>
      </c>
      <c r="FK787" t="s">
        <v>1884</v>
      </c>
      <c r="FM787">
        <v>27</v>
      </c>
      <c r="FR787" t="s">
        <v>295</v>
      </c>
      <c r="GJ787">
        <v>6.2</v>
      </c>
      <c r="GL787">
        <v>7.6</v>
      </c>
      <c r="GM787" t="s">
        <v>356</v>
      </c>
      <c r="GQ787">
        <v>6.4</v>
      </c>
      <c r="GS787">
        <v>6.7</v>
      </c>
      <c r="GU787">
        <v>34</v>
      </c>
      <c r="GZ787" t="s">
        <v>296</v>
      </c>
      <c r="HH787" t="s">
        <v>272</v>
      </c>
      <c r="ID787" t="s">
        <v>1885</v>
      </c>
      <c r="IE787" t="s">
        <v>1875</v>
      </c>
      <c r="IF787">
        <v>15540</v>
      </c>
      <c r="IG787" t="s">
        <v>1876</v>
      </c>
      <c r="IH787" t="s">
        <v>1877</v>
      </c>
      <c r="II787">
        <v>1975</v>
      </c>
      <c r="IJ787" t="s">
        <v>1878</v>
      </c>
    </row>
    <row r="788" spans="1:244" x14ac:dyDescent="0.45">
      <c r="A788">
        <v>1078429</v>
      </c>
      <c r="B788">
        <v>100481</v>
      </c>
      <c r="C788">
        <v>7487947</v>
      </c>
      <c r="D788" t="s">
        <v>1602</v>
      </c>
      <c r="F788" t="s">
        <v>245</v>
      </c>
      <c r="G788" t="s">
        <v>246</v>
      </c>
      <c r="N788" t="s">
        <v>630</v>
      </c>
      <c r="O788" t="s">
        <v>631</v>
      </c>
      <c r="P788" t="s">
        <v>249</v>
      </c>
      <c r="Q788" t="s">
        <v>250</v>
      </c>
      <c r="R788" t="s">
        <v>251</v>
      </c>
      <c r="T788" t="s">
        <v>389</v>
      </c>
      <c r="U788" t="s">
        <v>632</v>
      </c>
      <c r="V788" t="s">
        <v>633</v>
      </c>
      <c r="W788" t="s">
        <v>634</v>
      </c>
      <c r="X788" t="s">
        <v>635</v>
      </c>
      <c r="Z788" t="s">
        <v>525</v>
      </c>
      <c r="AJ788" t="s">
        <v>285</v>
      </c>
      <c r="AM788" t="s">
        <v>317</v>
      </c>
      <c r="AN788" t="s">
        <v>259</v>
      </c>
      <c r="AO788" t="s">
        <v>260</v>
      </c>
      <c r="AP788" t="s">
        <v>1644</v>
      </c>
      <c r="AQ788" t="s">
        <v>261</v>
      </c>
      <c r="AS788">
        <v>3</v>
      </c>
      <c r="AX788" t="s">
        <v>290</v>
      </c>
      <c r="BO788" t="s">
        <v>261</v>
      </c>
      <c r="BQ788">
        <v>3.0000000000000001E-3</v>
      </c>
      <c r="BV788" t="s">
        <v>263</v>
      </c>
      <c r="CM788" t="s">
        <v>264</v>
      </c>
      <c r="CN788" t="s">
        <v>264</v>
      </c>
      <c r="CP788" t="s">
        <v>265</v>
      </c>
      <c r="CQ788" t="s">
        <v>266</v>
      </c>
      <c r="DB788">
        <v>1</v>
      </c>
      <c r="DG788" t="s">
        <v>267</v>
      </c>
      <c r="DI788">
        <v>24</v>
      </c>
      <c r="DN788" t="s">
        <v>268</v>
      </c>
      <c r="DR788">
        <v>136180</v>
      </c>
      <c r="DS788">
        <v>376</v>
      </c>
      <c r="EW788" t="s">
        <v>293</v>
      </c>
      <c r="FA788" t="s">
        <v>1645</v>
      </c>
      <c r="FK788" t="s">
        <v>1886</v>
      </c>
      <c r="FO788">
        <v>13</v>
      </c>
      <c r="FQ788">
        <v>21</v>
      </c>
      <c r="FR788" t="s">
        <v>295</v>
      </c>
      <c r="GW788">
        <v>27</v>
      </c>
      <c r="GY788">
        <v>36</v>
      </c>
      <c r="GZ788" t="s">
        <v>296</v>
      </c>
      <c r="HH788" t="s">
        <v>272</v>
      </c>
      <c r="ID788" t="s">
        <v>1887</v>
      </c>
      <c r="IE788" t="s">
        <v>1648</v>
      </c>
      <c r="IF788">
        <v>6045</v>
      </c>
      <c r="IG788" t="s">
        <v>1649</v>
      </c>
      <c r="IH788" t="s">
        <v>1650</v>
      </c>
      <c r="II788">
        <v>1976</v>
      </c>
      <c r="IJ788" t="s">
        <v>1651</v>
      </c>
    </row>
    <row r="789" spans="1:244" x14ac:dyDescent="0.45">
      <c r="A789">
        <v>1078428</v>
      </c>
      <c r="B789">
        <v>94768</v>
      </c>
      <c r="C789">
        <v>7487947</v>
      </c>
      <c r="D789" t="s">
        <v>1602</v>
      </c>
      <c r="F789" t="s">
        <v>245</v>
      </c>
      <c r="G789" t="s">
        <v>246</v>
      </c>
      <c r="N789" t="s">
        <v>630</v>
      </c>
      <c r="O789" t="s">
        <v>631</v>
      </c>
      <c r="P789" t="s">
        <v>249</v>
      </c>
      <c r="Q789" t="s">
        <v>250</v>
      </c>
      <c r="R789" t="s">
        <v>251</v>
      </c>
      <c r="T789" t="s">
        <v>389</v>
      </c>
      <c r="U789" t="s">
        <v>632</v>
      </c>
      <c r="V789" t="s">
        <v>633</v>
      </c>
      <c r="W789" t="s">
        <v>634</v>
      </c>
      <c r="X789" t="s">
        <v>635</v>
      </c>
      <c r="Z789" t="s">
        <v>315</v>
      </c>
      <c r="AJ789" t="s">
        <v>285</v>
      </c>
      <c r="AM789" t="s">
        <v>317</v>
      </c>
      <c r="AN789" t="s">
        <v>259</v>
      </c>
      <c r="AO789" t="s">
        <v>260</v>
      </c>
      <c r="AP789" t="s">
        <v>1644</v>
      </c>
      <c r="AQ789" t="s">
        <v>261</v>
      </c>
      <c r="AS789">
        <v>34</v>
      </c>
      <c r="AX789" t="s">
        <v>290</v>
      </c>
      <c r="BO789" t="s">
        <v>261</v>
      </c>
      <c r="BQ789">
        <v>3.4000000000000002E-2</v>
      </c>
      <c r="BV789" t="s">
        <v>263</v>
      </c>
      <c r="CM789" t="s">
        <v>264</v>
      </c>
      <c r="CN789" t="s">
        <v>264</v>
      </c>
      <c r="CP789" t="s">
        <v>265</v>
      </c>
      <c r="CQ789" t="s">
        <v>266</v>
      </c>
      <c r="DB789">
        <v>1</v>
      </c>
      <c r="DG789" t="s">
        <v>267</v>
      </c>
      <c r="DI789">
        <v>24</v>
      </c>
      <c r="DN789" t="s">
        <v>268</v>
      </c>
      <c r="DR789">
        <v>136180</v>
      </c>
      <c r="DS789">
        <v>376</v>
      </c>
      <c r="EW789" t="s">
        <v>293</v>
      </c>
      <c r="FA789" t="s">
        <v>1645</v>
      </c>
      <c r="FK789" t="s">
        <v>1888</v>
      </c>
      <c r="FO789">
        <v>13</v>
      </c>
      <c r="FQ789">
        <v>21</v>
      </c>
      <c r="FR789" t="s">
        <v>295</v>
      </c>
      <c r="GW789">
        <v>27</v>
      </c>
      <c r="GY789">
        <v>36</v>
      </c>
      <c r="GZ789" t="s">
        <v>296</v>
      </c>
      <c r="HH789" t="s">
        <v>272</v>
      </c>
      <c r="ID789" t="s">
        <v>1889</v>
      </c>
      <c r="IE789" t="s">
        <v>1648</v>
      </c>
      <c r="IF789">
        <v>6045</v>
      </c>
      <c r="IG789" t="s">
        <v>1649</v>
      </c>
      <c r="IH789" t="s">
        <v>1650</v>
      </c>
      <c r="II789">
        <v>1976</v>
      </c>
      <c r="IJ789" t="s">
        <v>1651</v>
      </c>
    </row>
    <row r="790" spans="1:244" x14ac:dyDescent="0.45">
      <c r="A790">
        <v>1131648</v>
      </c>
      <c r="B790">
        <v>80088</v>
      </c>
      <c r="C790">
        <v>7487947</v>
      </c>
      <c r="D790" t="s">
        <v>1602</v>
      </c>
      <c r="F790" t="s">
        <v>327</v>
      </c>
      <c r="G790" t="s">
        <v>246</v>
      </c>
      <c r="N790" t="s">
        <v>369</v>
      </c>
      <c r="O790" t="s">
        <v>370</v>
      </c>
      <c r="P790" t="s">
        <v>249</v>
      </c>
      <c r="Q790" t="s">
        <v>250</v>
      </c>
      <c r="R790" t="s">
        <v>251</v>
      </c>
      <c r="T790" t="s">
        <v>252</v>
      </c>
      <c r="U790" t="s">
        <v>371</v>
      </c>
      <c r="V790" t="s">
        <v>372</v>
      </c>
      <c r="W790" t="s">
        <v>373</v>
      </c>
      <c r="X790" t="s">
        <v>374</v>
      </c>
      <c r="AA790" t="s">
        <v>289</v>
      </c>
      <c r="AB790">
        <v>24</v>
      </c>
      <c r="AG790" t="s">
        <v>268</v>
      </c>
      <c r="AM790" t="s">
        <v>307</v>
      </c>
      <c r="AN790" t="s">
        <v>259</v>
      </c>
      <c r="AO790" t="s">
        <v>260</v>
      </c>
      <c r="AQ790" t="s">
        <v>261</v>
      </c>
      <c r="AS790">
        <v>3.5</v>
      </c>
      <c r="AX790" t="s">
        <v>262</v>
      </c>
      <c r="BO790" t="s">
        <v>261</v>
      </c>
      <c r="BQ790">
        <v>3.5000000000000001E-3</v>
      </c>
      <c r="BV790" t="s">
        <v>263</v>
      </c>
      <c r="CM790" t="s">
        <v>264</v>
      </c>
      <c r="CN790" t="s">
        <v>264</v>
      </c>
      <c r="CP790" t="s">
        <v>265</v>
      </c>
      <c r="CQ790" t="s">
        <v>266</v>
      </c>
      <c r="DB790">
        <v>4</v>
      </c>
      <c r="DG790" t="s">
        <v>267</v>
      </c>
      <c r="DI790">
        <v>96</v>
      </c>
      <c r="DN790" t="s">
        <v>268</v>
      </c>
      <c r="DR790">
        <v>110441</v>
      </c>
      <c r="DS790">
        <v>142</v>
      </c>
      <c r="DT790" t="s">
        <v>1890</v>
      </c>
      <c r="EW790" t="s">
        <v>271</v>
      </c>
      <c r="FM790">
        <v>21</v>
      </c>
      <c r="FR790" t="s">
        <v>295</v>
      </c>
      <c r="GU790">
        <v>30</v>
      </c>
      <c r="GZ790" t="s">
        <v>296</v>
      </c>
      <c r="HH790" t="s">
        <v>272</v>
      </c>
      <c r="IE790" t="s">
        <v>1891</v>
      </c>
      <c r="IF790">
        <v>10609</v>
      </c>
      <c r="IG790" t="s">
        <v>1892</v>
      </c>
      <c r="IH790" t="s">
        <v>1893</v>
      </c>
      <c r="II790">
        <v>1983</v>
      </c>
      <c r="IJ790" t="s">
        <v>1894</v>
      </c>
    </row>
    <row r="791" spans="1:244" x14ac:dyDescent="0.45">
      <c r="A791">
        <v>1073227</v>
      </c>
      <c r="B791">
        <v>15495</v>
      </c>
      <c r="C791">
        <v>7487947</v>
      </c>
      <c r="D791" t="s">
        <v>1602</v>
      </c>
      <c r="F791" t="s">
        <v>245</v>
      </c>
      <c r="G791" t="s">
        <v>246</v>
      </c>
      <c r="N791" t="s">
        <v>1895</v>
      </c>
      <c r="O791" t="s">
        <v>1896</v>
      </c>
      <c r="P791" t="s">
        <v>249</v>
      </c>
      <c r="Q791" t="s">
        <v>250</v>
      </c>
      <c r="R791" t="s">
        <v>251</v>
      </c>
      <c r="T791" t="s">
        <v>252</v>
      </c>
      <c r="U791" t="s">
        <v>253</v>
      </c>
      <c r="V791" t="s">
        <v>254</v>
      </c>
      <c r="W791" t="s">
        <v>1897</v>
      </c>
      <c r="X791" t="s">
        <v>1898</v>
      </c>
      <c r="Z791" t="s">
        <v>284</v>
      </c>
      <c r="AD791">
        <v>1</v>
      </c>
      <c r="AF791">
        <v>3</v>
      </c>
      <c r="AG791" t="s">
        <v>267</v>
      </c>
      <c r="AM791" t="s">
        <v>317</v>
      </c>
      <c r="AN791" t="s">
        <v>259</v>
      </c>
      <c r="AO791" t="s">
        <v>260</v>
      </c>
      <c r="AQ791" t="s">
        <v>261</v>
      </c>
      <c r="AS791">
        <v>14</v>
      </c>
      <c r="AX791" t="s">
        <v>262</v>
      </c>
      <c r="BO791" t="s">
        <v>261</v>
      </c>
      <c r="BQ791">
        <v>1.4E-2</v>
      </c>
      <c r="BV791" t="s">
        <v>263</v>
      </c>
      <c r="CM791" t="s">
        <v>264</v>
      </c>
      <c r="CN791" t="s">
        <v>264</v>
      </c>
      <c r="CP791" t="s">
        <v>265</v>
      </c>
      <c r="CQ791" t="s">
        <v>266</v>
      </c>
      <c r="DB791">
        <v>2</v>
      </c>
      <c r="DG791" t="s">
        <v>267</v>
      </c>
      <c r="DI791">
        <v>48</v>
      </c>
      <c r="DN791" t="s">
        <v>268</v>
      </c>
      <c r="DR791">
        <v>6759</v>
      </c>
      <c r="DS791">
        <v>10</v>
      </c>
      <c r="DT791" t="s">
        <v>1656</v>
      </c>
      <c r="EW791" t="s">
        <v>333</v>
      </c>
      <c r="FK791" t="s">
        <v>1899</v>
      </c>
      <c r="FM791">
        <v>15</v>
      </c>
      <c r="FR791" t="s">
        <v>295</v>
      </c>
      <c r="HH791" t="s">
        <v>272</v>
      </c>
      <c r="ID791" t="s">
        <v>1900</v>
      </c>
      <c r="IE791" t="s">
        <v>1659</v>
      </c>
      <c r="IF791">
        <v>5732</v>
      </c>
      <c r="IG791" t="s">
        <v>1660</v>
      </c>
      <c r="IH791" t="s">
        <v>1661</v>
      </c>
      <c r="II791">
        <v>1972</v>
      </c>
      <c r="IJ791" t="s">
        <v>1662</v>
      </c>
    </row>
    <row r="792" spans="1:244" x14ac:dyDescent="0.45">
      <c r="A792">
        <v>1026069</v>
      </c>
      <c r="B792">
        <v>123815</v>
      </c>
      <c r="C792">
        <v>7487947</v>
      </c>
      <c r="D792" t="s">
        <v>1602</v>
      </c>
      <c r="F792" t="s">
        <v>245</v>
      </c>
      <c r="G792" t="s">
        <v>246</v>
      </c>
      <c r="N792" t="s">
        <v>1895</v>
      </c>
      <c r="O792" t="s">
        <v>1896</v>
      </c>
      <c r="P792" t="s">
        <v>249</v>
      </c>
      <c r="Q792" t="s">
        <v>250</v>
      </c>
      <c r="R792" t="s">
        <v>251</v>
      </c>
      <c r="T792" t="s">
        <v>252</v>
      </c>
      <c r="U792" t="s">
        <v>253</v>
      </c>
      <c r="V792" t="s">
        <v>254</v>
      </c>
      <c r="W792" t="s">
        <v>1897</v>
      </c>
      <c r="X792" t="s">
        <v>1898</v>
      </c>
      <c r="Z792" t="s">
        <v>315</v>
      </c>
      <c r="AM792" t="s">
        <v>258</v>
      </c>
      <c r="AN792" t="s">
        <v>259</v>
      </c>
      <c r="AO792" t="s">
        <v>260</v>
      </c>
      <c r="AQ792" t="s">
        <v>261</v>
      </c>
      <c r="AS792">
        <v>1200</v>
      </c>
      <c r="AX792" t="s">
        <v>262</v>
      </c>
      <c r="BO792" t="s">
        <v>261</v>
      </c>
      <c r="BQ792">
        <v>1.2</v>
      </c>
      <c r="BV792" t="s">
        <v>263</v>
      </c>
      <c r="CM792" t="s">
        <v>264</v>
      </c>
      <c r="CN792" t="s">
        <v>264</v>
      </c>
      <c r="CP792" t="s">
        <v>265</v>
      </c>
      <c r="CQ792" t="s">
        <v>266</v>
      </c>
      <c r="DB792">
        <v>2</v>
      </c>
      <c r="DG792" t="s">
        <v>267</v>
      </c>
      <c r="DI792">
        <v>48</v>
      </c>
      <c r="DN792" t="s">
        <v>268</v>
      </c>
      <c r="DR792">
        <v>6759</v>
      </c>
      <c r="DS792">
        <v>10</v>
      </c>
      <c r="EW792" t="s">
        <v>360</v>
      </c>
      <c r="FM792">
        <v>15</v>
      </c>
      <c r="FR792" t="s">
        <v>295</v>
      </c>
      <c r="HH792" t="s">
        <v>272</v>
      </c>
      <c r="IE792" t="s">
        <v>552</v>
      </c>
      <c r="IF792">
        <v>906</v>
      </c>
      <c r="IG792" t="s">
        <v>553</v>
      </c>
      <c r="IH792" t="s">
        <v>554</v>
      </c>
      <c r="II792">
        <v>1971</v>
      </c>
      <c r="IJ792" t="s">
        <v>555</v>
      </c>
    </row>
    <row r="793" spans="1:244" x14ac:dyDescent="0.45">
      <c r="A793">
        <v>1073226</v>
      </c>
      <c r="B793">
        <v>15494</v>
      </c>
      <c r="C793">
        <v>7487947</v>
      </c>
      <c r="D793" t="s">
        <v>1602</v>
      </c>
      <c r="F793" t="s">
        <v>245</v>
      </c>
      <c r="G793" t="s">
        <v>246</v>
      </c>
      <c r="N793" t="s">
        <v>1895</v>
      </c>
      <c r="O793" t="s">
        <v>1896</v>
      </c>
      <c r="P793" t="s">
        <v>249</v>
      </c>
      <c r="Q793" t="s">
        <v>250</v>
      </c>
      <c r="R793" t="s">
        <v>251</v>
      </c>
      <c r="T793" t="s">
        <v>252</v>
      </c>
      <c r="U793" t="s">
        <v>253</v>
      </c>
      <c r="V793" t="s">
        <v>254</v>
      </c>
      <c r="W793" t="s">
        <v>1897</v>
      </c>
      <c r="X793" t="s">
        <v>1898</v>
      </c>
      <c r="Z793" t="s">
        <v>315</v>
      </c>
      <c r="AM793" t="s">
        <v>317</v>
      </c>
      <c r="AN793" t="s">
        <v>259</v>
      </c>
      <c r="AO793" t="s">
        <v>260</v>
      </c>
      <c r="AQ793" t="s">
        <v>261</v>
      </c>
      <c r="AS793">
        <v>1200</v>
      </c>
      <c r="AX793" t="s">
        <v>262</v>
      </c>
      <c r="BO793" t="s">
        <v>261</v>
      </c>
      <c r="BQ793">
        <v>1.2</v>
      </c>
      <c r="BV793" t="s">
        <v>263</v>
      </c>
      <c r="CM793" t="s">
        <v>264</v>
      </c>
      <c r="CN793" t="s">
        <v>264</v>
      </c>
      <c r="CP793" t="s">
        <v>265</v>
      </c>
      <c r="CQ793" t="s">
        <v>266</v>
      </c>
      <c r="DB793">
        <v>2</v>
      </c>
      <c r="DG793" t="s">
        <v>267</v>
      </c>
      <c r="DI793">
        <v>48</v>
      </c>
      <c r="DN793" t="s">
        <v>268</v>
      </c>
      <c r="DR793">
        <v>6759</v>
      </c>
      <c r="DS793">
        <v>10</v>
      </c>
      <c r="DT793" t="s">
        <v>1656</v>
      </c>
      <c r="EW793" t="s">
        <v>333</v>
      </c>
      <c r="FK793" t="s">
        <v>1899</v>
      </c>
      <c r="FM793">
        <v>15</v>
      </c>
      <c r="FR793" t="s">
        <v>295</v>
      </c>
      <c r="HH793" t="s">
        <v>272</v>
      </c>
      <c r="ID793" t="s">
        <v>1900</v>
      </c>
      <c r="IE793" t="s">
        <v>1659</v>
      </c>
      <c r="IF793">
        <v>5732</v>
      </c>
      <c r="IG793" t="s">
        <v>1660</v>
      </c>
      <c r="IH793" t="s">
        <v>1661</v>
      </c>
      <c r="II793">
        <v>1972</v>
      </c>
      <c r="IJ793" t="s">
        <v>1662</v>
      </c>
    </row>
    <row r="794" spans="1:244" x14ac:dyDescent="0.45">
      <c r="A794">
        <v>1245230</v>
      </c>
      <c r="B794">
        <v>236620</v>
      </c>
      <c r="C794">
        <v>7646857</v>
      </c>
      <c r="D794" t="s">
        <v>1901</v>
      </c>
      <c r="F794" t="s">
        <v>245</v>
      </c>
      <c r="G794" t="s">
        <v>246</v>
      </c>
      <c r="N794" t="s">
        <v>1902</v>
      </c>
      <c r="O794" t="s">
        <v>498</v>
      </c>
      <c r="P794" t="s">
        <v>249</v>
      </c>
      <c r="Q794" t="s">
        <v>250</v>
      </c>
      <c r="R794" t="s">
        <v>251</v>
      </c>
      <c r="T794" t="s">
        <v>252</v>
      </c>
      <c r="U794" t="s">
        <v>499</v>
      </c>
      <c r="V794" t="s">
        <v>500</v>
      </c>
      <c r="W794" t="s">
        <v>1903</v>
      </c>
      <c r="X794" t="s">
        <v>1904</v>
      </c>
      <c r="AJ794" t="s">
        <v>285</v>
      </c>
      <c r="AM794" t="s">
        <v>317</v>
      </c>
      <c r="AN794" t="s">
        <v>259</v>
      </c>
      <c r="AO794" t="s">
        <v>260</v>
      </c>
      <c r="AP794">
        <v>6</v>
      </c>
      <c r="AQ794" t="s">
        <v>261</v>
      </c>
      <c r="AS794">
        <v>1.3</v>
      </c>
      <c r="AU794">
        <v>1</v>
      </c>
      <c r="AW794">
        <v>1.57</v>
      </c>
      <c r="AX794" t="s">
        <v>356</v>
      </c>
      <c r="BO794" t="s">
        <v>261</v>
      </c>
      <c r="BQ794">
        <v>1.3</v>
      </c>
      <c r="BS794">
        <v>1</v>
      </c>
      <c r="BU794">
        <v>1.57</v>
      </c>
      <c r="BV794" t="s">
        <v>263</v>
      </c>
      <c r="CM794" t="s">
        <v>264</v>
      </c>
      <c r="CN794" t="s">
        <v>264</v>
      </c>
      <c r="CP794" t="s">
        <v>265</v>
      </c>
      <c r="CQ794" t="s">
        <v>518</v>
      </c>
      <c r="DB794">
        <v>4</v>
      </c>
      <c r="DG794" t="s">
        <v>267</v>
      </c>
      <c r="DI794">
        <v>96</v>
      </c>
      <c r="DN794" t="s">
        <v>268</v>
      </c>
      <c r="DS794">
        <v>1667</v>
      </c>
      <c r="EW794" t="s">
        <v>293</v>
      </c>
      <c r="FK794" t="s">
        <v>1905</v>
      </c>
      <c r="FM794">
        <v>15</v>
      </c>
      <c r="FR794" t="s">
        <v>295</v>
      </c>
      <c r="GH794">
        <v>85</v>
      </c>
      <c r="GM794" t="s">
        <v>900</v>
      </c>
      <c r="GO794">
        <v>8.1</v>
      </c>
      <c r="GU794">
        <v>17</v>
      </c>
      <c r="GZ794" t="s">
        <v>900</v>
      </c>
      <c r="HH794" t="s">
        <v>272</v>
      </c>
      <c r="ID794" t="s">
        <v>1906</v>
      </c>
      <c r="IE794" t="s">
        <v>1907</v>
      </c>
      <c r="IF794">
        <v>82993</v>
      </c>
      <c r="IG794" t="s">
        <v>1908</v>
      </c>
      <c r="IH794" t="s">
        <v>1909</v>
      </c>
      <c r="II794">
        <v>1999</v>
      </c>
      <c r="IJ794" t="s">
        <v>1910</v>
      </c>
    </row>
    <row r="795" spans="1:244" x14ac:dyDescent="0.45">
      <c r="A795">
        <v>1276203</v>
      </c>
      <c r="B795">
        <v>727624</v>
      </c>
      <c r="C795">
        <v>7646857</v>
      </c>
      <c r="D795" t="s">
        <v>1901</v>
      </c>
      <c r="F795" t="s">
        <v>245</v>
      </c>
      <c r="G795" t="s">
        <v>246</v>
      </c>
      <c r="N795" t="s">
        <v>1230</v>
      </c>
      <c r="O795" t="s">
        <v>248</v>
      </c>
      <c r="P795" t="s">
        <v>249</v>
      </c>
      <c r="Q795" t="s">
        <v>250</v>
      </c>
      <c r="R795" t="s">
        <v>251</v>
      </c>
      <c r="T795" t="s">
        <v>252</v>
      </c>
      <c r="U795" t="s">
        <v>253</v>
      </c>
      <c r="V795" t="s">
        <v>1231</v>
      </c>
      <c r="W795" t="s">
        <v>1232</v>
      </c>
      <c r="X795" t="s">
        <v>1233</v>
      </c>
      <c r="Z795" t="s">
        <v>1046</v>
      </c>
      <c r="AB795">
        <v>1</v>
      </c>
      <c r="AG795" t="s">
        <v>598</v>
      </c>
      <c r="AM795" t="s">
        <v>258</v>
      </c>
      <c r="AN795" t="s">
        <v>259</v>
      </c>
      <c r="AO795" t="s">
        <v>260</v>
      </c>
      <c r="AP795">
        <v>6</v>
      </c>
      <c r="AQ795" t="s">
        <v>261</v>
      </c>
      <c r="AS795">
        <v>848.6</v>
      </c>
      <c r="AU795">
        <v>699.7</v>
      </c>
      <c r="AW795">
        <v>1069.9000000000001</v>
      </c>
      <c r="AX795" t="s">
        <v>262</v>
      </c>
      <c r="BO795" t="s">
        <v>261</v>
      </c>
      <c r="BQ795">
        <v>0.84860000000000002</v>
      </c>
      <c r="BS795">
        <v>0.69969999999999999</v>
      </c>
      <c r="BU795">
        <v>1.0699000000000001</v>
      </c>
      <c r="BV795" t="s">
        <v>263</v>
      </c>
      <c r="CM795" t="s">
        <v>264</v>
      </c>
      <c r="CN795" t="s">
        <v>264</v>
      </c>
      <c r="CP795" t="s">
        <v>265</v>
      </c>
      <c r="CQ795" t="s">
        <v>518</v>
      </c>
      <c r="DB795">
        <v>1</v>
      </c>
      <c r="DG795" t="s">
        <v>267</v>
      </c>
      <c r="DI795">
        <v>24</v>
      </c>
      <c r="DN795" t="s">
        <v>268</v>
      </c>
      <c r="DP795" t="s">
        <v>1911</v>
      </c>
      <c r="DS795">
        <v>4771</v>
      </c>
      <c r="DT795" t="s">
        <v>1259</v>
      </c>
      <c r="EW795" t="s">
        <v>293</v>
      </c>
      <c r="FK795" t="s">
        <v>1912</v>
      </c>
      <c r="FM795">
        <v>22</v>
      </c>
      <c r="FR795" t="s">
        <v>295</v>
      </c>
      <c r="GO795">
        <v>8</v>
      </c>
      <c r="GU795">
        <v>35</v>
      </c>
      <c r="GZ795" t="s">
        <v>362</v>
      </c>
      <c r="HH795" t="s">
        <v>272</v>
      </c>
      <c r="ID795" t="s">
        <v>1913</v>
      </c>
      <c r="IE795" t="s">
        <v>1262</v>
      </c>
      <c r="IF795">
        <v>73547</v>
      </c>
      <c r="IG795" t="s">
        <v>1263</v>
      </c>
      <c r="IH795" t="s">
        <v>1264</v>
      </c>
      <c r="II795">
        <v>2003</v>
      </c>
      <c r="IJ795" t="s">
        <v>1265</v>
      </c>
    </row>
    <row r="796" spans="1:244" x14ac:dyDescent="0.45">
      <c r="A796">
        <v>1125819</v>
      </c>
      <c r="B796">
        <v>94998</v>
      </c>
      <c r="C796">
        <v>7646857</v>
      </c>
      <c r="D796" t="s">
        <v>1901</v>
      </c>
      <c r="F796" t="s">
        <v>245</v>
      </c>
      <c r="G796" t="s">
        <v>246</v>
      </c>
      <c r="N796" t="s">
        <v>1914</v>
      </c>
      <c r="O796" t="s">
        <v>248</v>
      </c>
      <c r="P796" t="s">
        <v>249</v>
      </c>
      <c r="Q796" t="s">
        <v>250</v>
      </c>
      <c r="R796" t="s">
        <v>251</v>
      </c>
      <c r="T796" t="s">
        <v>252</v>
      </c>
      <c r="U796" t="s">
        <v>253</v>
      </c>
      <c r="V796" t="s">
        <v>254</v>
      </c>
      <c r="W796" t="s">
        <v>1915</v>
      </c>
      <c r="X796" t="s">
        <v>1916</v>
      </c>
      <c r="Z796" t="s">
        <v>284</v>
      </c>
      <c r="AA796" t="s">
        <v>352</v>
      </c>
      <c r="AB796">
        <v>12</v>
      </c>
      <c r="AG796" t="s">
        <v>268</v>
      </c>
      <c r="AL796" t="s">
        <v>1917</v>
      </c>
      <c r="AM796" t="s">
        <v>317</v>
      </c>
      <c r="AN796" t="s">
        <v>259</v>
      </c>
      <c r="AO796" t="s">
        <v>260</v>
      </c>
      <c r="AQ796" t="s">
        <v>261</v>
      </c>
      <c r="AS796">
        <v>0.77</v>
      </c>
      <c r="AU796">
        <v>0.6</v>
      </c>
      <c r="AW796">
        <v>0.99</v>
      </c>
      <c r="AX796" t="s">
        <v>356</v>
      </c>
      <c r="BO796" t="s">
        <v>261</v>
      </c>
      <c r="BQ796">
        <v>0.77</v>
      </c>
      <c r="BS796">
        <v>0.6</v>
      </c>
      <c r="BU796">
        <v>0.99</v>
      </c>
      <c r="BV796" t="s">
        <v>263</v>
      </c>
      <c r="CM796" t="s">
        <v>264</v>
      </c>
      <c r="CN796" t="s">
        <v>264</v>
      </c>
      <c r="CP796" t="s">
        <v>265</v>
      </c>
      <c r="DB796">
        <v>2</v>
      </c>
      <c r="DG796" t="s">
        <v>267</v>
      </c>
      <c r="DI796">
        <v>48</v>
      </c>
      <c r="DN796" t="s">
        <v>268</v>
      </c>
      <c r="DR796">
        <v>80836</v>
      </c>
      <c r="DS796">
        <v>2488</v>
      </c>
      <c r="DT796" t="s">
        <v>1918</v>
      </c>
      <c r="EW796" t="s">
        <v>333</v>
      </c>
      <c r="FK796" t="s">
        <v>1919</v>
      </c>
      <c r="FM796">
        <v>26</v>
      </c>
      <c r="FR796" t="s">
        <v>295</v>
      </c>
      <c r="GU796">
        <v>35</v>
      </c>
      <c r="GZ796" t="s">
        <v>296</v>
      </c>
      <c r="HH796" t="s">
        <v>272</v>
      </c>
      <c r="ID796" t="s">
        <v>1920</v>
      </c>
      <c r="IE796" t="s">
        <v>1921</v>
      </c>
      <c r="IF796">
        <v>10063</v>
      </c>
      <c r="IG796" t="s">
        <v>1922</v>
      </c>
      <c r="IH796" t="s">
        <v>1923</v>
      </c>
      <c r="II796">
        <v>1983</v>
      </c>
      <c r="IJ796" t="s">
        <v>1924</v>
      </c>
    </row>
    <row r="797" spans="1:244" x14ac:dyDescent="0.45">
      <c r="A797">
        <v>1053798</v>
      </c>
      <c r="B797">
        <v>194089</v>
      </c>
      <c r="C797">
        <v>7646857</v>
      </c>
      <c r="D797" t="s">
        <v>1901</v>
      </c>
      <c r="F797" t="s">
        <v>245</v>
      </c>
      <c r="G797" t="s">
        <v>246</v>
      </c>
      <c r="N797" t="s">
        <v>1492</v>
      </c>
      <c r="O797" t="s">
        <v>1493</v>
      </c>
      <c r="P797" t="s">
        <v>249</v>
      </c>
      <c r="Q797" t="s">
        <v>250</v>
      </c>
      <c r="R797" t="s">
        <v>251</v>
      </c>
      <c r="T797" t="s">
        <v>252</v>
      </c>
      <c r="U797" t="s">
        <v>253</v>
      </c>
      <c r="V797" t="s">
        <v>281</v>
      </c>
      <c r="W797" t="s">
        <v>282</v>
      </c>
      <c r="X797" t="s">
        <v>1494</v>
      </c>
      <c r="Z797" t="s">
        <v>1046</v>
      </c>
      <c r="AB797">
        <v>1</v>
      </c>
      <c r="AG797" t="s">
        <v>598</v>
      </c>
      <c r="AM797" t="s">
        <v>317</v>
      </c>
      <c r="AN797" t="s">
        <v>259</v>
      </c>
      <c r="AO797" t="s">
        <v>260</v>
      </c>
      <c r="AQ797" t="s">
        <v>261</v>
      </c>
      <c r="AS797">
        <v>586.1</v>
      </c>
      <c r="AU797">
        <v>443</v>
      </c>
      <c r="AW797">
        <v>785.6</v>
      </c>
      <c r="AX797" t="s">
        <v>262</v>
      </c>
      <c r="BO797" t="s">
        <v>261</v>
      </c>
      <c r="BQ797">
        <v>0.58609999999999995</v>
      </c>
      <c r="BS797">
        <v>0.443</v>
      </c>
      <c r="BU797">
        <v>0.78559999999999997</v>
      </c>
      <c r="BV797" t="s">
        <v>263</v>
      </c>
      <c r="CM797" t="s">
        <v>264</v>
      </c>
      <c r="CN797" t="s">
        <v>264</v>
      </c>
      <c r="CO797" t="s">
        <v>1925</v>
      </c>
      <c r="CP797" t="s">
        <v>265</v>
      </c>
      <c r="CQ797" t="s">
        <v>518</v>
      </c>
      <c r="DB797">
        <v>4</v>
      </c>
      <c r="DG797" t="s">
        <v>267</v>
      </c>
      <c r="DI797">
        <v>96</v>
      </c>
      <c r="DN797" t="s">
        <v>268</v>
      </c>
      <c r="DR797">
        <v>29965</v>
      </c>
      <c r="DS797">
        <v>339</v>
      </c>
      <c r="EW797" t="s">
        <v>293</v>
      </c>
      <c r="FM797">
        <v>85</v>
      </c>
      <c r="FR797" t="s">
        <v>295</v>
      </c>
      <c r="GO797">
        <v>8.1</v>
      </c>
      <c r="GU797">
        <v>30</v>
      </c>
      <c r="GZ797" t="s">
        <v>296</v>
      </c>
      <c r="HH797" t="s">
        <v>272</v>
      </c>
      <c r="IE797" t="s">
        <v>1472</v>
      </c>
      <c r="IF797">
        <v>3752</v>
      </c>
      <c r="IG797" t="s">
        <v>1473</v>
      </c>
      <c r="IH797" t="s">
        <v>1474</v>
      </c>
      <c r="II797">
        <v>1983</v>
      </c>
      <c r="IJ797" t="s">
        <v>1475</v>
      </c>
    </row>
    <row r="798" spans="1:244" x14ac:dyDescent="0.45">
      <c r="A798">
        <v>1278644</v>
      </c>
      <c r="B798">
        <v>732194</v>
      </c>
      <c r="C798">
        <v>7646857</v>
      </c>
      <c r="D798" t="s">
        <v>1901</v>
      </c>
      <c r="E798" t="s">
        <v>1415</v>
      </c>
      <c r="F798" t="s">
        <v>245</v>
      </c>
      <c r="G798" t="s">
        <v>246</v>
      </c>
      <c r="N798" t="s">
        <v>944</v>
      </c>
      <c r="O798" t="s">
        <v>945</v>
      </c>
      <c r="P798" t="s">
        <v>249</v>
      </c>
      <c r="Q798" t="s">
        <v>250</v>
      </c>
      <c r="R798" t="s">
        <v>251</v>
      </c>
      <c r="T798" t="s">
        <v>252</v>
      </c>
      <c r="U798" t="s">
        <v>253</v>
      </c>
      <c r="V798" t="s">
        <v>418</v>
      </c>
      <c r="W798" t="s">
        <v>946</v>
      </c>
      <c r="X798" t="s">
        <v>947</v>
      </c>
      <c r="Z798" t="s">
        <v>421</v>
      </c>
      <c r="AJ798" t="s">
        <v>354</v>
      </c>
      <c r="AL798" t="s">
        <v>1416</v>
      </c>
      <c r="AM798" t="s">
        <v>258</v>
      </c>
      <c r="AN798" t="s">
        <v>259</v>
      </c>
      <c r="AO798" t="s">
        <v>260</v>
      </c>
      <c r="AQ798" t="s">
        <v>261</v>
      </c>
      <c r="AS798">
        <v>2.08</v>
      </c>
      <c r="AX798" t="s">
        <v>356</v>
      </c>
      <c r="BO798" t="s">
        <v>261</v>
      </c>
      <c r="BQ798">
        <v>2.08</v>
      </c>
      <c r="BV798" t="s">
        <v>263</v>
      </c>
      <c r="CM798" t="s">
        <v>264</v>
      </c>
      <c r="CN798" t="s">
        <v>264</v>
      </c>
      <c r="CP798" t="s">
        <v>265</v>
      </c>
      <c r="CQ798" t="s">
        <v>518</v>
      </c>
      <c r="DB798">
        <v>4</v>
      </c>
      <c r="DG798" t="s">
        <v>267</v>
      </c>
      <c r="DI798">
        <v>96</v>
      </c>
      <c r="DN798" t="s">
        <v>268</v>
      </c>
      <c r="DR798">
        <v>6689</v>
      </c>
      <c r="DS798">
        <v>11779</v>
      </c>
      <c r="DT798" t="s">
        <v>1417</v>
      </c>
      <c r="EW798" t="s">
        <v>293</v>
      </c>
      <c r="FA798" t="s">
        <v>1926</v>
      </c>
      <c r="FK798" t="s">
        <v>1927</v>
      </c>
      <c r="FO798">
        <v>26.8</v>
      </c>
      <c r="FQ798">
        <v>27.6</v>
      </c>
      <c r="FR798" t="s">
        <v>295</v>
      </c>
      <c r="GJ798">
        <v>5.05</v>
      </c>
      <c r="GL798">
        <v>5.69</v>
      </c>
      <c r="GM798" t="s">
        <v>356</v>
      </c>
      <c r="GQ798">
        <v>8</v>
      </c>
      <c r="GS798">
        <v>8.1</v>
      </c>
      <c r="GU798">
        <v>34</v>
      </c>
      <c r="GZ798" t="s">
        <v>296</v>
      </c>
      <c r="HH798" t="s">
        <v>272</v>
      </c>
      <c r="ID798" t="s">
        <v>1928</v>
      </c>
      <c r="IE798" t="s">
        <v>1420</v>
      </c>
      <c r="IF798">
        <v>71692</v>
      </c>
      <c r="IG798" t="s">
        <v>1421</v>
      </c>
      <c r="IH798" t="s">
        <v>1422</v>
      </c>
      <c r="II798">
        <v>2003</v>
      </c>
      <c r="IJ798" t="s">
        <v>1423</v>
      </c>
    </row>
    <row r="799" spans="1:244" x14ac:dyDescent="0.45">
      <c r="A799">
        <v>1278644</v>
      </c>
      <c r="B799">
        <v>731927</v>
      </c>
      <c r="C799">
        <v>7646857</v>
      </c>
      <c r="D799" t="s">
        <v>1901</v>
      </c>
      <c r="E799" t="s">
        <v>1415</v>
      </c>
      <c r="F799" t="s">
        <v>245</v>
      </c>
      <c r="G799" t="s">
        <v>246</v>
      </c>
      <c r="N799" t="s">
        <v>944</v>
      </c>
      <c r="O799" t="s">
        <v>945</v>
      </c>
      <c r="P799" t="s">
        <v>249</v>
      </c>
      <c r="Q799" t="s">
        <v>250</v>
      </c>
      <c r="R799" t="s">
        <v>251</v>
      </c>
      <c r="T799" t="s">
        <v>252</v>
      </c>
      <c r="U799" t="s">
        <v>253</v>
      </c>
      <c r="V799" t="s">
        <v>418</v>
      </c>
      <c r="W799" t="s">
        <v>946</v>
      </c>
      <c r="X799" t="s">
        <v>947</v>
      </c>
      <c r="Z799" t="s">
        <v>421</v>
      </c>
      <c r="AJ799" t="s">
        <v>354</v>
      </c>
      <c r="AL799" t="s">
        <v>1416</v>
      </c>
      <c r="AM799" t="s">
        <v>258</v>
      </c>
      <c r="AN799" t="s">
        <v>259</v>
      </c>
      <c r="AO799" t="s">
        <v>260</v>
      </c>
      <c r="AQ799" t="s">
        <v>261</v>
      </c>
      <c r="AT799" t="s">
        <v>288</v>
      </c>
      <c r="AU799">
        <v>0</v>
      </c>
      <c r="AV799" t="s">
        <v>289</v>
      </c>
      <c r="AW799">
        <v>20</v>
      </c>
      <c r="AX799" t="s">
        <v>356</v>
      </c>
      <c r="BO799" t="s">
        <v>261</v>
      </c>
      <c r="BR799" t="s">
        <v>288</v>
      </c>
      <c r="BS799">
        <v>0</v>
      </c>
      <c r="BT799" t="s">
        <v>289</v>
      </c>
      <c r="BU799">
        <v>20</v>
      </c>
      <c r="BV799" t="s">
        <v>263</v>
      </c>
      <c r="CM799" t="s">
        <v>264</v>
      </c>
      <c r="CN799" t="s">
        <v>264</v>
      </c>
      <c r="CP799" t="s">
        <v>265</v>
      </c>
      <c r="CQ799" t="s">
        <v>518</v>
      </c>
      <c r="DB799">
        <v>3</v>
      </c>
      <c r="DG799" t="s">
        <v>267</v>
      </c>
      <c r="DI799">
        <v>72</v>
      </c>
      <c r="DN799" t="s">
        <v>268</v>
      </c>
      <c r="DR799">
        <v>6689</v>
      </c>
      <c r="DS799">
        <v>11779</v>
      </c>
      <c r="DT799" t="s">
        <v>1417</v>
      </c>
      <c r="EW799" t="s">
        <v>293</v>
      </c>
      <c r="FA799" t="s">
        <v>1926</v>
      </c>
      <c r="FK799" t="s">
        <v>1929</v>
      </c>
      <c r="FO799">
        <v>26.8</v>
      </c>
      <c r="FQ799">
        <v>27.6</v>
      </c>
      <c r="FR799" t="s">
        <v>295</v>
      </c>
      <c r="GJ799">
        <v>5.05</v>
      </c>
      <c r="GL799">
        <v>5.69</v>
      </c>
      <c r="GM799" t="s">
        <v>356</v>
      </c>
      <c r="GQ799">
        <v>8</v>
      </c>
      <c r="GS799">
        <v>8.1</v>
      </c>
      <c r="GU799">
        <v>34</v>
      </c>
      <c r="GZ799" t="s">
        <v>296</v>
      </c>
      <c r="HH799" t="s">
        <v>272</v>
      </c>
      <c r="ID799" t="s">
        <v>1930</v>
      </c>
      <c r="IE799" t="s">
        <v>1420</v>
      </c>
      <c r="IF799">
        <v>71692</v>
      </c>
      <c r="IG799" t="s">
        <v>1421</v>
      </c>
      <c r="IH799" t="s">
        <v>1422</v>
      </c>
      <c r="II799">
        <v>2003</v>
      </c>
      <c r="IJ799" t="s">
        <v>1423</v>
      </c>
    </row>
    <row r="800" spans="1:244" x14ac:dyDescent="0.45">
      <c r="A800">
        <v>1278644</v>
      </c>
      <c r="B800">
        <v>731923</v>
      </c>
      <c r="C800">
        <v>7646857</v>
      </c>
      <c r="D800" t="s">
        <v>1901</v>
      </c>
      <c r="E800" t="s">
        <v>1415</v>
      </c>
      <c r="F800" t="s">
        <v>245</v>
      </c>
      <c r="G800" t="s">
        <v>246</v>
      </c>
      <c r="N800" t="s">
        <v>944</v>
      </c>
      <c r="O800" t="s">
        <v>945</v>
      </c>
      <c r="P800" t="s">
        <v>249</v>
      </c>
      <c r="Q800" t="s">
        <v>250</v>
      </c>
      <c r="R800" t="s">
        <v>251</v>
      </c>
      <c r="T800" t="s">
        <v>252</v>
      </c>
      <c r="U800" t="s">
        <v>253</v>
      </c>
      <c r="V800" t="s">
        <v>418</v>
      </c>
      <c r="W800" t="s">
        <v>946</v>
      </c>
      <c r="X800" t="s">
        <v>947</v>
      </c>
      <c r="Z800" t="s">
        <v>421</v>
      </c>
      <c r="AJ800" t="s">
        <v>354</v>
      </c>
      <c r="AL800" t="s">
        <v>1416</v>
      </c>
      <c r="AM800" t="s">
        <v>258</v>
      </c>
      <c r="AN800" t="s">
        <v>259</v>
      </c>
      <c r="AO800" t="s">
        <v>260</v>
      </c>
      <c r="AQ800" t="s">
        <v>261</v>
      </c>
      <c r="AS800">
        <v>8.67</v>
      </c>
      <c r="AX800" t="s">
        <v>356</v>
      </c>
      <c r="BO800" t="s">
        <v>261</v>
      </c>
      <c r="BQ800">
        <v>8.67</v>
      </c>
      <c r="BV800" t="s">
        <v>263</v>
      </c>
      <c r="CM800" t="s">
        <v>264</v>
      </c>
      <c r="CN800" t="s">
        <v>264</v>
      </c>
      <c r="CP800" t="s">
        <v>265</v>
      </c>
      <c r="CQ800" t="s">
        <v>518</v>
      </c>
      <c r="DB800">
        <v>2</v>
      </c>
      <c r="DG800" t="s">
        <v>267</v>
      </c>
      <c r="DI800">
        <v>48</v>
      </c>
      <c r="DN800" t="s">
        <v>268</v>
      </c>
      <c r="DR800">
        <v>6689</v>
      </c>
      <c r="DS800">
        <v>11779</v>
      </c>
      <c r="DT800" t="s">
        <v>1417</v>
      </c>
      <c r="EW800" t="s">
        <v>293</v>
      </c>
      <c r="FA800" t="s">
        <v>1926</v>
      </c>
      <c r="FK800" t="s">
        <v>1927</v>
      </c>
      <c r="FO800">
        <v>26.8</v>
      </c>
      <c r="FQ800">
        <v>27.6</v>
      </c>
      <c r="FR800" t="s">
        <v>295</v>
      </c>
      <c r="GJ800">
        <v>5.05</v>
      </c>
      <c r="GL800">
        <v>5.69</v>
      </c>
      <c r="GM800" t="s">
        <v>356</v>
      </c>
      <c r="GQ800">
        <v>8</v>
      </c>
      <c r="GS800">
        <v>8.1</v>
      </c>
      <c r="GU800">
        <v>34</v>
      </c>
      <c r="GZ800" t="s">
        <v>296</v>
      </c>
      <c r="HH800" t="s">
        <v>272</v>
      </c>
      <c r="ID800" t="s">
        <v>1928</v>
      </c>
      <c r="IE800" t="s">
        <v>1420</v>
      </c>
      <c r="IF800">
        <v>71692</v>
      </c>
      <c r="IG800" t="s">
        <v>1421</v>
      </c>
      <c r="IH800" t="s">
        <v>1422</v>
      </c>
      <c r="II800">
        <v>2003</v>
      </c>
      <c r="IJ800" t="s">
        <v>1423</v>
      </c>
    </row>
    <row r="801" spans="1:244" x14ac:dyDescent="0.45">
      <c r="A801">
        <v>1278644</v>
      </c>
      <c r="B801">
        <v>731928</v>
      </c>
      <c r="C801">
        <v>7646857</v>
      </c>
      <c r="D801" t="s">
        <v>1901</v>
      </c>
      <c r="E801" t="s">
        <v>1415</v>
      </c>
      <c r="F801" t="s">
        <v>245</v>
      </c>
      <c r="G801" t="s">
        <v>246</v>
      </c>
      <c r="N801" t="s">
        <v>944</v>
      </c>
      <c r="O801" t="s">
        <v>945</v>
      </c>
      <c r="P801" t="s">
        <v>249</v>
      </c>
      <c r="Q801" t="s">
        <v>250</v>
      </c>
      <c r="R801" t="s">
        <v>251</v>
      </c>
      <c r="T801" t="s">
        <v>252</v>
      </c>
      <c r="U801" t="s">
        <v>253</v>
      </c>
      <c r="V801" t="s">
        <v>418</v>
      </c>
      <c r="W801" t="s">
        <v>946</v>
      </c>
      <c r="X801" t="s">
        <v>947</v>
      </c>
      <c r="Z801" t="s">
        <v>421</v>
      </c>
      <c r="AJ801" t="s">
        <v>354</v>
      </c>
      <c r="AL801" t="s">
        <v>1416</v>
      </c>
      <c r="AM801" t="s">
        <v>258</v>
      </c>
      <c r="AN801" t="s">
        <v>259</v>
      </c>
      <c r="AO801" t="s">
        <v>260</v>
      </c>
      <c r="AQ801" t="s">
        <v>261</v>
      </c>
      <c r="AR801" t="s">
        <v>515</v>
      </c>
      <c r="AS801">
        <v>20</v>
      </c>
      <c r="AX801" t="s">
        <v>356</v>
      </c>
      <c r="BO801" t="s">
        <v>261</v>
      </c>
      <c r="BP801" t="s">
        <v>515</v>
      </c>
      <c r="BQ801">
        <v>20</v>
      </c>
      <c r="BV801" t="s">
        <v>263</v>
      </c>
      <c r="CM801" t="s">
        <v>264</v>
      </c>
      <c r="CN801" t="s">
        <v>264</v>
      </c>
      <c r="CP801" t="s">
        <v>265</v>
      </c>
      <c r="CQ801" t="s">
        <v>518</v>
      </c>
      <c r="DB801">
        <v>1</v>
      </c>
      <c r="DG801" t="s">
        <v>267</v>
      </c>
      <c r="DI801">
        <v>24</v>
      </c>
      <c r="DN801" t="s">
        <v>268</v>
      </c>
      <c r="DR801">
        <v>6689</v>
      </c>
      <c r="DS801">
        <v>11779</v>
      </c>
      <c r="DT801" t="s">
        <v>1417</v>
      </c>
      <c r="EW801" t="s">
        <v>293</v>
      </c>
      <c r="FA801" t="s">
        <v>1926</v>
      </c>
      <c r="FK801" t="s">
        <v>1929</v>
      </c>
      <c r="FO801">
        <v>26.8</v>
      </c>
      <c r="FQ801">
        <v>27.6</v>
      </c>
      <c r="FR801" t="s">
        <v>295</v>
      </c>
      <c r="GJ801">
        <v>5.05</v>
      </c>
      <c r="GL801">
        <v>5.69</v>
      </c>
      <c r="GM801" t="s">
        <v>356</v>
      </c>
      <c r="GQ801">
        <v>8</v>
      </c>
      <c r="GS801">
        <v>8.1</v>
      </c>
      <c r="GU801">
        <v>34</v>
      </c>
      <c r="GZ801" t="s">
        <v>296</v>
      </c>
      <c r="HH801" t="s">
        <v>272</v>
      </c>
      <c r="ID801" t="s">
        <v>1930</v>
      </c>
      <c r="IE801" t="s">
        <v>1420</v>
      </c>
      <c r="IF801">
        <v>71692</v>
      </c>
      <c r="IG801" t="s">
        <v>1421</v>
      </c>
      <c r="IH801" t="s">
        <v>1422</v>
      </c>
      <c r="II801">
        <v>2003</v>
      </c>
      <c r="IJ801" t="s">
        <v>1423</v>
      </c>
    </row>
    <row r="802" spans="1:244" x14ac:dyDescent="0.45">
      <c r="A802">
        <v>1123285</v>
      </c>
      <c r="B802">
        <v>145125</v>
      </c>
      <c r="C802">
        <v>7646857</v>
      </c>
      <c r="D802" t="s">
        <v>1901</v>
      </c>
      <c r="E802" t="s">
        <v>386</v>
      </c>
      <c r="F802" t="s">
        <v>245</v>
      </c>
      <c r="G802" t="s">
        <v>246</v>
      </c>
      <c r="N802" t="s">
        <v>1202</v>
      </c>
      <c r="O802" t="s">
        <v>498</v>
      </c>
      <c r="P802" t="s">
        <v>249</v>
      </c>
      <c r="Q802" t="s">
        <v>250</v>
      </c>
      <c r="R802" t="s">
        <v>251</v>
      </c>
      <c r="T802" t="s">
        <v>252</v>
      </c>
      <c r="U802" t="s">
        <v>499</v>
      </c>
      <c r="V802" t="s">
        <v>500</v>
      </c>
      <c r="W802" t="s">
        <v>501</v>
      </c>
      <c r="X802" t="s">
        <v>1203</v>
      </c>
      <c r="AL802" t="s">
        <v>1204</v>
      </c>
      <c r="AM802" t="s">
        <v>287</v>
      </c>
      <c r="AN802" t="s">
        <v>259</v>
      </c>
      <c r="AO802" t="s">
        <v>260</v>
      </c>
      <c r="AQ802" t="s">
        <v>261</v>
      </c>
      <c r="AS802">
        <v>12500</v>
      </c>
      <c r="AU802">
        <v>2600</v>
      </c>
      <c r="AW802">
        <v>60300</v>
      </c>
      <c r="AX802" t="s">
        <v>262</v>
      </c>
      <c r="BO802" t="s">
        <v>261</v>
      </c>
      <c r="BQ802">
        <v>12.5</v>
      </c>
      <c r="BS802">
        <v>2.6</v>
      </c>
      <c r="BU802">
        <v>60.3</v>
      </c>
      <c r="BV802" t="s">
        <v>263</v>
      </c>
      <c r="CM802" t="s">
        <v>264</v>
      </c>
      <c r="CN802" t="s">
        <v>264</v>
      </c>
      <c r="CP802" t="s">
        <v>265</v>
      </c>
      <c r="CQ802" t="s">
        <v>518</v>
      </c>
      <c r="DB802">
        <v>4</v>
      </c>
      <c r="DG802" t="s">
        <v>267</v>
      </c>
      <c r="DI802">
        <v>96</v>
      </c>
      <c r="DN802" t="s">
        <v>268</v>
      </c>
      <c r="DS802">
        <v>4697</v>
      </c>
      <c r="DT802" t="s">
        <v>1205</v>
      </c>
      <c r="EW802" t="s">
        <v>293</v>
      </c>
      <c r="FM802">
        <v>19</v>
      </c>
      <c r="FR802" t="s">
        <v>295</v>
      </c>
      <c r="HH802" t="s">
        <v>272</v>
      </c>
      <c r="IE802" t="s">
        <v>1206</v>
      </c>
      <c r="IF802">
        <v>9755</v>
      </c>
      <c r="IG802" t="s">
        <v>1207</v>
      </c>
      <c r="IH802" t="s">
        <v>1208</v>
      </c>
      <c r="II802">
        <v>1993</v>
      </c>
      <c r="IJ802" t="s">
        <v>1209</v>
      </c>
    </row>
    <row r="803" spans="1:244" x14ac:dyDescent="0.45">
      <c r="A803">
        <v>1125821</v>
      </c>
      <c r="B803">
        <v>95000</v>
      </c>
      <c r="C803">
        <v>7646857</v>
      </c>
      <c r="D803" t="s">
        <v>1901</v>
      </c>
      <c r="F803" t="s">
        <v>245</v>
      </c>
      <c r="G803" t="s">
        <v>246</v>
      </c>
      <c r="N803" t="s">
        <v>1931</v>
      </c>
      <c r="O803" t="s">
        <v>248</v>
      </c>
      <c r="P803" t="s">
        <v>249</v>
      </c>
      <c r="Q803" t="s">
        <v>250</v>
      </c>
      <c r="R803" t="s">
        <v>251</v>
      </c>
      <c r="T803" t="s">
        <v>252</v>
      </c>
      <c r="U803" t="s">
        <v>253</v>
      </c>
      <c r="V803" t="s">
        <v>254</v>
      </c>
      <c r="W803" t="s">
        <v>1932</v>
      </c>
      <c r="X803" t="s">
        <v>1933</v>
      </c>
      <c r="Z803" t="s">
        <v>284</v>
      </c>
      <c r="AA803" t="s">
        <v>352</v>
      </c>
      <c r="AB803">
        <v>12</v>
      </c>
      <c r="AG803" t="s">
        <v>268</v>
      </c>
      <c r="AL803" t="s">
        <v>1934</v>
      </c>
      <c r="AM803" t="s">
        <v>317</v>
      </c>
      <c r="AN803" t="s">
        <v>259</v>
      </c>
      <c r="AO803" t="s">
        <v>260</v>
      </c>
      <c r="AQ803" t="s">
        <v>261</v>
      </c>
      <c r="AS803">
        <v>0.96</v>
      </c>
      <c r="AU803">
        <v>0.41</v>
      </c>
      <c r="AW803">
        <v>2.2799999999999998</v>
      </c>
      <c r="AX803" t="s">
        <v>356</v>
      </c>
      <c r="BO803" t="s">
        <v>261</v>
      </c>
      <c r="BQ803">
        <v>0.96</v>
      </c>
      <c r="BS803">
        <v>0.41</v>
      </c>
      <c r="BU803">
        <v>2.2799999999999998</v>
      </c>
      <c r="BV803" t="s">
        <v>263</v>
      </c>
      <c r="CM803" t="s">
        <v>264</v>
      </c>
      <c r="CN803" t="s">
        <v>264</v>
      </c>
      <c r="CP803" t="s">
        <v>265</v>
      </c>
      <c r="DB803">
        <v>2</v>
      </c>
      <c r="DG803" t="s">
        <v>267</v>
      </c>
      <c r="DI803">
        <v>48</v>
      </c>
      <c r="DN803" t="s">
        <v>268</v>
      </c>
      <c r="DS803">
        <v>2490</v>
      </c>
      <c r="DT803" t="s">
        <v>1918</v>
      </c>
      <c r="EW803" t="s">
        <v>333</v>
      </c>
      <c r="FK803" t="s">
        <v>1935</v>
      </c>
      <c r="FM803">
        <v>26</v>
      </c>
      <c r="FR803" t="s">
        <v>295</v>
      </c>
      <c r="GU803">
        <v>35</v>
      </c>
      <c r="GZ803" t="s">
        <v>296</v>
      </c>
      <c r="HH803" t="s">
        <v>272</v>
      </c>
      <c r="ID803" t="s">
        <v>1936</v>
      </c>
      <c r="IE803" t="s">
        <v>1921</v>
      </c>
      <c r="IF803">
        <v>10063</v>
      </c>
      <c r="IG803" t="s">
        <v>1922</v>
      </c>
      <c r="IH803" t="s">
        <v>1923</v>
      </c>
      <c r="II803">
        <v>1983</v>
      </c>
      <c r="IJ803" t="s">
        <v>1924</v>
      </c>
    </row>
    <row r="804" spans="1:244" x14ac:dyDescent="0.45">
      <c r="A804">
        <v>1114610</v>
      </c>
      <c r="B804">
        <v>69879</v>
      </c>
      <c r="C804">
        <v>7646857</v>
      </c>
      <c r="D804" t="s">
        <v>1901</v>
      </c>
      <c r="F804" t="s">
        <v>245</v>
      </c>
      <c r="G804" t="s">
        <v>246</v>
      </c>
      <c r="N804" t="s">
        <v>916</v>
      </c>
      <c r="O804" t="s">
        <v>917</v>
      </c>
      <c r="P804" t="s">
        <v>249</v>
      </c>
      <c r="Q804" t="s">
        <v>250</v>
      </c>
      <c r="R804" t="s">
        <v>251</v>
      </c>
      <c r="T804" t="s">
        <v>252</v>
      </c>
      <c r="U804" t="s">
        <v>253</v>
      </c>
      <c r="V804" t="s">
        <v>304</v>
      </c>
      <c r="W804" t="s">
        <v>305</v>
      </c>
      <c r="X804" t="s">
        <v>918</v>
      </c>
      <c r="AM804" t="s">
        <v>287</v>
      </c>
      <c r="AN804" t="s">
        <v>259</v>
      </c>
      <c r="AO804" t="s">
        <v>260</v>
      </c>
      <c r="AQ804" t="s">
        <v>261</v>
      </c>
      <c r="AS804">
        <v>80000</v>
      </c>
      <c r="AX804" t="s">
        <v>262</v>
      </c>
      <c r="BO804" t="s">
        <v>261</v>
      </c>
      <c r="BQ804">
        <v>80</v>
      </c>
      <c r="BV804" t="s">
        <v>263</v>
      </c>
      <c r="CM804" t="s">
        <v>264</v>
      </c>
      <c r="CN804" t="s">
        <v>264</v>
      </c>
      <c r="CP804" t="s">
        <v>265</v>
      </c>
      <c r="CQ804" t="s">
        <v>518</v>
      </c>
      <c r="DB804">
        <v>2</v>
      </c>
      <c r="DG804" t="s">
        <v>267</v>
      </c>
      <c r="DI804">
        <v>48</v>
      </c>
      <c r="DN804" t="s">
        <v>268</v>
      </c>
      <c r="DR804">
        <v>645159</v>
      </c>
      <c r="DS804">
        <v>730</v>
      </c>
      <c r="EW804" t="s">
        <v>271</v>
      </c>
      <c r="FO804">
        <v>14</v>
      </c>
      <c r="FQ804">
        <v>16</v>
      </c>
      <c r="FR804" t="s">
        <v>295</v>
      </c>
      <c r="HH804" t="s">
        <v>272</v>
      </c>
      <c r="IE804" t="s">
        <v>1937</v>
      </c>
      <c r="IF804">
        <v>8836</v>
      </c>
      <c r="IG804" t="s">
        <v>1938</v>
      </c>
      <c r="IH804" t="s">
        <v>1939</v>
      </c>
      <c r="II804">
        <v>1973</v>
      </c>
      <c r="IJ804" t="s">
        <v>1940</v>
      </c>
    </row>
    <row r="805" spans="1:244" x14ac:dyDescent="0.45">
      <c r="A805">
        <v>1276839</v>
      </c>
      <c r="B805">
        <v>729495</v>
      </c>
      <c r="C805">
        <v>7646857</v>
      </c>
      <c r="D805" t="s">
        <v>1901</v>
      </c>
      <c r="F805" t="s">
        <v>245</v>
      </c>
      <c r="G805" t="s">
        <v>246</v>
      </c>
      <c r="N805" t="s">
        <v>1230</v>
      </c>
      <c r="O805" t="s">
        <v>248</v>
      </c>
      <c r="P805" t="s">
        <v>249</v>
      </c>
      <c r="Q805" t="s">
        <v>250</v>
      </c>
      <c r="R805" t="s">
        <v>251</v>
      </c>
      <c r="T805" t="s">
        <v>252</v>
      </c>
      <c r="U805" t="s">
        <v>253</v>
      </c>
      <c r="V805" t="s">
        <v>1231</v>
      </c>
      <c r="W805" t="s">
        <v>1232</v>
      </c>
      <c r="X805" t="s">
        <v>1233</v>
      </c>
      <c r="Z805" t="s">
        <v>1046</v>
      </c>
      <c r="AB805">
        <v>1</v>
      </c>
      <c r="AG805" t="s">
        <v>598</v>
      </c>
      <c r="AM805" t="s">
        <v>258</v>
      </c>
      <c r="AN805" t="s">
        <v>259</v>
      </c>
      <c r="AO805" t="s">
        <v>260</v>
      </c>
      <c r="AP805">
        <v>6</v>
      </c>
      <c r="AQ805" t="s">
        <v>261</v>
      </c>
      <c r="AS805">
        <v>172.1</v>
      </c>
      <c r="AU805">
        <v>141.30000000000001</v>
      </c>
      <c r="AW805">
        <v>203.6</v>
      </c>
      <c r="AX805" t="s">
        <v>262</v>
      </c>
      <c r="BO805" t="s">
        <v>261</v>
      </c>
      <c r="BQ805">
        <v>0.1721</v>
      </c>
      <c r="BS805">
        <v>0.14130000000000001</v>
      </c>
      <c r="BU805">
        <v>0.2036</v>
      </c>
      <c r="BV805" t="s">
        <v>263</v>
      </c>
      <c r="CM805" t="s">
        <v>264</v>
      </c>
      <c r="CN805" t="s">
        <v>264</v>
      </c>
      <c r="CP805" t="s">
        <v>265</v>
      </c>
      <c r="CQ805" t="s">
        <v>518</v>
      </c>
      <c r="DB805">
        <v>4</v>
      </c>
      <c r="DG805" t="s">
        <v>267</v>
      </c>
      <c r="DI805">
        <v>96</v>
      </c>
      <c r="DN805" t="s">
        <v>268</v>
      </c>
      <c r="DP805" t="s">
        <v>1911</v>
      </c>
      <c r="DS805">
        <v>4771</v>
      </c>
      <c r="DT805" t="s">
        <v>1259</v>
      </c>
      <c r="EW805" t="s">
        <v>293</v>
      </c>
      <c r="FK805" t="s">
        <v>1912</v>
      </c>
      <c r="FM805">
        <v>22</v>
      </c>
      <c r="FR805" t="s">
        <v>295</v>
      </c>
      <c r="GO805">
        <v>8</v>
      </c>
      <c r="GU805">
        <v>35</v>
      </c>
      <c r="GZ805" t="s">
        <v>362</v>
      </c>
      <c r="HH805" t="s">
        <v>272</v>
      </c>
      <c r="ID805" t="s">
        <v>1913</v>
      </c>
      <c r="IE805" t="s">
        <v>1262</v>
      </c>
      <c r="IF805">
        <v>73547</v>
      </c>
      <c r="IG805" t="s">
        <v>1263</v>
      </c>
      <c r="IH805" t="s">
        <v>1264</v>
      </c>
      <c r="II805">
        <v>2003</v>
      </c>
      <c r="IJ805" t="s">
        <v>1265</v>
      </c>
    </row>
    <row r="806" spans="1:244" x14ac:dyDescent="0.45">
      <c r="A806">
        <v>1195634</v>
      </c>
      <c r="B806">
        <v>155760</v>
      </c>
      <c r="C806">
        <v>7646857</v>
      </c>
      <c r="D806" t="s">
        <v>1901</v>
      </c>
      <c r="E806" t="s">
        <v>439</v>
      </c>
      <c r="F806" t="s">
        <v>245</v>
      </c>
      <c r="G806" t="s">
        <v>246</v>
      </c>
      <c r="N806" t="s">
        <v>1734</v>
      </c>
      <c r="O806" t="s">
        <v>248</v>
      </c>
      <c r="P806" t="s">
        <v>249</v>
      </c>
      <c r="Q806" t="s">
        <v>250</v>
      </c>
      <c r="R806" t="s">
        <v>251</v>
      </c>
      <c r="T806" t="s">
        <v>252</v>
      </c>
      <c r="U806" t="s">
        <v>253</v>
      </c>
      <c r="V806" t="s">
        <v>1735</v>
      </c>
      <c r="W806" t="s">
        <v>1736</v>
      </c>
      <c r="X806" t="s">
        <v>1737</v>
      </c>
      <c r="AM806" t="s">
        <v>287</v>
      </c>
      <c r="AN806" t="s">
        <v>259</v>
      </c>
      <c r="AO806" t="s">
        <v>260</v>
      </c>
      <c r="AQ806" t="s">
        <v>261</v>
      </c>
      <c r="AS806">
        <v>50000</v>
      </c>
      <c r="AX806" t="s">
        <v>262</v>
      </c>
      <c r="BO806" t="s">
        <v>261</v>
      </c>
      <c r="BQ806">
        <v>50</v>
      </c>
      <c r="BV806" t="s">
        <v>263</v>
      </c>
      <c r="CM806" t="s">
        <v>264</v>
      </c>
      <c r="CN806" t="s">
        <v>264</v>
      </c>
      <c r="CP806" t="s">
        <v>265</v>
      </c>
      <c r="DB806">
        <v>4</v>
      </c>
      <c r="DG806" t="s">
        <v>267</v>
      </c>
      <c r="DI806">
        <v>96</v>
      </c>
      <c r="DN806" t="s">
        <v>268</v>
      </c>
      <c r="DR806">
        <v>345020</v>
      </c>
      <c r="DS806">
        <v>5935</v>
      </c>
      <c r="EW806" t="s">
        <v>272</v>
      </c>
      <c r="HH806" t="s">
        <v>272</v>
      </c>
      <c r="IE806" t="s">
        <v>1738</v>
      </c>
      <c r="IF806">
        <v>17564</v>
      </c>
      <c r="IG806" t="s">
        <v>1739</v>
      </c>
      <c r="IH806" t="s">
        <v>1740</v>
      </c>
      <c r="II806">
        <v>1992</v>
      </c>
      <c r="IJ806" t="s">
        <v>1741</v>
      </c>
    </row>
    <row r="807" spans="1:244" x14ac:dyDescent="0.45">
      <c r="A807">
        <v>1070631</v>
      </c>
      <c r="B807">
        <v>12736</v>
      </c>
      <c r="C807">
        <v>7646857</v>
      </c>
      <c r="D807" t="s">
        <v>1901</v>
      </c>
      <c r="F807" t="s">
        <v>327</v>
      </c>
      <c r="G807" t="s">
        <v>246</v>
      </c>
      <c r="N807" t="s">
        <v>1941</v>
      </c>
      <c r="O807" t="s">
        <v>388</v>
      </c>
      <c r="P807" t="s">
        <v>249</v>
      </c>
      <c r="Q807" t="s">
        <v>250</v>
      </c>
      <c r="R807" t="s">
        <v>251</v>
      </c>
      <c r="T807" t="s">
        <v>389</v>
      </c>
      <c r="U807" t="s">
        <v>390</v>
      </c>
      <c r="V807" t="s">
        <v>472</v>
      </c>
      <c r="W807" t="s">
        <v>1942</v>
      </c>
      <c r="X807" t="s">
        <v>351</v>
      </c>
      <c r="Z807" t="s">
        <v>1034</v>
      </c>
      <c r="AL807" t="s">
        <v>1943</v>
      </c>
      <c r="AM807" t="s">
        <v>317</v>
      </c>
      <c r="AN807" t="s">
        <v>259</v>
      </c>
      <c r="AO807" t="s">
        <v>260</v>
      </c>
      <c r="AQ807" t="s">
        <v>261</v>
      </c>
      <c r="AS807">
        <v>1090</v>
      </c>
      <c r="AU807">
        <v>900</v>
      </c>
      <c r="AW807">
        <v>1290</v>
      </c>
      <c r="AX807" t="s">
        <v>262</v>
      </c>
      <c r="BO807" t="s">
        <v>261</v>
      </c>
      <c r="BQ807">
        <v>1.0900000000000001</v>
      </c>
      <c r="BS807">
        <v>0.9</v>
      </c>
      <c r="BU807">
        <v>1.29</v>
      </c>
      <c r="BV807" t="s">
        <v>263</v>
      </c>
      <c r="CM807" t="s">
        <v>264</v>
      </c>
      <c r="CN807" t="s">
        <v>264</v>
      </c>
      <c r="CP807" t="s">
        <v>265</v>
      </c>
      <c r="CQ807" t="s">
        <v>518</v>
      </c>
      <c r="DB807">
        <v>1</v>
      </c>
      <c r="DG807" t="s">
        <v>267</v>
      </c>
      <c r="DI807">
        <v>24</v>
      </c>
      <c r="DN807" t="s">
        <v>268</v>
      </c>
      <c r="DR807">
        <v>2172647</v>
      </c>
      <c r="DS807">
        <v>646</v>
      </c>
      <c r="DT807" t="s">
        <v>1944</v>
      </c>
      <c r="EW807" t="s">
        <v>333</v>
      </c>
      <c r="FK807" t="s">
        <v>1945</v>
      </c>
      <c r="FM807">
        <v>17</v>
      </c>
      <c r="FR807" t="s">
        <v>295</v>
      </c>
      <c r="GW807">
        <v>34.5</v>
      </c>
      <c r="GY807">
        <v>35.5</v>
      </c>
      <c r="GZ807" t="s">
        <v>296</v>
      </c>
      <c r="HH807" t="s">
        <v>272</v>
      </c>
      <c r="ID807" t="s">
        <v>1946</v>
      </c>
      <c r="IE807" t="s">
        <v>1947</v>
      </c>
      <c r="IF807">
        <v>5563</v>
      </c>
      <c r="IG807" t="s">
        <v>1948</v>
      </c>
      <c r="IH807" t="s">
        <v>1949</v>
      </c>
      <c r="II807">
        <v>1979</v>
      </c>
      <c r="IJ807" t="s">
        <v>1950</v>
      </c>
    </row>
    <row r="808" spans="1:244" x14ac:dyDescent="0.45">
      <c r="A808">
        <v>1226453</v>
      </c>
      <c r="B808">
        <v>219629</v>
      </c>
      <c r="C808">
        <v>7646857</v>
      </c>
      <c r="D808" t="s">
        <v>1901</v>
      </c>
      <c r="E808" t="s">
        <v>386</v>
      </c>
      <c r="F808" t="s">
        <v>245</v>
      </c>
      <c r="G808" t="s">
        <v>246</v>
      </c>
      <c r="N808" t="s">
        <v>302</v>
      </c>
      <c r="O808" t="s">
        <v>303</v>
      </c>
      <c r="P808" t="s">
        <v>249</v>
      </c>
      <c r="Q808" t="s">
        <v>250</v>
      </c>
      <c r="R808" t="s">
        <v>251</v>
      </c>
      <c r="T808" t="s">
        <v>252</v>
      </c>
      <c r="U808" t="s">
        <v>253</v>
      </c>
      <c r="V808" t="s">
        <v>304</v>
      </c>
      <c r="W808" t="s">
        <v>305</v>
      </c>
      <c r="X808" t="s">
        <v>306</v>
      </c>
      <c r="Z808" t="s">
        <v>1057</v>
      </c>
      <c r="AL808" t="s">
        <v>1210</v>
      </c>
      <c r="AM808" t="s">
        <v>317</v>
      </c>
      <c r="AN808" t="s">
        <v>259</v>
      </c>
      <c r="AO808" t="s">
        <v>260</v>
      </c>
      <c r="AQ808" t="s">
        <v>261</v>
      </c>
      <c r="AS808">
        <v>8.7100000000000009</v>
      </c>
      <c r="AX808" t="s">
        <v>356</v>
      </c>
      <c r="BO808" t="s">
        <v>261</v>
      </c>
      <c r="BQ808">
        <v>8.7100000000000009</v>
      </c>
      <c r="BV808" t="s">
        <v>263</v>
      </c>
      <c r="CM808" t="s">
        <v>264</v>
      </c>
      <c r="CN808" t="s">
        <v>264</v>
      </c>
      <c r="CP808" t="s">
        <v>265</v>
      </c>
      <c r="CQ808" t="s">
        <v>518</v>
      </c>
      <c r="DB808">
        <v>4</v>
      </c>
      <c r="DG808" t="s">
        <v>267</v>
      </c>
      <c r="DI808">
        <v>96</v>
      </c>
      <c r="DN808" t="s">
        <v>268</v>
      </c>
      <c r="DR808">
        <v>338212</v>
      </c>
      <c r="DS808">
        <v>732</v>
      </c>
      <c r="DT808" t="s">
        <v>1211</v>
      </c>
      <c r="EW808" t="s">
        <v>293</v>
      </c>
      <c r="GU808">
        <v>36</v>
      </c>
      <c r="GZ808" t="s">
        <v>900</v>
      </c>
      <c r="HH808" t="s">
        <v>272</v>
      </c>
      <c r="IE808" t="s">
        <v>1212</v>
      </c>
      <c r="IF808">
        <v>51641</v>
      </c>
      <c r="IG808" t="s">
        <v>1213</v>
      </c>
      <c r="IH808" t="s">
        <v>1214</v>
      </c>
      <c r="II808">
        <v>2000</v>
      </c>
      <c r="IJ808" t="s">
        <v>1215</v>
      </c>
    </row>
    <row r="809" spans="1:244" x14ac:dyDescent="0.45">
      <c r="A809">
        <v>1114611</v>
      </c>
      <c r="B809">
        <v>69880</v>
      </c>
      <c r="C809">
        <v>7646857</v>
      </c>
      <c r="D809" t="s">
        <v>1901</v>
      </c>
      <c r="F809" t="s">
        <v>245</v>
      </c>
      <c r="G809" t="s">
        <v>246</v>
      </c>
      <c r="N809" t="s">
        <v>916</v>
      </c>
      <c r="O809" t="s">
        <v>917</v>
      </c>
      <c r="P809" t="s">
        <v>249</v>
      </c>
      <c r="Q809" t="s">
        <v>250</v>
      </c>
      <c r="R809" t="s">
        <v>251</v>
      </c>
      <c r="T809" t="s">
        <v>252</v>
      </c>
      <c r="U809" t="s">
        <v>253</v>
      </c>
      <c r="V809" t="s">
        <v>304</v>
      </c>
      <c r="W809" t="s">
        <v>305</v>
      </c>
      <c r="X809" t="s">
        <v>918</v>
      </c>
      <c r="AM809" t="s">
        <v>287</v>
      </c>
      <c r="AN809" t="s">
        <v>259</v>
      </c>
      <c r="AO809" t="s">
        <v>260</v>
      </c>
      <c r="AQ809" t="s">
        <v>261</v>
      </c>
      <c r="AS809">
        <v>50000</v>
      </c>
      <c r="AX809" t="s">
        <v>262</v>
      </c>
      <c r="BO809" t="s">
        <v>261</v>
      </c>
      <c r="BQ809">
        <v>50</v>
      </c>
      <c r="BV809" t="s">
        <v>263</v>
      </c>
      <c r="CM809" t="s">
        <v>264</v>
      </c>
      <c r="CN809" t="s">
        <v>264</v>
      </c>
      <c r="CP809" t="s">
        <v>265</v>
      </c>
      <c r="CQ809" t="s">
        <v>518</v>
      </c>
      <c r="DB809">
        <v>4</v>
      </c>
      <c r="DG809" t="s">
        <v>267</v>
      </c>
      <c r="DI809">
        <v>96</v>
      </c>
      <c r="DN809" t="s">
        <v>268</v>
      </c>
      <c r="DR809">
        <v>645159</v>
      </c>
      <c r="DS809">
        <v>730</v>
      </c>
      <c r="EW809" t="s">
        <v>271</v>
      </c>
      <c r="FO809">
        <v>14</v>
      </c>
      <c r="FQ809">
        <v>16</v>
      </c>
      <c r="FR809" t="s">
        <v>295</v>
      </c>
      <c r="HH809" t="s">
        <v>272</v>
      </c>
      <c r="IE809" t="s">
        <v>1937</v>
      </c>
      <c r="IF809">
        <v>8836</v>
      </c>
      <c r="IG809" t="s">
        <v>1938</v>
      </c>
      <c r="IH809" t="s">
        <v>1939</v>
      </c>
      <c r="II809">
        <v>1973</v>
      </c>
      <c r="IJ809" t="s">
        <v>1940</v>
      </c>
    </row>
    <row r="810" spans="1:244" x14ac:dyDescent="0.45">
      <c r="A810">
        <v>1273402</v>
      </c>
      <c r="B810">
        <v>724702</v>
      </c>
      <c r="C810">
        <v>7646857</v>
      </c>
      <c r="D810" t="s">
        <v>1901</v>
      </c>
      <c r="F810" t="s">
        <v>327</v>
      </c>
      <c r="G810" t="s">
        <v>246</v>
      </c>
      <c r="N810" t="s">
        <v>1951</v>
      </c>
      <c r="O810" t="s">
        <v>578</v>
      </c>
      <c r="P810" t="s">
        <v>249</v>
      </c>
      <c r="Q810" t="s">
        <v>250</v>
      </c>
      <c r="R810" t="s">
        <v>251</v>
      </c>
      <c r="T810" t="s">
        <v>252</v>
      </c>
      <c r="U810" t="s">
        <v>499</v>
      </c>
      <c r="V810" t="s">
        <v>1281</v>
      </c>
      <c r="W810" t="s">
        <v>1952</v>
      </c>
      <c r="X810" t="s">
        <v>1953</v>
      </c>
      <c r="Z810" t="s">
        <v>649</v>
      </c>
      <c r="AA810" t="s">
        <v>289</v>
      </c>
      <c r="AB810">
        <v>7</v>
      </c>
      <c r="AG810" t="s">
        <v>267</v>
      </c>
      <c r="AM810" t="s">
        <v>317</v>
      </c>
      <c r="AN810" t="s">
        <v>259</v>
      </c>
      <c r="AO810" t="s">
        <v>260</v>
      </c>
      <c r="AQ810" t="s">
        <v>504</v>
      </c>
      <c r="AS810">
        <v>1130</v>
      </c>
      <c r="AU810">
        <v>870</v>
      </c>
      <c r="AW810">
        <v>1390</v>
      </c>
      <c r="AX810" t="s">
        <v>262</v>
      </c>
      <c r="BO810" t="s">
        <v>504</v>
      </c>
      <c r="BQ810">
        <v>1.1299999999999999</v>
      </c>
      <c r="BS810">
        <v>0.87</v>
      </c>
      <c r="BU810">
        <v>1.39</v>
      </c>
      <c r="BV810" t="s">
        <v>263</v>
      </c>
      <c r="CM810" t="s">
        <v>264</v>
      </c>
      <c r="CN810" t="s">
        <v>264</v>
      </c>
      <c r="CP810" t="s">
        <v>265</v>
      </c>
      <c r="CQ810" t="s">
        <v>518</v>
      </c>
      <c r="DB810">
        <v>4</v>
      </c>
      <c r="DG810" t="s">
        <v>267</v>
      </c>
      <c r="DI810">
        <v>96</v>
      </c>
      <c r="DN810" t="s">
        <v>268</v>
      </c>
      <c r="DP810" t="s">
        <v>1911</v>
      </c>
      <c r="DS810">
        <v>18587</v>
      </c>
      <c r="DT810" t="s">
        <v>1221</v>
      </c>
      <c r="EW810" t="s">
        <v>293</v>
      </c>
      <c r="FA810" t="s">
        <v>1954</v>
      </c>
      <c r="FK810" t="s">
        <v>1955</v>
      </c>
      <c r="FO810">
        <v>20.399999999999999</v>
      </c>
      <c r="FQ810">
        <v>21.2</v>
      </c>
      <c r="FR810" t="s">
        <v>295</v>
      </c>
      <c r="GQ810">
        <v>8</v>
      </c>
      <c r="GS810">
        <v>8.1999999999999993</v>
      </c>
      <c r="GW810">
        <v>30</v>
      </c>
      <c r="GY810">
        <v>32</v>
      </c>
      <c r="GZ810" t="s">
        <v>296</v>
      </c>
      <c r="HH810" t="s">
        <v>272</v>
      </c>
      <c r="ID810" t="s">
        <v>1956</v>
      </c>
      <c r="IE810" t="s">
        <v>1226</v>
      </c>
      <c r="IF810">
        <v>101781</v>
      </c>
      <c r="IG810" t="s">
        <v>1227</v>
      </c>
      <c r="IH810" t="s">
        <v>1228</v>
      </c>
      <c r="II810">
        <v>2006</v>
      </c>
      <c r="IJ810" t="s">
        <v>1229</v>
      </c>
    </row>
    <row r="811" spans="1:244" x14ac:dyDescent="0.45">
      <c r="A811">
        <v>1273400</v>
      </c>
      <c r="B811">
        <v>724700</v>
      </c>
      <c r="C811">
        <v>7646857</v>
      </c>
      <c r="D811" t="s">
        <v>1901</v>
      </c>
      <c r="F811" t="s">
        <v>327</v>
      </c>
      <c r="G811" t="s">
        <v>246</v>
      </c>
      <c r="N811" t="s">
        <v>1957</v>
      </c>
      <c r="O811" t="s">
        <v>578</v>
      </c>
      <c r="P811" t="s">
        <v>249</v>
      </c>
      <c r="Q811" t="s">
        <v>250</v>
      </c>
      <c r="R811" t="s">
        <v>251</v>
      </c>
      <c r="T811" t="s">
        <v>252</v>
      </c>
      <c r="U811" t="s">
        <v>499</v>
      </c>
      <c r="V811" t="s">
        <v>1281</v>
      </c>
      <c r="W811" t="s">
        <v>1282</v>
      </c>
      <c r="X811" t="s">
        <v>1958</v>
      </c>
      <c r="Z811" t="s">
        <v>315</v>
      </c>
      <c r="AD811">
        <v>2</v>
      </c>
      <c r="AF811">
        <v>3</v>
      </c>
      <c r="AG811" t="s">
        <v>1271</v>
      </c>
      <c r="AL811" t="s">
        <v>1959</v>
      </c>
      <c r="AM811" t="s">
        <v>317</v>
      </c>
      <c r="AN811" t="s">
        <v>259</v>
      </c>
      <c r="AO811" t="s">
        <v>260</v>
      </c>
      <c r="AQ811" t="s">
        <v>504</v>
      </c>
      <c r="AR811" t="s">
        <v>288</v>
      </c>
      <c r="AS811">
        <v>4500</v>
      </c>
      <c r="AX811" t="s">
        <v>262</v>
      </c>
      <c r="BO811" t="s">
        <v>504</v>
      </c>
      <c r="BP811" t="s">
        <v>288</v>
      </c>
      <c r="BQ811">
        <v>4.5</v>
      </c>
      <c r="BV811" t="s">
        <v>263</v>
      </c>
      <c r="CM811" t="s">
        <v>264</v>
      </c>
      <c r="CN811" t="s">
        <v>264</v>
      </c>
      <c r="CP811" t="s">
        <v>265</v>
      </c>
      <c r="CQ811" t="s">
        <v>518</v>
      </c>
      <c r="DB811">
        <v>4</v>
      </c>
      <c r="DG811" t="s">
        <v>267</v>
      </c>
      <c r="DI811">
        <v>4</v>
      </c>
      <c r="DN811" t="s">
        <v>267</v>
      </c>
      <c r="DP811" t="s">
        <v>1911</v>
      </c>
      <c r="DS811">
        <v>18588</v>
      </c>
      <c r="DT811" t="s">
        <v>1221</v>
      </c>
      <c r="EW811" t="s">
        <v>293</v>
      </c>
      <c r="FA811" t="s">
        <v>1954</v>
      </c>
      <c r="FK811" t="s">
        <v>1960</v>
      </c>
      <c r="FO811">
        <v>20.399999999999999</v>
      </c>
      <c r="FQ811">
        <v>21.2</v>
      </c>
      <c r="FR811" t="s">
        <v>295</v>
      </c>
      <c r="GQ811">
        <v>8</v>
      </c>
      <c r="GS811">
        <v>8.1999999999999993</v>
      </c>
      <c r="GW811">
        <v>30</v>
      </c>
      <c r="GY811">
        <v>32</v>
      </c>
      <c r="GZ811" t="s">
        <v>296</v>
      </c>
      <c r="HH811" t="s">
        <v>272</v>
      </c>
      <c r="ID811" t="s">
        <v>1961</v>
      </c>
      <c r="IE811" t="s">
        <v>1226</v>
      </c>
      <c r="IF811">
        <v>101781</v>
      </c>
      <c r="IG811" t="s">
        <v>1227</v>
      </c>
      <c r="IH811" t="s">
        <v>1228</v>
      </c>
      <c r="II811">
        <v>2006</v>
      </c>
      <c r="IJ811" t="s">
        <v>1229</v>
      </c>
    </row>
    <row r="812" spans="1:244" x14ac:dyDescent="0.45">
      <c r="A812">
        <v>1271197</v>
      </c>
      <c r="B812">
        <v>722495</v>
      </c>
      <c r="C812">
        <v>7646857</v>
      </c>
      <c r="D812" t="s">
        <v>1901</v>
      </c>
      <c r="F812" t="s">
        <v>245</v>
      </c>
      <c r="G812" t="s">
        <v>246</v>
      </c>
      <c r="N812" t="s">
        <v>546</v>
      </c>
      <c r="O812" t="s">
        <v>547</v>
      </c>
      <c r="P812" t="s">
        <v>249</v>
      </c>
      <c r="Q812" t="s">
        <v>250</v>
      </c>
      <c r="R812" t="s">
        <v>251</v>
      </c>
      <c r="T812" t="s">
        <v>252</v>
      </c>
      <c r="U812" t="s">
        <v>253</v>
      </c>
      <c r="V812" t="s">
        <v>548</v>
      </c>
      <c r="W812" t="s">
        <v>549</v>
      </c>
      <c r="X812" t="s">
        <v>550</v>
      </c>
      <c r="AM812" t="s">
        <v>258</v>
      </c>
      <c r="AN812" t="s">
        <v>259</v>
      </c>
      <c r="AO812" t="s">
        <v>260</v>
      </c>
      <c r="AP812">
        <v>5</v>
      </c>
      <c r="AQ812" t="s">
        <v>261</v>
      </c>
      <c r="AS812">
        <v>6.3</v>
      </c>
      <c r="AX812" t="s">
        <v>356</v>
      </c>
      <c r="BO812" t="s">
        <v>261</v>
      </c>
      <c r="BQ812">
        <v>6.3</v>
      </c>
      <c r="BV812" t="s">
        <v>263</v>
      </c>
      <c r="CM812" t="s">
        <v>264</v>
      </c>
      <c r="CN812" t="s">
        <v>264</v>
      </c>
      <c r="CP812" t="s">
        <v>265</v>
      </c>
      <c r="CQ812" t="s">
        <v>518</v>
      </c>
      <c r="DB812">
        <v>4</v>
      </c>
      <c r="DG812" t="s">
        <v>267</v>
      </c>
      <c r="DI812">
        <v>96</v>
      </c>
      <c r="DN812" t="s">
        <v>268</v>
      </c>
      <c r="DP812" t="s">
        <v>1911</v>
      </c>
      <c r="DR812">
        <v>491138</v>
      </c>
      <c r="DS812">
        <v>11</v>
      </c>
      <c r="EW812" t="s">
        <v>293</v>
      </c>
      <c r="FA812" t="s">
        <v>1317</v>
      </c>
      <c r="FK812" t="s">
        <v>1962</v>
      </c>
      <c r="HH812" t="s">
        <v>272</v>
      </c>
      <c r="ID812" t="s">
        <v>1963</v>
      </c>
      <c r="IE812" t="s">
        <v>1320</v>
      </c>
      <c r="IF812">
        <v>16651</v>
      </c>
      <c r="IG812" t="s">
        <v>1321</v>
      </c>
      <c r="IH812" t="s">
        <v>1322</v>
      </c>
      <c r="II812">
        <v>1985</v>
      </c>
      <c r="IJ812" t="s">
        <v>1323</v>
      </c>
    </row>
    <row r="813" spans="1:244" x14ac:dyDescent="0.45">
      <c r="A813">
        <v>1304644</v>
      </c>
      <c r="B813">
        <v>761292</v>
      </c>
      <c r="C813">
        <v>7646857</v>
      </c>
      <c r="D813" t="s">
        <v>1901</v>
      </c>
      <c r="F813" t="s">
        <v>245</v>
      </c>
      <c r="G813" t="s">
        <v>246</v>
      </c>
      <c r="N813" t="s">
        <v>1230</v>
      </c>
      <c r="O813" t="s">
        <v>248</v>
      </c>
      <c r="P813" t="s">
        <v>249</v>
      </c>
      <c r="Q813" t="s">
        <v>250</v>
      </c>
      <c r="R813" t="s">
        <v>251</v>
      </c>
      <c r="T813" t="s">
        <v>252</v>
      </c>
      <c r="U813" t="s">
        <v>253</v>
      </c>
      <c r="V813" t="s">
        <v>1231</v>
      </c>
      <c r="W813" t="s">
        <v>1232</v>
      </c>
      <c r="X813" t="s">
        <v>1233</v>
      </c>
      <c r="Z813" t="s">
        <v>1046</v>
      </c>
      <c r="AA813" t="s">
        <v>289</v>
      </c>
      <c r="AB813">
        <v>8</v>
      </c>
      <c r="AG813" t="s">
        <v>353</v>
      </c>
      <c r="AM813" t="s">
        <v>258</v>
      </c>
      <c r="AN813" t="s">
        <v>259</v>
      </c>
      <c r="AO813" t="s">
        <v>260</v>
      </c>
      <c r="AP813">
        <v>6</v>
      </c>
      <c r="AQ813" t="s">
        <v>261</v>
      </c>
      <c r="AS813">
        <v>250.4</v>
      </c>
      <c r="AU813">
        <v>208.6</v>
      </c>
      <c r="AW813">
        <v>295.5</v>
      </c>
      <c r="AX813" t="s">
        <v>262</v>
      </c>
      <c r="BO813" t="s">
        <v>261</v>
      </c>
      <c r="BQ813">
        <v>0.25040000000000001</v>
      </c>
      <c r="BS813">
        <v>0.20860000000000001</v>
      </c>
      <c r="BU813">
        <v>0.29549999999999998</v>
      </c>
      <c r="BV813" t="s">
        <v>263</v>
      </c>
      <c r="CM813" t="s">
        <v>264</v>
      </c>
      <c r="CN813" t="s">
        <v>264</v>
      </c>
      <c r="CP813" t="s">
        <v>265</v>
      </c>
      <c r="CQ813" t="s">
        <v>518</v>
      </c>
      <c r="DB813">
        <v>3</v>
      </c>
      <c r="DG813" t="s">
        <v>267</v>
      </c>
      <c r="DI813">
        <v>72</v>
      </c>
      <c r="DN813" t="s">
        <v>268</v>
      </c>
      <c r="DP813" t="s">
        <v>1964</v>
      </c>
      <c r="DS813">
        <v>4771</v>
      </c>
      <c r="DT813" t="s">
        <v>1235</v>
      </c>
      <c r="EW813" t="s">
        <v>293</v>
      </c>
      <c r="FA813" t="s">
        <v>397</v>
      </c>
      <c r="FK813" t="s">
        <v>1965</v>
      </c>
      <c r="FM813">
        <v>22</v>
      </c>
      <c r="FR813" t="s">
        <v>295</v>
      </c>
      <c r="GO813">
        <v>8</v>
      </c>
      <c r="GU813">
        <v>35</v>
      </c>
      <c r="GZ813" t="s">
        <v>362</v>
      </c>
      <c r="HH813" t="s">
        <v>272</v>
      </c>
      <c r="ID813" t="s">
        <v>1966</v>
      </c>
      <c r="IE813" t="s">
        <v>1238</v>
      </c>
      <c r="IF813">
        <v>97270</v>
      </c>
      <c r="IG813" t="s">
        <v>1239</v>
      </c>
      <c r="IH813" t="s">
        <v>1240</v>
      </c>
      <c r="II813">
        <v>2006</v>
      </c>
      <c r="IJ813" t="s">
        <v>1241</v>
      </c>
    </row>
    <row r="814" spans="1:244" x14ac:dyDescent="0.45">
      <c r="A814">
        <v>1226452</v>
      </c>
      <c r="B814">
        <v>219628</v>
      </c>
      <c r="C814">
        <v>7646857</v>
      </c>
      <c r="D814" t="s">
        <v>1901</v>
      </c>
      <c r="E814" t="s">
        <v>386</v>
      </c>
      <c r="F814" t="s">
        <v>245</v>
      </c>
      <c r="G814" t="s">
        <v>246</v>
      </c>
      <c r="N814" t="s">
        <v>302</v>
      </c>
      <c r="O814" t="s">
        <v>303</v>
      </c>
      <c r="P814" t="s">
        <v>249</v>
      </c>
      <c r="Q814" t="s">
        <v>250</v>
      </c>
      <c r="R814" t="s">
        <v>251</v>
      </c>
      <c r="T814" t="s">
        <v>252</v>
      </c>
      <c r="U814" t="s">
        <v>253</v>
      </c>
      <c r="V814" t="s">
        <v>304</v>
      </c>
      <c r="W814" t="s">
        <v>305</v>
      </c>
      <c r="X814" t="s">
        <v>306</v>
      </c>
      <c r="Z814" t="s">
        <v>1057</v>
      </c>
      <c r="AL814" t="s">
        <v>1210</v>
      </c>
      <c r="AM814" t="s">
        <v>317</v>
      </c>
      <c r="AN814" t="s">
        <v>259</v>
      </c>
      <c r="AO814" t="s">
        <v>260</v>
      </c>
      <c r="AQ814" t="s">
        <v>261</v>
      </c>
      <c r="AS814">
        <v>66.099999999999994</v>
      </c>
      <c r="AX814" t="s">
        <v>356</v>
      </c>
      <c r="BO814" t="s">
        <v>261</v>
      </c>
      <c r="BQ814">
        <v>66.099999999999994</v>
      </c>
      <c r="BV814" t="s">
        <v>263</v>
      </c>
      <c r="CM814" t="s">
        <v>264</v>
      </c>
      <c r="CN814" t="s">
        <v>264</v>
      </c>
      <c r="CP814" t="s">
        <v>265</v>
      </c>
      <c r="CQ814" t="s">
        <v>518</v>
      </c>
      <c r="DB814">
        <v>2</v>
      </c>
      <c r="DG814" t="s">
        <v>267</v>
      </c>
      <c r="DI814">
        <v>48</v>
      </c>
      <c r="DN814" t="s">
        <v>268</v>
      </c>
      <c r="DR814">
        <v>338212</v>
      </c>
      <c r="DS814">
        <v>732</v>
      </c>
      <c r="DT814" t="s">
        <v>1211</v>
      </c>
      <c r="EW814" t="s">
        <v>293</v>
      </c>
      <c r="GU814">
        <v>36</v>
      </c>
      <c r="GZ814" t="s">
        <v>900</v>
      </c>
      <c r="HH814" t="s">
        <v>272</v>
      </c>
      <c r="IE814" t="s">
        <v>1212</v>
      </c>
      <c r="IF814">
        <v>51641</v>
      </c>
      <c r="IG814" t="s">
        <v>1213</v>
      </c>
      <c r="IH814" t="s">
        <v>1214</v>
      </c>
      <c r="II814">
        <v>2000</v>
      </c>
      <c r="IJ814" t="s">
        <v>1215</v>
      </c>
    </row>
    <row r="815" spans="1:244" x14ac:dyDescent="0.45">
      <c r="A815">
        <v>1273559</v>
      </c>
      <c r="B815">
        <v>724878</v>
      </c>
      <c r="C815">
        <v>7646857</v>
      </c>
      <c r="D815" t="s">
        <v>1901</v>
      </c>
      <c r="F815" t="s">
        <v>245</v>
      </c>
      <c r="G815" t="s">
        <v>246</v>
      </c>
      <c r="N815" t="s">
        <v>1967</v>
      </c>
      <c r="O815" t="s">
        <v>1968</v>
      </c>
      <c r="P815" t="s">
        <v>249</v>
      </c>
      <c r="Q815" t="s">
        <v>250</v>
      </c>
      <c r="R815" t="s">
        <v>251</v>
      </c>
      <c r="T815" t="s">
        <v>252</v>
      </c>
      <c r="U815" t="s">
        <v>253</v>
      </c>
      <c r="V815" t="s">
        <v>1969</v>
      </c>
      <c r="W815" t="s">
        <v>1970</v>
      </c>
      <c r="X815" t="s">
        <v>1971</v>
      </c>
      <c r="Z815" t="s">
        <v>1046</v>
      </c>
      <c r="AB815">
        <v>1</v>
      </c>
      <c r="AG815" t="s">
        <v>267</v>
      </c>
      <c r="AM815" t="s">
        <v>258</v>
      </c>
      <c r="AN815" t="s">
        <v>259</v>
      </c>
      <c r="AO815" t="s">
        <v>260</v>
      </c>
      <c r="AP815">
        <v>7</v>
      </c>
      <c r="AQ815" t="s">
        <v>261</v>
      </c>
      <c r="AR815" t="s">
        <v>288</v>
      </c>
      <c r="AS815">
        <v>25</v>
      </c>
      <c r="AX815" t="s">
        <v>356</v>
      </c>
      <c r="BO815" t="s">
        <v>261</v>
      </c>
      <c r="BP815" t="s">
        <v>288</v>
      </c>
      <c r="BQ815">
        <v>25</v>
      </c>
      <c r="BV815" t="s">
        <v>263</v>
      </c>
      <c r="CM815" t="s">
        <v>264</v>
      </c>
      <c r="CN815" t="s">
        <v>264</v>
      </c>
      <c r="CP815" t="s">
        <v>265</v>
      </c>
      <c r="CQ815" t="s">
        <v>518</v>
      </c>
      <c r="DB815">
        <v>1</v>
      </c>
      <c r="DG815" t="s">
        <v>267</v>
      </c>
      <c r="DI815">
        <v>24</v>
      </c>
      <c r="DN815" t="s">
        <v>268</v>
      </c>
      <c r="DP815" t="s">
        <v>1911</v>
      </c>
      <c r="DR815">
        <v>174394</v>
      </c>
      <c r="DS815">
        <v>18619</v>
      </c>
      <c r="DT815" t="s">
        <v>1972</v>
      </c>
      <c r="EW815" t="s">
        <v>293</v>
      </c>
      <c r="FA815" t="s">
        <v>1973</v>
      </c>
      <c r="FK815" t="s">
        <v>1974</v>
      </c>
      <c r="FM815">
        <v>7.5</v>
      </c>
      <c r="FR815" t="s">
        <v>295</v>
      </c>
      <c r="GU815">
        <v>28</v>
      </c>
      <c r="GZ815" t="s">
        <v>356</v>
      </c>
      <c r="HH815" t="s">
        <v>272</v>
      </c>
      <c r="ID815" t="s">
        <v>1975</v>
      </c>
      <c r="IE815" t="s">
        <v>1976</v>
      </c>
      <c r="IF815">
        <v>71687</v>
      </c>
      <c r="IG815" t="s">
        <v>1977</v>
      </c>
      <c r="IH815" t="s">
        <v>1978</v>
      </c>
      <c r="II815">
        <v>2003</v>
      </c>
      <c r="IJ815" t="s">
        <v>1979</v>
      </c>
    </row>
    <row r="816" spans="1:244" x14ac:dyDescent="0.45">
      <c r="A816">
        <v>1304657</v>
      </c>
      <c r="B816">
        <v>761306</v>
      </c>
      <c r="C816">
        <v>7646857</v>
      </c>
      <c r="D816" t="s">
        <v>1901</v>
      </c>
      <c r="F816" t="s">
        <v>245</v>
      </c>
      <c r="G816" t="s">
        <v>246</v>
      </c>
      <c r="N816" t="s">
        <v>1230</v>
      </c>
      <c r="O816" t="s">
        <v>248</v>
      </c>
      <c r="P816" t="s">
        <v>249</v>
      </c>
      <c r="Q816" t="s">
        <v>250</v>
      </c>
      <c r="R816" t="s">
        <v>251</v>
      </c>
      <c r="T816" t="s">
        <v>252</v>
      </c>
      <c r="U816" t="s">
        <v>253</v>
      </c>
      <c r="V816" t="s">
        <v>1231</v>
      </c>
      <c r="W816" t="s">
        <v>1232</v>
      </c>
      <c r="X816" t="s">
        <v>1233</v>
      </c>
      <c r="Z816" t="s">
        <v>919</v>
      </c>
      <c r="AM816" t="s">
        <v>258</v>
      </c>
      <c r="AN816" t="s">
        <v>259</v>
      </c>
      <c r="AO816" t="s">
        <v>260</v>
      </c>
      <c r="AP816">
        <v>6</v>
      </c>
      <c r="AQ816" t="s">
        <v>261</v>
      </c>
      <c r="AS816">
        <v>101.9</v>
      </c>
      <c r="AU816">
        <v>83.9</v>
      </c>
      <c r="AW816">
        <v>123.9</v>
      </c>
      <c r="AX816" t="s">
        <v>356</v>
      </c>
      <c r="BO816" t="s">
        <v>261</v>
      </c>
      <c r="BQ816">
        <v>101.9</v>
      </c>
      <c r="BS816">
        <v>83.9</v>
      </c>
      <c r="BU816">
        <v>123.9</v>
      </c>
      <c r="BV816" t="s">
        <v>263</v>
      </c>
      <c r="CM816" t="s">
        <v>264</v>
      </c>
      <c r="CN816" t="s">
        <v>264</v>
      </c>
      <c r="CP816" t="s">
        <v>265</v>
      </c>
      <c r="CQ816" t="s">
        <v>518</v>
      </c>
      <c r="DB816">
        <v>2</v>
      </c>
      <c r="DG816" t="s">
        <v>267</v>
      </c>
      <c r="DI816">
        <v>48</v>
      </c>
      <c r="DN816" t="s">
        <v>268</v>
      </c>
      <c r="DP816" t="s">
        <v>1964</v>
      </c>
      <c r="DS816">
        <v>4771</v>
      </c>
      <c r="DT816" t="s">
        <v>1235</v>
      </c>
      <c r="EW816" t="s">
        <v>293</v>
      </c>
      <c r="FA816" t="s">
        <v>397</v>
      </c>
      <c r="FK816" t="s">
        <v>1980</v>
      </c>
      <c r="FM816">
        <v>22</v>
      </c>
      <c r="FR816" t="s">
        <v>295</v>
      </c>
      <c r="GO816">
        <v>8</v>
      </c>
      <c r="GU816">
        <v>35</v>
      </c>
      <c r="GZ816" t="s">
        <v>362</v>
      </c>
      <c r="HH816" t="s">
        <v>272</v>
      </c>
      <c r="ID816" t="s">
        <v>1981</v>
      </c>
      <c r="IE816" t="s">
        <v>1238</v>
      </c>
      <c r="IF816">
        <v>97270</v>
      </c>
      <c r="IG816" t="s">
        <v>1239</v>
      </c>
      <c r="IH816" t="s">
        <v>1240</v>
      </c>
      <c r="II816">
        <v>2006</v>
      </c>
      <c r="IJ816" t="s">
        <v>1241</v>
      </c>
    </row>
    <row r="817" spans="1:244" x14ac:dyDescent="0.45">
      <c r="A817">
        <v>1272680</v>
      </c>
      <c r="B817">
        <v>723979</v>
      </c>
      <c r="C817">
        <v>7646857</v>
      </c>
      <c r="D817" t="s">
        <v>1901</v>
      </c>
      <c r="F817" t="s">
        <v>245</v>
      </c>
      <c r="G817" t="s">
        <v>246</v>
      </c>
      <c r="N817" t="s">
        <v>1982</v>
      </c>
      <c r="O817" t="s">
        <v>656</v>
      </c>
      <c r="P817" t="s">
        <v>249</v>
      </c>
      <c r="Q817" t="s">
        <v>250</v>
      </c>
      <c r="R817" t="s">
        <v>251</v>
      </c>
      <c r="T817" t="s">
        <v>252</v>
      </c>
      <c r="U817" t="s">
        <v>253</v>
      </c>
      <c r="V817" t="s">
        <v>657</v>
      </c>
      <c r="W817" t="s">
        <v>1983</v>
      </c>
      <c r="X817" t="s">
        <v>1984</v>
      </c>
      <c r="Z817" t="s">
        <v>315</v>
      </c>
      <c r="AL817" t="s">
        <v>1985</v>
      </c>
      <c r="AM817" t="s">
        <v>317</v>
      </c>
      <c r="AN817" t="s">
        <v>259</v>
      </c>
      <c r="AO817" t="s">
        <v>260</v>
      </c>
      <c r="AP817">
        <v>6</v>
      </c>
      <c r="AQ817" t="s">
        <v>261</v>
      </c>
      <c r="AS817">
        <v>19</v>
      </c>
      <c r="AU817">
        <v>16.8</v>
      </c>
      <c r="AW817">
        <v>21.2</v>
      </c>
      <c r="AX817" t="s">
        <v>356</v>
      </c>
      <c r="BO817" t="s">
        <v>261</v>
      </c>
      <c r="BQ817">
        <v>19</v>
      </c>
      <c r="BS817">
        <v>16.8</v>
      </c>
      <c r="BU817">
        <v>21.2</v>
      </c>
      <c r="BV817" t="s">
        <v>263</v>
      </c>
      <c r="CM817" t="s">
        <v>264</v>
      </c>
      <c r="CN817" t="s">
        <v>264</v>
      </c>
      <c r="CP817" t="s">
        <v>265</v>
      </c>
      <c r="CQ817" t="s">
        <v>518</v>
      </c>
      <c r="DB817">
        <v>4</v>
      </c>
      <c r="DG817" t="s">
        <v>267</v>
      </c>
      <c r="DI817">
        <v>96</v>
      </c>
      <c r="DN817" t="s">
        <v>268</v>
      </c>
      <c r="DP817" t="s">
        <v>1911</v>
      </c>
      <c r="DR817">
        <v>1436025</v>
      </c>
      <c r="DS817">
        <v>18545</v>
      </c>
      <c r="EW817" t="s">
        <v>293</v>
      </c>
      <c r="FA817" t="s">
        <v>1986</v>
      </c>
      <c r="FK817" t="s">
        <v>1987</v>
      </c>
      <c r="FM817">
        <v>24</v>
      </c>
      <c r="FR817" t="s">
        <v>295</v>
      </c>
      <c r="GH817">
        <v>68</v>
      </c>
      <c r="GM817" t="s">
        <v>900</v>
      </c>
      <c r="GO817">
        <v>7.33</v>
      </c>
      <c r="GU817">
        <v>17</v>
      </c>
      <c r="GZ817" t="s">
        <v>296</v>
      </c>
      <c r="HH817" t="s">
        <v>272</v>
      </c>
      <c r="ID817" t="s">
        <v>1988</v>
      </c>
      <c r="IE817" t="s">
        <v>1989</v>
      </c>
      <c r="IF817">
        <v>47360</v>
      </c>
      <c r="IG817" t="s">
        <v>1990</v>
      </c>
      <c r="IH817" t="s">
        <v>1991</v>
      </c>
      <c r="II817">
        <v>1998</v>
      </c>
      <c r="IJ817" t="s">
        <v>1992</v>
      </c>
    </row>
    <row r="818" spans="1:244" x14ac:dyDescent="0.45">
      <c r="A818">
        <v>1053651</v>
      </c>
      <c r="B818">
        <v>133692</v>
      </c>
      <c r="C818">
        <v>7646857</v>
      </c>
      <c r="D818" t="s">
        <v>1901</v>
      </c>
      <c r="F818" t="s">
        <v>245</v>
      </c>
      <c r="G818" t="s">
        <v>246</v>
      </c>
      <c r="N818" t="s">
        <v>798</v>
      </c>
      <c r="O818" t="s">
        <v>631</v>
      </c>
      <c r="P818" t="s">
        <v>249</v>
      </c>
      <c r="Q818" t="s">
        <v>250</v>
      </c>
      <c r="R818" t="s">
        <v>251</v>
      </c>
      <c r="T818" t="s">
        <v>389</v>
      </c>
      <c r="U818" t="s">
        <v>632</v>
      </c>
      <c r="V818" t="s">
        <v>799</v>
      </c>
      <c r="W818" t="s">
        <v>800</v>
      </c>
      <c r="X818" t="s">
        <v>801</v>
      </c>
      <c r="Z818" t="s">
        <v>315</v>
      </c>
      <c r="AM818" t="s">
        <v>317</v>
      </c>
      <c r="AN818" t="s">
        <v>259</v>
      </c>
      <c r="AO818" t="s">
        <v>260</v>
      </c>
      <c r="AQ818" t="s">
        <v>261</v>
      </c>
      <c r="AS818">
        <v>3150</v>
      </c>
      <c r="AU818">
        <v>2475</v>
      </c>
      <c r="AW818">
        <v>4142</v>
      </c>
      <c r="AX818" t="s">
        <v>262</v>
      </c>
      <c r="BO818" t="s">
        <v>261</v>
      </c>
      <c r="BQ818">
        <v>3.15</v>
      </c>
      <c r="BS818">
        <v>2.4750000000000001</v>
      </c>
      <c r="BU818">
        <v>4.1420000000000003</v>
      </c>
      <c r="BV818" t="s">
        <v>263</v>
      </c>
      <c r="CM818" t="s">
        <v>264</v>
      </c>
      <c r="CN818" t="s">
        <v>264</v>
      </c>
      <c r="CO818" t="s">
        <v>869</v>
      </c>
      <c r="CP818" t="s">
        <v>265</v>
      </c>
      <c r="DB818">
        <v>3</v>
      </c>
      <c r="DG818" t="s">
        <v>267</v>
      </c>
      <c r="DI818">
        <v>72</v>
      </c>
      <c r="DN818" t="s">
        <v>268</v>
      </c>
      <c r="DR818">
        <v>163476</v>
      </c>
      <c r="DS818">
        <v>740</v>
      </c>
      <c r="EW818" t="s">
        <v>333</v>
      </c>
      <c r="FA818" t="s">
        <v>803</v>
      </c>
      <c r="FM818">
        <v>15</v>
      </c>
      <c r="FR818" t="s">
        <v>295</v>
      </c>
      <c r="GU818">
        <v>30</v>
      </c>
      <c r="GZ818" t="s">
        <v>296</v>
      </c>
      <c r="HH818" t="s">
        <v>272</v>
      </c>
      <c r="IE818" t="s">
        <v>1993</v>
      </c>
      <c r="IF818">
        <v>3744</v>
      </c>
      <c r="IG818" t="s">
        <v>1994</v>
      </c>
      <c r="IH818" t="s">
        <v>1995</v>
      </c>
      <c r="II818">
        <v>1985</v>
      </c>
      <c r="IJ818" t="s">
        <v>1996</v>
      </c>
    </row>
    <row r="819" spans="1:244" x14ac:dyDescent="0.45">
      <c r="A819">
        <v>1125817</v>
      </c>
      <c r="B819">
        <v>94996</v>
      </c>
      <c r="C819">
        <v>7646857</v>
      </c>
      <c r="D819" t="s">
        <v>1901</v>
      </c>
      <c r="F819" t="s">
        <v>245</v>
      </c>
      <c r="G819" t="s">
        <v>246</v>
      </c>
      <c r="N819" t="s">
        <v>1914</v>
      </c>
      <c r="O819" t="s">
        <v>248</v>
      </c>
      <c r="P819" t="s">
        <v>249</v>
      </c>
      <c r="Q819" t="s">
        <v>250</v>
      </c>
      <c r="R819" t="s">
        <v>251</v>
      </c>
      <c r="T819" t="s">
        <v>252</v>
      </c>
      <c r="U819" t="s">
        <v>253</v>
      </c>
      <c r="V819" t="s">
        <v>254</v>
      </c>
      <c r="W819" t="s">
        <v>1915</v>
      </c>
      <c r="X819" t="s">
        <v>1916</v>
      </c>
      <c r="Z819" t="s">
        <v>284</v>
      </c>
      <c r="AA819" t="s">
        <v>352</v>
      </c>
      <c r="AB819">
        <v>12</v>
      </c>
      <c r="AG819" t="s">
        <v>268</v>
      </c>
      <c r="AL819" t="s">
        <v>1997</v>
      </c>
      <c r="AM819" t="s">
        <v>317</v>
      </c>
      <c r="AN819" t="s">
        <v>259</v>
      </c>
      <c r="AO819" t="s">
        <v>260</v>
      </c>
      <c r="AQ819" t="s">
        <v>261</v>
      </c>
      <c r="AS819">
        <v>0.56000000000000005</v>
      </c>
      <c r="AU819">
        <v>0.48</v>
      </c>
      <c r="AW819">
        <v>0.65</v>
      </c>
      <c r="AX819" t="s">
        <v>356</v>
      </c>
      <c r="BO819" t="s">
        <v>261</v>
      </c>
      <c r="BQ819">
        <v>0.56000000000000005</v>
      </c>
      <c r="BS819">
        <v>0.48</v>
      </c>
      <c r="BU819">
        <v>0.65</v>
      </c>
      <c r="BV819" t="s">
        <v>263</v>
      </c>
      <c r="CM819" t="s">
        <v>264</v>
      </c>
      <c r="CN819" t="s">
        <v>264</v>
      </c>
      <c r="CP819" t="s">
        <v>265</v>
      </c>
      <c r="DB819">
        <v>2</v>
      </c>
      <c r="DG819" t="s">
        <v>267</v>
      </c>
      <c r="DI819">
        <v>48</v>
      </c>
      <c r="DN819" t="s">
        <v>268</v>
      </c>
      <c r="DR819">
        <v>80836</v>
      </c>
      <c r="DS819">
        <v>2488</v>
      </c>
      <c r="DT819" t="s">
        <v>1918</v>
      </c>
      <c r="EW819" t="s">
        <v>333</v>
      </c>
      <c r="FK819" t="s">
        <v>1998</v>
      </c>
      <c r="FM819">
        <v>26</v>
      </c>
      <c r="FR819" t="s">
        <v>295</v>
      </c>
      <c r="GU819">
        <v>35</v>
      </c>
      <c r="GZ819" t="s">
        <v>296</v>
      </c>
      <c r="HH819" t="s">
        <v>272</v>
      </c>
      <c r="ID819" t="s">
        <v>1999</v>
      </c>
      <c r="IE819" t="s">
        <v>1921</v>
      </c>
      <c r="IF819">
        <v>10063</v>
      </c>
      <c r="IG819" t="s">
        <v>1922</v>
      </c>
      <c r="IH819" t="s">
        <v>1923</v>
      </c>
      <c r="II819">
        <v>1983</v>
      </c>
      <c r="IJ819" t="s">
        <v>1924</v>
      </c>
    </row>
    <row r="820" spans="1:244" x14ac:dyDescent="0.45">
      <c r="A820">
        <v>1114609</v>
      </c>
      <c r="B820">
        <v>69878</v>
      </c>
      <c r="C820">
        <v>7646857</v>
      </c>
      <c r="D820" t="s">
        <v>1901</v>
      </c>
      <c r="F820" t="s">
        <v>245</v>
      </c>
      <c r="G820" t="s">
        <v>246</v>
      </c>
      <c r="N820" t="s">
        <v>916</v>
      </c>
      <c r="O820" t="s">
        <v>917</v>
      </c>
      <c r="P820" t="s">
        <v>249</v>
      </c>
      <c r="Q820" t="s">
        <v>250</v>
      </c>
      <c r="R820" t="s">
        <v>251</v>
      </c>
      <c r="T820" t="s">
        <v>252</v>
      </c>
      <c r="U820" t="s">
        <v>253</v>
      </c>
      <c r="V820" t="s">
        <v>304</v>
      </c>
      <c r="W820" t="s">
        <v>305</v>
      </c>
      <c r="X820" t="s">
        <v>918</v>
      </c>
      <c r="AM820" t="s">
        <v>287</v>
      </c>
      <c r="AN820" t="s">
        <v>259</v>
      </c>
      <c r="AO820" t="s">
        <v>260</v>
      </c>
      <c r="AQ820" t="s">
        <v>261</v>
      </c>
      <c r="AS820">
        <v>130000</v>
      </c>
      <c r="AX820" t="s">
        <v>262</v>
      </c>
      <c r="BO820" t="s">
        <v>261</v>
      </c>
      <c r="BQ820">
        <v>130</v>
      </c>
      <c r="BV820" t="s">
        <v>263</v>
      </c>
      <c r="CM820" t="s">
        <v>264</v>
      </c>
      <c r="CN820" t="s">
        <v>264</v>
      </c>
      <c r="CP820" t="s">
        <v>265</v>
      </c>
      <c r="CQ820" t="s">
        <v>518</v>
      </c>
      <c r="DB820">
        <v>1</v>
      </c>
      <c r="DG820" t="s">
        <v>267</v>
      </c>
      <c r="DI820">
        <v>24</v>
      </c>
      <c r="DN820" t="s">
        <v>268</v>
      </c>
      <c r="DR820">
        <v>645159</v>
      </c>
      <c r="DS820">
        <v>730</v>
      </c>
      <c r="EW820" t="s">
        <v>271</v>
      </c>
      <c r="FO820">
        <v>14</v>
      </c>
      <c r="FQ820">
        <v>16</v>
      </c>
      <c r="FR820" t="s">
        <v>295</v>
      </c>
      <c r="HH820" t="s">
        <v>272</v>
      </c>
      <c r="IE820" t="s">
        <v>1937</v>
      </c>
      <c r="IF820">
        <v>8836</v>
      </c>
      <c r="IG820" t="s">
        <v>1938</v>
      </c>
      <c r="IH820" t="s">
        <v>1939</v>
      </c>
      <c r="II820">
        <v>1973</v>
      </c>
      <c r="IJ820" t="s">
        <v>1940</v>
      </c>
    </row>
    <row r="821" spans="1:244" x14ac:dyDescent="0.45">
      <c r="A821">
        <v>1226451</v>
      </c>
      <c r="B821">
        <v>219627</v>
      </c>
      <c r="C821">
        <v>7646857</v>
      </c>
      <c r="D821" t="s">
        <v>1901</v>
      </c>
      <c r="E821" t="s">
        <v>386</v>
      </c>
      <c r="F821" t="s">
        <v>245</v>
      </c>
      <c r="G821" t="s">
        <v>246</v>
      </c>
      <c r="N821" t="s">
        <v>302</v>
      </c>
      <c r="O821" t="s">
        <v>303</v>
      </c>
      <c r="P821" t="s">
        <v>249</v>
      </c>
      <c r="Q821" t="s">
        <v>250</v>
      </c>
      <c r="R821" t="s">
        <v>251</v>
      </c>
      <c r="T821" t="s">
        <v>252</v>
      </c>
      <c r="U821" t="s">
        <v>253</v>
      </c>
      <c r="V821" t="s">
        <v>304</v>
      </c>
      <c r="W821" t="s">
        <v>305</v>
      </c>
      <c r="X821" t="s">
        <v>306</v>
      </c>
      <c r="Z821" t="s">
        <v>1057</v>
      </c>
      <c r="AL821" t="s">
        <v>1210</v>
      </c>
      <c r="AM821" t="s">
        <v>317</v>
      </c>
      <c r="AN821" t="s">
        <v>259</v>
      </c>
      <c r="AO821" t="s">
        <v>260</v>
      </c>
      <c r="AQ821" t="s">
        <v>261</v>
      </c>
      <c r="AS821">
        <v>263</v>
      </c>
      <c r="AX821" t="s">
        <v>356</v>
      </c>
      <c r="BO821" t="s">
        <v>261</v>
      </c>
      <c r="BQ821">
        <v>263</v>
      </c>
      <c r="BV821" t="s">
        <v>263</v>
      </c>
      <c r="CM821" t="s">
        <v>264</v>
      </c>
      <c r="CN821" t="s">
        <v>264</v>
      </c>
      <c r="CP821" t="s">
        <v>265</v>
      </c>
      <c r="CQ821" t="s">
        <v>518</v>
      </c>
      <c r="DB821">
        <v>1</v>
      </c>
      <c r="DG821" t="s">
        <v>267</v>
      </c>
      <c r="DI821">
        <v>24</v>
      </c>
      <c r="DN821" t="s">
        <v>268</v>
      </c>
      <c r="DR821">
        <v>338212</v>
      </c>
      <c r="DS821">
        <v>732</v>
      </c>
      <c r="DT821" t="s">
        <v>1211</v>
      </c>
      <c r="EW821" t="s">
        <v>293</v>
      </c>
      <c r="GU821">
        <v>36</v>
      </c>
      <c r="GZ821" t="s">
        <v>900</v>
      </c>
      <c r="HH821" t="s">
        <v>272</v>
      </c>
      <c r="IE821" t="s">
        <v>1212</v>
      </c>
      <c r="IF821">
        <v>51641</v>
      </c>
      <c r="IG821" t="s">
        <v>1213</v>
      </c>
      <c r="IH821" t="s">
        <v>1214</v>
      </c>
      <c r="II821">
        <v>2000</v>
      </c>
      <c r="IJ821" t="s">
        <v>1215</v>
      </c>
    </row>
    <row r="822" spans="1:244" x14ac:dyDescent="0.45">
      <c r="A822">
        <v>1053652</v>
      </c>
      <c r="B822">
        <v>133693</v>
      </c>
      <c r="C822">
        <v>7646857</v>
      </c>
      <c r="D822" t="s">
        <v>1901</v>
      </c>
      <c r="F822" t="s">
        <v>245</v>
      </c>
      <c r="G822" t="s">
        <v>246</v>
      </c>
      <c r="N822" t="s">
        <v>798</v>
      </c>
      <c r="O822" t="s">
        <v>631</v>
      </c>
      <c r="P822" t="s">
        <v>249</v>
      </c>
      <c r="Q822" t="s">
        <v>250</v>
      </c>
      <c r="R822" t="s">
        <v>251</v>
      </c>
      <c r="T822" t="s">
        <v>389</v>
      </c>
      <c r="U822" t="s">
        <v>632</v>
      </c>
      <c r="V822" t="s">
        <v>799</v>
      </c>
      <c r="W822" t="s">
        <v>800</v>
      </c>
      <c r="X822" t="s">
        <v>801</v>
      </c>
      <c r="Z822" t="s">
        <v>315</v>
      </c>
      <c r="AM822" t="s">
        <v>317</v>
      </c>
      <c r="AN822" t="s">
        <v>259</v>
      </c>
      <c r="AO822" t="s">
        <v>260</v>
      </c>
      <c r="AQ822" t="s">
        <v>261</v>
      </c>
      <c r="AS822">
        <v>1783</v>
      </c>
      <c r="AX822" t="s">
        <v>262</v>
      </c>
      <c r="BO822" t="s">
        <v>261</v>
      </c>
      <c r="BQ822">
        <v>1.7829999999999999</v>
      </c>
      <c r="BV822" t="s">
        <v>263</v>
      </c>
      <c r="CM822" t="s">
        <v>264</v>
      </c>
      <c r="CN822" t="s">
        <v>264</v>
      </c>
      <c r="CO822" t="s">
        <v>2000</v>
      </c>
      <c r="CP822" t="s">
        <v>265</v>
      </c>
      <c r="DB822">
        <v>4</v>
      </c>
      <c r="DG822" t="s">
        <v>267</v>
      </c>
      <c r="DI822">
        <v>96</v>
      </c>
      <c r="DN822" t="s">
        <v>268</v>
      </c>
      <c r="DR822">
        <v>163476</v>
      </c>
      <c r="DS822">
        <v>740</v>
      </c>
      <c r="EW822" t="s">
        <v>333</v>
      </c>
      <c r="FA822" t="s">
        <v>803</v>
      </c>
      <c r="FM822">
        <v>15</v>
      </c>
      <c r="FR822" t="s">
        <v>295</v>
      </c>
      <c r="GU822">
        <v>30</v>
      </c>
      <c r="GZ822" t="s">
        <v>296</v>
      </c>
      <c r="HH822" t="s">
        <v>272</v>
      </c>
      <c r="IE822" t="s">
        <v>1993</v>
      </c>
      <c r="IF822">
        <v>3744</v>
      </c>
      <c r="IG822" t="s">
        <v>1994</v>
      </c>
      <c r="IH822" t="s">
        <v>1995</v>
      </c>
      <c r="II822">
        <v>1985</v>
      </c>
      <c r="IJ822" t="s">
        <v>1996</v>
      </c>
    </row>
    <row r="823" spans="1:244" x14ac:dyDescent="0.45">
      <c r="A823">
        <v>1245232</v>
      </c>
      <c r="B823">
        <v>236624</v>
      </c>
      <c r="C823">
        <v>7646857</v>
      </c>
      <c r="D823" t="s">
        <v>1901</v>
      </c>
      <c r="F823" t="s">
        <v>245</v>
      </c>
      <c r="G823" t="s">
        <v>246</v>
      </c>
      <c r="N823" t="s">
        <v>302</v>
      </c>
      <c r="O823" t="s">
        <v>303</v>
      </c>
      <c r="P823" t="s">
        <v>249</v>
      </c>
      <c r="Q823" t="s">
        <v>250</v>
      </c>
      <c r="R823" t="s">
        <v>251</v>
      </c>
      <c r="T823" t="s">
        <v>252</v>
      </c>
      <c r="U823" t="s">
        <v>253</v>
      </c>
      <c r="V823" t="s">
        <v>304</v>
      </c>
      <c r="W823" t="s">
        <v>305</v>
      </c>
      <c r="X823" t="s">
        <v>306</v>
      </c>
      <c r="AJ823" t="s">
        <v>285</v>
      </c>
      <c r="AM823" t="s">
        <v>317</v>
      </c>
      <c r="AN823" t="s">
        <v>259</v>
      </c>
      <c r="AO823" t="s">
        <v>260</v>
      </c>
      <c r="AP823">
        <v>6</v>
      </c>
      <c r="AQ823" t="s">
        <v>261</v>
      </c>
      <c r="AS823">
        <v>12.3</v>
      </c>
      <c r="AU823">
        <v>8.94</v>
      </c>
      <c r="AW823">
        <v>14.8</v>
      </c>
      <c r="AX823" t="s">
        <v>356</v>
      </c>
      <c r="BO823" t="s">
        <v>261</v>
      </c>
      <c r="BQ823">
        <v>12.3</v>
      </c>
      <c r="BS823">
        <v>8.94</v>
      </c>
      <c r="BU823">
        <v>14.8</v>
      </c>
      <c r="BV823" t="s">
        <v>263</v>
      </c>
      <c r="CM823" t="s">
        <v>264</v>
      </c>
      <c r="CN823" t="s">
        <v>264</v>
      </c>
      <c r="CP823" t="s">
        <v>265</v>
      </c>
      <c r="CQ823" t="s">
        <v>518</v>
      </c>
      <c r="DB823">
        <v>4</v>
      </c>
      <c r="DG823" t="s">
        <v>267</v>
      </c>
      <c r="DI823">
        <v>96</v>
      </c>
      <c r="DN823" t="s">
        <v>268</v>
      </c>
      <c r="DR823">
        <v>338212</v>
      </c>
      <c r="DS823">
        <v>732</v>
      </c>
      <c r="EW823" t="s">
        <v>293</v>
      </c>
      <c r="FK823" t="s">
        <v>2001</v>
      </c>
      <c r="FM823">
        <v>15</v>
      </c>
      <c r="FR823" t="s">
        <v>295</v>
      </c>
      <c r="GH823">
        <v>85</v>
      </c>
      <c r="GM823" t="s">
        <v>900</v>
      </c>
      <c r="GO823">
        <v>8.1</v>
      </c>
      <c r="GU823">
        <v>17</v>
      </c>
      <c r="GZ823" t="s">
        <v>900</v>
      </c>
      <c r="HH823" t="s">
        <v>272</v>
      </c>
      <c r="ID823" t="s">
        <v>2002</v>
      </c>
      <c r="IE823" t="s">
        <v>1907</v>
      </c>
      <c r="IF823">
        <v>82993</v>
      </c>
      <c r="IG823" t="s">
        <v>1908</v>
      </c>
      <c r="IH823" t="s">
        <v>1909</v>
      </c>
      <c r="II823">
        <v>1999</v>
      </c>
      <c r="IJ823" t="s">
        <v>1910</v>
      </c>
    </row>
    <row r="824" spans="1:244" x14ac:dyDescent="0.45">
      <c r="A824">
        <v>1304658</v>
      </c>
      <c r="B824">
        <v>761307</v>
      </c>
      <c r="C824">
        <v>7646857</v>
      </c>
      <c r="D824" t="s">
        <v>1901</v>
      </c>
      <c r="F824" t="s">
        <v>245</v>
      </c>
      <c r="G824" t="s">
        <v>246</v>
      </c>
      <c r="N824" t="s">
        <v>1230</v>
      </c>
      <c r="O824" t="s">
        <v>248</v>
      </c>
      <c r="P824" t="s">
        <v>249</v>
      </c>
      <c r="Q824" t="s">
        <v>250</v>
      </c>
      <c r="R824" t="s">
        <v>251</v>
      </c>
      <c r="T824" t="s">
        <v>252</v>
      </c>
      <c r="U824" t="s">
        <v>253</v>
      </c>
      <c r="V824" t="s">
        <v>1231</v>
      </c>
      <c r="W824" t="s">
        <v>1232</v>
      </c>
      <c r="X824" t="s">
        <v>1233</v>
      </c>
      <c r="Z824" t="s">
        <v>919</v>
      </c>
      <c r="AM824" t="s">
        <v>258</v>
      </c>
      <c r="AN824" t="s">
        <v>259</v>
      </c>
      <c r="AO824" t="s">
        <v>260</v>
      </c>
      <c r="AP824">
        <v>6</v>
      </c>
      <c r="AQ824" t="s">
        <v>261</v>
      </c>
      <c r="AS824">
        <v>75</v>
      </c>
      <c r="AU824">
        <v>60.9</v>
      </c>
      <c r="AW824">
        <v>92.1</v>
      </c>
      <c r="AX824" t="s">
        <v>356</v>
      </c>
      <c r="BO824" t="s">
        <v>261</v>
      </c>
      <c r="BQ824">
        <v>75</v>
      </c>
      <c r="BS824">
        <v>60.9</v>
      </c>
      <c r="BU824">
        <v>92.1</v>
      </c>
      <c r="BV824" t="s">
        <v>263</v>
      </c>
      <c r="CM824" t="s">
        <v>264</v>
      </c>
      <c r="CN824" t="s">
        <v>264</v>
      </c>
      <c r="CP824" t="s">
        <v>265</v>
      </c>
      <c r="CQ824" t="s">
        <v>518</v>
      </c>
      <c r="DB824">
        <v>3</v>
      </c>
      <c r="DG824" t="s">
        <v>267</v>
      </c>
      <c r="DI824">
        <v>72</v>
      </c>
      <c r="DN824" t="s">
        <v>268</v>
      </c>
      <c r="DP824" t="s">
        <v>1964</v>
      </c>
      <c r="DS824">
        <v>4771</v>
      </c>
      <c r="DT824" t="s">
        <v>1235</v>
      </c>
      <c r="EW824" t="s">
        <v>293</v>
      </c>
      <c r="FA824" t="s">
        <v>397</v>
      </c>
      <c r="FK824" t="s">
        <v>1980</v>
      </c>
      <c r="FM824">
        <v>22</v>
      </c>
      <c r="FR824" t="s">
        <v>295</v>
      </c>
      <c r="GO824">
        <v>8</v>
      </c>
      <c r="GU824">
        <v>35</v>
      </c>
      <c r="GZ824" t="s">
        <v>362</v>
      </c>
      <c r="HH824" t="s">
        <v>272</v>
      </c>
      <c r="ID824" t="s">
        <v>1981</v>
      </c>
      <c r="IE824" t="s">
        <v>1238</v>
      </c>
      <c r="IF824">
        <v>97270</v>
      </c>
      <c r="IG824" t="s">
        <v>1239</v>
      </c>
      <c r="IH824" t="s">
        <v>1240</v>
      </c>
      <c r="II824">
        <v>2006</v>
      </c>
      <c r="IJ824" t="s">
        <v>1241</v>
      </c>
    </row>
    <row r="825" spans="1:244" x14ac:dyDescent="0.45">
      <c r="A825">
        <v>1226449</v>
      </c>
      <c r="B825">
        <v>219625</v>
      </c>
      <c r="C825">
        <v>7646857</v>
      </c>
      <c r="D825" t="s">
        <v>1901</v>
      </c>
      <c r="E825" t="s">
        <v>386</v>
      </c>
      <c r="F825" t="s">
        <v>245</v>
      </c>
      <c r="G825" t="s">
        <v>246</v>
      </c>
      <c r="N825" t="s">
        <v>302</v>
      </c>
      <c r="O825" t="s">
        <v>303</v>
      </c>
      <c r="P825" t="s">
        <v>249</v>
      </c>
      <c r="Q825" t="s">
        <v>250</v>
      </c>
      <c r="R825" t="s">
        <v>251</v>
      </c>
      <c r="T825" t="s">
        <v>252</v>
      </c>
      <c r="U825" t="s">
        <v>253</v>
      </c>
      <c r="V825" t="s">
        <v>304</v>
      </c>
      <c r="W825" t="s">
        <v>305</v>
      </c>
      <c r="X825" t="s">
        <v>306</v>
      </c>
      <c r="Z825" t="s">
        <v>1057</v>
      </c>
      <c r="AL825" t="s">
        <v>1324</v>
      </c>
      <c r="AM825" t="s">
        <v>317</v>
      </c>
      <c r="AN825" t="s">
        <v>259</v>
      </c>
      <c r="AO825" t="s">
        <v>260</v>
      </c>
      <c r="AQ825" t="s">
        <v>261</v>
      </c>
      <c r="AS825">
        <v>166.1</v>
      </c>
      <c r="AX825" t="s">
        <v>356</v>
      </c>
      <c r="BO825" t="s">
        <v>261</v>
      </c>
      <c r="BQ825">
        <v>166.1</v>
      </c>
      <c r="BV825" t="s">
        <v>263</v>
      </c>
      <c r="CM825" t="s">
        <v>264</v>
      </c>
      <c r="CN825" t="s">
        <v>264</v>
      </c>
      <c r="CP825" t="s">
        <v>265</v>
      </c>
      <c r="CQ825" t="s">
        <v>518</v>
      </c>
      <c r="DB825">
        <v>2</v>
      </c>
      <c r="DG825" t="s">
        <v>267</v>
      </c>
      <c r="DI825">
        <v>48</v>
      </c>
      <c r="DN825" t="s">
        <v>268</v>
      </c>
      <c r="DR825">
        <v>338212</v>
      </c>
      <c r="DS825">
        <v>732</v>
      </c>
      <c r="DT825" t="s">
        <v>1211</v>
      </c>
      <c r="EW825" t="s">
        <v>293</v>
      </c>
      <c r="GU825">
        <v>36</v>
      </c>
      <c r="GZ825" t="s">
        <v>900</v>
      </c>
      <c r="HH825" t="s">
        <v>272</v>
      </c>
      <c r="IE825" t="s">
        <v>1212</v>
      </c>
      <c r="IF825">
        <v>51641</v>
      </c>
      <c r="IG825" t="s">
        <v>1213</v>
      </c>
      <c r="IH825" t="s">
        <v>1214</v>
      </c>
      <c r="II825">
        <v>2000</v>
      </c>
      <c r="IJ825" t="s">
        <v>1215</v>
      </c>
    </row>
    <row r="826" spans="1:244" x14ac:dyDescent="0.45">
      <c r="A826">
        <v>1245231</v>
      </c>
      <c r="B826">
        <v>236623</v>
      </c>
      <c r="C826">
        <v>7646857</v>
      </c>
      <c r="D826" t="s">
        <v>1901</v>
      </c>
      <c r="F826" t="s">
        <v>245</v>
      </c>
      <c r="G826" t="s">
        <v>246</v>
      </c>
      <c r="N826" t="s">
        <v>1312</v>
      </c>
      <c r="O826" t="s">
        <v>1313</v>
      </c>
      <c r="P826" t="s">
        <v>249</v>
      </c>
      <c r="Q826" t="s">
        <v>250</v>
      </c>
      <c r="R826" t="s">
        <v>251</v>
      </c>
      <c r="T826" t="s">
        <v>252</v>
      </c>
      <c r="U826" t="s">
        <v>1244</v>
      </c>
      <c r="V826" t="s">
        <v>1314</v>
      </c>
      <c r="W826" t="s">
        <v>1315</v>
      </c>
      <c r="X826" t="s">
        <v>1316</v>
      </c>
      <c r="AJ826" t="s">
        <v>285</v>
      </c>
      <c r="AM826" t="s">
        <v>317</v>
      </c>
      <c r="AN826" t="s">
        <v>259</v>
      </c>
      <c r="AO826" t="s">
        <v>260</v>
      </c>
      <c r="AP826">
        <v>6</v>
      </c>
      <c r="AQ826" t="s">
        <v>261</v>
      </c>
      <c r="AS826">
        <v>6.12</v>
      </c>
      <c r="AU826">
        <v>5.51</v>
      </c>
      <c r="AW826">
        <v>8.11</v>
      </c>
      <c r="AX826" t="s">
        <v>356</v>
      </c>
      <c r="BO826" t="s">
        <v>261</v>
      </c>
      <c r="BQ826">
        <v>6.12</v>
      </c>
      <c r="BS826">
        <v>5.51</v>
      </c>
      <c r="BU826">
        <v>8.11</v>
      </c>
      <c r="BV826" t="s">
        <v>263</v>
      </c>
      <c r="CM826" t="s">
        <v>264</v>
      </c>
      <c r="CN826" t="s">
        <v>264</v>
      </c>
      <c r="CP826" t="s">
        <v>265</v>
      </c>
      <c r="CQ826" t="s">
        <v>518</v>
      </c>
      <c r="DB826">
        <v>4</v>
      </c>
      <c r="DG826" t="s">
        <v>267</v>
      </c>
      <c r="DI826">
        <v>96</v>
      </c>
      <c r="DN826" t="s">
        <v>268</v>
      </c>
      <c r="DR826">
        <v>96875</v>
      </c>
      <c r="DS826">
        <v>1666</v>
      </c>
      <c r="EW826" t="s">
        <v>293</v>
      </c>
      <c r="FK826" t="s">
        <v>2003</v>
      </c>
      <c r="FM826">
        <v>15</v>
      </c>
      <c r="FR826" t="s">
        <v>295</v>
      </c>
      <c r="GH826">
        <v>85</v>
      </c>
      <c r="GM826" t="s">
        <v>900</v>
      </c>
      <c r="GO826">
        <v>8.1</v>
      </c>
      <c r="GU826">
        <v>17</v>
      </c>
      <c r="GZ826" t="s">
        <v>900</v>
      </c>
      <c r="HH826" t="s">
        <v>272</v>
      </c>
      <c r="ID826" t="s">
        <v>2004</v>
      </c>
      <c r="IE826" t="s">
        <v>1907</v>
      </c>
      <c r="IF826">
        <v>82993</v>
      </c>
      <c r="IG826" t="s">
        <v>1908</v>
      </c>
      <c r="IH826" t="s">
        <v>1909</v>
      </c>
      <c r="II826">
        <v>1999</v>
      </c>
      <c r="IJ826" t="s">
        <v>1910</v>
      </c>
    </row>
    <row r="827" spans="1:244" x14ac:dyDescent="0.45">
      <c r="A827">
        <v>1070630</v>
      </c>
      <c r="B827">
        <v>12735</v>
      </c>
      <c r="C827">
        <v>7646857</v>
      </c>
      <c r="D827" t="s">
        <v>1901</v>
      </c>
      <c r="F827" t="s">
        <v>327</v>
      </c>
      <c r="G827" t="s">
        <v>246</v>
      </c>
      <c r="N827" t="s">
        <v>2005</v>
      </c>
      <c r="O827" t="s">
        <v>631</v>
      </c>
      <c r="P827" t="s">
        <v>249</v>
      </c>
      <c r="Q827" t="s">
        <v>250</v>
      </c>
      <c r="R827" t="s">
        <v>251</v>
      </c>
      <c r="T827" t="s">
        <v>389</v>
      </c>
      <c r="U827" t="s">
        <v>632</v>
      </c>
      <c r="V827" t="s">
        <v>2006</v>
      </c>
      <c r="W827" t="s">
        <v>2007</v>
      </c>
      <c r="X827" t="s">
        <v>2008</v>
      </c>
      <c r="Z827" t="s">
        <v>1034</v>
      </c>
      <c r="AL827" t="s">
        <v>1943</v>
      </c>
      <c r="AM827" t="s">
        <v>317</v>
      </c>
      <c r="AN827" t="s">
        <v>259</v>
      </c>
      <c r="AO827" t="s">
        <v>260</v>
      </c>
      <c r="AQ827" t="s">
        <v>261</v>
      </c>
      <c r="AS827">
        <v>1380</v>
      </c>
      <c r="AU827">
        <v>1060</v>
      </c>
      <c r="AW827">
        <v>1750</v>
      </c>
      <c r="AX827" t="s">
        <v>262</v>
      </c>
      <c r="BO827" t="s">
        <v>261</v>
      </c>
      <c r="BQ827">
        <v>1.38</v>
      </c>
      <c r="BS827">
        <v>1.06</v>
      </c>
      <c r="BU827">
        <v>1.75</v>
      </c>
      <c r="BV827" t="s">
        <v>263</v>
      </c>
      <c r="CM827" t="s">
        <v>264</v>
      </c>
      <c r="CN827" t="s">
        <v>264</v>
      </c>
      <c r="CP827" t="s">
        <v>265</v>
      </c>
      <c r="CQ827" t="s">
        <v>518</v>
      </c>
      <c r="DB827">
        <v>1</v>
      </c>
      <c r="DG827" t="s">
        <v>267</v>
      </c>
      <c r="DI827">
        <v>24</v>
      </c>
      <c r="DN827" t="s">
        <v>268</v>
      </c>
      <c r="DR827">
        <v>187406</v>
      </c>
      <c r="DS827">
        <v>645</v>
      </c>
      <c r="DT827" t="s">
        <v>1944</v>
      </c>
      <c r="EW827" t="s">
        <v>638</v>
      </c>
      <c r="FK827" t="s">
        <v>2009</v>
      </c>
      <c r="FM827">
        <v>17</v>
      </c>
      <c r="FR827" t="s">
        <v>295</v>
      </c>
      <c r="GW827">
        <v>34.5</v>
      </c>
      <c r="GY827">
        <v>35.5</v>
      </c>
      <c r="GZ827" t="s">
        <v>296</v>
      </c>
      <c r="HH827" t="s">
        <v>272</v>
      </c>
      <c r="ID827" t="s">
        <v>2010</v>
      </c>
      <c r="IE827" t="s">
        <v>1947</v>
      </c>
      <c r="IF827">
        <v>5563</v>
      </c>
      <c r="IG827" t="s">
        <v>1948</v>
      </c>
      <c r="IH827" t="s">
        <v>1949</v>
      </c>
      <c r="II827">
        <v>1979</v>
      </c>
      <c r="IJ827" t="s">
        <v>1950</v>
      </c>
    </row>
    <row r="828" spans="1:244" x14ac:dyDescent="0.45">
      <c r="A828">
        <v>1304643</v>
      </c>
      <c r="B828">
        <v>761291</v>
      </c>
      <c r="C828">
        <v>7646857</v>
      </c>
      <c r="D828" t="s">
        <v>1901</v>
      </c>
      <c r="F828" t="s">
        <v>245</v>
      </c>
      <c r="G828" t="s">
        <v>246</v>
      </c>
      <c r="N828" t="s">
        <v>1230</v>
      </c>
      <c r="O828" t="s">
        <v>248</v>
      </c>
      <c r="P828" t="s">
        <v>249</v>
      </c>
      <c r="Q828" t="s">
        <v>250</v>
      </c>
      <c r="R828" t="s">
        <v>251</v>
      </c>
      <c r="T828" t="s">
        <v>252</v>
      </c>
      <c r="U828" t="s">
        <v>253</v>
      </c>
      <c r="V828" t="s">
        <v>1231</v>
      </c>
      <c r="W828" t="s">
        <v>1232</v>
      </c>
      <c r="X828" t="s">
        <v>1233</v>
      </c>
      <c r="Z828" t="s">
        <v>1046</v>
      </c>
      <c r="AA828" t="s">
        <v>289</v>
      </c>
      <c r="AB828">
        <v>8</v>
      </c>
      <c r="AG828" t="s">
        <v>353</v>
      </c>
      <c r="AM828" t="s">
        <v>258</v>
      </c>
      <c r="AN828" t="s">
        <v>259</v>
      </c>
      <c r="AO828" t="s">
        <v>260</v>
      </c>
      <c r="AP828">
        <v>6</v>
      </c>
      <c r="AQ828" t="s">
        <v>261</v>
      </c>
      <c r="AS828">
        <v>671.8</v>
      </c>
      <c r="AU828">
        <v>552.20000000000005</v>
      </c>
      <c r="AW828">
        <v>827.3</v>
      </c>
      <c r="AX828" t="s">
        <v>262</v>
      </c>
      <c r="BO828" t="s">
        <v>261</v>
      </c>
      <c r="BQ828">
        <v>0.67179999999999995</v>
      </c>
      <c r="BS828">
        <v>0.55220000000000002</v>
      </c>
      <c r="BU828">
        <v>0.82730000000000004</v>
      </c>
      <c r="BV828" t="s">
        <v>263</v>
      </c>
      <c r="CM828" t="s">
        <v>264</v>
      </c>
      <c r="CN828" t="s">
        <v>264</v>
      </c>
      <c r="CP828" t="s">
        <v>265</v>
      </c>
      <c r="CQ828" t="s">
        <v>518</v>
      </c>
      <c r="DB828">
        <v>2</v>
      </c>
      <c r="DG828" t="s">
        <v>267</v>
      </c>
      <c r="DI828">
        <v>48</v>
      </c>
      <c r="DN828" t="s">
        <v>268</v>
      </c>
      <c r="DP828" t="s">
        <v>1964</v>
      </c>
      <c r="DS828">
        <v>4771</v>
      </c>
      <c r="DT828" t="s">
        <v>1235</v>
      </c>
      <c r="EW828" t="s">
        <v>293</v>
      </c>
      <c r="FA828" t="s">
        <v>397</v>
      </c>
      <c r="FK828" t="s">
        <v>1965</v>
      </c>
      <c r="FM828">
        <v>22</v>
      </c>
      <c r="FR828" t="s">
        <v>295</v>
      </c>
      <c r="GO828">
        <v>8</v>
      </c>
      <c r="GU828">
        <v>35</v>
      </c>
      <c r="GZ828" t="s">
        <v>362</v>
      </c>
      <c r="HH828" t="s">
        <v>272</v>
      </c>
      <c r="ID828" t="s">
        <v>1966</v>
      </c>
      <c r="IE828" t="s">
        <v>1238</v>
      </c>
      <c r="IF828">
        <v>97270</v>
      </c>
      <c r="IG828" t="s">
        <v>1239</v>
      </c>
      <c r="IH828" t="s">
        <v>1240</v>
      </c>
      <c r="II828">
        <v>2006</v>
      </c>
      <c r="IJ828" t="s">
        <v>1241</v>
      </c>
    </row>
    <row r="829" spans="1:244" x14ac:dyDescent="0.45">
      <c r="A829">
        <v>1273826</v>
      </c>
      <c r="B829">
        <v>725149</v>
      </c>
      <c r="C829">
        <v>7646857</v>
      </c>
      <c r="D829" t="s">
        <v>1901</v>
      </c>
      <c r="F829" t="s">
        <v>245</v>
      </c>
      <c r="G829" t="s">
        <v>246</v>
      </c>
      <c r="N829" t="s">
        <v>1230</v>
      </c>
      <c r="O829" t="s">
        <v>248</v>
      </c>
      <c r="P829" t="s">
        <v>249</v>
      </c>
      <c r="Q829" t="s">
        <v>250</v>
      </c>
      <c r="R829" t="s">
        <v>251</v>
      </c>
      <c r="T829" t="s">
        <v>252</v>
      </c>
      <c r="U829" t="s">
        <v>253</v>
      </c>
      <c r="V829" t="s">
        <v>1231</v>
      </c>
      <c r="W829" t="s">
        <v>1232</v>
      </c>
      <c r="X829" t="s">
        <v>1233</v>
      </c>
      <c r="Z829" t="s">
        <v>1046</v>
      </c>
      <c r="AA829" t="s">
        <v>289</v>
      </c>
      <c r="AB829">
        <v>8</v>
      </c>
      <c r="AG829" t="s">
        <v>353</v>
      </c>
      <c r="AM829" t="s">
        <v>258</v>
      </c>
      <c r="AN829" t="s">
        <v>259</v>
      </c>
      <c r="AO829" t="s">
        <v>260</v>
      </c>
      <c r="AP829">
        <v>6</v>
      </c>
      <c r="AQ829" t="s">
        <v>261</v>
      </c>
      <c r="AS829">
        <v>172.1</v>
      </c>
      <c r="AU829">
        <v>141.30000000000001</v>
      </c>
      <c r="AW829">
        <v>203.6</v>
      </c>
      <c r="AX829" t="s">
        <v>262</v>
      </c>
      <c r="BO829" t="s">
        <v>261</v>
      </c>
      <c r="BQ829">
        <v>0.1721</v>
      </c>
      <c r="BS829">
        <v>0.14130000000000001</v>
      </c>
      <c r="BU829">
        <v>0.2036</v>
      </c>
      <c r="BV829" t="s">
        <v>263</v>
      </c>
      <c r="CM829" t="s">
        <v>264</v>
      </c>
      <c r="CN829" t="s">
        <v>264</v>
      </c>
      <c r="CP829" t="s">
        <v>265</v>
      </c>
      <c r="CQ829" t="s">
        <v>518</v>
      </c>
      <c r="DB829">
        <v>4</v>
      </c>
      <c r="DG829" t="s">
        <v>267</v>
      </c>
      <c r="DI829">
        <v>96</v>
      </c>
      <c r="DN829" t="s">
        <v>268</v>
      </c>
      <c r="DP829" t="s">
        <v>1911</v>
      </c>
      <c r="DS829">
        <v>4771</v>
      </c>
      <c r="DT829" t="s">
        <v>1235</v>
      </c>
      <c r="EW829" t="s">
        <v>293</v>
      </c>
      <c r="FA829" t="s">
        <v>2011</v>
      </c>
      <c r="FK829" t="s">
        <v>1965</v>
      </c>
      <c r="FM829">
        <v>22</v>
      </c>
      <c r="FR829" t="s">
        <v>295</v>
      </c>
      <c r="GO829">
        <v>8</v>
      </c>
      <c r="GU829">
        <v>35</v>
      </c>
      <c r="GZ829" t="s">
        <v>362</v>
      </c>
      <c r="HH829" t="s">
        <v>272</v>
      </c>
      <c r="ID829" t="s">
        <v>1966</v>
      </c>
      <c r="IE829" t="s">
        <v>1238</v>
      </c>
      <c r="IF829">
        <v>97270</v>
      </c>
      <c r="IG829" t="s">
        <v>1239</v>
      </c>
      <c r="IH829" t="s">
        <v>1240</v>
      </c>
      <c r="II829">
        <v>2006</v>
      </c>
      <c r="IJ829" t="s">
        <v>1241</v>
      </c>
    </row>
    <row r="830" spans="1:244" x14ac:dyDescent="0.45">
      <c r="A830">
        <v>1125818</v>
      </c>
      <c r="B830">
        <v>94997</v>
      </c>
      <c r="C830">
        <v>7646857</v>
      </c>
      <c r="D830" t="s">
        <v>1901</v>
      </c>
      <c r="F830" t="s">
        <v>245</v>
      </c>
      <c r="G830" t="s">
        <v>246</v>
      </c>
      <c r="N830" t="s">
        <v>1914</v>
      </c>
      <c r="O830" t="s">
        <v>248</v>
      </c>
      <c r="P830" t="s">
        <v>249</v>
      </c>
      <c r="Q830" t="s">
        <v>250</v>
      </c>
      <c r="R830" t="s">
        <v>251</v>
      </c>
      <c r="T830" t="s">
        <v>252</v>
      </c>
      <c r="U830" t="s">
        <v>253</v>
      </c>
      <c r="V830" t="s">
        <v>254</v>
      </c>
      <c r="W830" t="s">
        <v>1915</v>
      </c>
      <c r="X830" t="s">
        <v>1916</v>
      </c>
      <c r="Z830" t="s">
        <v>284</v>
      </c>
      <c r="AA830" t="s">
        <v>352</v>
      </c>
      <c r="AB830">
        <v>12</v>
      </c>
      <c r="AG830" t="s">
        <v>268</v>
      </c>
      <c r="AL830" t="s">
        <v>1917</v>
      </c>
      <c r="AM830" t="s">
        <v>317</v>
      </c>
      <c r="AN830" t="s">
        <v>259</v>
      </c>
      <c r="AO830" t="s">
        <v>260</v>
      </c>
      <c r="AQ830" t="s">
        <v>261</v>
      </c>
      <c r="AS830">
        <v>0.65</v>
      </c>
      <c r="AU830">
        <v>0.44</v>
      </c>
      <c r="AW830">
        <v>0.95</v>
      </c>
      <c r="AX830" t="s">
        <v>356</v>
      </c>
      <c r="BO830" t="s">
        <v>261</v>
      </c>
      <c r="BQ830">
        <v>0.65</v>
      </c>
      <c r="BS830">
        <v>0.44</v>
      </c>
      <c r="BU830">
        <v>0.95</v>
      </c>
      <c r="BV830" t="s">
        <v>263</v>
      </c>
      <c r="CM830" t="s">
        <v>264</v>
      </c>
      <c r="CN830" t="s">
        <v>264</v>
      </c>
      <c r="CP830" t="s">
        <v>265</v>
      </c>
      <c r="DB830">
        <v>2</v>
      </c>
      <c r="DG830" t="s">
        <v>267</v>
      </c>
      <c r="DI830">
        <v>48</v>
      </c>
      <c r="DN830" t="s">
        <v>268</v>
      </c>
      <c r="DR830">
        <v>80836</v>
      </c>
      <c r="DS830">
        <v>2488</v>
      </c>
      <c r="DT830" t="s">
        <v>1918</v>
      </c>
      <c r="EW830" t="s">
        <v>333</v>
      </c>
      <c r="FK830" t="s">
        <v>2012</v>
      </c>
      <c r="FM830">
        <v>26</v>
      </c>
      <c r="FR830" t="s">
        <v>295</v>
      </c>
      <c r="GU830">
        <v>35</v>
      </c>
      <c r="GZ830" t="s">
        <v>296</v>
      </c>
      <c r="HH830" t="s">
        <v>272</v>
      </c>
      <c r="ID830" t="s">
        <v>2013</v>
      </c>
      <c r="IE830" t="s">
        <v>1921</v>
      </c>
      <c r="IF830">
        <v>10063</v>
      </c>
      <c r="IG830" t="s">
        <v>1922</v>
      </c>
      <c r="IH830" t="s">
        <v>1923</v>
      </c>
      <c r="II830">
        <v>1983</v>
      </c>
      <c r="IJ830" t="s">
        <v>1924</v>
      </c>
    </row>
    <row r="831" spans="1:244" x14ac:dyDescent="0.45">
      <c r="A831">
        <v>1053470</v>
      </c>
      <c r="B831">
        <v>125585</v>
      </c>
      <c r="C831">
        <v>7646857</v>
      </c>
      <c r="D831" t="s">
        <v>1901</v>
      </c>
      <c r="F831" t="s">
        <v>245</v>
      </c>
      <c r="G831" t="s">
        <v>246</v>
      </c>
      <c r="N831" t="s">
        <v>606</v>
      </c>
      <c r="O831" t="s">
        <v>607</v>
      </c>
      <c r="P831" t="s">
        <v>249</v>
      </c>
      <c r="Q831" t="s">
        <v>250</v>
      </c>
      <c r="R831" t="s">
        <v>251</v>
      </c>
      <c r="T831" t="s">
        <v>252</v>
      </c>
      <c r="U831" t="s">
        <v>253</v>
      </c>
      <c r="V831" t="s">
        <v>608</v>
      </c>
      <c r="W831" t="s">
        <v>609</v>
      </c>
      <c r="X831" t="s">
        <v>610</v>
      </c>
      <c r="Z831" t="s">
        <v>284</v>
      </c>
      <c r="AM831" t="s">
        <v>317</v>
      </c>
      <c r="AN831" t="s">
        <v>259</v>
      </c>
      <c r="AO831" t="s">
        <v>260</v>
      </c>
      <c r="AQ831" t="s">
        <v>261</v>
      </c>
      <c r="AS831">
        <v>175</v>
      </c>
      <c r="AU831">
        <v>39</v>
      </c>
      <c r="AW831">
        <v>345</v>
      </c>
      <c r="AX831" t="s">
        <v>262</v>
      </c>
      <c r="BO831" t="s">
        <v>261</v>
      </c>
      <c r="BQ831">
        <v>0.17499999999999999</v>
      </c>
      <c r="BS831">
        <v>3.9E-2</v>
      </c>
      <c r="BU831">
        <v>0.34499999999999997</v>
      </c>
      <c r="BV831" t="s">
        <v>263</v>
      </c>
      <c r="CM831" t="s">
        <v>264</v>
      </c>
      <c r="CN831" t="s">
        <v>264</v>
      </c>
      <c r="CP831" t="s">
        <v>265</v>
      </c>
      <c r="CQ831" t="s">
        <v>518</v>
      </c>
      <c r="DB831">
        <v>4</v>
      </c>
      <c r="DG831" t="s">
        <v>267</v>
      </c>
      <c r="DI831">
        <v>96</v>
      </c>
      <c r="DN831" t="s">
        <v>268</v>
      </c>
      <c r="DR831">
        <v>6706</v>
      </c>
      <c r="DS831">
        <v>346</v>
      </c>
      <c r="EW831" t="s">
        <v>638</v>
      </c>
      <c r="FA831" t="s">
        <v>2014</v>
      </c>
      <c r="FK831" t="s">
        <v>1014</v>
      </c>
      <c r="FM831">
        <v>22</v>
      </c>
      <c r="FR831" t="s">
        <v>295</v>
      </c>
      <c r="GU831">
        <v>30</v>
      </c>
      <c r="GZ831" t="s">
        <v>296</v>
      </c>
      <c r="HH831" t="s">
        <v>272</v>
      </c>
      <c r="ID831" t="s">
        <v>1015</v>
      </c>
      <c r="IE831" t="s">
        <v>2015</v>
      </c>
      <c r="IF831">
        <v>3733</v>
      </c>
      <c r="IG831" t="s">
        <v>1994</v>
      </c>
      <c r="IH831" t="s">
        <v>2016</v>
      </c>
      <c r="II831">
        <v>1985</v>
      </c>
      <c r="IJ831" t="s">
        <v>2017</v>
      </c>
    </row>
    <row r="832" spans="1:244" x14ac:dyDescent="0.45">
      <c r="A832">
        <v>1070629</v>
      </c>
      <c r="B832">
        <v>12734</v>
      </c>
      <c r="C832">
        <v>7646857</v>
      </c>
      <c r="D832" t="s">
        <v>1901</v>
      </c>
      <c r="F832" t="s">
        <v>327</v>
      </c>
      <c r="G832" t="s">
        <v>246</v>
      </c>
      <c r="N832" t="s">
        <v>2018</v>
      </c>
      <c r="O832" t="s">
        <v>631</v>
      </c>
      <c r="P832" t="s">
        <v>249</v>
      </c>
      <c r="Q832" t="s">
        <v>250</v>
      </c>
      <c r="R832" t="s">
        <v>251</v>
      </c>
      <c r="T832" t="s">
        <v>389</v>
      </c>
      <c r="U832" t="s">
        <v>632</v>
      </c>
      <c r="V832" t="s">
        <v>633</v>
      </c>
      <c r="W832" t="s">
        <v>634</v>
      </c>
      <c r="X832" t="s">
        <v>2019</v>
      </c>
      <c r="Z832" t="s">
        <v>1034</v>
      </c>
      <c r="AL832" t="s">
        <v>1943</v>
      </c>
      <c r="AM832" t="s">
        <v>317</v>
      </c>
      <c r="AN832" t="s">
        <v>259</v>
      </c>
      <c r="AO832" t="s">
        <v>260</v>
      </c>
      <c r="AQ832" t="s">
        <v>261</v>
      </c>
      <c r="AS832">
        <v>1860</v>
      </c>
      <c r="AU832">
        <v>1470</v>
      </c>
      <c r="AW832">
        <v>3880</v>
      </c>
      <c r="AX832" t="s">
        <v>262</v>
      </c>
      <c r="BO832" t="s">
        <v>261</v>
      </c>
      <c r="BQ832">
        <v>1.86</v>
      </c>
      <c r="BS832">
        <v>1.47</v>
      </c>
      <c r="BU832">
        <v>3.88</v>
      </c>
      <c r="BV832" t="s">
        <v>263</v>
      </c>
      <c r="CM832" t="s">
        <v>264</v>
      </c>
      <c r="CN832" t="s">
        <v>264</v>
      </c>
      <c r="CP832" t="s">
        <v>265</v>
      </c>
      <c r="CQ832" t="s">
        <v>518</v>
      </c>
      <c r="DB832">
        <v>1</v>
      </c>
      <c r="DG832" t="s">
        <v>267</v>
      </c>
      <c r="DI832">
        <v>24</v>
      </c>
      <c r="DN832" t="s">
        <v>268</v>
      </c>
      <c r="DS832">
        <v>644</v>
      </c>
      <c r="DT832" t="s">
        <v>1944</v>
      </c>
      <c r="EW832" t="s">
        <v>638</v>
      </c>
      <c r="FK832" t="s">
        <v>2009</v>
      </c>
      <c r="FM832">
        <v>17</v>
      </c>
      <c r="FR832" t="s">
        <v>295</v>
      </c>
      <c r="GW832">
        <v>34.5</v>
      </c>
      <c r="GY832">
        <v>35.5</v>
      </c>
      <c r="GZ832" t="s">
        <v>296</v>
      </c>
      <c r="HH832" t="s">
        <v>272</v>
      </c>
      <c r="ID832" t="s">
        <v>2010</v>
      </c>
      <c r="IE832" t="s">
        <v>1947</v>
      </c>
      <c r="IF832">
        <v>5563</v>
      </c>
      <c r="IG832" t="s">
        <v>1948</v>
      </c>
      <c r="IH832" t="s">
        <v>1949</v>
      </c>
      <c r="II832">
        <v>1979</v>
      </c>
      <c r="IJ832" t="s">
        <v>1950</v>
      </c>
    </row>
    <row r="833" spans="1:244" x14ac:dyDescent="0.45">
      <c r="A833">
        <v>1273560</v>
      </c>
      <c r="B833">
        <v>724879</v>
      </c>
      <c r="C833">
        <v>7646857</v>
      </c>
      <c r="D833" t="s">
        <v>1901</v>
      </c>
      <c r="F833" t="s">
        <v>245</v>
      </c>
      <c r="G833" t="s">
        <v>246</v>
      </c>
      <c r="N833" t="s">
        <v>1967</v>
      </c>
      <c r="O833" t="s">
        <v>1968</v>
      </c>
      <c r="P833" t="s">
        <v>249</v>
      </c>
      <c r="Q833" t="s">
        <v>250</v>
      </c>
      <c r="R833" t="s">
        <v>251</v>
      </c>
      <c r="T833" t="s">
        <v>252</v>
      </c>
      <c r="U833" t="s">
        <v>253</v>
      </c>
      <c r="V833" t="s">
        <v>1969</v>
      </c>
      <c r="W833" t="s">
        <v>1970</v>
      </c>
      <c r="X833" t="s">
        <v>1971</v>
      </c>
      <c r="Z833" t="s">
        <v>1046</v>
      </c>
      <c r="AB833">
        <v>1</v>
      </c>
      <c r="AG833" t="s">
        <v>267</v>
      </c>
      <c r="AM833" t="s">
        <v>258</v>
      </c>
      <c r="AN833" t="s">
        <v>259</v>
      </c>
      <c r="AO833" t="s">
        <v>260</v>
      </c>
      <c r="AP833">
        <v>7</v>
      </c>
      <c r="AQ833" t="s">
        <v>261</v>
      </c>
      <c r="AS833">
        <v>25.87</v>
      </c>
      <c r="AU833">
        <v>18.28</v>
      </c>
      <c r="AW833">
        <v>50.79</v>
      </c>
      <c r="AX833" t="s">
        <v>356</v>
      </c>
      <c r="BO833" t="s">
        <v>261</v>
      </c>
      <c r="BQ833">
        <v>25.87</v>
      </c>
      <c r="BS833">
        <v>18.28</v>
      </c>
      <c r="BU833">
        <v>50.79</v>
      </c>
      <c r="BV833" t="s">
        <v>263</v>
      </c>
      <c r="CM833" t="s">
        <v>264</v>
      </c>
      <c r="CN833" t="s">
        <v>264</v>
      </c>
      <c r="CP833" t="s">
        <v>265</v>
      </c>
      <c r="CQ833" t="s">
        <v>518</v>
      </c>
      <c r="DB833">
        <v>2</v>
      </c>
      <c r="DG833" t="s">
        <v>267</v>
      </c>
      <c r="DI833">
        <v>48</v>
      </c>
      <c r="DN833" t="s">
        <v>268</v>
      </c>
      <c r="DP833" t="s">
        <v>1911</v>
      </c>
      <c r="DR833">
        <v>174394</v>
      </c>
      <c r="DS833">
        <v>18619</v>
      </c>
      <c r="DT833" t="s">
        <v>1972</v>
      </c>
      <c r="EW833" t="s">
        <v>293</v>
      </c>
      <c r="FA833" t="s">
        <v>1973</v>
      </c>
      <c r="FK833" t="s">
        <v>1974</v>
      </c>
      <c r="FM833">
        <v>7.5</v>
      </c>
      <c r="FR833" t="s">
        <v>295</v>
      </c>
      <c r="GU833">
        <v>28</v>
      </c>
      <c r="GZ833" t="s">
        <v>356</v>
      </c>
      <c r="HH833" t="s">
        <v>272</v>
      </c>
      <c r="ID833" t="s">
        <v>1975</v>
      </c>
      <c r="IE833" t="s">
        <v>1976</v>
      </c>
      <c r="IF833">
        <v>71687</v>
      </c>
      <c r="IG833" t="s">
        <v>1977</v>
      </c>
      <c r="IH833" t="s">
        <v>1978</v>
      </c>
      <c r="II833">
        <v>2003</v>
      </c>
      <c r="IJ833" t="s">
        <v>1979</v>
      </c>
    </row>
    <row r="834" spans="1:244" x14ac:dyDescent="0.45">
      <c r="A834">
        <v>1273410</v>
      </c>
      <c r="B834">
        <v>724710</v>
      </c>
      <c r="C834">
        <v>7646857</v>
      </c>
      <c r="D834" t="s">
        <v>1901</v>
      </c>
      <c r="F834" t="s">
        <v>327</v>
      </c>
      <c r="G834" t="s">
        <v>246</v>
      </c>
      <c r="N834" t="s">
        <v>1216</v>
      </c>
      <c r="O834" t="s">
        <v>578</v>
      </c>
      <c r="P834" t="s">
        <v>249</v>
      </c>
      <c r="Q834" t="s">
        <v>250</v>
      </c>
      <c r="R834" t="s">
        <v>251</v>
      </c>
      <c r="T834" t="s">
        <v>252</v>
      </c>
      <c r="U834" t="s">
        <v>499</v>
      </c>
      <c r="V834" t="s">
        <v>1217</v>
      </c>
      <c r="W834" t="s">
        <v>1218</v>
      </c>
      <c r="X834" t="s">
        <v>1219</v>
      </c>
      <c r="Z834" t="s">
        <v>649</v>
      </c>
      <c r="AA834" t="s">
        <v>289</v>
      </c>
      <c r="AB834">
        <v>7</v>
      </c>
      <c r="AG834" t="s">
        <v>267</v>
      </c>
      <c r="AM834" t="s">
        <v>317</v>
      </c>
      <c r="AN834" t="s">
        <v>259</v>
      </c>
      <c r="AO834" t="s">
        <v>260</v>
      </c>
      <c r="AQ834" t="s">
        <v>504</v>
      </c>
      <c r="AS834">
        <v>640</v>
      </c>
      <c r="AU834">
        <v>390</v>
      </c>
      <c r="AW834">
        <v>910</v>
      </c>
      <c r="AX834" t="s">
        <v>262</v>
      </c>
      <c r="BO834" t="s">
        <v>504</v>
      </c>
      <c r="BQ834">
        <v>0.64</v>
      </c>
      <c r="BS834">
        <v>0.39</v>
      </c>
      <c r="BU834">
        <v>0.91</v>
      </c>
      <c r="BV834" t="s">
        <v>263</v>
      </c>
      <c r="CM834" t="s">
        <v>264</v>
      </c>
      <c r="CN834" t="s">
        <v>264</v>
      </c>
      <c r="CP834" t="s">
        <v>265</v>
      </c>
      <c r="CQ834" t="s">
        <v>518</v>
      </c>
      <c r="DB834">
        <v>4</v>
      </c>
      <c r="DG834" t="s">
        <v>267</v>
      </c>
      <c r="DI834">
        <v>96</v>
      </c>
      <c r="DN834" t="s">
        <v>268</v>
      </c>
      <c r="DP834" t="s">
        <v>1911</v>
      </c>
      <c r="DR834">
        <v>764486</v>
      </c>
      <c r="DS834">
        <v>18590</v>
      </c>
      <c r="DT834" t="s">
        <v>1221</v>
      </c>
      <c r="EW834" t="s">
        <v>293</v>
      </c>
      <c r="FA834" t="s">
        <v>1954</v>
      </c>
      <c r="FK834" t="s">
        <v>2020</v>
      </c>
      <c r="FO834">
        <v>20.399999999999999</v>
      </c>
      <c r="FQ834">
        <v>21.2</v>
      </c>
      <c r="FR834" t="s">
        <v>295</v>
      </c>
      <c r="GQ834">
        <v>8</v>
      </c>
      <c r="GS834">
        <v>8.1999999999999993</v>
      </c>
      <c r="GW834">
        <v>30</v>
      </c>
      <c r="GY834">
        <v>32</v>
      </c>
      <c r="GZ834" t="s">
        <v>296</v>
      </c>
      <c r="HH834" t="s">
        <v>272</v>
      </c>
      <c r="ID834" t="s">
        <v>2021</v>
      </c>
      <c r="IE834" t="s">
        <v>1226</v>
      </c>
      <c r="IF834">
        <v>101781</v>
      </c>
      <c r="IG834" t="s">
        <v>1227</v>
      </c>
      <c r="IH834" t="s">
        <v>1228</v>
      </c>
      <c r="II834">
        <v>2006</v>
      </c>
      <c r="IJ834" t="s">
        <v>1229</v>
      </c>
    </row>
    <row r="835" spans="1:244" x14ac:dyDescent="0.45">
      <c r="A835">
        <v>1226450</v>
      </c>
      <c r="B835">
        <v>219626</v>
      </c>
      <c r="C835">
        <v>7646857</v>
      </c>
      <c r="D835" t="s">
        <v>1901</v>
      </c>
      <c r="E835" t="s">
        <v>386</v>
      </c>
      <c r="F835" t="s">
        <v>245</v>
      </c>
      <c r="G835" t="s">
        <v>246</v>
      </c>
      <c r="N835" t="s">
        <v>302</v>
      </c>
      <c r="O835" t="s">
        <v>303</v>
      </c>
      <c r="P835" t="s">
        <v>249</v>
      </c>
      <c r="Q835" t="s">
        <v>250</v>
      </c>
      <c r="R835" t="s">
        <v>251</v>
      </c>
      <c r="T835" t="s">
        <v>252</v>
      </c>
      <c r="U835" t="s">
        <v>253</v>
      </c>
      <c r="V835" t="s">
        <v>304</v>
      </c>
      <c r="W835" t="s">
        <v>305</v>
      </c>
      <c r="X835" t="s">
        <v>306</v>
      </c>
      <c r="Z835" t="s">
        <v>1057</v>
      </c>
      <c r="AL835" t="s">
        <v>1324</v>
      </c>
      <c r="AM835" t="s">
        <v>317</v>
      </c>
      <c r="AN835" t="s">
        <v>259</v>
      </c>
      <c r="AO835" t="s">
        <v>260</v>
      </c>
      <c r="AQ835" t="s">
        <v>261</v>
      </c>
      <c r="AS835">
        <v>26.3</v>
      </c>
      <c r="AX835" t="s">
        <v>356</v>
      </c>
      <c r="BO835" t="s">
        <v>261</v>
      </c>
      <c r="BQ835">
        <v>26.3</v>
      </c>
      <c r="BV835" t="s">
        <v>263</v>
      </c>
      <c r="CM835" t="s">
        <v>264</v>
      </c>
      <c r="CN835" t="s">
        <v>264</v>
      </c>
      <c r="CP835" t="s">
        <v>265</v>
      </c>
      <c r="CQ835" t="s">
        <v>518</v>
      </c>
      <c r="DB835">
        <v>4</v>
      </c>
      <c r="DG835" t="s">
        <v>267</v>
      </c>
      <c r="DI835">
        <v>96</v>
      </c>
      <c r="DN835" t="s">
        <v>268</v>
      </c>
      <c r="DR835">
        <v>338212</v>
      </c>
      <c r="DS835">
        <v>732</v>
      </c>
      <c r="DT835" t="s">
        <v>1211</v>
      </c>
      <c r="EW835" t="s">
        <v>293</v>
      </c>
      <c r="GU835">
        <v>36</v>
      </c>
      <c r="GZ835" t="s">
        <v>900</v>
      </c>
      <c r="HH835" t="s">
        <v>272</v>
      </c>
      <c r="IE835" t="s">
        <v>1212</v>
      </c>
      <c r="IF835">
        <v>51641</v>
      </c>
      <c r="IG835" t="s">
        <v>1213</v>
      </c>
      <c r="IH835" t="s">
        <v>1214</v>
      </c>
      <c r="II835">
        <v>2000</v>
      </c>
      <c r="IJ835" t="s">
        <v>1215</v>
      </c>
    </row>
    <row r="836" spans="1:244" x14ac:dyDescent="0.45">
      <c r="A836">
        <v>1273408</v>
      </c>
      <c r="B836">
        <v>724708</v>
      </c>
      <c r="C836">
        <v>7646857</v>
      </c>
      <c r="D836" t="s">
        <v>1901</v>
      </c>
      <c r="F836" t="s">
        <v>327</v>
      </c>
      <c r="G836" t="s">
        <v>246</v>
      </c>
      <c r="N836" t="s">
        <v>1275</v>
      </c>
      <c r="O836" t="s">
        <v>578</v>
      </c>
      <c r="P836" t="s">
        <v>249</v>
      </c>
      <c r="Q836" t="s">
        <v>250</v>
      </c>
      <c r="R836" t="s">
        <v>251</v>
      </c>
      <c r="T836" t="s">
        <v>252</v>
      </c>
      <c r="U836" t="s">
        <v>499</v>
      </c>
      <c r="V836" t="s">
        <v>1217</v>
      </c>
      <c r="W836" t="s">
        <v>1218</v>
      </c>
      <c r="X836" t="s">
        <v>1276</v>
      </c>
      <c r="Z836" t="s">
        <v>649</v>
      </c>
      <c r="AA836" t="s">
        <v>289</v>
      </c>
      <c r="AB836">
        <v>7</v>
      </c>
      <c r="AG836" t="s">
        <v>267</v>
      </c>
      <c r="AM836" t="s">
        <v>317</v>
      </c>
      <c r="AN836" t="s">
        <v>259</v>
      </c>
      <c r="AO836" t="s">
        <v>260</v>
      </c>
      <c r="AQ836" t="s">
        <v>504</v>
      </c>
      <c r="AS836">
        <v>650</v>
      </c>
      <c r="AU836">
        <v>90</v>
      </c>
      <c r="AW836">
        <v>1450</v>
      </c>
      <c r="AX836" t="s">
        <v>262</v>
      </c>
      <c r="BO836" t="s">
        <v>504</v>
      </c>
      <c r="BQ836">
        <v>0.65</v>
      </c>
      <c r="BS836">
        <v>0.09</v>
      </c>
      <c r="BU836">
        <v>1.45</v>
      </c>
      <c r="BV836" t="s">
        <v>263</v>
      </c>
      <c r="CM836" t="s">
        <v>264</v>
      </c>
      <c r="CN836" t="s">
        <v>264</v>
      </c>
      <c r="CP836" t="s">
        <v>265</v>
      </c>
      <c r="CQ836" t="s">
        <v>518</v>
      </c>
      <c r="DB836">
        <v>4</v>
      </c>
      <c r="DG836" t="s">
        <v>267</v>
      </c>
      <c r="DI836">
        <v>96</v>
      </c>
      <c r="DN836" t="s">
        <v>268</v>
      </c>
      <c r="DP836" t="s">
        <v>1911</v>
      </c>
      <c r="DR836">
        <v>1325124</v>
      </c>
      <c r="DS836">
        <v>18589</v>
      </c>
      <c r="DT836" t="s">
        <v>1221</v>
      </c>
      <c r="EW836" t="s">
        <v>293</v>
      </c>
      <c r="FA836" t="s">
        <v>1954</v>
      </c>
      <c r="FK836" t="s">
        <v>2022</v>
      </c>
      <c r="FO836">
        <v>20.399999999999999</v>
      </c>
      <c r="FQ836">
        <v>21.2</v>
      </c>
      <c r="FR836" t="s">
        <v>295</v>
      </c>
      <c r="GQ836">
        <v>8</v>
      </c>
      <c r="GS836">
        <v>8.1999999999999993</v>
      </c>
      <c r="GW836">
        <v>30</v>
      </c>
      <c r="GY836">
        <v>32</v>
      </c>
      <c r="GZ836" t="s">
        <v>296</v>
      </c>
      <c r="HH836" t="s">
        <v>272</v>
      </c>
      <c r="ID836" t="s">
        <v>2023</v>
      </c>
      <c r="IE836" t="s">
        <v>1226</v>
      </c>
      <c r="IF836">
        <v>101781</v>
      </c>
      <c r="IG836" t="s">
        <v>1227</v>
      </c>
      <c r="IH836" t="s">
        <v>1228</v>
      </c>
      <c r="II836">
        <v>2006</v>
      </c>
      <c r="IJ836" t="s">
        <v>1229</v>
      </c>
    </row>
    <row r="837" spans="1:244" x14ac:dyDescent="0.45">
      <c r="A837">
        <v>1068792</v>
      </c>
      <c r="B837">
        <v>67056</v>
      </c>
      <c r="C837">
        <v>7646857</v>
      </c>
      <c r="D837" t="s">
        <v>1901</v>
      </c>
      <c r="F837" t="s">
        <v>272</v>
      </c>
      <c r="G837" t="s">
        <v>246</v>
      </c>
      <c r="N837" t="s">
        <v>1401</v>
      </c>
      <c r="O837" t="s">
        <v>1299</v>
      </c>
      <c r="P837" t="s">
        <v>249</v>
      </c>
      <c r="Q837" t="s">
        <v>250</v>
      </c>
      <c r="R837" t="s">
        <v>251</v>
      </c>
      <c r="T837" t="s">
        <v>252</v>
      </c>
      <c r="U837" t="s">
        <v>371</v>
      </c>
      <c r="V837" t="s">
        <v>372</v>
      </c>
      <c r="W837" t="s">
        <v>1402</v>
      </c>
      <c r="X837" t="s">
        <v>1403</v>
      </c>
      <c r="AL837" t="s">
        <v>1404</v>
      </c>
      <c r="AM837" t="s">
        <v>287</v>
      </c>
      <c r="AN837" t="s">
        <v>259</v>
      </c>
      <c r="AO837" t="s">
        <v>260</v>
      </c>
      <c r="AQ837" t="s">
        <v>261</v>
      </c>
      <c r="AS837">
        <v>260</v>
      </c>
      <c r="AX837" t="s">
        <v>262</v>
      </c>
      <c r="BO837" t="s">
        <v>261</v>
      </c>
      <c r="BQ837">
        <v>0.26</v>
      </c>
      <c r="BV837" t="s">
        <v>263</v>
      </c>
      <c r="CM837" t="s">
        <v>264</v>
      </c>
      <c r="CN837" t="s">
        <v>264</v>
      </c>
      <c r="CP837" t="s">
        <v>265</v>
      </c>
      <c r="DB837">
        <v>4</v>
      </c>
      <c r="DG837" t="s">
        <v>267</v>
      </c>
      <c r="DI837">
        <v>96</v>
      </c>
      <c r="DN837" t="s">
        <v>268</v>
      </c>
      <c r="DR837">
        <v>236552</v>
      </c>
      <c r="DS837">
        <v>59434</v>
      </c>
      <c r="EW837" t="s">
        <v>333</v>
      </c>
      <c r="FM837">
        <v>18.3</v>
      </c>
      <c r="FR837" t="s">
        <v>295</v>
      </c>
      <c r="HH837" t="s">
        <v>272</v>
      </c>
      <c r="IE837" t="s">
        <v>1405</v>
      </c>
      <c r="IF837">
        <v>5416</v>
      </c>
      <c r="IG837" t="s">
        <v>1406</v>
      </c>
      <c r="IH837" t="s">
        <v>1407</v>
      </c>
      <c r="II837">
        <v>1988</v>
      </c>
      <c r="IJ837" t="s">
        <v>1408</v>
      </c>
    </row>
    <row r="838" spans="1:244" x14ac:dyDescent="0.45">
      <c r="A838">
        <v>1276834</v>
      </c>
      <c r="B838">
        <v>729479</v>
      </c>
      <c r="C838">
        <v>7646857</v>
      </c>
      <c r="D838" t="s">
        <v>1901</v>
      </c>
      <c r="F838" t="s">
        <v>245</v>
      </c>
      <c r="G838" t="s">
        <v>246</v>
      </c>
      <c r="N838" t="s">
        <v>1230</v>
      </c>
      <c r="O838" t="s">
        <v>248</v>
      </c>
      <c r="P838" t="s">
        <v>249</v>
      </c>
      <c r="Q838" t="s">
        <v>250</v>
      </c>
      <c r="R838" t="s">
        <v>251</v>
      </c>
      <c r="T838" t="s">
        <v>252</v>
      </c>
      <c r="U838" t="s">
        <v>253</v>
      </c>
      <c r="V838" t="s">
        <v>1231</v>
      </c>
      <c r="W838" t="s">
        <v>1232</v>
      </c>
      <c r="X838" t="s">
        <v>1233</v>
      </c>
      <c r="Z838" t="s">
        <v>1046</v>
      </c>
      <c r="AB838">
        <v>1</v>
      </c>
      <c r="AG838" t="s">
        <v>598</v>
      </c>
      <c r="AM838" t="s">
        <v>258</v>
      </c>
      <c r="AN838" t="s">
        <v>259</v>
      </c>
      <c r="AO838" t="s">
        <v>260</v>
      </c>
      <c r="AP838">
        <v>6</v>
      </c>
      <c r="AQ838" t="s">
        <v>261</v>
      </c>
      <c r="AS838">
        <v>250.4</v>
      </c>
      <c r="AU838">
        <v>208.6</v>
      </c>
      <c r="AW838">
        <v>295.5</v>
      </c>
      <c r="AX838" t="s">
        <v>262</v>
      </c>
      <c r="BO838" t="s">
        <v>261</v>
      </c>
      <c r="BQ838">
        <v>0.25040000000000001</v>
      </c>
      <c r="BS838">
        <v>0.20860000000000001</v>
      </c>
      <c r="BU838">
        <v>0.29549999999999998</v>
      </c>
      <c r="BV838" t="s">
        <v>263</v>
      </c>
      <c r="CM838" t="s">
        <v>264</v>
      </c>
      <c r="CN838" t="s">
        <v>264</v>
      </c>
      <c r="CP838" t="s">
        <v>265</v>
      </c>
      <c r="CQ838" t="s">
        <v>518</v>
      </c>
      <c r="DB838">
        <v>3</v>
      </c>
      <c r="DG838" t="s">
        <v>267</v>
      </c>
      <c r="DI838">
        <v>72</v>
      </c>
      <c r="DN838" t="s">
        <v>268</v>
      </c>
      <c r="DP838" t="s">
        <v>1911</v>
      </c>
      <c r="DS838">
        <v>4771</v>
      </c>
      <c r="DT838" t="s">
        <v>1259</v>
      </c>
      <c r="EW838" t="s">
        <v>293</v>
      </c>
      <c r="FK838" t="s">
        <v>1912</v>
      </c>
      <c r="FM838">
        <v>22</v>
      </c>
      <c r="FR838" t="s">
        <v>295</v>
      </c>
      <c r="GO838">
        <v>8</v>
      </c>
      <c r="GU838">
        <v>35</v>
      </c>
      <c r="GZ838" t="s">
        <v>362</v>
      </c>
      <c r="HH838" t="s">
        <v>272</v>
      </c>
      <c r="ID838" t="s">
        <v>1913</v>
      </c>
      <c r="IE838" t="s">
        <v>1262</v>
      </c>
      <c r="IF838">
        <v>73547</v>
      </c>
      <c r="IG838" t="s">
        <v>1263</v>
      </c>
      <c r="IH838" t="s">
        <v>1264</v>
      </c>
      <c r="II838">
        <v>2003</v>
      </c>
      <c r="IJ838" t="s">
        <v>1265</v>
      </c>
    </row>
    <row r="839" spans="1:244" x14ac:dyDescent="0.45">
      <c r="A839">
        <v>1272678</v>
      </c>
      <c r="B839">
        <v>723977</v>
      </c>
      <c r="C839">
        <v>7646857</v>
      </c>
      <c r="D839" t="s">
        <v>1901</v>
      </c>
      <c r="F839" t="s">
        <v>245</v>
      </c>
      <c r="G839" t="s">
        <v>246</v>
      </c>
      <c r="N839" t="s">
        <v>1982</v>
      </c>
      <c r="O839" t="s">
        <v>656</v>
      </c>
      <c r="P839" t="s">
        <v>249</v>
      </c>
      <c r="Q839" t="s">
        <v>250</v>
      </c>
      <c r="R839" t="s">
        <v>251</v>
      </c>
      <c r="T839" t="s">
        <v>252</v>
      </c>
      <c r="U839" t="s">
        <v>253</v>
      </c>
      <c r="V839" t="s">
        <v>657</v>
      </c>
      <c r="W839" t="s">
        <v>1983</v>
      </c>
      <c r="X839" t="s">
        <v>1984</v>
      </c>
      <c r="Z839" t="s">
        <v>315</v>
      </c>
      <c r="AL839" t="s">
        <v>1985</v>
      </c>
      <c r="AM839" t="s">
        <v>317</v>
      </c>
      <c r="AN839" t="s">
        <v>259</v>
      </c>
      <c r="AO839" t="s">
        <v>260</v>
      </c>
      <c r="AP839">
        <v>6</v>
      </c>
      <c r="AQ839" t="s">
        <v>261</v>
      </c>
      <c r="AS839">
        <v>6.5</v>
      </c>
      <c r="AU839">
        <v>4.3</v>
      </c>
      <c r="AW839">
        <v>7.7</v>
      </c>
      <c r="AX839" t="s">
        <v>356</v>
      </c>
      <c r="BO839" t="s">
        <v>261</v>
      </c>
      <c r="BQ839">
        <v>6.5</v>
      </c>
      <c r="BS839">
        <v>4.3</v>
      </c>
      <c r="BU839">
        <v>7.7</v>
      </c>
      <c r="BV839" t="s">
        <v>263</v>
      </c>
      <c r="CM839" t="s">
        <v>264</v>
      </c>
      <c r="CN839" t="s">
        <v>264</v>
      </c>
      <c r="CP839" t="s">
        <v>265</v>
      </c>
      <c r="CQ839" t="s">
        <v>518</v>
      </c>
      <c r="DB839">
        <v>4</v>
      </c>
      <c r="DG839" t="s">
        <v>267</v>
      </c>
      <c r="DI839">
        <v>96</v>
      </c>
      <c r="DN839" t="s">
        <v>268</v>
      </c>
      <c r="DP839" t="s">
        <v>1911</v>
      </c>
      <c r="DR839">
        <v>1436025</v>
      </c>
      <c r="DS839">
        <v>18545</v>
      </c>
      <c r="EW839" t="s">
        <v>293</v>
      </c>
      <c r="FA839" t="s">
        <v>2024</v>
      </c>
      <c r="FK839" t="s">
        <v>2025</v>
      </c>
      <c r="FM839">
        <v>24</v>
      </c>
      <c r="FR839" t="s">
        <v>295</v>
      </c>
      <c r="GH839">
        <v>68</v>
      </c>
      <c r="GM839" t="s">
        <v>900</v>
      </c>
      <c r="GO839">
        <v>7.33</v>
      </c>
      <c r="GU839">
        <v>17</v>
      </c>
      <c r="GZ839" t="s">
        <v>296</v>
      </c>
      <c r="HH839" t="s">
        <v>272</v>
      </c>
      <c r="ID839" t="s">
        <v>2026</v>
      </c>
      <c r="IE839" t="s">
        <v>1989</v>
      </c>
      <c r="IF839">
        <v>47360</v>
      </c>
      <c r="IG839" t="s">
        <v>1990</v>
      </c>
      <c r="IH839" t="s">
        <v>1991</v>
      </c>
      <c r="II839">
        <v>1998</v>
      </c>
      <c r="IJ839" t="s">
        <v>1992</v>
      </c>
    </row>
    <row r="840" spans="1:244" x14ac:dyDescent="0.45">
      <c r="A840">
        <v>1304656</v>
      </c>
      <c r="B840">
        <v>761305</v>
      </c>
      <c r="C840">
        <v>7646857</v>
      </c>
      <c r="D840" t="s">
        <v>1901</v>
      </c>
      <c r="F840" t="s">
        <v>245</v>
      </c>
      <c r="G840" t="s">
        <v>246</v>
      </c>
      <c r="N840" t="s">
        <v>1230</v>
      </c>
      <c r="O840" t="s">
        <v>248</v>
      </c>
      <c r="P840" t="s">
        <v>249</v>
      </c>
      <c r="Q840" t="s">
        <v>250</v>
      </c>
      <c r="R840" t="s">
        <v>251</v>
      </c>
      <c r="T840" t="s">
        <v>252</v>
      </c>
      <c r="U840" t="s">
        <v>253</v>
      </c>
      <c r="V840" t="s">
        <v>1231</v>
      </c>
      <c r="W840" t="s">
        <v>1232</v>
      </c>
      <c r="X840" t="s">
        <v>1233</v>
      </c>
      <c r="Z840" t="s">
        <v>919</v>
      </c>
      <c r="AM840" t="s">
        <v>258</v>
      </c>
      <c r="AN840" t="s">
        <v>259</v>
      </c>
      <c r="AO840" t="s">
        <v>260</v>
      </c>
      <c r="AP840">
        <v>6</v>
      </c>
      <c r="AQ840" t="s">
        <v>261</v>
      </c>
      <c r="AS840">
        <v>147.80000000000001</v>
      </c>
      <c r="AU840">
        <v>118.7</v>
      </c>
      <c r="AW840">
        <v>184.6</v>
      </c>
      <c r="AX840" t="s">
        <v>356</v>
      </c>
      <c r="BO840" t="s">
        <v>261</v>
      </c>
      <c r="BQ840">
        <v>147.80000000000001</v>
      </c>
      <c r="BS840">
        <v>118.7</v>
      </c>
      <c r="BU840">
        <v>184.6</v>
      </c>
      <c r="BV840" t="s">
        <v>263</v>
      </c>
      <c r="CM840" t="s">
        <v>264</v>
      </c>
      <c r="CN840" t="s">
        <v>264</v>
      </c>
      <c r="CP840" t="s">
        <v>265</v>
      </c>
      <c r="CQ840" t="s">
        <v>518</v>
      </c>
      <c r="DB840">
        <v>1</v>
      </c>
      <c r="DG840" t="s">
        <v>267</v>
      </c>
      <c r="DI840">
        <v>24</v>
      </c>
      <c r="DN840" t="s">
        <v>268</v>
      </c>
      <c r="DP840" t="s">
        <v>1964</v>
      </c>
      <c r="DS840">
        <v>4771</v>
      </c>
      <c r="DT840" t="s">
        <v>1235</v>
      </c>
      <c r="EW840" t="s">
        <v>293</v>
      </c>
      <c r="FA840" t="s">
        <v>397</v>
      </c>
      <c r="FK840" t="s">
        <v>1980</v>
      </c>
      <c r="FM840">
        <v>22</v>
      </c>
      <c r="FR840" t="s">
        <v>295</v>
      </c>
      <c r="GO840">
        <v>8</v>
      </c>
      <c r="GU840">
        <v>35</v>
      </c>
      <c r="GZ840" t="s">
        <v>362</v>
      </c>
      <c r="HH840" t="s">
        <v>272</v>
      </c>
      <c r="ID840" t="s">
        <v>1981</v>
      </c>
      <c r="IE840" t="s">
        <v>1238</v>
      </c>
      <c r="IF840">
        <v>97270</v>
      </c>
      <c r="IG840" t="s">
        <v>1239</v>
      </c>
      <c r="IH840" t="s">
        <v>1240</v>
      </c>
      <c r="II840">
        <v>2006</v>
      </c>
      <c r="IJ840" t="s">
        <v>1241</v>
      </c>
    </row>
    <row r="841" spans="1:244" x14ac:dyDescent="0.45">
      <c r="A841">
        <v>1036914</v>
      </c>
      <c r="B841">
        <v>112324</v>
      </c>
      <c r="C841">
        <v>7646857</v>
      </c>
      <c r="D841" t="s">
        <v>1901</v>
      </c>
      <c r="F841" t="s">
        <v>245</v>
      </c>
      <c r="G841" t="s">
        <v>246</v>
      </c>
      <c r="N841" t="s">
        <v>1724</v>
      </c>
      <c r="O841" t="s">
        <v>1725</v>
      </c>
      <c r="P841" t="s">
        <v>249</v>
      </c>
      <c r="Q841" t="s">
        <v>250</v>
      </c>
      <c r="R841" t="s">
        <v>251</v>
      </c>
      <c r="T841" t="s">
        <v>252</v>
      </c>
      <c r="U841" t="s">
        <v>253</v>
      </c>
      <c r="V841" t="s">
        <v>1726</v>
      </c>
      <c r="W841" t="s">
        <v>1727</v>
      </c>
      <c r="X841" t="s">
        <v>1728</v>
      </c>
      <c r="Z841" t="s">
        <v>315</v>
      </c>
      <c r="AM841" t="s">
        <v>317</v>
      </c>
      <c r="AN841" t="s">
        <v>259</v>
      </c>
      <c r="AO841" t="s">
        <v>260</v>
      </c>
      <c r="AQ841" t="s">
        <v>261</v>
      </c>
      <c r="AS841">
        <v>12000</v>
      </c>
      <c r="AX841" t="s">
        <v>262</v>
      </c>
      <c r="BO841" t="s">
        <v>261</v>
      </c>
      <c r="BQ841">
        <v>12</v>
      </c>
      <c r="BV841" t="s">
        <v>263</v>
      </c>
      <c r="CM841" t="s">
        <v>264</v>
      </c>
      <c r="CN841" t="s">
        <v>264</v>
      </c>
      <c r="CP841" t="s">
        <v>265</v>
      </c>
      <c r="CQ841" t="s">
        <v>518</v>
      </c>
      <c r="DB841">
        <v>1</v>
      </c>
      <c r="DG841" t="s">
        <v>267</v>
      </c>
      <c r="DI841">
        <v>24</v>
      </c>
      <c r="DN841" t="s">
        <v>268</v>
      </c>
      <c r="DP841" t="s">
        <v>570</v>
      </c>
      <c r="DR841">
        <v>111067</v>
      </c>
      <c r="DS841">
        <v>490</v>
      </c>
      <c r="DT841" t="s">
        <v>1729</v>
      </c>
      <c r="EW841" t="s">
        <v>333</v>
      </c>
      <c r="FM841">
        <v>20</v>
      </c>
      <c r="FR841" t="s">
        <v>295</v>
      </c>
      <c r="GG841" t="s">
        <v>288</v>
      </c>
      <c r="GH841">
        <v>4</v>
      </c>
      <c r="GM841" t="s">
        <v>356</v>
      </c>
      <c r="GU841">
        <v>20</v>
      </c>
      <c r="GZ841" t="s">
        <v>296</v>
      </c>
      <c r="HH841" t="s">
        <v>272</v>
      </c>
      <c r="IE841" t="s">
        <v>1730</v>
      </c>
      <c r="IF841">
        <v>2253</v>
      </c>
      <c r="IG841" t="s">
        <v>1731</v>
      </c>
      <c r="IH841" t="s">
        <v>1732</v>
      </c>
      <c r="II841">
        <v>1977</v>
      </c>
      <c r="IJ841" t="s">
        <v>1733</v>
      </c>
    </row>
    <row r="842" spans="1:244" x14ac:dyDescent="0.45">
      <c r="A842">
        <v>1053468</v>
      </c>
      <c r="B842">
        <v>125583</v>
      </c>
      <c r="C842">
        <v>7646857</v>
      </c>
      <c r="D842" t="s">
        <v>1901</v>
      </c>
      <c r="F842" t="s">
        <v>245</v>
      </c>
      <c r="G842" t="s">
        <v>246</v>
      </c>
      <c r="N842" t="s">
        <v>606</v>
      </c>
      <c r="O842" t="s">
        <v>607</v>
      </c>
      <c r="P842" t="s">
        <v>249</v>
      </c>
      <c r="Q842" t="s">
        <v>250</v>
      </c>
      <c r="R842" t="s">
        <v>251</v>
      </c>
      <c r="T842" t="s">
        <v>252</v>
      </c>
      <c r="U842" t="s">
        <v>253</v>
      </c>
      <c r="V842" t="s">
        <v>608</v>
      </c>
      <c r="W842" t="s">
        <v>609</v>
      </c>
      <c r="X842" t="s">
        <v>610</v>
      </c>
      <c r="Z842" t="s">
        <v>284</v>
      </c>
      <c r="AM842" t="s">
        <v>317</v>
      </c>
      <c r="AN842" t="s">
        <v>259</v>
      </c>
      <c r="AO842" t="s">
        <v>260</v>
      </c>
      <c r="AQ842" t="s">
        <v>261</v>
      </c>
      <c r="AS842">
        <v>375</v>
      </c>
      <c r="AU842">
        <v>230</v>
      </c>
      <c r="AW842">
        <v>663</v>
      </c>
      <c r="AX842" t="s">
        <v>262</v>
      </c>
      <c r="BO842" t="s">
        <v>261</v>
      </c>
      <c r="BQ842">
        <v>0.375</v>
      </c>
      <c r="BS842">
        <v>0.23</v>
      </c>
      <c r="BU842">
        <v>0.66300000000000003</v>
      </c>
      <c r="BV842" t="s">
        <v>263</v>
      </c>
      <c r="CM842" t="s">
        <v>264</v>
      </c>
      <c r="CN842" t="s">
        <v>264</v>
      </c>
      <c r="CP842" t="s">
        <v>265</v>
      </c>
      <c r="CQ842" t="s">
        <v>518</v>
      </c>
      <c r="DB842">
        <v>4</v>
      </c>
      <c r="DG842" t="s">
        <v>267</v>
      </c>
      <c r="DI842">
        <v>96</v>
      </c>
      <c r="DN842" t="s">
        <v>268</v>
      </c>
      <c r="DR842">
        <v>6706</v>
      </c>
      <c r="DS842">
        <v>346</v>
      </c>
      <c r="EW842" t="s">
        <v>638</v>
      </c>
      <c r="FA842" t="s">
        <v>2014</v>
      </c>
      <c r="FK842" t="s">
        <v>2027</v>
      </c>
      <c r="FM842">
        <v>22</v>
      </c>
      <c r="FR842" t="s">
        <v>295</v>
      </c>
      <c r="GU842">
        <v>30</v>
      </c>
      <c r="GZ842" t="s">
        <v>296</v>
      </c>
      <c r="HH842" t="s">
        <v>272</v>
      </c>
      <c r="ID842" t="s">
        <v>2028</v>
      </c>
      <c r="IE842" t="s">
        <v>2015</v>
      </c>
      <c r="IF842">
        <v>3733</v>
      </c>
      <c r="IG842" t="s">
        <v>1994</v>
      </c>
      <c r="IH842" t="s">
        <v>2016</v>
      </c>
      <c r="II842">
        <v>1985</v>
      </c>
      <c r="IJ842" t="s">
        <v>2017</v>
      </c>
    </row>
    <row r="843" spans="1:244" x14ac:dyDescent="0.45">
      <c r="A843">
        <v>1273562</v>
      </c>
      <c r="B843">
        <v>724881</v>
      </c>
      <c r="C843">
        <v>7646857</v>
      </c>
      <c r="D843" t="s">
        <v>1901</v>
      </c>
      <c r="F843" t="s">
        <v>245</v>
      </c>
      <c r="G843" t="s">
        <v>246</v>
      </c>
      <c r="N843" t="s">
        <v>1967</v>
      </c>
      <c r="O843" t="s">
        <v>1968</v>
      </c>
      <c r="P843" t="s">
        <v>249</v>
      </c>
      <c r="Q843" t="s">
        <v>250</v>
      </c>
      <c r="R843" t="s">
        <v>251</v>
      </c>
      <c r="T843" t="s">
        <v>252</v>
      </c>
      <c r="U843" t="s">
        <v>253</v>
      </c>
      <c r="V843" t="s">
        <v>1969</v>
      </c>
      <c r="W843" t="s">
        <v>1970</v>
      </c>
      <c r="X843" t="s">
        <v>1971</v>
      </c>
      <c r="Z843" t="s">
        <v>1046</v>
      </c>
      <c r="AB843">
        <v>1</v>
      </c>
      <c r="AG843" t="s">
        <v>267</v>
      </c>
      <c r="AM843" t="s">
        <v>258</v>
      </c>
      <c r="AN843" t="s">
        <v>259</v>
      </c>
      <c r="AO843" t="s">
        <v>260</v>
      </c>
      <c r="AP843">
        <v>7</v>
      </c>
      <c r="AQ843" t="s">
        <v>261</v>
      </c>
      <c r="AS843">
        <v>2.54</v>
      </c>
      <c r="AU843">
        <v>2.2799999999999998</v>
      </c>
      <c r="AW843">
        <v>2.83</v>
      </c>
      <c r="AX843" t="s">
        <v>356</v>
      </c>
      <c r="BO843" t="s">
        <v>261</v>
      </c>
      <c r="BQ843">
        <v>2.54</v>
      </c>
      <c r="BS843">
        <v>2.2799999999999998</v>
      </c>
      <c r="BU843">
        <v>2.83</v>
      </c>
      <c r="BV843" t="s">
        <v>263</v>
      </c>
      <c r="CM843" t="s">
        <v>264</v>
      </c>
      <c r="CN843" t="s">
        <v>264</v>
      </c>
      <c r="CP843" t="s">
        <v>265</v>
      </c>
      <c r="CQ843" t="s">
        <v>518</v>
      </c>
      <c r="DB843">
        <v>4</v>
      </c>
      <c r="DG843" t="s">
        <v>267</v>
      </c>
      <c r="DI843">
        <v>96</v>
      </c>
      <c r="DN843" t="s">
        <v>268</v>
      </c>
      <c r="DP843" t="s">
        <v>1911</v>
      </c>
      <c r="DR843">
        <v>174394</v>
      </c>
      <c r="DS843">
        <v>18619</v>
      </c>
      <c r="DT843" t="s">
        <v>1972</v>
      </c>
      <c r="EW843" t="s">
        <v>293</v>
      </c>
      <c r="FA843" t="s">
        <v>1973</v>
      </c>
      <c r="FK843" t="s">
        <v>1974</v>
      </c>
      <c r="FM843">
        <v>7.5</v>
      </c>
      <c r="FR843" t="s">
        <v>295</v>
      </c>
      <c r="GU843">
        <v>28</v>
      </c>
      <c r="GZ843" t="s">
        <v>356</v>
      </c>
      <c r="HH843" t="s">
        <v>272</v>
      </c>
      <c r="ID843" t="s">
        <v>1975</v>
      </c>
      <c r="IE843" t="s">
        <v>1976</v>
      </c>
      <c r="IF843">
        <v>71687</v>
      </c>
      <c r="IG843" t="s">
        <v>1977</v>
      </c>
      <c r="IH843" t="s">
        <v>1978</v>
      </c>
      <c r="II843">
        <v>2003</v>
      </c>
      <c r="IJ843" t="s">
        <v>1979</v>
      </c>
    </row>
    <row r="844" spans="1:244" x14ac:dyDescent="0.45">
      <c r="A844">
        <v>1273406</v>
      </c>
      <c r="B844">
        <v>724706</v>
      </c>
      <c r="C844">
        <v>7646857</v>
      </c>
      <c r="D844" t="s">
        <v>1901</v>
      </c>
      <c r="F844" t="s">
        <v>327</v>
      </c>
      <c r="G844" t="s">
        <v>246</v>
      </c>
      <c r="N844" t="s">
        <v>1481</v>
      </c>
      <c r="O844" t="s">
        <v>578</v>
      </c>
      <c r="P844" t="s">
        <v>249</v>
      </c>
      <c r="Q844" t="s">
        <v>250</v>
      </c>
      <c r="R844" t="s">
        <v>251</v>
      </c>
      <c r="T844" t="s">
        <v>252</v>
      </c>
      <c r="U844" t="s">
        <v>499</v>
      </c>
      <c r="V844" t="s">
        <v>1217</v>
      </c>
      <c r="W844" t="s">
        <v>1218</v>
      </c>
      <c r="X844" t="s">
        <v>1482</v>
      </c>
      <c r="Z844" t="s">
        <v>649</v>
      </c>
      <c r="AA844" t="s">
        <v>289</v>
      </c>
      <c r="AB844">
        <v>7</v>
      </c>
      <c r="AG844" t="s">
        <v>267</v>
      </c>
      <c r="AM844" t="s">
        <v>317</v>
      </c>
      <c r="AN844" t="s">
        <v>259</v>
      </c>
      <c r="AO844" t="s">
        <v>260</v>
      </c>
      <c r="AQ844" t="s">
        <v>504</v>
      </c>
      <c r="AS844">
        <v>710</v>
      </c>
      <c r="AU844">
        <v>470</v>
      </c>
      <c r="AW844">
        <v>960</v>
      </c>
      <c r="AX844" t="s">
        <v>262</v>
      </c>
      <c r="BO844" t="s">
        <v>504</v>
      </c>
      <c r="BQ844">
        <v>0.71</v>
      </c>
      <c r="BS844">
        <v>0.47</v>
      </c>
      <c r="BU844">
        <v>0.96</v>
      </c>
      <c r="BV844" t="s">
        <v>263</v>
      </c>
      <c r="CM844" t="s">
        <v>264</v>
      </c>
      <c r="CN844" t="s">
        <v>264</v>
      </c>
      <c r="CP844" t="s">
        <v>265</v>
      </c>
      <c r="CQ844" t="s">
        <v>518</v>
      </c>
      <c r="DB844">
        <v>4</v>
      </c>
      <c r="DG844" t="s">
        <v>267</v>
      </c>
      <c r="DI844">
        <v>96</v>
      </c>
      <c r="DN844" t="s">
        <v>268</v>
      </c>
      <c r="DP844" t="s">
        <v>1911</v>
      </c>
      <c r="DS844">
        <v>18591</v>
      </c>
      <c r="DT844" t="s">
        <v>1221</v>
      </c>
      <c r="EW844" t="s">
        <v>293</v>
      </c>
      <c r="FA844" t="s">
        <v>1954</v>
      </c>
      <c r="FK844" t="s">
        <v>2029</v>
      </c>
      <c r="FO844">
        <v>20.399999999999999</v>
      </c>
      <c r="FQ844">
        <v>21.2</v>
      </c>
      <c r="FR844" t="s">
        <v>295</v>
      </c>
      <c r="GQ844">
        <v>8</v>
      </c>
      <c r="GS844">
        <v>8.1999999999999993</v>
      </c>
      <c r="GW844">
        <v>30</v>
      </c>
      <c r="GY844">
        <v>32</v>
      </c>
      <c r="GZ844" t="s">
        <v>296</v>
      </c>
      <c r="HH844" t="s">
        <v>272</v>
      </c>
      <c r="ID844" t="s">
        <v>2030</v>
      </c>
      <c r="IE844" t="s">
        <v>1226</v>
      </c>
      <c r="IF844">
        <v>101781</v>
      </c>
      <c r="IG844" t="s">
        <v>1227</v>
      </c>
      <c r="IH844" t="s">
        <v>1228</v>
      </c>
      <c r="II844">
        <v>2006</v>
      </c>
      <c r="IJ844" t="s">
        <v>1229</v>
      </c>
    </row>
    <row r="845" spans="1:244" x14ac:dyDescent="0.45">
      <c r="A845">
        <v>1123256</v>
      </c>
      <c r="B845">
        <v>9586</v>
      </c>
      <c r="C845">
        <v>7646857</v>
      </c>
      <c r="D845" t="s">
        <v>1901</v>
      </c>
      <c r="E845" t="s">
        <v>386</v>
      </c>
      <c r="F845" t="s">
        <v>245</v>
      </c>
      <c r="G845" t="s">
        <v>246</v>
      </c>
      <c r="N845" t="s">
        <v>1280</v>
      </c>
      <c r="O845" t="s">
        <v>498</v>
      </c>
      <c r="P845" t="s">
        <v>249</v>
      </c>
      <c r="Q845" t="s">
        <v>250</v>
      </c>
      <c r="R845" t="s">
        <v>251</v>
      </c>
      <c r="T845" t="s">
        <v>252</v>
      </c>
      <c r="U845" t="s">
        <v>499</v>
      </c>
      <c r="V845" t="s">
        <v>1281</v>
      </c>
      <c r="W845" t="s">
        <v>1282</v>
      </c>
      <c r="X845" t="s">
        <v>1283</v>
      </c>
      <c r="AL845" t="s">
        <v>1204</v>
      </c>
      <c r="AM845" t="s">
        <v>287</v>
      </c>
      <c r="AN845" t="s">
        <v>259</v>
      </c>
      <c r="AO845" t="s">
        <v>260</v>
      </c>
      <c r="AQ845" t="s">
        <v>261</v>
      </c>
      <c r="AS845">
        <v>1900</v>
      </c>
      <c r="AU845">
        <v>700</v>
      </c>
      <c r="AW845">
        <v>5600</v>
      </c>
      <c r="AX845" t="s">
        <v>262</v>
      </c>
      <c r="BO845" t="s">
        <v>261</v>
      </c>
      <c r="BQ845">
        <v>1.9</v>
      </c>
      <c r="BS845">
        <v>0.7</v>
      </c>
      <c r="BU845">
        <v>5.6</v>
      </c>
      <c r="BV845" t="s">
        <v>263</v>
      </c>
      <c r="CM845" t="s">
        <v>264</v>
      </c>
      <c r="CN845" t="s">
        <v>264</v>
      </c>
      <c r="CP845" t="s">
        <v>265</v>
      </c>
      <c r="CQ845" t="s">
        <v>518</v>
      </c>
      <c r="DB845">
        <v>4</v>
      </c>
      <c r="DG845" t="s">
        <v>267</v>
      </c>
      <c r="DI845">
        <v>96</v>
      </c>
      <c r="DN845" t="s">
        <v>268</v>
      </c>
      <c r="DS845">
        <v>2851</v>
      </c>
      <c r="DT845" t="s">
        <v>1205</v>
      </c>
      <c r="EW845" t="s">
        <v>293</v>
      </c>
      <c r="FM845">
        <v>19</v>
      </c>
      <c r="FR845" t="s">
        <v>295</v>
      </c>
      <c r="HH845" t="s">
        <v>272</v>
      </c>
      <c r="IE845" t="s">
        <v>1206</v>
      </c>
      <c r="IF845">
        <v>9755</v>
      </c>
      <c r="IG845" t="s">
        <v>1207</v>
      </c>
      <c r="IH845" t="s">
        <v>1208</v>
      </c>
      <c r="II845">
        <v>1993</v>
      </c>
      <c r="IJ845" t="s">
        <v>1209</v>
      </c>
    </row>
    <row r="846" spans="1:244" x14ac:dyDescent="0.45">
      <c r="A846">
        <v>1125820</v>
      </c>
      <c r="B846">
        <v>94999</v>
      </c>
      <c r="C846">
        <v>7646857</v>
      </c>
      <c r="D846" t="s">
        <v>1901</v>
      </c>
      <c r="F846" t="s">
        <v>245</v>
      </c>
      <c r="G846" t="s">
        <v>246</v>
      </c>
      <c r="N846" t="s">
        <v>2031</v>
      </c>
      <c r="O846" t="s">
        <v>248</v>
      </c>
      <c r="P846" t="s">
        <v>249</v>
      </c>
      <c r="Q846" t="s">
        <v>250</v>
      </c>
      <c r="R846" t="s">
        <v>251</v>
      </c>
      <c r="T846" t="s">
        <v>252</v>
      </c>
      <c r="U846" t="s">
        <v>253</v>
      </c>
      <c r="V846" t="s">
        <v>254</v>
      </c>
      <c r="W846" t="s">
        <v>1915</v>
      </c>
      <c r="X846" t="s">
        <v>2032</v>
      </c>
      <c r="Z846" t="s">
        <v>284</v>
      </c>
      <c r="AA846" t="s">
        <v>352</v>
      </c>
      <c r="AB846">
        <v>12</v>
      </c>
      <c r="AG846" t="s">
        <v>268</v>
      </c>
      <c r="AL846" t="s">
        <v>2033</v>
      </c>
      <c r="AM846" t="s">
        <v>317</v>
      </c>
      <c r="AN846" t="s">
        <v>259</v>
      </c>
      <c r="AO846" t="s">
        <v>260</v>
      </c>
      <c r="AQ846" t="s">
        <v>261</v>
      </c>
      <c r="AS846">
        <v>0.62</v>
      </c>
      <c r="AU846">
        <v>0.53</v>
      </c>
      <c r="AW846">
        <v>0.73</v>
      </c>
      <c r="AX846" t="s">
        <v>356</v>
      </c>
      <c r="BO846" t="s">
        <v>261</v>
      </c>
      <c r="BQ846">
        <v>0.62</v>
      </c>
      <c r="BS846">
        <v>0.53</v>
      </c>
      <c r="BU846">
        <v>0.73</v>
      </c>
      <c r="BV846" t="s">
        <v>263</v>
      </c>
      <c r="CM846" t="s">
        <v>264</v>
      </c>
      <c r="CN846" t="s">
        <v>264</v>
      </c>
      <c r="CP846" t="s">
        <v>265</v>
      </c>
      <c r="DB846">
        <v>2</v>
      </c>
      <c r="DG846" t="s">
        <v>267</v>
      </c>
      <c r="DI846">
        <v>48</v>
      </c>
      <c r="DN846" t="s">
        <v>268</v>
      </c>
      <c r="DR846">
        <v>411673</v>
      </c>
      <c r="DS846">
        <v>2489</v>
      </c>
      <c r="DT846" t="s">
        <v>1918</v>
      </c>
      <c r="EW846" t="s">
        <v>333</v>
      </c>
      <c r="FK846" t="s">
        <v>2034</v>
      </c>
      <c r="FM846">
        <v>26</v>
      </c>
      <c r="FR846" t="s">
        <v>295</v>
      </c>
      <c r="GU846">
        <v>35</v>
      </c>
      <c r="GZ846" t="s">
        <v>296</v>
      </c>
      <c r="HH846" t="s">
        <v>272</v>
      </c>
      <c r="ID846" t="s">
        <v>2035</v>
      </c>
      <c r="IE846" t="s">
        <v>1921</v>
      </c>
      <c r="IF846">
        <v>10063</v>
      </c>
      <c r="IG846" t="s">
        <v>1922</v>
      </c>
      <c r="IH846" t="s">
        <v>1923</v>
      </c>
      <c r="II846">
        <v>1983</v>
      </c>
      <c r="IJ846" t="s">
        <v>1924</v>
      </c>
    </row>
    <row r="847" spans="1:244" x14ac:dyDescent="0.45">
      <c r="A847">
        <v>1053469</v>
      </c>
      <c r="B847">
        <v>125584</v>
      </c>
      <c r="C847">
        <v>7646857</v>
      </c>
      <c r="D847" t="s">
        <v>1901</v>
      </c>
      <c r="F847" t="s">
        <v>245</v>
      </c>
      <c r="G847" t="s">
        <v>246</v>
      </c>
      <c r="N847" t="s">
        <v>606</v>
      </c>
      <c r="O847" t="s">
        <v>607</v>
      </c>
      <c r="P847" t="s">
        <v>249</v>
      </c>
      <c r="Q847" t="s">
        <v>250</v>
      </c>
      <c r="R847" t="s">
        <v>251</v>
      </c>
      <c r="T847" t="s">
        <v>252</v>
      </c>
      <c r="U847" t="s">
        <v>253</v>
      </c>
      <c r="V847" t="s">
        <v>608</v>
      </c>
      <c r="W847" t="s">
        <v>609</v>
      </c>
      <c r="X847" t="s">
        <v>610</v>
      </c>
      <c r="Z847" t="s">
        <v>284</v>
      </c>
      <c r="AM847" t="s">
        <v>317</v>
      </c>
      <c r="AN847" t="s">
        <v>259</v>
      </c>
      <c r="AO847" t="s">
        <v>260</v>
      </c>
      <c r="AQ847" t="s">
        <v>261</v>
      </c>
      <c r="AS847">
        <v>282</v>
      </c>
      <c r="AU847">
        <v>168</v>
      </c>
      <c r="AW847">
        <v>455</v>
      </c>
      <c r="AX847" t="s">
        <v>262</v>
      </c>
      <c r="BO847" t="s">
        <v>261</v>
      </c>
      <c r="BQ847">
        <v>0.28199999999999997</v>
      </c>
      <c r="BS847">
        <v>0.16800000000000001</v>
      </c>
      <c r="BU847">
        <v>0.45500000000000002</v>
      </c>
      <c r="BV847" t="s">
        <v>263</v>
      </c>
      <c r="CM847" t="s">
        <v>264</v>
      </c>
      <c r="CN847" t="s">
        <v>264</v>
      </c>
      <c r="CP847" t="s">
        <v>265</v>
      </c>
      <c r="CQ847" t="s">
        <v>518</v>
      </c>
      <c r="DB847">
        <v>4</v>
      </c>
      <c r="DG847" t="s">
        <v>267</v>
      </c>
      <c r="DI847">
        <v>96</v>
      </c>
      <c r="DN847" t="s">
        <v>268</v>
      </c>
      <c r="DR847">
        <v>6706</v>
      </c>
      <c r="DS847">
        <v>346</v>
      </c>
      <c r="EW847" t="s">
        <v>638</v>
      </c>
      <c r="FA847" t="s">
        <v>2014</v>
      </c>
      <c r="FK847" t="s">
        <v>1014</v>
      </c>
      <c r="FM847">
        <v>22</v>
      </c>
      <c r="FR847" t="s">
        <v>295</v>
      </c>
      <c r="GU847">
        <v>30</v>
      </c>
      <c r="GZ847" t="s">
        <v>296</v>
      </c>
      <c r="HH847" t="s">
        <v>272</v>
      </c>
      <c r="ID847" t="s">
        <v>1015</v>
      </c>
      <c r="IE847" t="s">
        <v>2015</v>
      </c>
      <c r="IF847">
        <v>3733</v>
      </c>
      <c r="IG847" t="s">
        <v>1994</v>
      </c>
      <c r="IH847" t="s">
        <v>2016</v>
      </c>
      <c r="II847">
        <v>1985</v>
      </c>
      <c r="IJ847" t="s">
        <v>2017</v>
      </c>
    </row>
    <row r="848" spans="1:244" x14ac:dyDescent="0.45">
      <c r="A848">
        <v>1053467</v>
      </c>
      <c r="B848">
        <v>125582</v>
      </c>
      <c r="C848">
        <v>7646857</v>
      </c>
      <c r="D848" t="s">
        <v>1901</v>
      </c>
      <c r="F848" t="s">
        <v>245</v>
      </c>
      <c r="G848" t="s">
        <v>246</v>
      </c>
      <c r="N848" t="s">
        <v>606</v>
      </c>
      <c r="O848" t="s">
        <v>607</v>
      </c>
      <c r="P848" t="s">
        <v>249</v>
      </c>
      <c r="Q848" t="s">
        <v>250</v>
      </c>
      <c r="R848" t="s">
        <v>251</v>
      </c>
      <c r="T848" t="s">
        <v>252</v>
      </c>
      <c r="U848" t="s">
        <v>253</v>
      </c>
      <c r="V848" t="s">
        <v>608</v>
      </c>
      <c r="W848" t="s">
        <v>609</v>
      </c>
      <c r="X848" t="s">
        <v>610</v>
      </c>
      <c r="Z848" t="s">
        <v>284</v>
      </c>
      <c r="AM848" t="s">
        <v>317</v>
      </c>
      <c r="AN848" t="s">
        <v>259</v>
      </c>
      <c r="AO848" t="s">
        <v>260</v>
      </c>
      <c r="AQ848" t="s">
        <v>261</v>
      </c>
      <c r="AS848">
        <v>575</v>
      </c>
      <c r="AU848">
        <v>330</v>
      </c>
      <c r="AW848">
        <v>1000</v>
      </c>
      <c r="AX848" t="s">
        <v>262</v>
      </c>
      <c r="BO848" t="s">
        <v>261</v>
      </c>
      <c r="BQ848">
        <v>0.57499999999999996</v>
      </c>
      <c r="BS848">
        <v>0.33</v>
      </c>
      <c r="BU848">
        <v>1</v>
      </c>
      <c r="BV848" t="s">
        <v>263</v>
      </c>
      <c r="CM848" t="s">
        <v>264</v>
      </c>
      <c r="CN848" t="s">
        <v>264</v>
      </c>
      <c r="CP848" t="s">
        <v>265</v>
      </c>
      <c r="CQ848" t="s">
        <v>518</v>
      </c>
      <c r="DB848">
        <v>4</v>
      </c>
      <c r="DG848" t="s">
        <v>267</v>
      </c>
      <c r="DI848">
        <v>96</v>
      </c>
      <c r="DN848" t="s">
        <v>268</v>
      </c>
      <c r="DR848">
        <v>6706</v>
      </c>
      <c r="DS848">
        <v>346</v>
      </c>
      <c r="EW848" t="s">
        <v>333</v>
      </c>
      <c r="FA848" t="s">
        <v>2014</v>
      </c>
      <c r="FK848" t="s">
        <v>2036</v>
      </c>
      <c r="FM848">
        <v>22</v>
      </c>
      <c r="FR848" t="s">
        <v>295</v>
      </c>
      <c r="GU848">
        <v>30</v>
      </c>
      <c r="GZ848" t="s">
        <v>296</v>
      </c>
      <c r="HH848" t="s">
        <v>272</v>
      </c>
      <c r="ID848" t="s">
        <v>2037</v>
      </c>
      <c r="IE848" t="s">
        <v>2015</v>
      </c>
      <c r="IF848">
        <v>3733</v>
      </c>
      <c r="IG848" t="s">
        <v>1994</v>
      </c>
      <c r="IH848" t="s">
        <v>2016</v>
      </c>
      <c r="II848">
        <v>1985</v>
      </c>
      <c r="IJ848" t="s">
        <v>2017</v>
      </c>
    </row>
    <row r="849" spans="1:244" x14ac:dyDescent="0.45">
      <c r="A849">
        <v>1298608</v>
      </c>
      <c r="B849">
        <v>754115</v>
      </c>
      <c r="C849">
        <v>7646857</v>
      </c>
      <c r="D849" t="s">
        <v>1901</v>
      </c>
      <c r="F849" t="s">
        <v>245</v>
      </c>
      <c r="G849" t="s">
        <v>246</v>
      </c>
      <c r="N849" t="s">
        <v>1341</v>
      </c>
      <c r="O849" t="s">
        <v>578</v>
      </c>
      <c r="P849" t="s">
        <v>249</v>
      </c>
      <c r="Q849" t="s">
        <v>250</v>
      </c>
      <c r="R849" t="s">
        <v>251</v>
      </c>
      <c r="T849" t="s">
        <v>252</v>
      </c>
      <c r="U849" t="s">
        <v>499</v>
      </c>
      <c r="V849" t="s">
        <v>1342</v>
      </c>
      <c r="W849" t="s">
        <v>1343</v>
      </c>
      <c r="X849" t="s">
        <v>1344</v>
      </c>
      <c r="Z849" t="s">
        <v>315</v>
      </c>
      <c r="AL849" t="s">
        <v>1345</v>
      </c>
      <c r="AM849" t="s">
        <v>317</v>
      </c>
      <c r="AN849" t="s">
        <v>259</v>
      </c>
      <c r="AO849" t="s">
        <v>260</v>
      </c>
      <c r="AP849">
        <v>6</v>
      </c>
      <c r="AQ849" t="s">
        <v>261</v>
      </c>
      <c r="AS849">
        <v>62.74</v>
      </c>
      <c r="AU849">
        <v>32.799999999999997</v>
      </c>
      <c r="AW849">
        <v>120.1</v>
      </c>
      <c r="AX849" t="s">
        <v>422</v>
      </c>
      <c r="BO849" t="s">
        <v>261</v>
      </c>
      <c r="BQ849">
        <v>62.74</v>
      </c>
      <c r="BS849">
        <v>32.799999999999997</v>
      </c>
      <c r="BU849">
        <v>120.1</v>
      </c>
      <c r="BV849" t="s">
        <v>263</v>
      </c>
      <c r="CM849" t="s">
        <v>264</v>
      </c>
      <c r="CN849" t="s">
        <v>264</v>
      </c>
      <c r="CP849" t="s">
        <v>265</v>
      </c>
      <c r="CQ849" t="s">
        <v>518</v>
      </c>
      <c r="DB849">
        <v>4</v>
      </c>
      <c r="DG849" t="s">
        <v>267</v>
      </c>
      <c r="DI849">
        <v>96</v>
      </c>
      <c r="DN849" t="s">
        <v>268</v>
      </c>
      <c r="DP849" t="s">
        <v>1911</v>
      </c>
      <c r="DR849">
        <v>191375</v>
      </c>
      <c r="DS849">
        <v>20130</v>
      </c>
      <c r="DT849" t="s">
        <v>1346</v>
      </c>
      <c r="EW849" t="s">
        <v>293</v>
      </c>
      <c r="FK849" t="s">
        <v>2038</v>
      </c>
      <c r="FM849">
        <v>14.5</v>
      </c>
      <c r="FR849" t="s">
        <v>295</v>
      </c>
      <c r="GU849">
        <v>33</v>
      </c>
      <c r="GZ849" t="s">
        <v>296</v>
      </c>
      <c r="HH849" t="s">
        <v>272</v>
      </c>
      <c r="ID849" t="s">
        <v>2039</v>
      </c>
      <c r="IE849" t="s">
        <v>1349</v>
      </c>
      <c r="IF849">
        <v>115864</v>
      </c>
      <c r="IG849" t="s">
        <v>1350</v>
      </c>
      <c r="IH849" t="s">
        <v>1351</v>
      </c>
      <c r="II849">
        <v>2009</v>
      </c>
      <c r="IJ849" t="s">
        <v>1352</v>
      </c>
    </row>
    <row r="850" spans="1:244" x14ac:dyDescent="0.45">
      <c r="A850">
        <v>1304642</v>
      </c>
      <c r="B850">
        <v>761290</v>
      </c>
      <c r="C850">
        <v>7646857</v>
      </c>
      <c r="D850" t="s">
        <v>1901</v>
      </c>
      <c r="F850" t="s">
        <v>245</v>
      </c>
      <c r="G850" t="s">
        <v>246</v>
      </c>
      <c r="N850" t="s">
        <v>1230</v>
      </c>
      <c r="O850" t="s">
        <v>248</v>
      </c>
      <c r="P850" t="s">
        <v>249</v>
      </c>
      <c r="Q850" t="s">
        <v>250</v>
      </c>
      <c r="R850" t="s">
        <v>251</v>
      </c>
      <c r="T850" t="s">
        <v>252</v>
      </c>
      <c r="U850" t="s">
        <v>253</v>
      </c>
      <c r="V850" t="s">
        <v>1231</v>
      </c>
      <c r="W850" t="s">
        <v>1232</v>
      </c>
      <c r="X850" t="s">
        <v>1233</v>
      </c>
      <c r="Z850" t="s">
        <v>1046</v>
      </c>
      <c r="AA850" t="s">
        <v>289</v>
      </c>
      <c r="AB850">
        <v>8</v>
      </c>
      <c r="AG850" t="s">
        <v>353</v>
      </c>
      <c r="AM850" t="s">
        <v>258</v>
      </c>
      <c r="AN850" t="s">
        <v>259</v>
      </c>
      <c r="AO850" t="s">
        <v>260</v>
      </c>
      <c r="AP850">
        <v>6</v>
      </c>
      <c r="AQ850" t="s">
        <v>261</v>
      </c>
      <c r="AS850">
        <v>848.6</v>
      </c>
      <c r="AU850">
        <v>699.7</v>
      </c>
      <c r="AW850">
        <v>1069.9000000000001</v>
      </c>
      <c r="AX850" t="s">
        <v>262</v>
      </c>
      <c r="BO850" t="s">
        <v>261</v>
      </c>
      <c r="BQ850">
        <v>0.84860000000000002</v>
      </c>
      <c r="BS850">
        <v>0.69969999999999999</v>
      </c>
      <c r="BU850">
        <v>1.0699000000000001</v>
      </c>
      <c r="BV850" t="s">
        <v>263</v>
      </c>
      <c r="CM850" t="s">
        <v>264</v>
      </c>
      <c r="CN850" t="s">
        <v>264</v>
      </c>
      <c r="CP850" t="s">
        <v>265</v>
      </c>
      <c r="CQ850" t="s">
        <v>518</v>
      </c>
      <c r="DB850">
        <v>1</v>
      </c>
      <c r="DG850" t="s">
        <v>267</v>
      </c>
      <c r="DI850">
        <v>24</v>
      </c>
      <c r="DN850" t="s">
        <v>268</v>
      </c>
      <c r="DP850" t="s">
        <v>1964</v>
      </c>
      <c r="DS850">
        <v>4771</v>
      </c>
      <c r="DT850" t="s">
        <v>1235</v>
      </c>
      <c r="EW850" t="s">
        <v>293</v>
      </c>
      <c r="FA850" t="s">
        <v>397</v>
      </c>
      <c r="FK850" t="s">
        <v>1965</v>
      </c>
      <c r="FM850">
        <v>22</v>
      </c>
      <c r="FR850" t="s">
        <v>295</v>
      </c>
      <c r="GO850">
        <v>8</v>
      </c>
      <c r="GU850">
        <v>35</v>
      </c>
      <c r="GZ850" t="s">
        <v>362</v>
      </c>
      <c r="HH850" t="s">
        <v>272</v>
      </c>
      <c r="ID850" t="s">
        <v>1966</v>
      </c>
      <c r="IE850" t="s">
        <v>1238</v>
      </c>
      <c r="IF850">
        <v>97270</v>
      </c>
      <c r="IG850" t="s">
        <v>1239</v>
      </c>
      <c r="IH850" t="s">
        <v>1240</v>
      </c>
      <c r="II850">
        <v>2006</v>
      </c>
      <c r="IJ850" t="s">
        <v>1241</v>
      </c>
    </row>
    <row r="851" spans="1:244" x14ac:dyDescent="0.45">
      <c r="A851">
        <v>1273404</v>
      </c>
      <c r="B851">
        <v>724704</v>
      </c>
      <c r="C851">
        <v>7646857</v>
      </c>
      <c r="D851" t="s">
        <v>1901</v>
      </c>
      <c r="F851" t="s">
        <v>327</v>
      </c>
      <c r="G851" t="s">
        <v>246</v>
      </c>
      <c r="N851" t="s">
        <v>1445</v>
      </c>
      <c r="O851" t="s">
        <v>578</v>
      </c>
      <c r="P851" t="s">
        <v>249</v>
      </c>
      <c r="Q851" t="s">
        <v>250</v>
      </c>
      <c r="R851" t="s">
        <v>251</v>
      </c>
      <c r="T851" t="s">
        <v>252</v>
      </c>
      <c r="U851" t="s">
        <v>499</v>
      </c>
      <c r="V851" t="s">
        <v>1373</v>
      </c>
      <c r="W851" t="s">
        <v>1374</v>
      </c>
      <c r="X851" t="s">
        <v>1446</v>
      </c>
      <c r="Z851" t="s">
        <v>649</v>
      </c>
      <c r="AA851" t="s">
        <v>289</v>
      </c>
      <c r="AB851">
        <v>7</v>
      </c>
      <c r="AG851" t="s">
        <v>267</v>
      </c>
      <c r="AM851" t="s">
        <v>317</v>
      </c>
      <c r="AN851" t="s">
        <v>259</v>
      </c>
      <c r="AO851" t="s">
        <v>260</v>
      </c>
      <c r="AQ851" t="s">
        <v>504</v>
      </c>
      <c r="AR851" t="s">
        <v>288</v>
      </c>
      <c r="AS851">
        <v>500</v>
      </c>
      <c r="AX851" t="s">
        <v>262</v>
      </c>
      <c r="BO851" t="s">
        <v>504</v>
      </c>
      <c r="BP851" t="s">
        <v>288</v>
      </c>
      <c r="BQ851">
        <v>0.5</v>
      </c>
      <c r="BV851" t="s">
        <v>263</v>
      </c>
      <c r="CM851" t="s">
        <v>264</v>
      </c>
      <c r="CN851" t="s">
        <v>264</v>
      </c>
      <c r="CP851" t="s">
        <v>265</v>
      </c>
      <c r="CQ851" t="s">
        <v>518</v>
      </c>
      <c r="DB851">
        <v>4</v>
      </c>
      <c r="DG851" t="s">
        <v>267</v>
      </c>
      <c r="DI851">
        <v>96</v>
      </c>
      <c r="DN851" t="s">
        <v>268</v>
      </c>
      <c r="DP851" t="s">
        <v>1911</v>
      </c>
      <c r="DS851">
        <v>18593</v>
      </c>
      <c r="DT851" t="s">
        <v>1221</v>
      </c>
      <c r="EW851" t="s">
        <v>293</v>
      </c>
      <c r="FA851" t="s">
        <v>1954</v>
      </c>
      <c r="FK851" t="s">
        <v>2040</v>
      </c>
      <c r="FO851">
        <v>20.399999999999999</v>
      </c>
      <c r="FQ851">
        <v>21.2</v>
      </c>
      <c r="FR851" t="s">
        <v>295</v>
      </c>
      <c r="GQ851">
        <v>8</v>
      </c>
      <c r="GS851">
        <v>8.1999999999999993</v>
      </c>
      <c r="GW851">
        <v>30</v>
      </c>
      <c r="GY851">
        <v>32</v>
      </c>
      <c r="GZ851" t="s">
        <v>296</v>
      </c>
      <c r="HH851" t="s">
        <v>272</v>
      </c>
      <c r="ID851" t="s">
        <v>2041</v>
      </c>
      <c r="IE851" t="s">
        <v>1226</v>
      </c>
      <c r="IF851">
        <v>101781</v>
      </c>
      <c r="IG851" t="s">
        <v>1227</v>
      </c>
      <c r="IH851" t="s">
        <v>1228</v>
      </c>
      <c r="II851">
        <v>2006</v>
      </c>
      <c r="IJ851" t="s">
        <v>1229</v>
      </c>
    </row>
    <row r="852" spans="1:244" x14ac:dyDescent="0.45">
      <c r="A852">
        <v>1273561</v>
      </c>
      <c r="B852">
        <v>724880</v>
      </c>
      <c r="C852">
        <v>7646857</v>
      </c>
      <c r="D852" t="s">
        <v>1901</v>
      </c>
      <c r="F852" t="s">
        <v>245</v>
      </c>
      <c r="G852" t="s">
        <v>246</v>
      </c>
      <c r="N852" t="s">
        <v>1967</v>
      </c>
      <c r="O852" t="s">
        <v>1968</v>
      </c>
      <c r="P852" t="s">
        <v>249</v>
      </c>
      <c r="Q852" t="s">
        <v>250</v>
      </c>
      <c r="R852" t="s">
        <v>251</v>
      </c>
      <c r="T852" t="s">
        <v>252</v>
      </c>
      <c r="U852" t="s">
        <v>253</v>
      </c>
      <c r="V852" t="s">
        <v>1969</v>
      </c>
      <c r="W852" t="s">
        <v>1970</v>
      </c>
      <c r="X852" t="s">
        <v>1971</v>
      </c>
      <c r="Z852" t="s">
        <v>1046</v>
      </c>
      <c r="AB852">
        <v>1</v>
      </c>
      <c r="AG852" t="s">
        <v>267</v>
      </c>
      <c r="AM852" t="s">
        <v>258</v>
      </c>
      <c r="AN852" t="s">
        <v>259</v>
      </c>
      <c r="AO852" t="s">
        <v>260</v>
      </c>
      <c r="AP852">
        <v>7</v>
      </c>
      <c r="AQ852" t="s">
        <v>261</v>
      </c>
      <c r="AS852">
        <v>4.07</v>
      </c>
      <c r="AU852">
        <v>3.59</v>
      </c>
      <c r="AW852">
        <v>4.6100000000000003</v>
      </c>
      <c r="AX852" t="s">
        <v>356</v>
      </c>
      <c r="BO852" t="s">
        <v>261</v>
      </c>
      <c r="BQ852">
        <v>4.07</v>
      </c>
      <c r="BS852">
        <v>3.59</v>
      </c>
      <c r="BU852">
        <v>4.6100000000000003</v>
      </c>
      <c r="BV852" t="s">
        <v>263</v>
      </c>
      <c r="CM852" t="s">
        <v>264</v>
      </c>
      <c r="CN852" t="s">
        <v>264</v>
      </c>
      <c r="CP852" t="s">
        <v>265</v>
      </c>
      <c r="CQ852" t="s">
        <v>518</v>
      </c>
      <c r="DB852">
        <v>3</v>
      </c>
      <c r="DG852" t="s">
        <v>267</v>
      </c>
      <c r="DI852">
        <v>72</v>
      </c>
      <c r="DN852" t="s">
        <v>268</v>
      </c>
      <c r="DP852" t="s">
        <v>1911</v>
      </c>
      <c r="DR852">
        <v>174394</v>
      </c>
      <c r="DS852">
        <v>18619</v>
      </c>
      <c r="DT852" t="s">
        <v>1972</v>
      </c>
      <c r="EW852" t="s">
        <v>293</v>
      </c>
      <c r="FA852" t="s">
        <v>1973</v>
      </c>
      <c r="FK852" t="s">
        <v>1974</v>
      </c>
      <c r="FM852">
        <v>7.5</v>
      </c>
      <c r="FR852" t="s">
        <v>295</v>
      </c>
      <c r="GU852">
        <v>28</v>
      </c>
      <c r="GZ852" t="s">
        <v>356</v>
      </c>
      <c r="HH852" t="s">
        <v>272</v>
      </c>
      <c r="ID852" t="s">
        <v>1975</v>
      </c>
      <c r="IE852" t="s">
        <v>1976</v>
      </c>
      <c r="IF852">
        <v>71687</v>
      </c>
      <c r="IG852" t="s">
        <v>1977</v>
      </c>
      <c r="IH852" t="s">
        <v>1978</v>
      </c>
      <c r="II852">
        <v>2003</v>
      </c>
      <c r="IJ852" t="s">
        <v>1979</v>
      </c>
    </row>
    <row r="853" spans="1:244" x14ac:dyDescent="0.45">
      <c r="A853">
        <v>1276343</v>
      </c>
      <c r="B853">
        <v>727997</v>
      </c>
      <c r="C853">
        <v>7646857</v>
      </c>
      <c r="D853" t="s">
        <v>1901</v>
      </c>
      <c r="F853" t="s">
        <v>245</v>
      </c>
      <c r="G853" t="s">
        <v>246</v>
      </c>
      <c r="N853" t="s">
        <v>1230</v>
      </c>
      <c r="O853" t="s">
        <v>248</v>
      </c>
      <c r="P853" t="s">
        <v>249</v>
      </c>
      <c r="Q853" t="s">
        <v>250</v>
      </c>
      <c r="R853" t="s">
        <v>251</v>
      </c>
      <c r="T853" t="s">
        <v>252</v>
      </c>
      <c r="U853" t="s">
        <v>253</v>
      </c>
      <c r="V853" t="s">
        <v>1231</v>
      </c>
      <c r="W853" t="s">
        <v>1232</v>
      </c>
      <c r="X853" t="s">
        <v>1233</v>
      </c>
      <c r="Z853" t="s">
        <v>1046</v>
      </c>
      <c r="AB853">
        <v>1</v>
      </c>
      <c r="AG853" t="s">
        <v>598</v>
      </c>
      <c r="AM853" t="s">
        <v>258</v>
      </c>
      <c r="AN853" t="s">
        <v>259</v>
      </c>
      <c r="AO853" t="s">
        <v>260</v>
      </c>
      <c r="AP853">
        <v>6</v>
      </c>
      <c r="AQ853" t="s">
        <v>261</v>
      </c>
      <c r="AS853">
        <v>671.8</v>
      </c>
      <c r="AU853">
        <v>552.20000000000005</v>
      </c>
      <c r="AW853">
        <v>827.3</v>
      </c>
      <c r="AX853" t="s">
        <v>262</v>
      </c>
      <c r="BO853" t="s">
        <v>261</v>
      </c>
      <c r="BQ853">
        <v>0.67179999999999995</v>
      </c>
      <c r="BS853">
        <v>0.55220000000000002</v>
      </c>
      <c r="BU853">
        <v>0.82730000000000004</v>
      </c>
      <c r="BV853" t="s">
        <v>263</v>
      </c>
      <c r="CM853" t="s">
        <v>264</v>
      </c>
      <c r="CN853" t="s">
        <v>264</v>
      </c>
      <c r="CP853" t="s">
        <v>265</v>
      </c>
      <c r="CQ853" t="s">
        <v>518</v>
      </c>
      <c r="DB853">
        <v>2</v>
      </c>
      <c r="DG853" t="s">
        <v>267</v>
      </c>
      <c r="DI853">
        <v>48</v>
      </c>
      <c r="DN853" t="s">
        <v>268</v>
      </c>
      <c r="DP853" t="s">
        <v>1911</v>
      </c>
      <c r="DS853">
        <v>4771</v>
      </c>
      <c r="DT853" t="s">
        <v>1259</v>
      </c>
      <c r="EW853" t="s">
        <v>293</v>
      </c>
      <c r="FK853" t="s">
        <v>1912</v>
      </c>
      <c r="FM853">
        <v>22</v>
      </c>
      <c r="FR853" t="s">
        <v>295</v>
      </c>
      <c r="GO853">
        <v>8</v>
      </c>
      <c r="GU853">
        <v>35</v>
      </c>
      <c r="GZ853" t="s">
        <v>362</v>
      </c>
      <c r="HH853" t="s">
        <v>272</v>
      </c>
      <c r="ID853" t="s">
        <v>1913</v>
      </c>
      <c r="IE853" t="s">
        <v>1262</v>
      </c>
      <c r="IF853">
        <v>73547</v>
      </c>
      <c r="IG853" t="s">
        <v>1263</v>
      </c>
      <c r="IH853" t="s">
        <v>1264</v>
      </c>
      <c r="II853">
        <v>2003</v>
      </c>
      <c r="IJ853" t="s">
        <v>1265</v>
      </c>
    </row>
    <row r="854" spans="1:244" x14ac:dyDescent="0.45">
      <c r="A854">
        <v>1152878</v>
      </c>
      <c r="B854">
        <v>104615</v>
      </c>
      <c r="C854">
        <v>7646857</v>
      </c>
      <c r="D854" t="s">
        <v>1901</v>
      </c>
      <c r="F854" t="s">
        <v>245</v>
      </c>
      <c r="G854" t="s">
        <v>246</v>
      </c>
      <c r="N854" t="s">
        <v>1753</v>
      </c>
      <c r="O854" t="s">
        <v>1754</v>
      </c>
      <c r="P854" t="s">
        <v>249</v>
      </c>
      <c r="Q854" t="s">
        <v>250</v>
      </c>
      <c r="R854" t="s">
        <v>251</v>
      </c>
      <c r="T854" t="s">
        <v>252</v>
      </c>
      <c r="U854" t="s">
        <v>499</v>
      </c>
      <c r="V854" t="s">
        <v>1373</v>
      </c>
      <c r="W854" t="s">
        <v>1755</v>
      </c>
      <c r="X854" t="s">
        <v>1756</v>
      </c>
      <c r="AM854" t="s">
        <v>307</v>
      </c>
      <c r="AN854" t="s">
        <v>259</v>
      </c>
      <c r="AO854" t="s">
        <v>260</v>
      </c>
      <c r="AQ854" t="s">
        <v>261</v>
      </c>
      <c r="AS854">
        <v>2000</v>
      </c>
      <c r="AU854">
        <v>1630</v>
      </c>
      <c r="AW854">
        <v>2450</v>
      </c>
      <c r="AX854" t="s">
        <v>262</v>
      </c>
      <c r="BO854" t="s">
        <v>261</v>
      </c>
      <c r="BQ854">
        <v>2</v>
      </c>
      <c r="BS854">
        <v>1.63</v>
      </c>
      <c r="BU854">
        <v>2.4500000000000002</v>
      </c>
      <c r="BV854" t="s">
        <v>263</v>
      </c>
      <c r="CM854" t="s">
        <v>264</v>
      </c>
      <c r="CN854" t="s">
        <v>264</v>
      </c>
      <c r="CP854" t="s">
        <v>265</v>
      </c>
      <c r="CQ854" t="s">
        <v>518</v>
      </c>
      <c r="DB854">
        <v>4</v>
      </c>
      <c r="DG854" t="s">
        <v>267</v>
      </c>
      <c r="DI854">
        <v>96</v>
      </c>
      <c r="DN854" t="s">
        <v>268</v>
      </c>
      <c r="DP854" t="s">
        <v>1603</v>
      </c>
      <c r="DS854">
        <v>1676</v>
      </c>
      <c r="DT854" t="s">
        <v>2042</v>
      </c>
      <c r="EW854" t="s">
        <v>333</v>
      </c>
      <c r="FA854" t="s">
        <v>2043</v>
      </c>
      <c r="FM854">
        <v>20.3</v>
      </c>
      <c r="FR854" t="s">
        <v>295</v>
      </c>
      <c r="GH854">
        <v>97</v>
      </c>
      <c r="GM854" t="s">
        <v>900</v>
      </c>
      <c r="GO854">
        <v>7.8</v>
      </c>
      <c r="GU854">
        <v>34.1</v>
      </c>
      <c r="GZ854" t="s">
        <v>296</v>
      </c>
      <c r="HH854" t="s">
        <v>272</v>
      </c>
      <c r="IE854" t="s">
        <v>2044</v>
      </c>
      <c r="IF854">
        <v>13187</v>
      </c>
      <c r="IG854" t="s">
        <v>2045</v>
      </c>
      <c r="IH854" t="s">
        <v>2046</v>
      </c>
      <c r="II854">
        <v>1988</v>
      </c>
      <c r="IJ854" t="s">
        <v>2047</v>
      </c>
    </row>
    <row r="855" spans="1:244" x14ac:dyDescent="0.45">
      <c r="A855">
        <v>1036915</v>
      </c>
      <c r="B855">
        <v>112325</v>
      </c>
      <c r="C855">
        <v>7646857</v>
      </c>
      <c r="D855" t="s">
        <v>1901</v>
      </c>
      <c r="F855" t="s">
        <v>245</v>
      </c>
      <c r="G855" t="s">
        <v>246</v>
      </c>
      <c r="N855" t="s">
        <v>1724</v>
      </c>
      <c r="O855" t="s">
        <v>1725</v>
      </c>
      <c r="P855" t="s">
        <v>249</v>
      </c>
      <c r="Q855" t="s">
        <v>250</v>
      </c>
      <c r="R855" t="s">
        <v>251</v>
      </c>
      <c r="T855" t="s">
        <v>252</v>
      </c>
      <c r="U855" t="s">
        <v>253</v>
      </c>
      <c r="V855" t="s">
        <v>1726</v>
      </c>
      <c r="W855" t="s">
        <v>1727</v>
      </c>
      <c r="X855" t="s">
        <v>1728</v>
      </c>
      <c r="Z855" t="s">
        <v>315</v>
      </c>
      <c r="AM855" t="s">
        <v>317</v>
      </c>
      <c r="AN855" t="s">
        <v>259</v>
      </c>
      <c r="AO855" t="s">
        <v>260</v>
      </c>
      <c r="AQ855" t="s">
        <v>261</v>
      </c>
      <c r="AS855">
        <v>400</v>
      </c>
      <c r="AX855" t="s">
        <v>262</v>
      </c>
      <c r="BO855" t="s">
        <v>261</v>
      </c>
      <c r="BQ855">
        <v>0.4</v>
      </c>
      <c r="BV855" t="s">
        <v>263</v>
      </c>
      <c r="CM855" t="s">
        <v>264</v>
      </c>
      <c r="CN855" t="s">
        <v>264</v>
      </c>
      <c r="CP855" t="s">
        <v>265</v>
      </c>
      <c r="CQ855" t="s">
        <v>518</v>
      </c>
      <c r="DB855">
        <v>4</v>
      </c>
      <c r="DG855" t="s">
        <v>267</v>
      </c>
      <c r="DI855">
        <v>96</v>
      </c>
      <c r="DN855" t="s">
        <v>268</v>
      </c>
      <c r="DP855" t="s">
        <v>570</v>
      </c>
      <c r="DR855">
        <v>111067</v>
      </c>
      <c r="DS855">
        <v>490</v>
      </c>
      <c r="DT855" t="s">
        <v>1729</v>
      </c>
      <c r="EW855" t="s">
        <v>333</v>
      </c>
      <c r="FM855">
        <v>20</v>
      </c>
      <c r="FR855" t="s">
        <v>295</v>
      </c>
      <c r="GG855" t="s">
        <v>288</v>
      </c>
      <c r="GH855">
        <v>4</v>
      </c>
      <c r="GM855" t="s">
        <v>356</v>
      </c>
      <c r="GU855">
        <v>20</v>
      </c>
      <c r="GZ855" t="s">
        <v>296</v>
      </c>
      <c r="HH855" t="s">
        <v>272</v>
      </c>
      <c r="IE855" t="s">
        <v>1730</v>
      </c>
      <c r="IF855">
        <v>2253</v>
      </c>
      <c r="IG855" t="s">
        <v>1731</v>
      </c>
      <c r="IH855" t="s">
        <v>1732</v>
      </c>
      <c r="II855">
        <v>1977</v>
      </c>
      <c r="IJ855" t="s">
        <v>1733</v>
      </c>
    </row>
    <row r="856" spans="1:244" x14ac:dyDescent="0.45">
      <c r="A856">
        <v>1273836</v>
      </c>
      <c r="B856">
        <v>725159</v>
      </c>
      <c r="C856">
        <v>7646857</v>
      </c>
      <c r="D856" t="s">
        <v>1901</v>
      </c>
      <c r="F856" t="s">
        <v>245</v>
      </c>
      <c r="G856" t="s">
        <v>246</v>
      </c>
      <c r="N856" t="s">
        <v>1230</v>
      </c>
      <c r="O856" t="s">
        <v>248</v>
      </c>
      <c r="P856" t="s">
        <v>249</v>
      </c>
      <c r="Q856" t="s">
        <v>250</v>
      </c>
      <c r="R856" t="s">
        <v>251</v>
      </c>
      <c r="T856" t="s">
        <v>252</v>
      </c>
      <c r="U856" t="s">
        <v>253</v>
      </c>
      <c r="V856" t="s">
        <v>1231</v>
      </c>
      <c r="W856" t="s">
        <v>1232</v>
      </c>
      <c r="X856" t="s">
        <v>1233</v>
      </c>
      <c r="Z856" t="s">
        <v>919</v>
      </c>
      <c r="AM856" t="s">
        <v>258</v>
      </c>
      <c r="AN856" t="s">
        <v>259</v>
      </c>
      <c r="AO856" t="s">
        <v>260</v>
      </c>
      <c r="AP856">
        <v>6</v>
      </c>
      <c r="AQ856" t="s">
        <v>261</v>
      </c>
      <c r="AS856">
        <v>51</v>
      </c>
      <c r="AU856">
        <v>41.9</v>
      </c>
      <c r="AW856">
        <v>61.6</v>
      </c>
      <c r="AX856" t="s">
        <v>262</v>
      </c>
      <c r="BO856" t="s">
        <v>261</v>
      </c>
      <c r="BQ856">
        <v>5.0999999999999997E-2</v>
      </c>
      <c r="BS856">
        <v>4.19E-2</v>
      </c>
      <c r="BU856">
        <v>6.1600000000000002E-2</v>
      </c>
      <c r="BV856" t="s">
        <v>263</v>
      </c>
      <c r="CM856" t="s">
        <v>264</v>
      </c>
      <c r="CN856" t="s">
        <v>264</v>
      </c>
      <c r="CP856" t="s">
        <v>265</v>
      </c>
      <c r="CQ856" t="s">
        <v>518</v>
      </c>
      <c r="DB856">
        <v>4</v>
      </c>
      <c r="DG856" t="s">
        <v>267</v>
      </c>
      <c r="DI856">
        <v>96</v>
      </c>
      <c r="DN856" t="s">
        <v>268</v>
      </c>
      <c r="DP856" t="s">
        <v>1911</v>
      </c>
      <c r="DS856">
        <v>4771</v>
      </c>
      <c r="DT856" t="s">
        <v>1235</v>
      </c>
      <c r="EW856" t="s">
        <v>293</v>
      </c>
      <c r="FA856" t="s">
        <v>2048</v>
      </c>
      <c r="FK856" t="s">
        <v>2049</v>
      </c>
      <c r="FM856">
        <v>22</v>
      </c>
      <c r="FR856" t="s">
        <v>295</v>
      </c>
      <c r="GO856">
        <v>8</v>
      </c>
      <c r="GU856">
        <v>35</v>
      </c>
      <c r="GZ856" t="s">
        <v>362</v>
      </c>
      <c r="HH856" t="s">
        <v>272</v>
      </c>
      <c r="ID856" t="s">
        <v>2050</v>
      </c>
      <c r="IE856" t="s">
        <v>1238</v>
      </c>
      <c r="IF856">
        <v>97270</v>
      </c>
      <c r="IG856" t="s">
        <v>1239</v>
      </c>
      <c r="IH856" t="s">
        <v>1240</v>
      </c>
      <c r="II856">
        <v>2006</v>
      </c>
      <c r="IJ856" t="s">
        <v>1241</v>
      </c>
    </row>
    <row r="857" spans="1:244" x14ac:dyDescent="0.45">
      <c r="A857">
        <v>1279024</v>
      </c>
      <c r="B857">
        <v>732330</v>
      </c>
      <c r="C857">
        <v>7646857</v>
      </c>
      <c r="D857" t="s">
        <v>1901</v>
      </c>
      <c r="E857" t="s">
        <v>439</v>
      </c>
      <c r="F857" t="s">
        <v>327</v>
      </c>
      <c r="G857" t="s">
        <v>246</v>
      </c>
      <c r="N857" t="s">
        <v>1426</v>
      </c>
      <c r="O857" t="s">
        <v>370</v>
      </c>
      <c r="P857" t="s">
        <v>249</v>
      </c>
      <c r="Q857" t="s">
        <v>250</v>
      </c>
      <c r="R857" t="s">
        <v>251</v>
      </c>
      <c r="T857" t="s">
        <v>252</v>
      </c>
      <c r="U857" t="s">
        <v>371</v>
      </c>
      <c r="V857" t="s">
        <v>372</v>
      </c>
      <c r="W857" t="s">
        <v>1427</v>
      </c>
      <c r="X857" t="s">
        <v>1428</v>
      </c>
      <c r="Z857" t="s">
        <v>649</v>
      </c>
      <c r="AD857">
        <v>1</v>
      </c>
      <c r="AF857">
        <v>5</v>
      </c>
      <c r="AG857" t="s">
        <v>267</v>
      </c>
      <c r="AM857" t="s">
        <v>258</v>
      </c>
      <c r="AN857" t="s">
        <v>259</v>
      </c>
      <c r="AO857" t="s">
        <v>260</v>
      </c>
      <c r="AP857">
        <v>6</v>
      </c>
      <c r="AQ857" t="s">
        <v>261</v>
      </c>
      <c r="AS857">
        <v>1037</v>
      </c>
      <c r="AU857">
        <v>841</v>
      </c>
      <c r="AW857">
        <v>1291</v>
      </c>
      <c r="AX857" t="s">
        <v>262</v>
      </c>
      <c r="BO857" t="s">
        <v>261</v>
      </c>
      <c r="BQ857">
        <v>1.0369999999999999</v>
      </c>
      <c r="BS857">
        <v>0.84099999999999997</v>
      </c>
      <c r="BU857">
        <v>1.2909999999999999</v>
      </c>
      <c r="BV857" t="s">
        <v>263</v>
      </c>
      <c r="CM857" t="s">
        <v>264</v>
      </c>
      <c r="CN857" t="s">
        <v>264</v>
      </c>
      <c r="CP857" t="s">
        <v>265</v>
      </c>
      <c r="CQ857" t="s">
        <v>518</v>
      </c>
      <c r="DB857">
        <v>4</v>
      </c>
      <c r="DG857" t="s">
        <v>267</v>
      </c>
      <c r="DI857">
        <v>96</v>
      </c>
      <c r="DN857" t="s">
        <v>268</v>
      </c>
      <c r="DP857" t="s">
        <v>1911</v>
      </c>
      <c r="DR857">
        <v>223650</v>
      </c>
      <c r="DS857">
        <v>1577</v>
      </c>
      <c r="DT857" t="s">
        <v>1430</v>
      </c>
      <c r="EW857" t="s">
        <v>293</v>
      </c>
      <c r="FA857" t="s">
        <v>1692</v>
      </c>
      <c r="FK857" t="s">
        <v>2051</v>
      </c>
      <c r="FM857">
        <v>20</v>
      </c>
      <c r="FR857" t="s">
        <v>295</v>
      </c>
      <c r="GU857">
        <v>25</v>
      </c>
      <c r="GZ857" t="s">
        <v>296</v>
      </c>
      <c r="HH857" t="s">
        <v>272</v>
      </c>
      <c r="ID857" t="s">
        <v>2052</v>
      </c>
      <c r="IE857" t="s">
        <v>1433</v>
      </c>
      <c r="IF857">
        <v>75445</v>
      </c>
      <c r="IG857" t="s">
        <v>1434</v>
      </c>
      <c r="IH857" t="s">
        <v>1435</v>
      </c>
      <c r="II857">
        <v>2003</v>
      </c>
      <c r="IJ857" t="s">
        <v>1436</v>
      </c>
    </row>
    <row r="858" spans="1:244" x14ac:dyDescent="0.45">
      <c r="A858">
        <v>1282556</v>
      </c>
      <c r="B858">
        <v>736237</v>
      </c>
      <c r="C858">
        <v>7646857</v>
      </c>
      <c r="D858" t="s">
        <v>1901</v>
      </c>
      <c r="E858" t="s">
        <v>439</v>
      </c>
      <c r="F858" t="s">
        <v>327</v>
      </c>
      <c r="G858" t="s">
        <v>246</v>
      </c>
      <c r="N858" t="s">
        <v>1426</v>
      </c>
      <c r="O858" t="s">
        <v>370</v>
      </c>
      <c r="P858" t="s">
        <v>249</v>
      </c>
      <c r="Q858" t="s">
        <v>250</v>
      </c>
      <c r="R858" t="s">
        <v>251</v>
      </c>
      <c r="T858" t="s">
        <v>252</v>
      </c>
      <c r="U858" t="s">
        <v>371</v>
      </c>
      <c r="V858" t="s">
        <v>372</v>
      </c>
      <c r="W858" t="s">
        <v>1427</v>
      </c>
      <c r="X858" t="s">
        <v>1428</v>
      </c>
      <c r="Z858" t="s">
        <v>649</v>
      </c>
      <c r="AD858">
        <v>1</v>
      </c>
      <c r="AF858">
        <v>5</v>
      </c>
      <c r="AG858" t="s">
        <v>267</v>
      </c>
      <c r="AM858" t="s">
        <v>258</v>
      </c>
      <c r="AN858" t="s">
        <v>259</v>
      </c>
      <c r="AO858" t="s">
        <v>260</v>
      </c>
      <c r="AP858">
        <v>6</v>
      </c>
      <c r="AQ858" t="s">
        <v>261</v>
      </c>
      <c r="AS858">
        <v>540</v>
      </c>
      <c r="AU858">
        <v>318</v>
      </c>
      <c r="AW858">
        <v>762</v>
      </c>
      <c r="AX858" t="s">
        <v>262</v>
      </c>
      <c r="BO858" t="s">
        <v>261</v>
      </c>
      <c r="BQ858">
        <v>0.54</v>
      </c>
      <c r="BS858">
        <v>0.318</v>
      </c>
      <c r="BU858">
        <v>0.76200000000000001</v>
      </c>
      <c r="BV858" t="s">
        <v>263</v>
      </c>
      <c r="CM858" t="s">
        <v>264</v>
      </c>
      <c r="CN858" t="s">
        <v>264</v>
      </c>
      <c r="CP858" t="s">
        <v>265</v>
      </c>
      <c r="CQ858" t="s">
        <v>518</v>
      </c>
      <c r="DB858">
        <v>4</v>
      </c>
      <c r="DG858" t="s">
        <v>267</v>
      </c>
      <c r="DI858">
        <v>96</v>
      </c>
      <c r="DN858" t="s">
        <v>268</v>
      </c>
      <c r="DP858" t="s">
        <v>1911</v>
      </c>
      <c r="DR858">
        <v>223650</v>
      </c>
      <c r="DS858">
        <v>1577</v>
      </c>
      <c r="DT858" t="s">
        <v>1430</v>
      </c>
      <c r="EW858" t="s">
        <v>293</v>
      </c>
      <c r="FA858" t="s">
        <v>1867</v>
      </c>
      <c r="FK858" t="s">
        <v>2053</v>
      </c>
      <c r="FM858">
        <v>20</v>
      </c>
      <c r="FR858" t="s">
        <v>295</v>
      </c>
      <c r="GU858">
        <v>5</v>
      </c>
      <c r="GZ858" t="s">
        <v>296</v>
      </c>
      <c r="HH858" t="s">
        <v>272</v>
      </c>
      <c r="ID858" t="s">
        <v>2054</v>
      </c>
      <c r="IE858" t="s">
        <v>1433</v>
      </c>
      <c r="IF858">
        <v>75445</v>
      </c>
      <c r="IG858" t="s">
        <v>1434</v>
      </c>
      <c r="IH858" t="s">
        <v>1435</v>
      </c>
      <c r="II858">
        <v>2003</v>
      </c>
      <c r="IJ858" t="s">
        <v>1436</v>
      </c>
    </row>
    <row r="859" spans="1:244" x14ac:dyDescent="0.45">
      <c r="A859">
        <v>1116099</v>
      </c>
      <c r="B859">
        <v>107330</v>
      </c>
      <c r="C859">
        <v>7646857</v>
      </c>
      <c r="D859" t="s">
        <v>1901</v>
      </c>
      <c r="F859" t="s">
        <v>245</v>
      </c>
      <c r="G859" t="s">
        <v>246</v>
      </c>
      <c r="N859" t="s">
        <v>452</v>
      </c>
      <c r="O859" t="s">
        <v>346</v>
      </c>
      <c r="P859" t="s">
        <v>249</v>
      </c>
      <c r="Q859" t="s">
        <v>250</v>
      </c>
      <c r="R859" t="s">
        <v>251</v>
      </c>
      <c r="T859" t="s">
        <v>347</v>
      </c>
      <c r="U859" t="s">
        <v>348</v>
      </c>
      <c r="V859" t="s">
        <v>349</v>
      </c>
      <c r="W859" t="s">
        <v>350</v>
      </c>
      <c r="X859" t="s">
        <v>453</v>
      </c>
      <c r="Z859" t="s">
        <v>284</v>
      </c>
      <c r="AM859" t="s">
        <v>317</v>
      </c>
      <c r="AN859" t="s">
        <v>259</v>
      </c>
      <c r="AO859" t="s">
        <v>260</v>
      </c>
      <c r="AQ859" t="s">
        <v>261</v>
      </c>
      <c r="AS859">
        <v>37000</v>
      </c>
      <c r="AU859">
        <v>31000</v>
      </c>
      <c r="AW859">
        <v>46000</v>
      </c>
      <c r="AX859" t="s">
        <v>262</v>
      </c>
      <c r="BO859" t="s">
        <v>261</v>
      </c>
      <c r="BQ859">
        <v>37</v>
      </c>
      <c r="BS859">
        <v>31</v>
      </c>
      <c r="BU859">
        <v>46</v>
      </c>
      <c r="BV859" t="s">
        <v>263</v>
      </c>
      <c r="CM859" t="s">
        <v>264</v>
      </c>
      <c r="CN859" t="s">
        <v>264</v>
      </c>
      <c r="CP859" t="s">
        <v>265</v>
      </c>
      <c r="CQ859" t="s">
        <v>518</v>
      </c>
      <c r="DB859">
        <v>3</v>
      </c>
      <c r="DG859" t="s">
        <v>267</v>
      </c>
      <c r="DI859">
        <v>3</v>
      </c>
      <c r="DN859" t="s">
        <v>267</v>
      </c>
      <c r="DR859">
        <v>85549</v>
      </c>
      <c r="DS859">
        <v>366</v>
      </c>
      <c r="EW859" t="s">
        <v>271</v>
      </c>
      <c r="HH859" t="s">
        <v>272</v>
      </c>
      <c r="IE859" t="s">
        <v>454</v>
      </c>
      <c r="IF859">
        <v>9001</v>
      </c>
      <c r="IG859" t="s">
        <v>455</v>
      </c>
      <c r="IH859" t="s">
        <v>456</v>
      </c>
      <c r="II859">
        <v>1973</v>
      </c>
      <c r="IJ859" t="s">
        <v>457</v>
      </c>
    </row>
    <row r="860" spans="1:244" x14ac:dyDescent="0.45">
      <c r="A860">
        <v>1116097</v>
      </c>
      <c r="B860">
        <v>107328</v>
      </c>
      <c r="C860">
        <v>7646857</v>
      </c>
      <c r="D860" t="s">
        <v>1901</v>
      </c>
      <c r="F860" t="s">
        <v>245</v>
      </c>
      <c r="G860" t="s">
        <v>246</v>
      </c>
      <c r="N860" t="s">
        <v>460</v>
      </c>
      <c r="O860" t="s">
        <v>461</v>
      </c>
      <c r="P860" t="s">
        <v>249</v>
      </c>
      <c r="Q860" t="s">
        <v>250</v>
      </c>
      <c r="R860" t="s">
        <v>251</v>
      </c>
      <c r="T860" t="s">
        <v>389</v>
      </c>
      <c r="U860" t="s">
        <v>462</v>
      </c>
      <c r="V860" t="s">
        <v>463</v>
      </c>
      <c r="W860" t="s">
        <v>464</v>
      </c>
      <c r="X860" t="s">
        <v>465</v>
      </c>
      <c r="Z860" t="s">
        <v>284</v>
      </c>
      <c r="AM860" t="s">
        <v>317</v>
      </c>
      <c r="AN860" t="s">
        <v>259</v>
      </c>
      <c r="AO860" t="s">
        <v>260</v>
      </c>
      <c r="AQ860" t="s">
        <v>261</v>
      </c>
      <c r="AS860">
        <v>2230</v>
      </c>
      <c r="AU860">
        <v>2030</v>
      </c>
      <c r="AW860">
        <v>2450</v>
      </c>
      <c r="AX860" t="s">
        <v>262</v>
      </c>
      <c r="BO860" t="s">
        <v>261</v>
      </c>
      <c r="BQ860">
        <v>2.23</v>
      </c>
      <c r="BS860">
        <v>2.0299999999999998</v>
      </c>
      <c r="BU860">
        <v>2.4500000000000002</v>
      </c>
      <c r="BV860" t="s">
        <v>263</v>
      </c>
      <c r="CM860" t="s">
        <v>264</v>
      </c>
      <c r="CN860" t="s">
        <v>264</v>
      </c>
      <c r="CP860" t="s">
        <v>265</v>
      </c>
      <c r="CQ860" t="s">
        <v>518</v>
      </c>
      <c r="DB860">
        <v>3</v>
      </c>
      <c r="DG860" t="s">
        <v>267</v>
      </c>
      <c r="DI860">
        <v>3</v>
      </c>
      <c r="DN860" t="s">
        <v>267</v>
      </c>
      <c r="DR860">
        <v>637417</v>
      </c>
      <c r="DS860">
        <v>214</v>
      </c>
      <c r="EW860" t="s">
        <v>271</v>
      </c>
      <c r="HH860" t="s">
        <v>272</v>
      </c>
      <c r="IE860" t="s">
        <v>454</v>
      </c>
      <c r="IF860">
        <v>9001</v>
      </c>
      <c r="IG860" t="s">
        <v>455</v>
      </c>
      <c r="IH860" t="s">
        <v>456</v>
      </c>
      <c r="II860">
        <v>1973</v>
      </c>
      <c r="IJ860" t="s">
        <v>457</v>
      </c>
    </row>
    <row r="861" spans="1:244" x14ac:dyDescent="0.45">
      <c r="A861">
        <v>1279213</v>
      </c>
      <c r="B861">
        <v>732544</v>
      </c>
      <c r="C861">
        <v>7646857</v>
      </c>
      <c r="D861" t="s">
        <v>1901</v>
      </c>
      <c r="F861" t="s">
        <v>327</v>
      </c>
      <c r="G861" t="s">
        <v>246</v>
      </c>
      <c r="N861" t="s">
        <v>369</v>
      </c>
      <c r="O861" t="s">
        <v>370</v>
      </c>
      <c r="P861" t="s">
        <v>249</v>
      </c>
      <c r="Q861" t="s">
        <v>250</v>
      </c>
      <c r="R861" t="s">
        <v>251</v>
      </c>
      <c r="T861" t="s">
        <v>252</v>
      </c>
      <c r="U861" t="s">
        <v>371</v>
      </c>
      <c r="V861" t="s">
        <v>372</v>
      </c>
      <c r="W861" t="s">
        <v>373</v>
      </c>
      <c r="X861" t="s">
        <v>374</v>
      </c>
      <c r="AL861" t="s">
        <v>2055</v>
      </c>
      <c r="AM861" t="s">
        <v>317</v>
      </c>
      <c r="AN861" t="s">
        <v>259</v>
      </c>
      <c r="AO861" t="s">
        <v>260</v>
      </c>
      <c r="AP861">
        <v>6</v>
      </c>
      <c r="AQ861" t="s">
        <v>504</v>
      </c>
      <c r="AS861">
        <v>2032</v>
      </c>
      <c r="AU861">
        <v>1847</v>
      </c>
      <c r="AW861">
        <v>2239</v>
      </c>
      <c r="AX861" t="s">
        <v>262</v>
      </c>
      <c r="BO861" t="s">
        <v>504</v>
      </c>
      <c r="BQ861">
        <v>2.032</v>
      </c>
      <c r="BS861">
        <v>1.847</v>
      </c>
      <c r="BU861">
        <v>2.2389999999999999</v>
      </c>
      <c r="BV861" t="s">
        <v>263</v>
      </c>
      <c r="CM861" t="s">
        <v>264</v>
      </c>
      <c r="CN861" t="s">
        <v>264</v>
      </c>
      <c r="CP861" t="s">
        <v>265</v>
      </c>
      <c r="CQ861" t="s">
        <v>518</v>
      </c>
      <c r="DB861">
        <v>2</v>
      </c>
      <c r="DG861" t="s">
        <v>267</v>
      </c>
      <c r="DI861">
        <v>48</v>
      </c>
      <c r="DN861" t="s">
        <v>268</v>
      </c>
      <c r="DP861" t="s">
        <v>1911</v>
      </c>
      <c r="DR861">
        <v>110441</v>
      </c>
      <c r="DS861">
        <v>142</v>
      </c>
      <c r="EW861" t="s">
        <v>293</v>
      </c>
      <c r="FA861" t="s">
        <v>2056</v>
      </c>
      <c r="FK861" t="s">
        <v>2057</v>
      </c>
      <c r="FM861">
        <v>20</v>
      </c>
      <c r="FR861" t="s">
        <v>295</v>
      </c>
      <c r="GJ861">
        <v>7</v>
      </c>
      <c r="GL861">
        <v>8.4</v>
      </c>
      <c r="GM861" t="s">
        <v>422</v>
      </c>
      <c r="GQ861">
        <v>7.3</v>
      </c>
      <c r="GS861">
        <v>7.7</v>
      </c>
      <c r="GU861">
        <v>20</v>
      </c>
      <c r="GZ861" t="s">
        <v>296</v>
      </c>
      <c r="HH861" t="s">
        <v>272</v>
      </c>
      <c r="ID861" t="s">
        <v>2058</v>
      </c>
      <c r="IE861" t="s">
        <v>2059</v>
      </c>
      <c r="IF861">
        <v>76253</v>
      </c>
      <c r="IG861" t="s">
        <v>2060</v>
      </c>
      <c r="IH861" t="s">
        <v>2061</v>
      </c>
      <c r="II861">
        <v>1999</v>
      </c>
      <c r="IJ861" t="s">
        <v>2062</v>
      </c>
    </row>
    <row r="862" spans="1:244" x14ac:dyDescent="0.45">
      <c r="A862">
        <v>1279032</v>
      </c>
      <c r="B862">
        <v>732339</v>
      </c>
      <c r="C862">
        <v>7646857</v>
      </c>
      <c r="D862" t="s">
        <v>1901</v>
      </c>
      <c r="F862" t="s">
        <v>327</v>
      </c>
      <c r="G862" t="s">
        <v>246</v>
      </c>
      <c r="N862" t="s">
        <v>369</v>
      </c>
      <c r="O862" t="s">
        <v>370</v>
      </c>
      <c r="P862" t="s">
        <v>249</v>
      </c>
      <c r="Q862" t="s">
        <v>250</v>
      </c>
      <c r="R862" t="s">
        <v>251</v>
      </c>
      <c r="T862" t="s">
        <v>252</v>
      </c>
      <c r="U862" t="s">
        <v>371</v>
      </c>
      <c r="V862" t="s">
        <v>372</v>
      </c>
      <c r="W862" t="s">
        <v>373</v>
      </c>
      <c r="X862" t="s">
        <v>374</v>
      </c>
      <c r="AL862" t="s">
        <v>2055</v>
      </c>
      <c r="AM862" t="s">
        <v>317</v>
      </c>
      <c r="AN862" t="s">
        <v>259</v>
      </c>
      <c r="AO862" t="s">
        <v>260</v>
      </c>
      <c r="AP862">
        <v>6</v>
      </c>
      <c r="AQ862" t="s">
        <v>504</v>
      </c>
      <c r="AS862">
        <v>2031</v>
      </c>
      <c r="AU862">
        <v>1875</v>
      </c>
      <c r="AW862">
        <v>2199</v>
      </c>
      <c r="AX862" t="s">
        <v>262</v>
      </c>
      <c r="BO862" t="s">
        <v>504</v>
      </c>
      <c r="BQ862">
        <v>2.0310000000000001</v>
      </c>
      <c r="BS862">
        <v>1.875</v>
      </c>
      <c r="BU862">
        <v>2.1989999999999998</v>
      </c>
      <c r="BV862" t="s">
        <v>263</v>
      </c>
      <c r="CM862" t="s">
        <v>264</v>
      </c>
      <c r="CN862" t="s">
        <v>264</v>
      </c>
      <c r="CP862" t="s">
        <v>265</v>
      </c>
      <c r="CQ862" t="s">
        <v>518</v>
      </c>
      <c r="DB862">
        <v>2</v>
      </c>
      <c r="DG862" t="s">
        <v>267</v>
      </c>
      <c r="DI862">
        <v>48</v>
      </c>
      <c r="DN862" t="s">
        <v>268</v>
      </c>
      <c r="DP862" t="s">
        <v>1911</v>
      </c>
      <c r="DR862">
        <v>110441</v>
      </c>
      <c r="DS862">
        <v>142</v>
      </c>
      <c r="EW862" t="s">
        <v>293</v>
      </c>
      <c r="FA862" t="s">
        <v>2063</v>
      </c>
      <c r="FK862" t="s">
        <v>2064</v>
      </c>
      <c r="FM862">
        <v>20</v>
      </c>
      <c r="FR862" t="s">
        <v>295</v>
      </c>
      <c r="GJ862">
        <v>6</v>
      </c>
      <c r="GL862">
        <v>8</v>
      </c>
      <c r="GM862" t="s">
        <v>422</v>
      </c>
      <c r="GQ862">
        <v>7.3</v>
      </c>
      <c r="GS862">
        <v>8</v>
      </c>
      <c r="GU862">
        <v>20</v>
      </c>
      <c r="GZ862" t="s">
        <v>296</v>
      </c>
      <c r="HH862" t="s">
        <v>272</v>
      </c>
      <c r="ID862" t="s">
        <v>2065</v>
      </c>
      <c r="IE862" t="s">
        <v>2059</v>
      </c>
      <c r="IF862">
        <v>76253</v>
      </c>
      <c r="IG862" t="s">
        <v>2060</v>
      </c>
      <c r="IH862" t="s">
        <v>2061</v>
      </c>
      <c r="II862">
        <v>1999</v>
      </c>
      <c r="IJ862" t="s">
        <v>2062</v>
      </c>
    </row>
    <row r="863" spans="1:244" x14ac:dyDescent="0.45">
      <c r="A863">
        <v>2145457</v>
      </c>
      <c r="B863">
        <v>2274200</v>
      </c>
      <c r="C863">
        <v>7646857</v>
      </c>
      <c r="D863" t="s">
        <v>1901</v>
      </c>
      <c r="E863" t="s">
        <v>1538</v>
      </c>
      <c r="F863" t="s">
        <v>327</v>
      </c>
      <c r="G863" t="s">
        <v>1539</v>
      </c>
      <c r="N863" t="s">
        <v>566</v>
      </c>
      <c r="O863" t="s">
        <v>388</v>
      </c>
      <c r="P863" t="s">
        <v>249</v>
      </c>
      <c r="Q863" t="s">
        <v>250</v>
      </c>
      <c r="R863" t="s">
        <v>251</v>
      </c>
      <c r="T863" t="s">
        <v>389</v>
      </c>
      <c r="U863" t="s">
        <v>390</v>
      </c>
      <c r="V863" t="s">
        <v>567</v>
      </c>
      <c r="W863" t="s">
        <v>568</v>
      </c>
      <c r="X863" t="s">
        <v>569</v>
      </c>
      <c r="AM863" t="s">
        <v>317</v>
      </c>
      <c r="AN863" t="s">
        <v>259</v>
      </c>
      <c r="AO863" t="s">
        <v>260</v>
      </c>
      <c r="AP863">
        <v>6</v>
      </c>
      <c r="AQ863" t="s">
        <v>261</v>
      </c>
      <c r="AS863">
        <v>890</v>
      </c>
      <c r="AU863">
        <v>750</v>
      </c>
      <c r="AW863">
        <v>1100</v>
      </c>
      <c r="AX863" t="s">
        <v>262</v>
      </c>
      <c r="BO863" t="s">
        <v>261</v>
      </c>
      <c r="BQ863">
        <v>0.89</v>
      </c>
      <c r="BS863">
        <v>0.75</v>
      </c>
      <c r="BU863">
        <v>1.1000000000000001</v>
      </c>
      <c r="BV863" t="s">
        <v>263</v>
      </c>
      <c r="CM863" t="s">
        <v>264</v>
      </c>
      <c r="CN863" t="s">
        <v>264</v>
      </c>
      <c r="CP863" t="s">
        <v>265</v>
      </c>
      <c r="CQ863" t="s">
        <v>518</v>
      </c>
      <c r="DB863">
        <v>4</v>
      </c>
      <c r="DG863" t="s">
        <v>267</v>
      </c>
      <c r="DI863">
        <v>96</v>
      </c>
      <c r="DN863" t="s">
        <v>268</v>
      </c>
      <c r="DS863">
        <v>212</v>
      </c>
      <c r="DT863" t="s">
        <v>1541</v>
      </c>
      <c r="DV863">
        <v>96</v>
      </c>
      <c r="EA863" t="s">
        <v>268</v>
      </c>
      <c r="EC863">
        <v>4</v>
      </c>
      <c r="EH863" t="s">
        <v>267</v>
      </c>
      <c r="EJ863">
        <v>96</v>
      </c>
      <c r="EO863" t="s">
        <v>268</v>
      </c>
      <c r="EQ863">
        <v>4</v>
      </c>
      <c r="EV863" t="s">
        <v>267</v>
      </c>
      <c r="EW863" t="s">
        <v>293</v>
      </c>
      <c r="EY863" t="s">
        <v>377</v>
      </c>
      <c r="FA863" t="s">
        <v>1542</v>
      </c>
      <c r="FM863">
        <v>22</v>
      </c>
      <c r="FR863" t="s">
        <v>295</v>
      </c>
      <c r="GO863">
        <v>8.1999999999999993</v>
      </c>
      <c r="GU863">
        <v>7</v>
      </c>
      <c r="GZ863" t="s">
        <v>296</v>
      </c>
      <c r="HH863" t="s">
        <v>272</v>
      </c>
      <c r="IE863" t="s">
        <v>1543</v>
      </c>
      <c r="IF863">
        <v>169337</v>
      </c>
      <c r="IG863" t="s">
        <v>1544</v>
      </c>
      <c r="IH863" t="s">
        <v>1545</v>
      </c>
      <c r="II863">
        <v>2010</v>
      </c>
      <c r="IJ863" t="s">
        <v>1546</v>
      </c>
    </row>
    <row r="864" spans="1:244" x14ac:dyDescent="0.45">
      <c r="A864">
        <v>1053646</v>
      </c>
      <c r="B864">
        <v>131342</v>
      </c>
      <c r="C864">
        <v>7646857</v>
      </c>
      <c r="D864" t="s">
        <v>1901</v>
      </c>
      <c r="F864" t="s">
        <v>327</v>
      </c>
      <c r="G864" t="s">
        <v>246</v>
      </c>
      <c r="N864" t="s">
        <v>369</v>
      </c>
      <c r="O864" t="s">
        <v>370</v>
      </c>
      <c r="P864" t="s">
        <v>249</v>
      </c>
      <c r="Q864" t="s">
        <v>250</v>
      </c>
      <c r="R864" t="s">
        <v>251</v>
      </c>
      <c r="T864" t="s">
        <v>252</v>
      </c>
      <c r="U864" t="s">
        <v>371</v>
      </c>
      <c r="V864" t="s">
        <v>372</v>
      </c>
      <c r="W864" t="s">
        <v>373</v>
      </c>
      <c r="X864" t="s">
        <v>374</v>
      </c>
      <c r="Z864" t="s">
        <v>649</v>
      </c>
      <c r="AM864" t="s">
        <v>317</v>
      </c>
      <c r="AN864" t="s">
        <v>259</v>
      </c>
      <c r="AO864" t="s">
        <v>260</v>
      </c>
      <c r="AQ864" t="s">
        <v>261</v>
      </c>
      <c r="AS864">
        <v>520.79999999999995</v>
      </c>
      <c r="AU864">
        <v>417.4</v>
      </c>
      <c r="AW864">
        <v>624.79999999999995</v>
      </c>
      <c r="AX864" t="s">
        <v>262</v>
      </c>
      <c r="BO864" t="s">
        <v>261</v>
      </c>
      <c r="BQ864">
        <v>0.52080000000000004</v>
      </c>
      <c r="BS864">
        <v>0.41739999999999999</v>
      </c>
      <c r="BU864">
        <v>0.62480000000000002</v>
      </c>
      <c r="BV864" t="s">
        <v>263</v>
      </c>
      <c r="CM864" t="s">
        <v>264</v>
      </c>
      <c r="CN864" t="s">
        <v>264</v>
      </c>
      <c r="CP864" t="s">
        <v>265</v>
      </c>
      <c r="DB864">
        <v>4</v>
      </c>
      <c r="DG864" t="s">
        <v>267</v>
      </c>
      <c r="DI864">
        <v>96</v>
      </c>
      <c r="DN864" t="s">
        <v>268</v>
      </c>
      <c r="DR864">
        <v>110441</v>
      </c>
      <c r="DS864">
        <v>142</v>
      </c>
      <c r="EW864" t="s">
        <v>333</v>
      </c>
      <c r="FM864">
        <v>23</v>
      </c>
      <c r="FR864" t="s">
        <v>295</v>
      </c>
      <c r="GU864">
        <v>30</v>
      </c>
      <c r="GZ864" t="s">
        <v>296</v>
      </c>
      <c r="HH864" t="s">
        <v>272</v>
      </c>
      <c r="IE864" t="s">
        <v>2066</v>
      </c>
      <c r="IF864">
        <v>3743</v>
      </c>
      <c r="IG864" t="s">
        <v>1994</v>
      </c>
      <c r="IH864" t="s">
        <v>2067</v>
      </c>
      <c r="II864">
        <v>1985</v>
      </c>
      <c r="IJ864" t="s">
        <v>2068</v>
      </c>
    </row>
    <row r="865" spans="1:244" x14ac:dyDescent="0.45">
      <c r="A865">
        <v>1279178</v>
      </c>
      <c r="B865">
        <v>732507</v>
      </c>
      <c r="C865">
        <v>7646857</v>
      </c>
      <c r="D865" t="s">
        <v>1901</v>
      </c>
      <c r="F865" t="s">
        <v>327</v>
      </c>
      <c r="G865" t="s">
        <v>246</v>
      </c>
      <c r="N865" t="s">
        <v>369</v>
      </c>
      <c r="O865" t="s">
        <v>370</v>
      </c>
      <c r="P865" t="s">
        <v>249</v>
      </c>
      <c r="Q865" t="s">
        <v>250</v>
      </c>
      <c r="R865" t="s">
        <v>251</v>
      </c>
      <c r="T865" t="s">
        <v>252</v>
      </c>
      <c r="U865" t="s">
        <v>371</v>
      </c>
      <c r="V865" t="s">
        <v>372</v>
      </c>
      <c r="W865" t="s">
        <v>373</v>
      </c>
      <c r="X865" t="s">
        <v>374</v>
      </c>
      <c r="AL865" t="s">
        <v>2055</v>
      </c>
      <c r="AM865" t="s">
        <v>317</v>
      </c>
      <c r="AN865" t="s">
        <v>259</v>
      </c>
      <c r="AO865" t="s">
        <v>260</v>
      </c>
      <c r="AP865">
        <v>6</v>
      </c>
      <c r="AQ865" t="s">
        <v>504</v>
      </c>
      <c r="AS865">
        <v>1862</v>
      </c>
      <c r="AU865">
        <v>1669</v>
      </c>
      <c r="AW865">
        <v>2078</v>
      </c>
      <c r="AX865" t="s">
        <v>262</v>
      </c>
      <c r="BO865" t="s">
        <v>504</v>
      </c>
      <c r="BQ865">
        <v>1.8620000000000001</v>
      </c>
      <c r="BS865">
        <v>1.669</v>
      </c>
      <c r="BU865">
        <v>2.0779999999999998</v>
      </c>
      <c r="BV865" t="s">
        <v>263</v>
      </c>
      <c r="CM865" t="s">
        <v>264</v>
      </c>
      <c r="CN865" t="s">
        <v>264</v>
      </c>
      <c r="CP865" t="s">
        <v>265</v>
      </c>
      <c r="CQ865" t="s">
        <v>518</v>
      </c>
      <c r="DB865">
        <v>2</v>
      </c>
      <c r="DG865" t="s">
        <v>267</v>
      </c>
      <c r="DI865">
        <v>48</v>
      </c>
      <c r="DN865" t="s">
        <v>268</v>
      </c>
      <c r="DP865" t="s">
        <v>1911</v>
      </c>
      <c r="DR865">
        <v>110441</v>
      </c>
      <c r="DS865">
        <v>142</v>
      </c>
      <c r="EW865" t="s">
        <v>293</v>
      </c>
      <c r="FA865" t="s">
        <v>2069</v>
      </c>
      <c r="FK865" t="s">
        <v>2070</v>
      </c>
      <c r="FM865">
        <v>20</v>
      </c>
      <c r="FR865" t="s">
        <v>295</v>
      </c>
      <c r="GJ865">
        <v>6.6</v>
      </c>
      <c r="GL865">
        <v>8.1</v>
      </c>
      <c r="GM865" t="s">
        <v>422</v>
      </c>
      <c r="GQ865">
        <v>7.3</v>
      </c>
      <c r="GS865">
        <v>7.7</v>
      </c>
      <c r="GU865">
        <v>20</v>
      </c>
      <c r="GZ865" t="s">
        <v>296</v>
      </c>
      <c r="HH865" t="s">
        <v>272</v>
      </c>
      <c r="ID865" t="s">
        <v>2071</v>
      </c>
      <c r="IE865" t="s">
        <v>2059</v>
      </c>
      <c r="IF865">
        <v>76253</v>
      </c>
      <c r="IG865" t="s">
        <v>2060</v>
      </c>
      <c r="IH865" t="s">
        <v>2061</v>
      </c>
      <c r="II865">
        <v>1999</v>
      </c>
      <c r="IJ865" t="s">
        <v>2062</v>
      </c>
    </row>
    <row r="866" spans="1:244" x14ac:dyDescent="0.45">
      <c r="A866">
        <v>1273286</v>
      </c>
      <c r="B866">
        <v>724586</v>
      </c>
      <c r="C866">
        <v>7646857</v>
      </c>
      <c r="D866" t="s">
        <v>1901</v>
      </c>
      <c r="F866" t="s">
        <v>327</v>
      </c>
      <c r="G866" t="s">
        <v>246</v>
      </c>
      <c r="N866" t="s">
        <v>991</v>
      </c>
      <c r="O866" t="s">
        <v>498</v>
      </c>
      <c r="P866" t="s">
        <v>249</v>
      </c>
      <c r="Q866" t="s">
        <v>250</v>
      </c>
      <c r="R866" t="s">
        <v>251</v>
      </c>
      <c r="T866" t="s">
        <v>252</v>
      </c>
      <c r="U866" t="s">
        <v>499</v>
      </c>
      <c r="V866" t="s">
        <v>992</v>
      </c>
      <c r="W866" t="s">
        <v>993</v>
      </c>
      <c r="X866" t="s">
        <v>994</v>
      </c>
      <c r="Z866" t="s">
        <v>315</v>
      </c>
      <c r="AD866">
        <v>2</v>
      </c>
      <c r="AF866">
        <v>3</v>
      </c>
      <c r="AG866" t="s">
        <v>1271</v>
      </c>
      <c r="AL866" t="s">
        <v>2072</v>
      </c>
      <c r="AM866" t="s">
        <v>317</v>
      </c>
      <c r="AN866" t="s">
        <v>259</v>
      </c>
      <c r="AO866" t="s">
        <v>260</v>
      </c>
      <c r="AQ866" t="s">
        <v>504</v>
      </c>
      <c r="AS866">
        <v>1560</v>
      </c>
      <c r="AU866">
        <v>1090</v>
      </c>
      <c r="AW866">
        <v>2010</v>
      </c>
      <c r="AX866" t="s">
        <v>262</v>
      </c>
      <c r="BO866" t="s">
        <v>504</v>
      </c>
      <c r="BQ866">
        <v>1.56</v>
      </c>
      <c r="BS866">
        <v>1.0900000000000001</v>
      </c>
      <c r="BU866">
        <v>2.0099999999999998</v>
      </c>
      <c r="BV866" t="s">
        <v>263</v>
      </c>
      <c r="CM866" t="s">
        <v>264</v>
      </c>
      <c r="CN866" t="s">
        <v>264</v>
      </c>
      <c r="CP866" t="s">
        <v>265</v>
      </c>
      <c r="CQ866" t="s">
        <v>518</v>
      </c>
      <c r="DB866">
        <v>4</v>
      </c>
      <c r="DG866" t="s">
        <v>267</v>
      </c>
      <c r="DI866">
        <v>4</v>
      </c>
      <c r="DN866" t="s">
        <v>267</v>
      </c>
      <c r="DP866" t="s">
        <v>1911</v>
      </c>
      <c r="DR866">
        <v>429032</v>
      </c>
      <c r="DS866">
        <v>3026</v>
      </c>
      <c r="DT866" t="s">
        <v>1221</v>
      </c>
      <c r="EW866" t="s">
        <v>293</v>
      </c>
      <c r="FA866" t="s">
        <v>1954</v>
      </c>
      <c r="FK866" t="s">
        <v>2073</v>
      </c>
      <c r="FO866">
        <v>20.399999999999999</v>
      </c>
      <c r="FQ866">
        <v>21.2</v>
      </c>
      <c r="FR866" t="s">
        <v>295</v>
      </c>
      <c r="GQ866">
        <v>8</v>
      </c>
      <c r="GS866">
        <v>8.1999999999999993</v>
      </c>
      <c r="GW866">
        <v>30</v>
      </c>
      <c r="GY866">
        <v>32</v>
      </c>
      <c r="GZ866" t="s">
        <v>296</v>
      </c>
      <c r="HH866" t="s">
        <v>272</v>
      </c>
      <c r="ID866" t="s">
        <v>2074</v>
      </c>
      <c r="IE866" t="s">
        <v>1226</v>
      </c>
      <c r="IF866">
        <v>101781</v>
      </c>
      <c r="IG866" t="s">
        <v>1227</v>
      </c>
      <c r="IH866" t="s">
        <v>1228</v>
      </c>
      <c r="II866">
        <v>2006</v>
      </c>
      <c r="IJ866" t="s">
        <v>1229</v>
      </c>
    </row>
    <row r="867" spans="1:244" x14ac:dyDescent="0.45">
      <c r="A867">
        <v>1194943</v>
      </c>
      <c r="B867">
        <v>167695</v>
      </c>
      <c r="C867">
        <v>7646857</v>
      </c>
      <c r="D867" t="s">
        <v>1901</v>
      </c>
      <c r="F867" t="s">
        <v>245</v>
      </c>
      <c r="G867" t="s">
        <v>246</v>
      </c>
      <c r="N867" t="s">
        <v>2075</v>
      </c>
      <c r="O867" t="s">
        <v>2076</v>
      </c>
      <c r="P867" t="s">
        <v>249</v>
      </c>
      <c r="Q867" t="s">
        <v>250</v>
      </c>
      <c r="R867" t="s">
        <v>251</v>
      </c>
      <c r="T867" t="s">
        <v>252</v>
      </c>
      <c r="U867" t="s">
        <v>253</v>
      </c>
      <c r="V867" t="s">
        <v>418</v>
      </c>
      <c r="W867" t="s">
        <v>419</v>
      </c>
      <c r="X867" t="s">
        <v>2077</v>
      </c>
      <c r="Z867" t="s">
        <v>649</v>
      </c>
      <c r="AL867" t="s">
        <v>2078</v>
      </c>
      <c r="AM867" t="s">
        <v>287</v>
      </c>
      <c r="AN867" t="s">
        <v>259</v>
      </c>
      <c r="AO867" t="s">
        <v>260</v>
      </c>
      <c r="AQ867" t="s">
        <v>261</v>
      </c>
      <c r="AS867">
        <v>78860</v>
      </c>
      <c r="AX867" t="s">
        <v>262</v>
      </c>
      <c r="BO867" t="s">
        <v>261</v>
      </c>
      <c r="BQ867">
        <v>78.86</v>
      </c>
      <c r="BV867" t="s">
        <v>263</v>
      </c>
      <c r="CM867" t="s">
        <v>264</v>
      </c>
      <c r="CN867" t="s">
        <v>264</v>
      </c>
      <c r="CP867" t="s">
        <v>265</v>
      </c>
      <c r="CQ867" t="s">
        <v>518</v>
      </c>
      <c r="DB867">
        <v>2</v>
      </c>
      <c r="DG867" t="s">
        <v>267</v>
      </c>
      <c r="DI867">
        <v>48</v>
      </c>
      <c r="DN867" t="s">
        <v>268</v>
      </c>
      <c r="DR867">
        <v>64468</v>
      </c>
      <c r="DS867">
        <v>77</v>
      </c>
      <c r="DT867" t="s">
        <v>2079</v>
      </c>
      <c r="EW867" t="s">
        <v>293</v>
      </c>
      <c r="FM867">
        <v>23</v>
      </c>
      <c r="FR867" t="s">
        <v>295</v>
      </c>
      <c r="GH867">
        <v>6.9</v>
      </c>
      <c r="GM867" t="s">
        <v>356</v>
      </c>
      <c r="GO867">
        <v>8.3000000000000007</v>
      </c>
      <c r="GU867">
        <v>11</v>
      </c>
      <c r="GZ867" t="s">
        <v>296</v>
      </c>
      <c r="HH867" t="s">
        <v>272</v>
      </c>
      <c r="IE867" t="s">
        <v>2080</v>
      </c>
      <c r="IF867">
        <v>17481</v>
      </c>
      <c r="IG867" t="s">
        <v>2081</v>
      </c>
      <c r="IH867" t="s">
        <v>2082</v>
      </c>
      <c r="II867">
        <v>1997</v>
      </c>
      <c r="IJ867" t="s">
        <v>2083</v>
      </c>
    </row>
    <row r="868" spans="1:244" x14ac:dyDescent="0.45">
      <c r="A868">
        <v>1053648</v>
      </c>
      <c r="B868">
        <v>131344</v>
      </c>
      <c r="C868">
        <v>7646857</v>
      </c>
      <c r="D868" t="s">
        <v>1901</v>
      </c>
      <c r="F868" t="s">
        <v>327</v>
      </c>
      <c r="G868" t="s">
        <v>246</v>
      </c>
      <c r="N868" t="s">
        <v>645</v>
      </c>
      <c r="O868" t="s">
        <v>646</v>
      </c>
      <c r="P868" t="s">
        <v>249</v>
      </c>
      <c r="Q868" t="s">
        <v>250</v>
      </c>
      <c r="R868" t="s">
        <v>251</v>
      </c>
      <c r="T868" t="s">
        <v>252</v>
      </c>
      <c r="U868" t="s">
        <v>371</v>
      </c>
      <c r="V868" t="s">
        <v>372</v>
      </c>
      <c r="W868" t="s">
        <v>647</v>
      </c>
      <c r="X868" t="s">
        <v>648</v>
      </c>
      <c r="Z868" t="s">
        <v>649</v>
      </c>
      <c r="AM868" t="s">
        <v>317</v>
      </c>
      <c r="AN868" t="s">
        <v>259</v>
      </c>
      <c r="AO868" t="s">
        <v>260</v>
      </c>
      <c r="AQ868" t="s">
        <v>261</v>
      </c>
      <c r="AS868">
        <v>591.29999999999995</v>
      </c>
      <c r="AU868">
        <v>529.20000000000005</v>
      </c>
      <c r="AW868">
        <v>691.7</v>
      </c>
      <c r="AX868" t="s">
        <v>262</v>
      </c>
      <c r="BO868" t="s">
        <v>261</v>
      </c>
      <c r="BQ868">
        <v>0.59130000000000005</v>
      </c>
      <c r="BS868">
        <v>0.5292</v>
      </c>
      <c r="BU868">
        <v>0.69169999999999998</v>
      </c>
      <c r="BV868" t="s">
        <v>263</v>
      </c>
      <c r="CM868" t="s">
        <v>264</v>
      </c>
      <c r="CN868" t="s">
        <v>264</v>
      </c>
      <c r="CP868" t="s">
        <v>265</v>
      </c>
      <c r="DB868">
        <v>4</v>
      </c>
      <c r="DG868" t="s">
        <v>267</v>
      </c>
      <c r="DI868">
        <v>96</v>
      </c>
      <c r="DN868" t="s">
        <v>268</v>
      </c>
      <c r="DS868">
        <v>1197</v>
      </c>
      <c r="EW868" t="s">
        <v>333</v>
      </c>
      <c r="FM868">
        <v>23</v>
      </c>
      <c r="FR868" t="s">
        <v>295</v>
      </c>
      <c r="GU868">
        <v>30</v>
      </c>
      <c r="GZ868" t="s">
        <v>296</v>
      </c>
      <c r="HH868" t="s">
        <v>272</v>
      </c>
      <c r="IE868" t="s">
        <v>2066</v>
      </c>
      <c r="IF868">
        <v>3743</v>
      </c>
      <c r="IG868" t="s">
        <v>1994</v>
      </c>
      <c r="IH868" t="s">
        <v>2067</v>
      </c>
      <c r="II868">
        <v>1985</v>
      </c>
      <c r="IJ868" t="s">
        <v>2068</v>
      </c>
    </row>
    <row r="869" spans="1:244" x14ac:dyDescent="0.45">
      <c r="A869">
        <v>1155958</v>
      </c>
      <c r="B869">
        <v>134622</v>
      </c>
      <c r="C869">
        <v>7646857</v>
      </c>
      <c r="D869" t="s">
        <v>1901</v>
      </c>
      <c r="F869" t="s">
        <v>245</v>
      </c>
      <c r="G869" t="s">
        <v>246</v>
      </c>
      <c r="I869">
        <v>99.9</v>
      </c>
      <c r="N869" t="s">
        <v>369</v>
      </c>
      <c r="O869" t="s">
        <v>370</v>
      </c>
      <c r="P869" t="s">
        <v>249</v>
      </c>
      <c r="Q869" t="s">
        <v>250</v>
      </c>
      <c r="R869" t="s">
        <v>251</v>
      </c>
      <c r="T869" t="s">
        <v>252</v>
      </c>
      <c r="U869" t="s">
        <v>371</v>
      </c>
      <c r="V869" t="s">
        <v>372</v>
      </c>
      <c r="W869" t="s">
        <v>373</v>
      </c>
      <c r="X869" t="s">
        <v>374</v>
      </c>
      <c r="Z869" t="s">
        <v>649</v>
      </c>
      <c r="AA869" t="s">
        <v>352</v>
      </c>
      <c r="AB869">
        <v>24</v>
      </c>
      <c r="AG869" t="s">
        <v>268</v>
      </c>
      <c r="AM869" t="s">
        <v>317</v>
      </c>
      <c r="AN869" t="s">
        <v>259</v>
      </c>
      <c r="AO869" t="s">
        <v>260</v>
      </c>
      <c r="AQ869" t="s">
        <v>261</v>
      </c>
      <c r="AS869">
        <v>303</v>
      </c>
      <c r="AU869">
        <v>253</v>
      </c>
      <c r="AW869">
        <v>362</v>
      </c>
      <c r="AX869" t="s">
        <v>262</v>
      </c>
      <c r="BO869" t="s">
        <v>261</v>
      </c>
      <c r="BQ869">
        <v>0.30299999999999999</v>
      </c>
      <c r="BS869">
        <v>0.253</v>
      </c>
      <c r="BU869">
        <v>0.36199999999999999</v>
      </c>
      <c r="BV869" t="s">
        <v>263</v>
      </c>
      <c r="CM869" t="s">
        <v>264</v>
      </c>
      <c r="CN869" t="s">
        <v>264</v>
      </c>
      <c r="CP869" t="s">
        <v>265</v>
      </c>
      <c r="CQ869" t="s">
        <v>518</v>
      </c>
      <c r="DB869">
        <v>4</v>
      </c>
      <c r="DG869" t="s">
        <v>267</v>
      </c>
      <c r="DI869">
        <v>96</v>
      </c>
      <c r="DN869" t="s">
        <v>268</v>
      </c>
      <c r="DO869" t="s">
        <v>1587</v>
      </c>
      <c r="DQ869" t="s">
        <v>1588</v>
      </c>
      <c r="DR869">
        <v>110441</v>
      </c>
      <c r="DS869">
        <v>142</v>
      </c>
      <c r="DT869" t="s">
        <v>1589</v>
      </c>
      <c r="EW869" t="s">
        <v>333</v>
      </c>
      <c r="FM869">
        <v>25</v>
      </c>
      <c r="FR869" t="s">
        <v>295</v>
      </c>
      <c r="GJ869">
        <v>4.3</v>
      </c>
      <c r="GL869">
        <v>5.9</v>
      </c>
      <c r="GM869" t="s">
        <v>356</v>
      </c>
      <c r="GQ869">
        <v>7.8</v>
      </c>
      <c r="GS869">
        <v>8.1</v>
      </c>
      <c r="GU869">
        <v>25</v>
      </c>
      <c r="GZ869" t="s">
        <v>296</v>
      </c>
      <c r="HH869" t="s">
        <v>272</v>
      </c>
      <c r="IE869" t="s">
        <v>1590</v>
      </c>
      <c r="IF869">
        <v>13513</v>
      </c>
      <c r="IG869" t="s">
        <v>1591</v>
      </c>
      <c r="IH869" t="s">
        <v>1592</v>
      </c>
      <c r="II869">
        <v>1994</v>
      </c>
      <c r="IJ869" t="s">
        <v>1593</v>
      </c>
    </row>
    <row r="870" spans="1:244" x14ac:dyDescent="0.45">
      <c r="A870">
        <v>1279041</v>
      </c>
      <c r="B870">
        <v>732349</v>
      </c>
      <c r="C870">
        <v>7646857</v>
      </c>
      <c r="D870" t="s">
        <v>1901</v>
      </c>
      <c r="F870" t="s">
        <v>327</v>
      </c>
      <c r="G870" t="s">
        <v>246</v>
      </c>
      <c r="N870" t="s">
        <v>369</v>
      </c>
      <c r="O870" t="s">
        <v>370</v>
      </c>
      <c r="P870" t="s">
        <v>249</v>
      </c>
      <c r="Q870" t="s">
        <v>250</v>
      </c>
      <c r="R870" t="s">
        <v>251</v>
      </c>
      <c r="T870" t="s">
        <v>252</v>
      </c>
      <c r="U870" t="s">
        <v>371</v>
      </c>
      <c r="V870" t="s">
        <v>372</v>
      </c>
      <c r="W870" t="s">
        <v>373</v>
      </c>
      <c r="X870" t="s">
        <v>374</v>
      </c>
      <c r="AL870" t="s">
        <v>2055</v>
      </c>
      <c r="AM870" t="s">
        <v>317</v>
      </c>
      <c r="AN870" t="s">
        <v>259</v>
      </c>
      <c r="AO870" t="s">
        <v>260</v>
      </c>
      <c r="AP870">
        <v>6</v>
      </c>
      <c r="AQ870" t="s">
        <v>504</v>
      </c>
      <c r="AS870">
        <v>4200</v>
      </c>
      <c r="AX870" t="s">
        <v>262</v>
      </c>
      <c r="BO870" t="s">
        <v>504</v>
      </c>
      <c r="BQ870">
        <v>4.2</v>
      </c>
      <c r="BV870" t="s">
        <v>263</v>
      </c>
      <c r="CM870" t="s">
        <v>264</v>
      </c>
      <c r="CN870" t="s">
        <v>264</v>
      </c>
      <c r="CO870" t="s">
        <v>2084</v>
      </c>
      <c r="CP870" t="s">
        <v>265</v>
      </c>
      <c r="CQ870" t="s">
        <v>518</v>
      </c>
      <c r="DB870">
        <v>2</v>
      </c>
      <c r="DG870" t="s">
        <v>267</v>
      </c>
      <c r="DI870">
        <v>48</v>
      </c>
      <c r="DN870" t="s">
        <v>268</v>
      </c>
      <c r="DP870" t="s">
        <v>1911</v>
      </c>
      <c r="DR870">
        <v>110441</v>
      </c>
      <c r="DS870">
        <v>142</v>
      </c>
      <c r="EW870" t="s">
        <v>293</v>
      </c>
      <c r="FA870" t="s">
        <v>2085</v>
      </c>
      <c r="FK870" t="s">
        <v>2086</v>
      </c>
      <c r="FM870">
        <v>20</v>
      </c>
      <c r="FR870" t="s">
        <v>295</v>
      </c>
      <c r="FV870">
        <v>850</v>
      </c>
      <c r="FX870">
        <v>6600</v>
      </c>
      <c r="FY870" t="s">
        <v>2087</v>
      </c>
      <c r="GC870">
        <v>140</v>
      </c>
      <c r="GE870">
        <v>180</v>
      </c>
      <c r="GF870" t="s">
        <v>2087</v>
      </c>
      <c r="GJ870">
        <v>6.1</v>
      </c>
      <c r="GL870">
        <v>7.8</v>
      </c>
      <c r="GM870" t="s">
        <v>422</v>
      </c>
      <c r="GQ870">
        <v>7.5</v>
      </c>
      <c r="GS870">
        <v>7.9</v>
      </c>
      <c r="GU870">
        <v>20</v>
      </c>
      <c r="GZ870" t="s">
        <v>296</v>
      </c>
      <c r="HD870">
        <v>5500</v>
      </c>
      <c r="HF870">
        <v>58000</v>
      </c>
      <c r="HG870" t="s">
        <v>2088</v>
      </c>
      <c r="HH870" t="s">
        <v>272</v>
      </c>
      <c r="ID870" t="s">
        <v>2089</v>
      </c>
      <c r="IE870" t="s">
        <v>2059</v>
      </c>
      <c r="IF870">
        <v>76253</v>
      </c>
      <c r="IG870" t="s">
        <v>2060</v>
      </c>
      <c r="IH870" t="s">
        <v>2061</v>
      </c>
      <c r="II870">
        <v>1999</v>
      </c>
      <c r="IJ870" t="s">
        <v>2062</v>
      </c>
    </row>
    <row r="871" spans="1:244" x14ac:dyDescent="0.45">
      <c r="A871">
        <v>1053649</v>
      </c>
      <c r="B871">
        <v>133690</v>
      </c>
      <c r="C871">
        <v>7646857</v>
      </c>
      <c r="D871" t="s">
        <v>1901</v>
      </c>
      <c r="F871" t="s">
        <v>245</v>
      </c>
      <c r="G871" t="s">
        <v>246</v>
      </c>
      <c r="N871" t="s">
        <v>723</v>
      </c>
      <c r="O871" t="s">
        <v>631</v>
      </c>
      <c r="P871" t="s">
        <v>249</v>
      </c>
      <c r="Q871" t="s">
        <v>250</v>
      </c>
      <c r="R871" t="s">
        <v>251</v>
      </c>
      <c r="T871" t="s">
        <v>389</v>
      </c>
      <c r="U871" t="s">
        <v>632</v>
      </c>
      <c r="V871" t="s">
        <v>633</v>
      </c>
      <c r="W871" t="s">
        <v>634</v>
      </c>
      <c r="X871" t="s">
        <v>724</v>
      </c>
      <c r="Z871" t="s">
        <v>315</v>
      </c>
      <c r="AM871" t="s">
        <v>317</v>
      </c>
      <c r="AN871" t="s">
        <v>259</v>
      </c>
      <c r="AO871" t="s">
        <v>260</v>
      </c>
      <c r="AQ871" t="s">
        <v>261</v>
      </c>
      <c r="AS871">
        <v>950</v>
      </c>
      <c r="AX871" t="s">
        <v>262</v>
      </c>
      <c r="BO871" t="s">
        <v>261</v>
      </c>
      <c r="BQ871">
        <v>0.95</v>
      </c>
      <c r="BV871" t="s">
        <v>263</v>
      </c>
      <c r="CM871" t="s">
        <v>264</v>
      </c>
      <c r="CN871" t="s">
        <v>264</v>
      </c>
      <c r="CO871" t="s">
        <v>869</v>
      </c>
      <c r="CP871" t="s">
        <v>265</v>
      </c>
      <c r="DB871">
        <v>4</v>
      </c>
      <c r="DG871" t="s">
        <v>267</v>
      </c>
      <c r="DI871">
        <v>96</v>
      </c>
      <c r="DN871" t="s">
        <v>268</v>
      </c>
      <c r="DR871">
        <v>136140</v>
      </c>
      <c r="DS871">
        <v>1784</v>
      </c>
      <c r="EW871" t="s">
        <v>333</v>
      </c>
      <c r="FA871" t="s">
        <v>803</v>
      </c>
      <c r="FM871">
        <v>10</v>
      </c>
      <c r="FR871" t="s">
        <v>295</v>
      </c>
      <c r="GU871">
        <v>30</v>
      </c>
      <c r="GZ871" t="s">
        <v>296</v>
      </c>
      <c r="HH871" t="s">
        <v>272</v>
      </c>
      <c r="IE871" t="s">
        <v>1993</v>
      </c>
      <c r="IF871">
        <v>3744</v>
      </c>
      <c r="IG871" t="s">
        <v>1994</v>
      </c>
      <c r="IH871" t="s">
        <v>1995</v>
      </c>
      <c r="II871">
        <v>1985</v>
      </c>
      <c r="IJ871" t="s">
        <v>1996</v>
      </c>
    </row>
    <row r="872" spans="1:244" x14ac:dyDescent="0.45">
      <c r="A872">
        <v>1282575</v>
      </c>
      <c r="B872">
        <v>736268</v>
      </c>
      <c r="C872">
        <v>7646857</v>
      </c>
      <c r="D872" t="s">
        <v>1901</v>
      </c>
      <c r="F872" t="s">
        <v>327</v>
      </c>
      <c r="G872" t="s">
        <v>246</v>
      </c>
      <c r="N872" t="s">
        <v>369</v>
      </c>
      <c r="O872" t="s">
        <v>370</v>
      </c>
      <c r="P872" t="s">
        <v>249</v>
      </c>
      <c r="Q872" t="s">
        <v>250</v>
      </c>
      <c r="R872" t="s">
        <v>251</v>
      </c>
      <c r="T872" t="s">
        <v>252</v>
      </c>
      <c r="U872" t="s">
        <v>371</v>
      </c>
      <c r="V872" t="s">
        <v>372</v>
      </c>
      <c r="W872" t="s">
        <v>373</v>
      </c>
      <c r="X872" t="s">
        <v>374</v>
      </c>
      <c r="AL872" t="s">
        <v>2055</v>
      </c>
      <c r="AM872" t="s">
        <v>317</v>
      </c>
      <c r="AN872" t="s">
        <v>259</v>
      </c>
      <c r="AO872" t="s">
        <v>260</v>
      </c>
      <c r="AP872">
        <v>6</v>
      </c>
      <c r="AQ872" t="s">
        <v>504</v>
      </c>
      <c r="AS872">
        <v>1779</v>
      </c>
      <c r="AU872">
        <v>1609</v>
      </c>
      <c r="AW872">
        <v>1967</v>
      </c>
      <c r="AX872" t="s">
        <v>262</v>
      </c>
      <c r="BO872" t="s">
        <v>504</v>
      </c>
      <c r="BQ872">
        <v>1.7789999999999999</v>
      </c>
      <c r="BS872">
        <v>1.609</v>
      </c>
      <c r="BU872">
        <v>1.9670000000000001</v>
      </c>
      <c r="BV872" t="s">
        <v>263</v>
      </c>
      <c r="CM872" t="s">
        <v>264</v>
      </c>
      <c r="CN872" t="s">
        <v>264</v>
      </c>
      <c r="CP872" t="s">
        <v>265</v>
      </c>
      <c r="CQ872" t="s">
        <v>518</v>
      </c>
      <c r="DB872">
        <v>2</v>
      </c>
      <c r="DG872" t="s">
        <v>267</v>
      </c>
      <c r="DI872">
        <v>48</v>
      </c>
      <c r="DN872" t="s">
        <v>268</v>
      </c>
      <c r="DP872" t="s">
        <v>1911</v>
      </c>
      <c r="DR872">
        <v>110441</v>
      </c>
      <c r="DS872">
        <v>142</v>
      </c>
      <c r="EW872" t="s">
        <v>293</v>
      </c>
      <c r="FA872" t="s">
        <v>2090</v>
      </c>
      <c r="FK872" t="s">
        <v>2091</v>
      </c>
      <c r="FM872">
        <v>20</v>
      </c>
      <c r="FR872" t="s">
        <v>295</v>
      </c>
      <c r="FV872">
        <v>700</v>
      </c>
      <c r="FX872">
        <v>4050</v>
      </c>
      <c r="FY872" t="s">
        <v>2087</v>
      </c>
      <c r="GC872">
        <v>100</v>
      </c>
      <c r="GE872">
        <v>110</v>
      </c>
      <c r="GF872" t="s">
        <v>2087</v>
      </c>
      <c r="GJ872">
        <v>6</v>
      </c>
      <c r="GL872">
        <v>8.1</v>
      </c>
      <c r="GM872" t="s">
        <v>422</v>
      </c>
      <c r="GQ872">
        <v>7.7</v>
      </c>
      <c r="GS872">
        <v>8.1</v>
      </c>
      <c r="GU872">
        <v>20</v>
      </c>
      <c r="GZ872" t="s">
        <v>296</v>
      </c>
      <c r="HD872">
        <v>3690</v>
      </c>
      <c r="HF872">
        <v>35800</v>
      </c>
      <c r="HG872" t="s">
        <v>2088</v>
      </c>
      <c r="HH872" t="s">
        <v>272</v>
      </c>
      <c r="ID872" t="s">
        <v>2092</v>
      </c>
      <c r="IE872" t="s">
        <v>2059</v>
      </c>
      <c r="IF872">
        <v>76253</v>
      </c>
      <c r="IG872" t="s">
        <v>2060</v>
      </c>
      <c r="IH872" t="s">
        <v>2061</v>
      </c>
      <c r="II872">
        <v>1999</v>
      </c>
      <c r="IJ872" t="s">
        <v>2062</v>
      </c>
    </row>
    <row r="873" spans="1:244" x14ac:dyDescent="0.45">
      <c r="A873">
        <v>1194944</v>
      </c>
      <c r="B873">
        <v>167696</v>
      </c>
      <c r="C873">
        <v>7646857</v>
      </c>
      <c r="D873" t="s">
        <v>1901</v>
      </c>
      <c r="F873" t="s">
        <v>245</v>
      </c>
      <c r="G873" t="s">
        <v>246</v>
      </c>
      <c r="N873" t="s">
        <v>2075</v>
      </c>
      <c r="O873" t="s">
        <v>2076</v>
      </c>
      <c r="P873" t="s">
        <v>249</v>
      </c>
      <c r="Q873" t="s">
        <v>250</v>
      </c>
      <c r="R873" t="s">
        <v>251</v>
      </c>
      <c r="T873" t="s">
        <v>252</v>
      </c>
      <c r="U873" t="s">
        <v>253</v>
      </c>
      <c r="V873" t="s">
        <v>418</v>
      </c>
      <c r="W873" t="s">
        <v>419</v>
      </c>
      <c r="X873" t="s">
        <v>2077</v>
      </c>
      <c r="Z873" t="s">
        <v>649</v>
      </c>
      <c r="AL873" t="s">
        <v>2078</v>
      </c>
      <c r="AM873" t="s">
        <v>287</v>
      </c>
      <c r="AN873" t="s">
        <v>259</v>
      </c>
      <c r="AO873" t="s">
        <v>260</v>
      </c>
      <c r="AQ873" t="s">
        <v>261</v>
      </c>
      <c r="AS873">
        <v>51640</v>
      </c>
      <c r="AX873" t="s">
        <v>262</v>
      </c>
      <c r="BO873" t="s">
        <v>261</v>
      </c>
      <c r="BQ873">
        <v>51.64</v>
      </c>
      <c r="BV873" t="s">
        <v>263</v>
      </c>
      <c r="CM873" t="s">
        <v>264</v>
      </c>
      <c r="CN873" t="s">
        <v>264</v>
      </c>
      <c r="CP873" t="s">
        <v>265</v>
      </c>
      <c r="CQ873" t="s">
        <v>518</v>
      </c>
      <c r="DB873">
        <v>3</v>
      </c>
      <c r="DG873" t="s">
        <v>267</v>
      </c>
      <c r="DI873">
        <v>72</v>
      </c>
      <c r="DN873" t="s">
        <v>268</v>
      </c>
      <c r="DR873">
        <v>64468</v>
      </c>
      <c r="DS873">
        <v>77</v>
      </c>
      <c r="DT873" t="s">
        <v>2079</v>
      </c>
      <c r="EW873" t="s">
        <v>293</v>
      </c>
      <c r="FM873">
        <v>23</v>
      </c>
      <c r="FR873" t="s">
        <v>295</v>
      </c>
      <c r="GH873">
        <v>6.9</v>
      </c>
      <c r="GM873" t="s">
        <v>356</v>
      </c>
      <c r="GO873">
        <v>8.3000000000000007</v>
      </c>
      <c r="GU873">
        <v>11</v>
      </c>
      <c r="GZ873" t="s">
        <v>296</v>
      </c>
      <c r="HH873" t="s">
        <v>272</v>
      </c>
      <c r="IE873" t="s">
        <v>2080</v>
      </c>
      <c r="IF873">
        <v>17481</v>
      </c>
      <c r="IG873" t="s">
        <v>2081</v>
      </c>
      <c r="IH873" t="s">
        <v>2082</v>
      </c>
      <c r="II873">
        <v>1997</v>
      </c>
      <c r="IJ873" t="s">
        <v>2083</v>
      </c>
    </row>
    <row r="874" spans="1:244" x14ac:dyDescent="0.45">
      <c r="A874">
        <v>1048501</v>
      </c>
      <c r="B874">
        <v>107315</v>
      </c>
      <c r="C874">
        <v>7646857</v>
      </c>
      <c r="D874" t="s">
        <v>1901</v>
      </c>
      <c r="F874" t="s">
        <v>327</v>
      </c>
      <c r="G874" t="s">
        <v>246</v>
      </c>
      <c r="N874" t="s">
        <v>312</v>
      </c>
      <c r="O874" t="s">
        <v>313</v>
      </c>
      <c r="P874" t="s">
        <v>249</v>
      </c>
      <c r="Q874" t="s">
        <v>250</v>
      </c>
      <c r="R874" t="s">
        <v>251</v>
      </c>
      <c r="T874" t="s">
        <v>252</v>
      </c>
      <c r="U874" t="s">
        <v>253</v>
      </c>
      <c r="V874" t="s">
        <v>304</v>
      </c>
      <c r="W874" t="s">
        <v>305</v>
      </c>
      <c r="X874" t="s">
        <v>314</v>
      </c>
      <c r="Z874" t="s">
        <v>649</v>
      </c>
      <c r="AL874" t="s">
        <v>2093</v>
      </c>
      <c r="AM874" t="s">
        <v>317</v>
      </c>
      <c r="AN874" t="s">
        <v>259</v>
      </c>
      <c r="AO874" t="s">
        <v>260</v>
      </c>
      <c r="AQ874" t="s">
        <v>261</v>
      </c>
      <c r="AS874">
        <v>11300</v>
      </c>
      <c r="AU874">
        <v>9140</v>
      </c>
      <c r="AW874">
        <v>13990</v>
      </c>
      <c r="AX874" t="s">
        <v>262</v>
      </c>
      <c r="BO874" t="s">
        <v>261</v>
      </c>
      <c r="BQ874">
        <v>11.3</v>
      </c>
      <c r="BS874">
        <v>9.14</v>
      </c>
      <c r="BU874">
        <v>13.99</v>
      </c>
      <c r="BV874" t="s">
        <v>263</v>
      </c>
      <c r="CM874" t="s">
        <v>264</v>
      </c>
      <c r="CN874" t="s">
        <v>264</v>
      </c>
      <c r="CP874" t="s">
        <v>265</v>
      </c>
      <c r="CQ874" t="s">
        <v>518</v>
      </c>
      <c r="DB874">
        <v>2</v>
      </c>
      <c r="DG874" t="s">
        <v>267</v>
      </c>
      <c r="DI874">
        <v>48</v>
      </c>
      <c r="DN874" t="s">
        <v>268</v>
      </c>
      <c r="DP874" t="s">
        <v>1013</v>
      </c>
      <c r="DR874">
        <v>221654</v>
      </c>
      <c r="DS874">
        <v>65263</v>
      </c>
      <c r="DT874" t="s">
        <v>2094</v>
      </c>
      <c r="EW874" t="s">
        <v>1512</v>
      </c>
      <c r="FM874">
        <v>20</v>
      </c>
      <c r="FR874" t="s">
        <v>295</v>
      </c>
      <c r="GG874" t="s">
        <v>288</v>
      </c>
      <c r="GH874">
        <v>40</v>
      </c>
      <c r="GM874" t="s">
        <v>900</v>
      </c>
      <c r="GO874">
        <v>7.5</v>
      </c>
      <c r="GQ874">
        <v>6.1</v>
      </c>
      <c r="GS874">
        <v>8</v>
      </c>
      <c r="GU874">
        <v>10</v>
      </c>
      <c r="GZ874" t="s">
        <v>296</v>
      </c>
      <c r="HH874" t="s">
        <v>272</v>
      </c>
      <c r="ID874" t="s">
        <v>2095</v>
      </c>
      <c r="IE874" t="s">
        <v>2096</v>
      </c>
      <c r="IF874">
        <v>3163</v>
      </c>
      <c r="IG874" t="s">
        <v>2097</v>
      </c>
      <c r="IH874" t="s">
        <v>2098</v>
      </c>
      <c r="II874">
        <v>1990</v>
      </c>
      <c r="IJ874" t="s">
        <v>2099</v>
      </c>
    </row>
    <row r="875" spans="1:244" x14ac:dyDescent="0.45">
      <c r="A875">
        <v>1295983</v>
      </c>
      <c r="B875">
        <v>751247</v>
      </c>
      <c r="C875">
        <v>7646857</v>
      </c>
      <c r="D875" t="s">
        <v>1901</v>
      </c>
      <c r="F875" t="s">
        <v>245</v>
      </c>
      <c r="G875" t="s">
        <v>246</v>
      </c>
      <c r="H875" t="s">
        <v>288</v>
      </c>
      <c r="I875">
        <v>99</v>
      </c>
      <c r="N875" t="s">
        <v>387</v>
      </c>
      <c r="O875" t="s">
        <v>388</v>
      </c>
      <c r="P875" t="s">
        <v>249</v>
      </c>
      <c r="Q875" t="s">
        <v>250</v>
      </c>
      <c r="R875" t="s">
        <v>251</v>
      </c>
      <c r="T875" t="s">
        <v>389</v>
      </c>
      <c r="U875" t="s">
        <v>390</v>
      </c>
      <c r="V875" t="s">
        <v>391</v>
      </c>
      <c r="W875" t="s">
        <v>392</v>
      </c>
      <c r="X875" t="s">
        <v>393</v>
      </c>
      <c r="Z875" t="s">
        <v>315</v>
      </c>
      <c r="AB875">
        <v>2</v>
      </c>
      <c r="AG875" t="s">
        <v>516</v>
      </c>
      <c r="AL875" t="s">
        <v>2100</v>
      </c>
      <c r="AM875" t="s">
        <v>258</v>
      </c>
      <c r="AN875" t="s">
        <v>259</v>
      </c>
      <c r="AO875" t="s">
        <v>260</v>
      </c>
      <c r="AQ875" t="s">
        <v>261</v>
      </c>
      <c r="AS875">
        <v>7.8</v>
      </c>
      <c r="AU875">
        <v>5.42</v>
      </c>
      <c r="AW875">
        <v>11.34</v>
      </c>
      <c r="AX875" t="s">
        <v>356</v>
      </c>
      <c r="BO875" t="s">
        <v>261</v>
      </c>
      <c r="BQ875">
        <v>7.8</v>
      </c>
      <c r="BS875">
        <v>5.42</v>
      </c>
      <c r="BU875">
        <v>11.34</v>
      </c>
      <c r="BV875" t="s">
        <v>263</v>
      </c>
      <c r="CM875" t="s">
        <v>264</v>
      </c>
      <c r="CN875" t="s">
        <v>264</v>
      </c>
      <c r="CP875" t="s">
        <v>265</v>
      </c>
      <c r="CQ875" t="s">
        <v>518</v>
      </c>
      <c r="DB875">
        <v>4</v>
      </c>
      <c r="DG875" t="s">
        <v>267</v>
      </c>
      <c r="DI875">
        <v>96</v>
      </c>
      <c r="DN875" t="s">
        <v>268</v>
      </c>
      <c r="DO875" t="s">
        <v>1587</v>
      </c>
      <c r="DP875" t="s">
        <v>1964</v>
      </c>
      <c r="DR875">
        <v>158387</v>
      </c>
      <c r="DS875">
        <v>6038</v>
      </c>
      <c r="DT875" t="s">
        <v>2101</v>
      </c>
      <c r="EW875" t="s">
        <v>293</v>
      </c>
      <c r="FK875" t="s">
        <v>2102</v>
      </c>
      <c r="FM875">
        <v>20</v>
      </c>
      <c r="FR875" t="s">
        <v>295</v>
      </c>
      <c r="GH875">
        <v>5.24</v>
      </c>
      <c r="GM875" t="s">
        <v>356</v>
      </c>
      <c r="GO875">
        <v>7.9</v>
      </c>
      <c r="GU875">
        <v>32</v>
      </c>
      <c r="GZ875" t="s">
        <v>296</v>
      </c>
      <c r="HH875" t="s">
        <v>272</v>
      </c>
      <c r="ID875" t="s">
        <v>2103</v>
      </c>
      <c r="IE875" t="s">
        <v>2104</v>
      </c>
      <c r="IF875">
        <v>111315</v>
      </c>
      <c r="IG875" t="s">
        <v>2105</v>
      </c>
      <c r="IH875" t="s">
        <v>2106</v>
      </c>
      <c r="II875">
        <v>2007</v>
      </c>
      <c r="IJ875" t="s">
        <v>2107</v>
      </c>
    </row>
    <row r="876" spans="1:244" x14ac:dyDescent="0.45">
      <c r="A876">
        <v>1035615</v>
      </c>
      <c r="B876">
        <v>41944</v>
      </c>
      <c r="C876">
        <v>7646857</v>
      </c>
      <c r="D876" t="s">
        <v>1901</v>
      </c>
      <c r="F876" t="s">
        <v>245</v>
      </c>
      <c r="G876" t="s">
        <v>246</v>
      </c>
      <c r="N876" t="s">
        <v>566</v>
      </c>
      <c r="O876" t="s">
        <v>388</v>
      </c>
      <c r="P876" t="s">
        <v>249</v>
      </c>
      <c r="Q876" t="s">
        <v>250</v>
      </c>
      <c r="R876" t="s">
        <v>251</v>
      </c>
      <c r="T876" t="s">
        <v>389</v>
      </c>
      <c r="U876" t="s">
        <v>390</v>
      </c>
      <c r="V876" t="s">
        <v>567</v>
      </c>
      <c r="W876" t="s">
        <v>568</v>
      </c>
      <c r="X876" t="s">
        <v>569</v>
      </c>
      <c r="Z876" t="s">
        <v>315</v>
      </c>
      <c r="AM876" t="s">
        <v>317</v>
      </c>
      <c r="AN876" t="s">
        <v>259</v>
      </c>
      <c r="AO876" t="s">
        <v>260</v>
      </c>
      <c r="AQ876" t="s">
        <v>261</v>
      </c>
      <c r="AS876">
        <v>1450</v>
      </c>
      <c r="AU876">
        <v>930</v>
      </c>
      <c r="AW876">
        <v>2260</v>
      </c>
      <c r="AX876" t="s">
        <v>262</v>
      </c>
      <c r="BO876" t="s">
        <v>261</v>
      </c>
      <c r="BQ876">
        <v>1.45</v>
      </c>
      <c r="BS876">
        <v>0.93</v>
      </c>
      <c r="BU876">
        <v>2.2599999999999998</v>
      </c>
      <c r="BV876" t="s">
        <v>263</v>
      </c>
      <c r="CM876" t="s">
        <v>264</v>
      </c>
      <c r="CN876" t="s">
        <v>264</v>
      </c>
      <c r="CP876" t="s">
        <v>265</v>
      </c>
      <c r="CQ876" t="s">
        <v>518</v>
      </c>
      <c r="DB876">
        <v>4</v>
      </c>
      <c r="DG876" t="s">
        <v>267</v>
      </c>
      <c r="DI876">
        <v>96</v>
      </c>
      <c r="DN876" t="s">
        <v>268</v>
      </c>
      <c r="DP876" t="s">
        <v>570</v>
      </c>
      <c r="DS876">
        <v>212</v>
      </c>
      <c r="DT876" t="s">
        <v>571</v>
      </c>
      <c r="EW876" t="s">
        <v>271</v>
      </c>
      <c r="FM876">
        <v>20</v>
      </c>
      <c r="FR876" t="s">
        <v>295</v>
      </c>
      <c r="GA876">
        <v>75</v>
      </c>
      <c r="GF876" t="s">
        <v>572</v>
      </c>
      <c r="GU876">
        <v>7</v>
      </c>
      <c r="GZ876" t="s">
        <v>296</v>
      </c>
      <c r="HH876" t="s">
        <v>272</v>
      </c>
      <c r="IE876" t="s">
        <v>573</v>
      </c>
      <c r="IF876">
        <v>2183</v>
      </c>
      <c r="IG876" t="s">
        <v>574</v>
      </c>
      <c r="IH876" t="s">
        <v>575</v>
      </c>
      <c r="II876">
        <v>1978</v>
      </c>
      <c r="IJ876" t="s">
        <v>576</v>
      </c>
    </row>
    <row r="877" spans="1:244" x14ac:dyDescent="0.45">
      <c r="A877">
        <v>1274742</v>
      </c>
      <c r="B877">
        <v>726065</v>
      </c>
      <c r="C877">
        <v>7646857</v>
      </c>
      <c r="D877" t="s">
        <v>1901</v>
      </c>
      <c r="F877" t="s">
        <v>272</v>
      </c>
      <c r="G877" t="s">
        <v>246</v>
      </c>
      <c r="N877" t="s">
        <v>1022</v>
      </c>
      <c r="O877" t="s">
        <v>578</v>
      </c>
      <c r="P877" t="s">
        <v>249</v>
      </c>
      <c r="Q877" t="s">
        <v>250</v>
      </c>
      <c r="R877" t="s">
        <v>251</v>
      </c>
      <c r="T877" t="s">
        <v>252</v>
      </c>
      <c r="U877" t="s">
        <v>499</v>
      </c>
      <c r="V877" t="s">
        <v>992</v>
      </c>
      <c r="W877" t="s">
        <v>1023</v>
      </c>
      <c r="X877" t="s">
        <v>1024</v>
      </c>
      <c r="AA877" t="s">
        <v>515</v>
      </c>
      <c r="AB877">
        <v>1</v>
      </c>
      <c r="AG877" t="s">
        <v>1271</v>
      </c>
      <c r="AL877" t="s">
        <v>2108</v>
      </c>
      <c r="AM877" t="s">
        <v>317</v>
      </c>
      <c r="AN877" t="s">
        <v>259</v>
      </c>
      <c r="AO877" t="s">
        <v>260</v>
      </c>
      <c r="AQ877" t="s">
        <v>504</v>
      </c>
      <c r="AS877">
        <v>14</v>
      </c>
      <c r="AX877" t="s">
        <v>1167</v>
      </c>
      <c r="BO877" t="s">
        <v>504</v>
      </c>
      <c r="BQ877">
        <v>1.908004</v>
      </c>
      <c r="BV877" t="s">
        <v>263</v>
      </c>
      <c r="CM877" t="s">
        <v>264</v>
      </c>
      <c r="CN877" t="s">
        <v>264</v>
      </c>
      <c r="CP877" t="s">
        <v>265</v>
      </c>
      <c r="CQ877" t="s">
        <v>518</v>
      </c>
      <c r="DB877">
        <v>4</v>
      </c>
      <c r="DG877" t="s">
        <v>267</v>
      </c>
      <c r="DI877">
        <v>96</v>
      </c>
      <c r="DN877" t="s">
        <v>268</v>
      </c>
      <c r="DP877" t="s">
        <v>1911</v>
      </c>
      <c r="DR877">
        <v>247138</v>
      </c>
      <c r="DS877">
        <v>4424</v>
      </c>
      <c r="DT877" t="s">
        <v>2109</v>
      </c>
      <c r="EW877" t="s">
        <v>293</v>
      </c>
      <c r="FK877" t="s">
        <v>2110</v>
      </c>
      <c r="FM877">
        <v>20</v>
      </c>
      <c r="FR877" t="s">
        <v>295</v>
      </c>
      <c r="GU877">
        <v>20</v>
      </c>
      <c r="GZ877" t="s">
        <v>362</v>
      </c>
      <c r="HH877" t="s">
        <v>272</v>
      </c>
      <c r="ID877" t="s">
        <v>2111</v>
      </c>
      <c r="IE877" t="s">
        <v>2112</v>
      </c>
      <c r="IF877">
        <v>73403</v>
      </c>
      <c r="IG877" t="s">
        <v>2113</v>
      </c>
      <c r="IH877" t="s">
        <v>2114</v>
      </c>
      <c r="II877">
        <v>2004</v>
      </c>
      <c r="IJ877" t="s">
        <v>2115</v>
      </c>
    </row>
    <row r="878" spans="1:244" x14ac:dyDescent="0.45">
      <c r="A878">
        <v>1053653</v>
      </c>
      <c r="B878">
        <v>133694</v>
      </c>
      <c r="C878">
        <v>7646857</v>
      </c>
      <c r="D878" t="s">
        <v>1901</v>
      </c>
      <c r="F878" t="s">
        <v>245</v>
      </c>
      <c r="G878" t="s">
        <v>246</v>
      </c>
      <c r="N878" t="s">
        <v>829</v>
      </c>
      <c r="O878" t="s">
        <v>631</v>
      </c>
      <c r="P878" t="s">
        <v>249</v>
      </c>
      <c r="Q878" t="s">
        <v>250</v>
      </c>
      <c r="R878" t="s">
        <v>251</v>
      </c>
      <c r="T878" t="s">
        <v>389</v>
      </c>
      <c r="U878" t="s">
        <v>632</v>
      </c>
      <c r="V878" t="s">
        <v>830</v>
      </c>
      <c r="W878" t="s">
        <v>831</v>
      </c>
      <c r="X878" t="s">
        <v>832</v>
      </c>
      <c r="Z878" t="s">
        <v>315</v>
      </c>
      <c r="AM878" t="s">
        <v>317</v>
      </c>
      <c r="AN878" t="s">
        <v>259</v>
      </c>
      <c r="AO878" t="s">
        <v>260</v>
      </c>
      <c r="AQ878" t="s">
        <v>261</v>
      </c>
      <c r="AS878">
        <v>4090</v>
      </c>
      <c r="AX878" t="s">
        <v>262</v>
      </c>
      <c r="BO878" t="s">
        <v>261</v>
      </c>
      <c r="BQ878">
        <v>4.09</v>
      </c>
      <c r="BV878" t="s">
        <v>263</v>
      </c>
      <c r="CM878" t="s">
        <v>264</v>
      </c>
      <c r="CN878" t="s">
        <v>264</v>
      </c>
      <c r="CO878" t="s">
        <v>802</v>
      </c>
      <c r="CP878" t="s">
        <v>265</v>
      </c>
      <c r="DB878">
        <v>4</v>
      </c>
      <c r="DG878" t="s">
        <v>267</v>
      </c>
      <c r="DI878">
        <v>96</v>
      </c>
      <c r="DN878" t="s">
        <v>268</v>
      </c>
      <c r="DR878">
        <v>88015</v>
      </c>
      <c r="DS878">
        <v>649</v>
      </c>
      <c r="EW878" t="s">
        <v>333</v>
      </c>
      <c r="FA878" t="s">
        <v>803</v>
      </c>
      <c r="FM878">
        <v>15</v>
      </c>
      <c r="FR878" t="s">
        <v>295</v>
      </c>
      <c r="GU878">
        <v>30</v>
      </c>
      <c r="GZ878" t="s">
        <v>296</v>
      </c>
      <c r="HH878" t="s">
        <v>272</v>
      </c>
      <c r="IE878" t="s">
        <v>1993</v>
      </c>
      <c r="IF878">
        <v>3744</v>
      </c>
      <c r="IG878" t="s">
        <v>1994</v>
      </c>
      <c r="IH878" t="s">
        <v>1995</v>
      </c>
      <c r="II878">
        <v>1985</v>
      </c>
      <c r="IJ878" t="s">
        <v>1996</v>
      </c>
    </row>
    <row r="879" spans="1:244" x14ac:dyDescent="0.45">
      <c r="A879">
        <v>1279087</v>
      </c>
      <c r="B879">
        <v>732405</v>
      </c>
      <c r="C879">
        <v>7646857</v>
      </c>
      <c r="D879" t="s">
        <v>1901</v>
      </c>
      <c r="F879" t="s">
        <v>327</v>
      </c>
      <c r="G879" t="s">
        <v>246</v>
      </c>
      <c r="N879" t="s">
        <v>369</v>
      </c>
      <c r="O879" t="s">
        <v>370</v>
      </c>
      <c r="P879" t="s">
        <v>249</v>
      </c>
      <c r="Q879" t="s">
        <v>250</v>
      </c>
      <c r="R879" t="s">
        <v>251</v>
      </c>
      <c r="T879" t="s">
        <v>252</v>
      </c>
      <c r="U879" t="s">
        <v>371</v>
      </c>
      <c r="V879" t="s">
        <v>372</v>
      </c>
      <c r="W879" t="s">
        <v>373</v>
      </c>
      <c r="X879" t="s">
        <v>374</v>
      </c>
      <c r="AL879" t="s">
        <v>2055</v>
      </c>
      <c r="AM879" t="s">
        <v>317</v>
      </c>
      <c r="AN879" t="s">
        <v>259</v>
      </c>
      <c r="AO879" t="s">
        <v>260</v>
      </c>
      <c r="AP879">
        <v>6</v>
      </c>
      <c r="AQ879" t="s">
        <v>504</v>
      </c>
      <c r="AS879">
        <v>1380</v>
      </c>
      <c r="AU879">
        <v>1247</v>
      </c>
      <c r="AW879">
        <v>1527</v>
      </c>
      <c r="AX879" t="s">
        <v>262</v>
      </c>
      <c r="BO879" t="s">
        <v>504</v>
      </c>
      <c r="BQ879">
        <v>1.38</v>
      </c>
      <c r="BS879">
        <v>1.2470000000000001</v>
      </c>
      <c r="BU879">
        <v>1.5269999999999999</v>
      </c>
      <c r="BV879" t="s">
        <v>263</v>
      </c>
      <c r="CM879" t="s">
        <v>264</v>
      </c>
      <c r="CN879" t="s">
        <v>264</v>
      </c>
      <c r="CP879" t="s">
        <v>265</v>
      </c>
      <c r="CQ879" t="s">
        <v>518</v>
      </c>
      <c r="DB879">
        <v>2</v>
      </c>
      <c r="DG879" t="s">
        <v>267</v>
      </c>
      <c r="DI879">
        <v>48</v>
      </c>
      <c r="DN879" t="s">
        <v>268</v>
      </c>
      <c r="DP879" t="s">
        <v>1911</v>
      </c>
      <c r="DR879">
        <v>110441</v>
      </c>
      <c r="DS879">
        <v>142</v>
      </c>
      <c r="EW879" t="s">
        <v>293</v>
      </c>
      <c r="FA879" t="s">
        <v>2116</v>
      </c>
      <c r="FK879" t="s">
        <v>2117</v>
      </c>
      <c r="FM879">
        <v>20</v>
      </c>
      <c r="FR879" t="s">
        <v>295</v>
      </c>
      <c r="FV879">
        <v>450</v>
      </c>
      <c r="FX879">
        <v>8000</v>
      </c>
      <c r="FY879" t="s">
        <v>2087</v>
      </c>
      <c r="GC879">
        <v>200</v>
      </c>
      <c r="GE879">
        <v>250</v>
      </c>
      <c r="GF879" t="s">
        <v>2087</v>
      </c>
      <c r="GJ879">
        <v>6.6</v>
      </c>
      <c r="GL879">
        <v>7.9</v>
      </c>
      <c r="GM879" t="s">
        <v>422</v>
      </c>
      <c r="GQ879">
        <v>7.9</v>
      </c>
      <c r="GS879">
        <v>8</v>
      </c>
      <c r="GU879">
        <v>20</v>
      </c>
      <c r="GZ879" t="s">
        <v>296</v>
      </c>
      <c r="HD879">
        <v>2300</v>
      </c>
      <c r="HF879">
        <v>35800</v>
      </c>
      <c r="HG879" t="s">
        <v>2088</v>
      </c>
      <c r="HH879" t="s">
        <v>272</v>
      </c>
      <c r="ID879" t="s">
        <v>2118</v>
      </c>
      <c r="IE879" t="s">
        <v>2059</v>
      </c>
      <c r="IF879">
        <v>76253</v>
      </c>
      <c r="IG879" t="s">
        <v>2060</v>
      </c>
      <c r="IH879" t="s">
        <v>2061</v>
      </c>
      <c r="II879">
        <v>1999</v>
      </c>
      <c r="IJ879" t="s">
        <v>2062</v>
      </c>
    </row>
    <row r="880" spans="1:244" x14ac:dyDescent="0.45">
      <c r="A880">
        <v>1279108</v>
      </c>
      <c r="B880">
        <v>732430</v>
      </c>
      <c r="C880">
        <v>7646857</v>
      </c>
      <c r="D880" t="s">
        <v>1901</v>
      </c>
      <c r="F880" t="s">
        <v>327</v>
      </c>
      <c r="G880" t="s">
        <v>246</v>
      </c>
      <c r="N880" t="s">
        <v>369</v>
      </c>
      <c r="O880" t="s">
        <v>370</v>
      </c>
      <c r="P880" t="s">
        <v>249</v>
      </c>
      <c r="Q880" t="s">
        <v>250</v>
      </c>
      <c r="R880" t="s">
        <v>251</v>
      </c>
      <c r="T880" t="s">
        <v>252</v>
      </c>
      <c r="U880" t="s">
        <v>371</v>
      </c>
      <c r="V880" t="s">
        <v>372</v>
      </c>
      <c r="W880" t="s">
        <v>373</v>
      </c>
      <c r="X880" t="s">
        <v>374</v>
      </c>
      <c r="AL880" t="s">
        <v>2055</v>
      </c>
      <c r="AM880" t="s">
        <v>317</v>
      </c>
      <c r="AN880" t="s">
        <v>259</v>
      </c>
      <c r="AO880" t="s">
        <v>260</v>
      </c>
      <c r="AP880">
        <v>6</v>
      </c>
      <c r="AQ880" t="s">
        <v>504</v>
      </c>
      <c r="AS880">
        <v>2428</v>
      </c>
      <c r="AU880">
        <v>2271</v>
      </c>
      <c r="AW880">
        <v>2580</v>
      </c>
      <c r="AX880" t="s">
        <v>262</v>
      </c>
      <c r="BO880" t="s">
        <v>504</v>
      </c>
      <c r="BQ880">
        <v>2.4279999999999999</v>
      </c>
      <c r="BS880">
        <v>2.2709999999999999</v>
      </c>
      <c r="BU880">
        <v>2.58</v>
      </c>
      <c r="BV880" t="s">
        <v>263</v>
      </c>
      <c r="CM880" t="s">
        <v>264</v>
      </c>
      <c r="CN880" t="s">
        <v>264</v>
      </c>
      <c r="CP880" t="s">
        <v>265</v>
      </c>
      <c r="CQ880" t="s">
        <v>518</v>
      </c>
      <c r="DB880">
        <v>2</v>
      </c>
      <c r="DG880" t="s">
        <v>267</v>
      </c>
      <c r="DI880">
        <v>48</v>
      </c>
      <c r="DN880" t="s">
        <v>268</v>
      </c>
      <c r="DP880" t="s">
        <v>1911</v>
      </c>
      <c r="DR880">
        <v>110441</v>
      </c>
      <c r="DS880">
        <v>142</v>
      </c>
      <c r="EW880" t="s">
        <v>293</v>
      </c>
      <c r="FA880" t="s">
        <v>2119</v>
      </c>
      <c r="FK880" t="s">
        <v>2120</v>
      </c>
      <c r="FM880">
        <v>20</v>
      </c>
      <c r="FR880" t="s">
        <v>295</v>
      </c>
      <c r="FV880">
        <v>800</v>
      </c>
      <c r="FX880">
        <v>5150</v>
      </c>
      <c r="FY880" t="s">
        <v>2087</v>
      </c>
      <c r="GC880">
        <v>110</v>
      </c>
      <c r="GE880">
        <v>180</v>
      </c>
      <c r="GF880" t="s">
        <v>2087</v>
      </c>
      <c r="GJ880">
        <v>7.2</v>
      </c>
      <c r="GL880">
        <v>8.4</v>
      </c>
      <c r="GM880" t="s">
        <v>422</v>
      </c>
      <c r="GQ880">
        <v>7.2</v>
      </c>
      <c r="GS880">
        <v>7.9</v>
      </c>
      <c r="GU880">
        <v>20</v>
      </c>
      <c r="GZ880" t="s">
        <v>296</v>
      </c>
      <c r="HD880">
        <v>6180</v>
      </c>
      <c r="HF880">
        <v>45000</v>
      </c>
      <c r="HG880" t="s">
        <v>2088</v>
      </c>
      <c r="HH880" t="s">
        <v>272</v>
      </c>
      <c r="ID880" t="s">
        <v>2121</v>
      </c>
      <c r="IE880" t="s">
        <v>2059</v>
      </c>
      <c r="IF880">
        <v>76253</v>
      </c>
      <c r="IG880" t="s">
        <v>2060</v>
      </c>
      <c r="IH880" t="s">
        <v>2061</v>
      </c>
      <c r="II880">
        <v>1999</v>
      </c>
      <c r="IJ880" t="s">
        <v>2062</v>
      </c>
    </row>
    <row r="881" spans="1:244" x14ac:dyDescent="0.45">
      <c r="A881">
        <v>1037878</v>
      </c>
      <c r="B881">
        <v>104483</v>
      </c>
      <c r="C881">
        <v>7646857</v>
      </c>
      <c r="D881" t="s">
        <v>1901</v>
      </c>
      <c r="F881" t="s">
        <v>245</v>
      </c>
      <c r="G881" t="s">
        <v>246</v>
      </c>
      <c r="N881" t="s">
        <v>566</v>
      </c>
      <c r="O881" t="s">
        <v>388</v>
      </c>
      <c r="P881" t="s">
        <v>249</v>
      </c>
      <c r="Q881" t="s">
        <v>250</v>
      </c>
      <c r="R881" t="s">
        <v>251</v>
      </c>
      <c r="T881" t="s">
        <v>389</v>
      </c>
      <c r="U881" t="s">
        <v>390</v>
      </c>
      <c r="V881" t="s">
        <v>567</v>
      </c>
      <c r="W881" t="s">
        <v>568</v>
      </c>
      <c r="X881" t="s">
        <v>569</v>
      </c>
      <c r="AL881" t="s">
        <v>2122</v>
      </c>
      <c r="AM881" t="s">
        <v>307</v>
      </c>
      <c r="AN881" t="s">
        <v>259</v>
      </c>
      <c r="AO881" t="s">
        <v>260</v>
      </c>
      <c r="AQ881" t="s">
        <v>261</v>
      </c>
      <c r="AS881">
        <v>1300</v>
      </c>
      <c r="AU881">
        <v>980</v>
      </c>
      <c r="AW881">
        <v>1730</v>
      </c>
      <c r="AX881" t="s">
        <v>262</v>
      </c>
      <c r="BO881" t="s">
        <v>261</v>
      </c>
      <c r="BQ881">
        <v>1.3</v>
      </c>
      <c r="BS881">
        <v>0.98</v>
      </c>
      <c r="BU881">
        <v>1.73</v>
      </c>
      <c r="BV881" t="s">
        <v>263</v>
      </c>
      <c r="CM881" t="s">
        <v>264</v>
      </c>
      <c r="CN881" t="s">
        <v>264</v>
      </c>
      <c r="CP881" t="s">
        <v>265</v>
      </c>
      <c r="CQ881" t="s">
        <v>518</v>
      </c>
      <c r="DB881">
        <v>4</v>
      </c>
      <c r="DG881" t="s">
        <v>267</v>
      </c>
      <c r="DI881">
        <v>96</v>
      </c>
      <c r="DN881" t="s">
        <v>268</v>
      </c>
      <c r="DS881">
        <v>212</v>
      </c>
      <c r="DT881" t="s">
        <v>2123</v>
      </c>
      <c r="EW881" t="s">
        <v>271</v>
      </c>
      <c r="GU881">
        <v>7</v>
      </c>
      <c r="GZ881" t="s">
        <v>296</v>
      </c>
      <c r="HH881" t="s">
        <v>272</v>
      </c>
      <c r="IE881" t="s">
        <v>2124</v>
      </c>
      <c r="IF881">
        <v>2332</v>
      </c>
      <c r="IG881" t="s">
        <v>2125</v>
      </c>
      <c r="IH881" t="s">
        <v>2126</v>
      </c>
      <c r="II881">
        <v>1987</v>
      </c>
      <c r="IJ881" t="s">
        <v>2127</v>
      </c>
    </row>
    <row r="882" spans="1:244" x14ac:dyDescent="0.45">
      <c r="A882">
        <v>1155959</v>
      </c>
      <c r="B882">
        <v>134623</v>
      </c>
      <c r="C882">
        <v>7646857</v>
      </c>
      <c r="D882" t="s">
        <v>1901</v>
      </c>
      <c r="F882" t="s">
        <v>245</v>
      </c>
      <c r="G882" t="s">
        <v>246</v>
      </c>
      <c r="I882">
        <v>99.9</v>
      </c>
      <c r="N882" t="s">
        <v>1583</v>
      </c>
      <c r="O882" t="s">
        <v>1584</v>
      </c>
      <c r="P882" t="s">
        <v>249</v>
      </c>
      <c r="Q882" t="s">
        <v>250</v>
      </c>
      <c r="R882" t="s">
        <v>251</v>
      </c>
      <c r="T882" t="s">
        <v>252</v>
      </c>
      <c r="U882" t="s">
        <v>253</v>
      </c>
      <c r="V882" t="s">
        <v>418</v>
      </c>
      <c r="W882" t="s">
        <v>1585</v>
      </c>
      <c r="X882" t="s">
        <v>1586</v>
      </c>
      <c r="Z882" t="s">
        <v>421</v>
      </c>
      <c r="AB882">
        <v>5</v>
      </c>
      <c r="AG882" t="s">
        <v>267</v>
      </c>
      <c r="AM882" t="s">
        <v>317</v>
      </c>
      <c r="AN882" t="s">
        <v>259</v>
      </c>
      <c r="AO882" t="s">
        <v>260</v>
      </c>
      <c r="AQ882" t="s">
        <v>261</v>
      </c>
      <c r="AS882">
        <v>1050</v>
      </c>
      <c r="AU882">
        <v>938</v>
      </c>
      <c r="AW882">
        <v>1170</v>
      </c>
      <c r="AX882" t="s">
        <v>262</v>
      </c>
      <c r="BO882" t="s">
        <v>261</v>
      </c>
      <c r="BQ882">
        <v>1.05</v>
      </c>
      <c r="BS882">
        <v>0.93799999999999994</v>
      </c>
      <c r="BU882">
        <v>1.17</v>
      </c>
      <c r="BV882" t="s">
        <v>263</v>
      </c>
      <c r="CM882" t="s">
        <v>264</v>
      </c>
      <c r="CN882" t="s">
        <v>264</v>
      </c>
      <c r="CP882" t="s">
        <v>265</v>
      </c>
      <c r="CQ882" t="s">
        <v>518</v>
      </c>
      <c r="DB882">
        <v>4</v>
      </c>
      <c r="DG882" t="s">
        <v>267</v>
      </c>
      <c r="DI882">
        <v>96</v>
      </c>
      <c r="DN882" t="s">
        <v>268</v>
      </c>
      <c r="DO882" t="s">
        <v>1587</v>
      </c>
      <c r="DQ882" t="s">
        <v>1588</v>
      </c>
      <c r="DR882">
        <v>64466</v>
      </c>
      <c r="DS882">
        <v>49914</v>
      </c>
      <c r="DT882" t="s">
        <v>1589</v>
      </c>
      <c r="EW882" t="s">
        <v>333</v>
      </c>
      <c r="FM882">
        <v>25</v>
      </c>
      <c r="FR882" t="s">
        <v>295</v>
      </c>
      <c r="GJ882">
        <v>4.3</v>
      </c>
      <c r="GL882">
        <v>5.6</v>
      </c>
      <c r="GM882" t="s">
        <v>356</v>
      </c>
      <c r="GQ882">
        <v>7.8</v>
      </c>
      <c r="GS882">
        <v>8.1</v>
      </c>
      <c r="GU882">
        <v>25</v>
      </c>
      <c r="GZ882" t="s">
        <v>296</v>
      </c>
      <c r="HH882" t="s">
        <v>272</v>
      </c>
      <c r="IE882" t="s">
        <v>1590</v>
      </c>
      <c r="IF882">
        <v>13513</v>
      </c>
      <c r="IG882" t="s">
        <v>1591</v>
      </c>
      <c r="IH882" t="s">
        <v>1592</v>
      </c>
      <c r="II882">
        <v>1994</v>
      </c>
      <c r="IJ882" t="s">
        <v>1593</v>
      </c>
    </row>
    <row r="883" spans="1:244" x14ac:dyDescent="0.45">
      <c r="A883">
        <v>1194945</v>
      </c>
      <c r="B883">
        <v>167697</v>
      </c>
      <c r="C883">
        <v>7646857</v>
      </c>
      <c r="D883" t="s">
        <v>1901</v>
      </c>
      <c r="F883" t="s">
        <v>245</v>
      </c>
      <c r="G883" t="s">
        <v>246</v>
      </c>
      <c r="N883" t="s">
        <v>2075</v>
      </c>
      <c r="O883" t="s">
        <v>2076</v>
      </c>
      <c r="P883" t="s">
        <v>249</v>
      </c>
      <c r="Q883" t="s">
        <v>250</v>
      </c>
      <c r="R883" t="s">
        <v>251</v>
      </c>
      <c r="T883" t="s">
        <v>252</v>
      </c>
      <c r="U883" t="s">
        <v>253</v>
      </c>
      <c r="V883" t="s">
        <v>418</v>
      </c>
      <c r="W883" t="s">
        <v>419</v>
      </c>
      <c r="X883" t="s">
        <v>2077</v>
      </c>
      <c r="Z883" t="s">
        <v>649</v>
      </c>
      <c r="AL883" t="s">
        <v>2078</v>
      </c>
      <c r="AM883" t="s">
        <v>287</v>
      </c>
      <c r="AN883" t="s">
        <v>259</v>
      </c>
      <c r="AO883" t="s">
        <v>260</v>
      </c>
      <c r="AQ883" t="s">
        <v>261</v>
      </c>
      <c r="AS883">
        <v>43870</v>
      </c>
      <c r="AX883" t="s">
        <v>262</v>
      </c>
      <c r="BO883" t="s">
        <v>261</v>
      </c>
      <c r="BQ883">
        <v>43.87</v>
      </c>
      <c r="BV883" t="s">
        <v>263</v>
      </c>
      <c r="CM883" t="s">
        <v>264</v>
      </c>
      <c r="CN883" t="s">
        <v>264</v>
      </c>
      <c r="CP883" t="s">
        <v>265</v>
      </c>
      <c r="CQ883" t="s">
        <v>518</v>
      </c>
      <c r="DB883">
        <v>4</v>
      </c>
      <c r="DG883" t="s">
        <v>267</v>
      </c>
      <c r="DI883">
        <v>96</v>
      </c>
      <c r="DN883" t="s">
        <v>268</v>
      </c>
      <c r="DR883">
        <v>64468</v>
      </c>
      <c r="DS883">
        <v>77</v>
      </c>
      <c r="DT883" t="s">
        <v>2079</v>
      </c>
      <c r="EW883" t="s">
        <v>293</v>
      </c>
      <c r="FM883">
        <v>23</v>
      </c>
      <c r="FR883" t="s">
        <v>295</v>
      </c>
      <c r="GH883">
        <v>6.9</v>
      </c>
      <c r="GM883" t="s">
        <v>356</v>
      </c>
      <c r="GO883">
        <v>8.3000000000000007</v>
      </c>
      <c r="GU883">
        <v>11</v>
      </c>
      <c r="GZ883" t="s">
        <v>296</v>
      </c>
      <c r="HH883" t="s">
        <v>272</v>
      </c>
      <c r="IE883" t="s">
        <v>2080</v>
      </c>
      <c r="IF883">
        <v>17481</v>
      </c>
      <c r="IG883" t="s">
        <v>2081</v>
      </c>
      <c r="IH883" t="s">
        <v>2082</v>
      </c>
      <c r="II883">
        <v>1997</v>
      </c>
      <c r="IJ883" t="s">
        <v>2083</v>
      </c>
    </row>
    <row r="884" spans="1:244" x14ac:dyDescent="0.45">
      <c r="A884">
        <v>1053650</v>
      </c>
      <c r="B884">
        <v>133691</v>
      </c>
      <c r="C884">
        <v>7646857</v>
      </c>
      <c r="D884" t="s">
        <v>1901</v>
      </c>
      <c r="F884" t="s">
        <v>245</v>
      </c>
      <c r="G884" t="s">
        <v>246</v>
      </c>
      <c r="N884" t="s">
        <v>723</v>
      </c>
      <c r="O884" t="s">
        <v>631</v>
      </c>
      <c r="P884" t="s">
        <v>249</v>
      </c>
      <c r="Q884" t="s">
        <v>250</v>
      </c>
      <c r="R884" t="s">
        <v>251</v>
      </c>
      <c r="T884" t="s">
        <v>389</v>
      </c>
      <c r="U884" t="s">
        <v>632</v>
      </c>
      <c r="V884" t="s">
        <v>633</v>
      </c>
      <c r="W884" t="s">
        <v>634</v>
      </c>
      <c r="X884" t="s">
        <v>724</v>
      </c>
      <c r="Z884" t="s">
        <v>315</v>
      </c>
      <c r="AM884" t="s">
        <v>317</v>
      </c>
      <c r="AN884" t="s">
        <v>259</v>
      </c>
      <c r="AO884" t="s">
        <v>260</v>
      </c>
      <c r="AQ884" t="s">
        <v>261</v>
      </c>
      <c r="AS884">
        <v>707.1</v>
      </c>
      <c r="AU884">
        <v>591.5</v>
      </c>
      <c r="AW884">
        <v>845.3</v>
      </c>
      <c r="AX884" t="s">
        <v>262</v>
      </c>
      <c r="BO884" t="s">
        <v>261</v>
      </c>
      <c r="BQ884">
        <v>0.70709999999999995</v>
      </c>
      <c r="BS884">
        <v>0.59150000000000003</v>
      </c>
      <c r="BU884">
        <v>0.84530000000000005</v>
      </c>
      <c r="BV884" t="s">
        <v>263</v>
      </c>
      <c r="CM884" t="s">
        <v>264</v>
      </c>
      <c r="CN884" t="s">
        <v>264</v>
      </c>
      <c r="CO884" t="s">
        <v>802</v>
      </c>
      <c r="CP884" t="s">
        <v>265</v>
      </c>
      <c r="DB884">
        <v>3</v>
      </c>
      <c r="DG884" t="s">
        <v>267</v>
      </c>
      <c r="DI884">
        <v>72</v>
      </c>
      <c r="DN884" t="s">
        <v>268</v>
      </c>
      <c r="DR884">
        <v>136140</v>
      </c>
      <c r="DS884">
        <v>1784</v>
      </c>
      <c r="EW884" t="s">
        <v>333</v>
      </c>
      <c r="FA884" t="s">
        <v>803</v>
      </c>
      <c r="FM884">
        <v>15</v>
      </c>
      <c r="FR884" t="s">
        <v>295</v>
      </c>
      <c r="GU884">
        <v>30</v>
      </c>
      <c r="GZ884" t="s">
        <v>296</v>
      </c>
      <c r="HH884" t="s">
        <v>272</v>
      </c>
      <c r="IE884" t="s">
        <v>1993</v>
      </c>
      <c r="IF884">
        <v>3744</v>
      </c>
      <c r="IG884" t="s">
        <v>1994</v>
      </c>
      <c r="IH884" t="s">
        <v>1995</v>
      </c>
      <c r="II884">
        <v>1985</v>
      </c>
      <c r="IJ884" t="s">
        <v>1996</v>
      </c>
    </row>
    <row r="885" spans="1:244" x14ac:dyDescent="0.45">
      <c r="A885">
        <v>2306130</v>
      </c>
      <c r="B885">
        <v>2737277</v>
      </c>
      <c r="C885">
        <v>7646857</v>
      </c>
      <c r="D885" t="s">
        <v>1901</v>
      </c>
      <c r="E885" t="s">
        <v>811</v>
      </c>
      <c r="F885" t="s">
        <v>327</v>
      </c>
      <c r="G885" t="s">
        <v>1550</v>
      </c>
      <c r="N885" t="s">
        <v>369</v>
      </c>
      <c r="O885" t="s">
        <v>370</v>
      </c>
      <c r="P885" t="s">
        <v>249</v>
      </c>
      <c r="Q885" t="s">
        <v>250</v>
      </c>
      <c r="R885" t="s">
        <v>251</v>
      </c>
      <c r="T885" t="s">
        <v>252</v>
      </c>
      <c r="U885" t="s">
        <v>371</v>
      </c>
      <c r="V885" t="s">
        <v>372</v>
      </c>
      <c r="W885" t="s">
        <v>373</v>
      </c>
      <c r="X885" t="s">
        <v>374</v>
      </c>
      <c r="Z885" t="s">
        <v>421</v>
      </c>
      <c r="AB885">
        <v>24</v>
      </c>
      <c r="AG885" t="s">
        <v>268</v>
      </c>
      <c r="AI885">
        <v>6</v>
      </c>
      <c r="AJ885" t="s">
        <v>354</v>
      </c>
      <c r="AM885" t="s">
        <v>307</v>
      </c>
      <c r="AN885" t="s">
        <v>259</v>
      </c>
      <c r="AO885" t="s">
        <v>260</v>
      </c>
      <c r="AP885">
        <v>5</v>
      </c>
      <c r="AQ885" t="s">
        <v>261</v>
      </c>
      <c r="AS885">
        <v>499</v>
      </c>
      <c r="AU885">
        <v>350</v>
      </c>
      <c r="AW885">
        <v>600</v>
      </c>
      <c r="AX885" t="s">
        <v>262</v>
      </c>
      <c r="BO885" t="s">
        <v>261</v>
      </c>
      <c r="BQ885">
        <v>0.499</v>
      </c>
      <c r="BS885">
        <v>0.35</v>
      </c>
      <c r="BU885">
        <v>0.6</v>
      </c>
      <c r="BV885" t="s">
        <v>263</v>
      </c>
      <c r="CM885" t="s">
        <v>264</v>
      </c>
      <c r="CN885" t="s">
        <v>264</v>
      </c>
      <c r="CP885" t="s">
        <v>265</v>
      </c>
      <c r="CQ885" t="s">
        <v>518</v>
      </c>
      <c r="DB885">
        <v>4</v>
      </c>
      <c r="DG885" t="s">
        <v>267</v>
      </c>
      <c r="DI885">
        <v>96</v>
      </c>
      <c r="DN885" t="s">
        <v>268</v>
      </c>
      <c r="DR885">
        <v>110441</v>
      </c>
      <c r="DS885">
        <v>142</v>
      </c>
      <c r="DT885" t="s">
        <v>1551</v>
      </c>
      <c r="DV885">
        <v>96</v>
      </c>
      <c r="EA885" t="s">
        <v>268</v>
      </c>
      <c r="EC885">
        <v>4</v>
      </c>
      <c r="EH885" t="s">
        <v>267</v>
      </c>
      <c r="EJ885">
        <v>96</v>
      </c>
      <c r="EO885" t="s">
        <v>268</v>
      </c>
      <c r="EQ885">
        <v>4</v>
      </c>
      <c r="EV885" t="s">
        <v>267</v>
      </c>
      <c r="EW885" t="s">
        <v>293</v>
      </c>
      <c r="EY885" t="s">
        <v>377</v>
      </c>
      <c r="EZ885">
        <v>5</v>
      </c>
      <c r="FA885" t="s">
        <v>1552</v>
      </c>
      <c r="FO885">
        <v>20</v>
      </c>
      <c r="FQ885">
        <v>25</v>
      </c>
      <c r="FR885" t="s">
        <v>295</v>
      </c>
      <c r="GQ885">
        <v>7.8</v>
      </c>
      <c r="GS885">
        <v>8.1999999999999993</v>
      </c>
      <c r="GU885">
        <v>30</v>
      </c>
      <c r="GZ885" t="s">
        <v>296</v>
      </c>
      <c r="HH885" t="s">
        <v>272</v>
      </c>
      <c r="ID885" t="s">
        <v>1553</v>
      </c>
      <c r="IE885" t="s">
        <v>1554</v>
      </c>
      <c r="IF885">
        <v>11331</v>
      </c>
      <c r="IG885" t="s">
        <v>1555</v>
      </c>
      <c r="IH885" t="s">
        <v>1556</v>
      </c>
      <c r="II885">
        <v>1985</v>
      </c>
      <c r="IJ885" t="s">
        <v>1557</v>
      </c>
    </row>
    <row r="886" spans="1:244" x14ac:dyDescent="0.45">
      <c r="A886">
        <v>1053647</v>
      </c>
      <c r="B886">
        <v>131343</v>
      </c>
      <c r="C886">
        <v>7646857</v>
      </c>
      <c r="D886" t="s">
        <v>1901</v>
      </c>
      <c r="F886" t="s">
        <v>327</v>
      </c>
      <c r="G886" t="s">
        <v>246</v>
      </c>
      <c r="N886" t="s">
        <v>369</v>
      </c>
      <c r="O886" t="s">
        <v>370</v>
      </c>
      <c r="P886" t="s">
        <v>249</v>
      </c>
      <c r="Q886" t="s">
        <v>250</v>
      </c>
      <c r="R886" t="s">
        <v>251</v>
      </c>
      <c r="T886" t="s">
        <v>252</v>
      </c>
      <c r="U886" t="s">
        <v>371</v>
      </c>
      <c r="V886" t="s">
        <v>372</v>
      </c>
      <c r="W886" t="s">
        <v>373</v>
      </c>
      <c r="X886" t="s">
        <v>374</v>
      </c>
      <c r="Z886" t="s">
        <v>649</v>
      </c>
      <c r="AM886" t="s">
        <v>317</v>
      </c>
      <c r="AN886" t="s">
        <v>259</v>
      </c>
      <c r="AO886" t="s">
        <v>260</v>
      </c>
      <c r="AQ886" t="s">
        <v>261</v>
      </c>
      <c r="AS886">
        <v>547.20000000000005</v>
      </c>
      <c r="AU886">
        <v>404.6</v>
      </c>
      <c r="AW886">
        <v>696.1</v>
      </c>
      <c r="AX886" t="s">
        <v>262</v>
      </c>
      <c r="BO886" t="s">
        <v>261</v>
      </c>
      <c r="BQ886">
        <v>0.54720000000000002</v>
      </c>
      <c r="BS886">
        <v>0.40460000000000002</v>
      </c>
      <c r="BU886">
        <v>0.69610000000000005</v>
      </c>
      <c r="BV886" t="s">
        <v>263</v>
      </c>
      <c r="CM886" t="s">
        <v>264</v>
      </c>
      <c r="CN886" t="s">
        <v>264</v>
      </c>
      <c r="CP886" t="s">
        <v>265</v>
      </c>
      <c r="DB886">
        <v>4</v>
      </c>
      <c r="DG886" t="s">
        <v>267</v>
      </c>
      <c r="DI886">
        <v>96</v>
      </c>
      <c r="DN886" t="s">
        <v>268</v>
      </c>
      <c r="DR886">
        <v>110441</v>
      </c>
      <c r="DS886">
        <v>142</v>
      </c>
      <c r="EW886" t="s">
        <v>333</v>
      </c>
      <c r="FM886">
        <v>21</v>
      </c>
      <c r="FR886" t="s">
        <v>295</v>
      </c>
      <c r="GU886">
        <v>30</v>
      </c>
      <c r="GZ886" t="s">
        <v>296</v>
      </c>
      <c r="HH886" t="s">
        <v>272</v>
      </c>
      <c r="IE886" t="s">
        <v>2066</v>
      </c>
      <c r="IF886">
        <v>3743</v>
      </c>
      <c r="IG886" t="s">
        <v>1994</v>
      </c>
      <c r="IH886" t="s">
        <v>2067</v>
      </c>
      <c r="II886">
        <v>1985</v>
      </c>
      <c r="IJ886" t="s">
        <v>2068</v>
      </c>
    </row>
    <row r="887" spans="1:244" x14ac:dyDescent="0.45">
      <c r="A887">
        <v>1053654</v>
      </c>
      <c r="B887">
        <v>133695</v>
      </c>
      <c r="C887">
        <v>7646857</v>
      </c>
      <c r="D887" t="s">
        <v>1901</v>
      </c>
      <c r="F887" t="s">
        <v>245</v>
      </c>
      <c r="G887" t="s">
        <v>246</v>
      </c>
      <c r="N887" t="s">
        <v>630</v>
      </c>
      <c r="O887" t="s">
        <v>631</v>
      </c>
      <c r="P887" t="s">
        <v>249</v>
      </c>
      <c r="Q887" t="s">
        <v>250</v>
      </c>
      <c r="R887" t="s">
        <v>251</v>
      </c>
      <c r="T887" t="s">
        <v>389</v>
      </c>
      <c r="U887" t="s">
        <v>632</v>
      </c>
      <c r="V887" t="s">
        <v>633</v>
      </c>
      <c r="W887" t="s">
        <v>634</v>
      </c>
      <c r="X887" t="s">
        <v>635</v>
      </c>
      <c r="Z887" t="s">
        <v>315</v>
      </c>
      <c r="AM887" t="s">
        <v>317</v>
      </c>
      <c r="AN887" t="s">
        <v>259</v>
      </c>
      <c r="AO887" t="s">
        <v>260</v>
      </c>
      <c r="AQ887" t="s">
        <v>261</v>
      </c>
      <c r="AS887">
        <v>294.2</v>
      </c>
      <c r="AU887">
        <v>196.1</v>
      </c>
      <c r="AW887">
        <v>428</v>
      </c>
      <c r="AX887" t="s">
        <v>262</v>
      </c>
      <c r="BO887" t="s">
        <v>261</v>
      </c>
      <c r="BQ887">
        <v>0.29420000000000002</v>
      </c>
      <c r="BS887">
        <v>0.1961</v>
      </c>
      <c r="BU887">
        <v>0.42799999999999999</v>
      </c>
      <c r="BV887" t="s">
        <v>263</v>
      </c>
      <c r="CM887" t="s">
        <v>264</v>
      </c>
      <c r="CN887" t="s">
        <v>264</v>
      </c>
      <c r="CO887" t="s">
        <v>802</v>
      </c>
      <c r="CP887" t="s">
        <v>265</v>
      </c>
      <c r="DB887">
        <v>4</v>
      </c>
      <c r="DG887" t="s">
        <v>267</v>
      </c>
      <c r="DI887">
        <v>96</v>
      </c>
      <c r="DN887" t="s">
        <v>268</v>
      </c>
      <c r="DR887">
        <v>136180</v>
      </c>
      <c r="DS887">
        <v>376</v>
      </c>
      <c r="EW887" t="s">
        <v>333</v>
      </c>
      <c r="FA887" t="s">
        <v>2128</v>
      </c>
      <c r="FM887">
        <v>20</v>
      </c>
      <c r="FR887" t="s">
        <v>295</v>
      </c>
      <c r="GU887">
        <v>30</v>
      </c>
      <c r="GZ887" t="s">
        <v>296</v>
      </c>
      <c r="HH887" t="s">
        <v>272</v>
      </c>
      <c r="IE887" t="s">
        <v>1993</v>
      </c>
      <c r="IF887">
        <v>3744</v>
      </c>
      <c r="IG887" t="s">
        <v>1994</v>
      </c>
      <c r="IH887" t="s">
        <v>1995</v>
      </c>
      <c r="II887">
        <v>1985</v>
      </c>
      <c r="IJ887" t="s">
        <v>1996</v>
      </c>
    </row>
    <row r="888" spans="1:244" x14ac:dyDescent="0.45">
      <c r="A888">
        <v>1282577</v>
      </c>
      <c r="B888">
        <v>736270</v>
      </c>
      <c r="C888">
        <v>7646857</v>
      </c>
      <c r="D888" t="s">
        <v>1901</v>
      </c>
      <c r="F888" t="s">
        <v>327</v>
      </c>
      <c r="G888" t="s">
        <v>246</v>
      </c>
      <c r="N888" t="s">
        <v>369</v>
      </c>
      <c r="O888" t="s">
        <v>370</v>
      </c>
      <c r="P888" t="s">
        <v>249</v>
      </c>
      <c r="Q888" t="s">
        <v>250</v>
      </c>
      <c r="R888" t="s">
        <v>251</v>
      </c>
      <c r="T888" t="s">
        <v>252</v>
      </c>
      <c r="U888" t="s">
        <v>371</v>
      </c>
      <c r="V888" t="s">
        <v>372</v>
      </c>
      <c r="W888" t="s">
        <v>373</v>
      </c>
      <c r="X888" t="s">
        <v>374</v>
      </c>
      <c r="AL888" t="s">
        <v>2055</v>
      </c>
      <c r="AM888" t="s">
        <v>317</v>
      </c>
      <c r="AN888" t="s">
        <v>259</v>
      </c>
      <c r="AO888" t="s">
        <v>260</v>
      </c>
      <c r="AP888">
        <v>6</v>
      </c>
      <c r="AQ888" t="s">
        <v>504</v>
      </c>
      <c r="AS888">
        <v>1890</v>
      </c>
      <c r="AU888">
        <v>1390</v>
      </c>
      <c r="AW888">
        <v>4370</v>
      </c>
      <c r="AX888" t="s">
        <v>262</v>
      </c>
      <c r="BO888" t="s">
        <v>504</v>
      </c>
      <c r="BQ888">
        <v>1.89</v>
      </c>
      <c r="BS888">
        <v>1.39</v>
      </c>
      <c r="BU888">
        <v>4.37</v>
      </c>
      <c r="BV888" t="s">
        <v>263</v>
      </c>
      <c r="CM888" t="s">
        <v>264</v>
      </c>
      <c r="CN888" t="s">
        <v>264</v>
      </c>
      <c r="CP888" t="s">
        <v>265</v>
      </c>
      <c r="CQ888" t="s">
        <v>518</v>
      </c>
      <c r="DB888">
        <v>2</v>
      </c>
      <c r="DG888" t="s">
        <v>267</v>
      </c>
      <c r="DI888">
        <v>48</v>
      </c>
      <c r="DN888" t="s">
        <v>268</v>
      </c>
      <c r="DP888" t="s">
        <v>1911</v>
      </c>
      <c r="DR888">
        <v>110441</v>
      </c>
      <c r="DS888">
        <v>142</v>
      </c>
      <c r="EW888" t="s">
        <v>293</v>
      </c>
      <c r="FA888" t="s">
        <v>2129</v>
      </c>
      <c r="FK888" t="s">
        <v>2130</v>
      </c>
      <c r="FM888">
        <v>20</v>
      </c>
      <c r="FR888" t="s">
        <v>295</v>
      </c>
      <c r="GJ888">
        <v>6.1</v>
      </c>
      <c r="GL888">
        <v>7.9</v>
      </c>
      <c r="GM888" t="s">
        <v>422</v>
      </c>
      <c r="GQ888">
        <v>7</v>
      </c>
      <c r="GS888">
        <v>7.9</v>
      </c>
      <c r="GU888">
        <v>20</v>
      </c>
      <c r="GZ888" t="s">
        <v>296</v>
      </c>
      <c r="HH888" t="s">
        <v>272</v>
      </c>
      <c r="ID888" t="s">
        <v>2131</v>
      </c>
      <c r="IE888" t="s">
        <v>2059</v>
      </c>
      <c r="IF888">
        <v>76253</v>
      </c>
      <c r="IG888" t="s">
        <v>2060</v>
      </c>
      <c r="IH888" t="s">
        <v>2061</v>
      </c>
      <c r="II888">
        <v>1999</v>
      </c>
      <c r="IJ888" t="s">
        <v>2062</v>
      </c>
    </row>
    <row r="889" spans="1:244" x14ac:dyDescent="0.45">
      <c r="A889">
        <v>1131793</v>
      </c>
      <c r="B889">
        <v>82437</v>
      </c>
      <c r="C889">
        <v>7718549</v>
      </c>
      <c r="D889" t="s">
        <v>2132</v>
      </c>
      <c r="F889" t="s">
        <v>327</v>
      </c>
      <c r="G889" t="s">
        <v>246</v>
      </c>
      <c r="N889" t="s">
        <v>1753</v>
      </c>
      <c r="O889" t="s">
        <v>1754</v>
      </c>
      <c r="P889" t="s">
        <v>249</v>
      </c>
      <c r="Q889" t="s">
        <v>250</v>
      </c>
      <c r="R889" t="s">
        <v>251</v>
      </c>
      <c r="T889" t="s">
        <v>252</v>
      </c>
      <c r="U889" t="s">
        <v>499</v>
      </c>
      <c r="V889" t="s">
        <v>1373</v>
      </c>
      <c r="W889" t="s">
        <v>1755</v>
      </c>
      <c r="X889" t="s">
        <v>1756</v>
      </c>
      <c r="Z889" t="s">
        <v>315</v>
      </c>
      <c r="AL889" t="s">
        <v>1757</v>
      </c>
      <c r="AM889" t="s">
        <v>307</v>
      </c>
      <c r="AN889" t="s">
        <v>259</v>
      </c>
      <c r="AO889" t="s">
        <v>260</v>
      </c>
      <c r="AQ889" t="s">
        <v>261</v>
      </c>
      <c r="AS889">
        <v>34680</v>
      </c>
      <c r="AU889">
        <v>32020</v>
      </c>
      <c r="AW889">
        <v>37530</v>
      </c>
      <c r="AX889" t="s">
        <v>262</v>
      </c>
      <c r="BO889" t="s">
        <v>261</v>
      </c>
      <c r="BQ889">
        <v>34.68</v>
      </c>
      <c r="BS889">
        <v>32.020000000000003</v>
      </c>
      <c r="BU889">
        <v>37.53</v>
      </c>
      <c r="BV889" t="s">
        <v>263</v>
      </c>
      <c r="CM889" t="s">
        <v>264</v>
      </c>
      <c r="CN889" t="s">
        <v>264</v>
      </c>
      <c r="CP889" t="s">
        <v>265</v>
      </c>
      <c r="DB889">
        <v>4</v>
      </c>
      <c r="DG889" t="s">
        <v>267</v>
      </c>
      <c r="DI889">
        <v>96</v>
      </c>
      <c r="DN889" t="s">
        <v>268</v>
      </c>
      <c r="DP889" t="s">
        <v>1603</v>
      </c>
      <c r="DS889">
        <v>1676</v>
      </c>
      <c r="DT889" t="s">
        <v>1758</v>
      </c>
      <c r="EW889" t="s">
        <v>333</v>
      </c>
      <c r="FK889" t="s">
        <v>2133</v>
      </c>
      <c r="FM889">
        <v>20.8</v>
      </c>
      <c r="FR889" t="s">
        <v>295</v>
      </c>
      <c r="GH889">
        <v>103</v>
      </c>
      <c r="GM889" t="s">
        <v>356</v>
      </c>
      <c r="GO889">
        <v>8.1</v>
      </c>
      <c r="GU889">
        <v>33.5</v>
      </c>
      <c r="GZ889" t="s">
        <v>296</v>
      </c>
      <c r="HH889" t="s">
        <v>272</v>
      </c>
      <c r="ID889" t="s">
        <v>2134</v>
      </c>
      <c r="IE889" t="s">
        <v>1761</v>
      </c>
      <c r="IF889">
        <v>10628</v>
      </c>
      <c r="IG889" t="s">
        <v>1762</v>
      </c>
      <c r="IH889" t="s">
        <v>1763</v>
      </c>
      <c r="II889">
        <v>1982</v>
      </c>
      <c r="IJ889" t="s">
        <v>1764</v>
      </c>
    </row>
    <row r="890" spans="1:244" x14ac:dyDescent="0.45">
      <c r="A890">
        <v>1184322</v>
      </c>
      <c r="B890">
        <v>139834</v>
      </c>
      <c r="C890">
        <v>7718549</v>
      </c>
      <c r="D890" t="s">
        <v>2132</v>
      </c>
      <c r="E890" t="s">
        <v>439</v>
      </c>
      <c r="F890" t="s">
        <v>245</v>
      </c>
      <c r="G890" t="s">
        <v>246</v>
      </c>
      <c r="N890" t="s">
        <v>1914</v>
      </c>
      <c r="O890" t="s">
        <v>248</v>
      </c>
      <c r="P890" t="s">
        <v>249</v>
      </c>
      <c r="Q890" t="s">
        <v>250</v>
      </c>
      <c r="R890" t="s">
        <v>251</v>
      </c>
      <c r="T890" t="s">
        <v>252</v>
      </c>
      <c r="U890" t="s">
        <v>253</v>
      </c>
      <c r="V890" t="s">
        <v>254</v>
      </c>
      <c r="W890" t="s">
        <v>1915</v>
      </c>
      <c r="X890" t="s">
        <v>1916</v>
      </c>
      <c r="Z890" t="s">
        <v>284</v>
      </c>
      <c r="AB890" t="s">
        <v>2135</v>
      </c>
      <c r="AG890" t="s">
        <v>1409</v>
      </c>
      <c r="AM890" t="s">
        <v>258</v>
      </c>
      <c r="AN890" t="s">
        <v>259</v>
      </c>
      <c r="AO890" t="s">
        <v>260</v>
      </c>
      <c r="AQ890" t="s">
        <v>261</v>
      </c>
      <c r="AS890">
        <v>900</v>
      </c>
      <c r="AU890">
        <v>100</v>
      </c>
      <c r="AW890">
        <v>6800</v>
      </c>
      <c r="AX890" t="s">
        <v>262</v>
      </c>
      <c r="BO890" t="s">
        <v>261</v>
      </c>
      <c r="BQ890">
        <v>0.9</v>
      </c>
      <c r="BS890">
        <v>0.1</v>
      </c>
      <c r="BU890">
        <v>6.8</v>
      </c>
      <c r="BV890" t="s">
        <v>263</v>
      </c>
      <c r="CM890" t="s">
        <v>264</v>
      </c>
      <c r="CN890" t="s">
        <v>264</v>
      </c>
      <c r="CP890" t="s">
        <v>265</v>
      </c>
      <c r="DB890">
        <v>2</v>
      </c>
      <c r="DG890" t="s">
        <v>267</v>
      </c>
      <c r="DI890">
        <v>48</v>
      </c>
      <c r="DN890" t="s">
        <v>268</v>
      </c>
      <c r="DR890">
        <v>80836</v>
      </c>
      <c r="DS890">
        <v>2488</v>
      </c>
      <c r="DT890" t="s">
        <v>2136</v>
      </c>
      <c r="EW890" t="s">
        <v>293</v>
      </c>
      <c r="FK890" t="s">
        <v>478</v>
      </c>
      <c r="FM890">
        <v>26</v>
      </c>
      <c r="FR890" t="s">
        <v>295</v>
      </c>
      <c r="GG890" t="s">
        <v>278</v>
      </c>
      <c r="GH890">
        <v>85</v>
      </c>
      <c r="GM890" t="s">
        <v>900</v>
      </c>
      <c r="GU890">
        <v>33</v>
      </c>
      <c r="GZ890" t="s">
        <v>296</v>
      </c>
      <c r="HH890" t="s">
        <v>272</v>
      </c>
      <c r="ID890" t="s">
        <v>479</v>
      </c>
      <c r="IE890" t="s">
        <v>2137</v>
      </c>
      <c r="IF890">
        <v>16331</v>
      </c>
      <c r="IG890" t="s">
        <v>2138</v>
      </c>
      <c r="IH890" t="s">
        <v>2139</v>
      </c>
      <c r="II890">
        <v>1994</v>
      </c>
      <c r="IJ890" t="s">
        <v>2140</v>
      </c>
    </row>
    <row r="891" spans="1:244" x14ac:dyDescent="0.45">
      <c r="A891">
        <v>1277977</v>
      </c>
      <c r="B891">
        <v>731222</v>
      </c>
      <c r="C891">
        <v>7718549</v>
      </c>
      <c r="D891" t="s">
        <v>2132</v>
      </c>
      <c r="E891" t="s">
        <v>439</v>
      </c>
      <c r="F891" t="s">
        <v>245</v>
      </c>
      <c r="G891" t="s">
        <v>246</v>
      </c>
      <c r="N891" t="s">
        <v>968</v>
      </c>
      <c r="O891" t="s">
        <v>969</v>
      </c>
      <c r="P891" t="s">
        <v>249</v>
      </c>
      <c r="Q891" t="s">
        <v>250</v>
      </c>
      <c r="R891" t="s">
        <v>251</v>
      </c>
      <c r="T891" t="s">
        <v>252</v>
      </c>
      <c r="U891" t="s">
        <v>253</v>
      </c>
      <c r="V891" t="s">
        <v>418</v>
      </c>
      <c r="W891" t="s">
        <v>419</v>
      </c>
      <c r="X891" t="s">
        <v>970</v>
      </c>
      <c r="Z891" t="s">
        <v>649</v>
      </c>
      <c r="AL891" t="s">
        <v>1174</v>
      </c>
      <c r="AM891" t="s">
        <v>258</v>
      </c>
      <c r="AN891" t="s">
        <v>259</v>
      </c>
      <c r="AO891" t="s">
        <v>260</v>
      </c>
      <c r="AQ891" t="s">
        <v>261</v>
      </c>
      <c r="AS891">
        <v>6.9</v>
      </c>
      <c r="AU891">
        <v>4.18</v>
      </c>
      <c r="AW891">
        <v>11.4</v>
      </c>
      <c r="AX891" t="s">
        <v>356</v>
      </c>
      <c r="BO891" t="s">
        <v>261</v>
      </c>
      <c r="BQ891">
        <v>6.9</v>
      </c>
      <c r="BS891">
        <v>4.18</v>
      </c>
      <c r="BU891">
        <v>11.4</v>
      </c>
      <c r="BV891" t="s">
        <v>263</v>
      </c>
      <c r="CM891" t="s">
        <v>264</v>
      </c>
      <c r="CN891" t="s">
        <v>264</v>
      </c>
      <c r="CP891" t="s">
        <v>265</v>
      </c>
      <c r="CQ891" t="s">
        <v>837</v>
      </c>
      <c r="DB891">
        <v>4</v>
      </c>
      <c r="DG891" t="s">
        <v>267</v>
      </c>
      <c r="DI891">
        <v>96</v>
      </c>
      <c r="DN891" t="s">
        <v>268</v>
      </c>
      <c r="DP891" t="s">
        <v>2141</v>
      </c>
      <c r="DS891">
        <v>1010</v>
      </c>
      <c r="DT891" t="s">
        <v>1176</v>
      </c>
      <c r="EW891" t="s">
        <v>293</v>
      </c>
      <c r="FK891" t="s">
        <v>2142</v>
      </c>
      <c r="FM891">
        <v>35</v>
      </c>
      <c r="FR891" t="s">
        <v>295</v>
      </c>
      <c r="GG891" t="s">
        <v>288</v>
      </c>
      <c r="GH891">
        <v>90</v>
      </c>
      <c r="GM891" t="s">
        <v>900</v>
      </c>
      <c r="GO891">
        <v>8</v>
      </c>
      <c r="GU891">
        <v>20</v>
      </c>
      <c r="GZ891" t="s">
        <v>296</v>
      </c>
      <c r="HH891" t="s">
        <v>272</v>
      </c>
      <c r="ID891" t="s">
        <v>2143</v>
      </c>
      <c r="IE891" t="s">
        <v>1179</v>
      </c>
      <c r="IF891">
        <v>4973</v>
      </c>
      <c r="IG891" t="s">
        <v>1180</v>
      </c>
      <c r="IH891" t="s">
        <v>1181</v>
      </c>
      <c r="II891">
        <v>1982</v>
      </c>
      <c r="IJ891" t="s">
        <v>1182</v>
      </c>
    </row>
    <row r="892" spans="1:244" x14ac:dyDescent="0.45">
      <c r="A892">
        <v>1053480</v>
      </c>
      <c r="B892">
        <v>129438</v>
      </c>
      <c r="C892">
        <v>7718549</v>
      </c>
      <c r="D892" t="s">
        <v>2132</v>
      </c>
      <c r="F892" t="s">
        <v>327</v>
      </c>
      <c r="G892" t="s">
        <v>246</v>
      </c>
      <c r="N892" t="s">
        <v>2144</v>
      </c>
      <c r="O892" t="s">
        <v>2145</v>
      </c>
      <c r="P892" t="s">
        <v>249</v>
      </c>
      <c r="Q892" t="s">
        <v>250</v>
      </c>
      <c r="R892" t="s">
        <v>251</v>
      </c>
      <c r="T892" t="s">
        <v>252</v>
      </c>
      <c r="U892" t="s">
        <v>371</v>
      </c>
      <c r="V892" t="s">
        <v>372</v>
      </c>
      <c r="W892" t="s">
        <v>2146</v>
      </c>
      <c r="X892" t="s">
        <v>2147</v>
      </c>
      <c r="Z892" t="s">
        <v>649</v>
      </c>
      <c r="AM892" t="s">
        <v>317</v>
      </c>
      <c r="AN892" t="s">
        <v>259</v>
      </c>
      <c r="AO892" t="s">
        <v>260</v>
      </c>
      <c r="AQ892" t="s">
        <v>261</v>
      </c>
      <c r="AS892">
        <v>151.69999999999999</v>
      </c>
      <c r="AU892">
        <v>81</v>
      </c>
      <c r="AW892">
        <v>225.3</v>
      </c>
      <c r="AX892" t="s">
        <v>262</v>
      </c>
      <c r="BO892" t="s">
        <v>261</v>
      </c>
      <c r="BQ892">
        <v>0.1517</v>
      </c>
      <c r="BS892">
        <v>8.1000000000000003E-2</v>
      </c>
      <c r="BU892">
        <v>0.2253</v>
      </c>
      <c r="BV892" t="s">
        <v>263</v>
      </c>
      <c r="CM892" t="s">
        <v>264</v>
      </c>
      <c r="CN892" t="s">
        <v>264</v>
      </c>
      <c r="CO892" t="s">
        <v>802</v>
      </c>
      <c r="CP892" t="s">
        <v>265</v>
      </c>
      <c r="DB892">
        <v>4</v>
      </c>
      <c r="DG892" t="s">
        <v>267</v>
      </c>
      <c r="DI892">
        <v>96</v>
      </c>
      <c r="DN892" t="s">
        <v>268</v>
      </c>
      <c r="DR892">
        <v>88017</v>
      </c>
      <c r="DS892">
        <v>4812</v>
      </c>
      <c r="EW892" t="s">
        <v>333</v>
      </c>
      <c r="FM892">
        <v>22</v>
      </c>
      <c r="FR892" t="s">
        <v>295</v>
      </c>
      <c r="GU892">
        <v>30</v>
      </c>
      <c r="GZ892" t="s">
        <v>296</v>
      </c>
      <c r="HH892" t="s">
        <v>272</v>
      </c>
      <c r="IE892" t="s">
        <v>804</v>
      </c>
      <c r="IF892">
        <v>3734</v>
      </c>
      <c r="IG892" t="s">
        <v>741</v>
      </c>
      <c r="IH892" t="s">
        <v>805</v>
      </c>
      <c r="II892">
        <v>1982</v>
      </c>
      <c r="IJ892" t="s">
        <v>806</v>
      </c>
    </row>
    <row r="893" spans="1:244" x14ac:dyDescent="0.45">
      <c r="A893">
        <v>1277768</v>
      </c>
      <c r="B893">
        <v>730994</v>
      </c>
      <c r="C893">
        <v>7718549</v>
      </c>
      <c r="D893" t="s">
        <v>2132</v>
      </c>
      <c r="E893" t="s">
        <v>439</v>
      </c>
      <c r="F893" t="s">
        <v>245</v>
      </c>
      <c r="G893" t="s">
        <v>246</v>
      </c>
      <c r="N893" t="s">
        <v>968</v>
      </c>
      <c r="O893" t="s">
        <v>969</v>
      </c>
      <c r="P893" t="s">
        <v>249</v>
      </c>
      <c r="Q893" t="s">
        <v>250</v>
      </c>
      <c r="R893" t="s">
        <v>251</v>
      </c>
      <c r="T893" t="s">
        <v>252</v>
      </c>
      <c r="U893" t="s">
        <v>253</v>
      </c>
      <c r="V893" t="s">
        <v>418</v>
      </c>
      <c r="W893" t="s">
        <v>419</v>
      </c>
      <c r="X893" t="s">
        <v>970</v>
      </c>
      <c r="Z893" t="s">
        <v>649</v>
      </c>
      <c r="AL893" t="s">
        <v>1174</v>
      </c>
      <c r="AM893" t="s">
        <v>258</v>
      </c>
      <c r="AN893" t="s">
        <v>259</v>
      </c>
      <c r="AO893" t="s">
        <v>260</v>
      </c>
      <c r="AQ893" t="s">
        <v>261</v>
      </c>
      <c r="AS893">
        <v>21</v>
      </c>
      <c r="AU893">
        <v>10.8</v>
      </c>
      <c r="AW893">
        <v>41</v>
      </c>
      <c r="AX893" t="s">
        <v>356</v>
      </c>
      <c r="BO893" t="s">
        <v>261</v>
      </c>
      <c r="BQ893">
        <v>21</v>
      </c>
      <c r="BS893">
        <v>10.8</v>
      </c>
      <c r="BU893">
        <v>41</v>
      </c>
      <c r="BV893" t="s">
        <v>263</v>
      </c>
      <c r="CM893" t="s">
        <v>264</v>
      </c>
      <c r="CN893" t="s">
        <v>264</v>
      </c>
      <c r="CP893" t="s">
        <v>265</v>
      </c>
      <c r="CQ893" t="s">
        <v>837</v>
      </c>
      <c r="DB893">
        <v>4</v>
      </c>
      <c r="DG893" t="s">
        <v>267</v>
      </c>
      <c r="DI893">
        <v>96</v>
      </c>
      <c r="DN893" t="s">
        <v>268</v>
      </c>
      <c r="DP893" t="s">
        <v>2141</v>
      </c>
      <c r="DS893">
        <v>1010</v>
      </c>
      <c r="DT893" t="s">
        <v>1176</v>
      </c>
      <c r="EW893" t="s">
        <v>293</v>
      </c>
      <c r="FK893" t="s">
        <v>2148</v>
      </c>
      <c r="FM893">
        <v>20</v>
      </c>
      <c r="FR893" t="s">
        <v>295</v>
      </c>
      <c r="GG893" t="s">
        <v>288</v>
      </c>
      <c r="GH893">
        <v>90</v>
      </c>
      <c r="GM893" t="s">
        <v>900</v>
      </c>
      <c r="GO893">
        <v>8</v>
      </c>
      <c r="GU893">
        <v>20</v>
      </c>
      <c r="GZ893" t="s">
        <v>296</v>
      </c>
      <c r="HH893" t="s">
        <v>272</v>
      </c>
      <c r="ID893" t="s">
        <v>2149</v>
      </c>
      <c r="IE893" t="s">
        <v>1179</v>
      </c>
      <c r="IF893">
        <v>4973</v>
      </c>
      <c r="IG893" t="s">
        <v>1180</v>
      </c>
      <c r="IH893" t="s">
        <v>1181</v>
      </c>
      <c r="II893">
        <v>1982</v>
      </c>
      <c r="IJ893" t="s">
        <v>1182</v>
      </c>
    </row>
    <row r="894" spans="1:244" x14ac:dyDescent="0.45">
      <c r="A894">
        <v>1184321</v>
      </c>
      <c r="B894">
        <v>139833</v>
      </c>
      <c r="C894">
        <v>7718549</v>
      </c>
      <c r="D894" t="s">
        <v>2132</v>
      </c>
      <c r="E894" t="s">
        <v>439</v>
      </c>
      <c r="F894" t="s">
        <v>245</v>
      </c>
      <c r="G894" t="s">
        <v>246</v>
      </c>
      <c r="N894" t="s">
        <v>1914</v>
      </c>
      <c r="O894" t="s">
        <v>248</v>
      </c>
      <c r="P894" t="s">
        <v>249</v>
      </c>
      <c r="Q894" t="s">
        <v>250</v>
      </c>
      <c r="R894" t="s">
        <v>251</v>
      </c>
      <c r="T894" t="s">
        <v>252</v>
      </c>
      <c r="U894" t="s">
        <v>253</v>
      </c>
      <c r="V894" t="s">
        <v>254</v>
      </c>
      <c r="W894" t="s">
        <v>1915</v>
      </c>
      <c r="X894" t="s">
        <v>1916</v>
      </c>
      <c r="Z894" t="s">
        <v>284</v>
      </c>
      <c r="AB894" t="s">
        <v>2135</v>
      </c>
      <c r="AG894" t="s">
        <v>1409</v>
      </c>
      <c r="AM894" t="s">
        <v>258</v>
      </c>
      <c r="AN894" t="s">
        <v>259</v>
      </c>
      <c r="AO894" t="s">
        <v>260</v>
      </c>
      <c r="AQ894" t="s">
        <v>261</v>
      </c>
      <c r="AS894">
        <v>1200</v>
      </c>
      <c r="AU894">
        <v>300</v>
      </c>
      <c r="AW894">
        <v>4400</v>
      </c>
      <c r="AX894" t="s">
        <v>262</v>
      </c>
      <c r="BO894" t="s">
        <v>261</v>
      </c>
      <c r="BQ894">
        <v>1.2</v>
      </c>
      <c r="BS894">
        <v>0.3</v>
      </c>
      <c r="BU894">
        <v>4.4000000000000004</v>
      </c>
      <c r="BV894" t="s">
        <v>263</v>
      </c>
      <c r="CM894" t="s">
        <v>264</v>
      </c>
      <c r="CN894" t="s">
        <v>264</v>
      </c>
      <c r="CP894" t="s">
        <v>265</v>
      </c>
      <c r="DB894">
        <v>2</v>
      </c>
      <c r="DG894" t="s">
        <v>267</v>
      </c>
      <c r="DI894">
        <v>48</v>
      </c>
      <c r="DN894" t="s">
        <v>268</v>
      </c>
      <c r="DR894">
        <v>80836</v>
      </c>
      <c r="DS894">
        <v>2488</v>
      </c>
      <c r="DT894" t="s">
        <v>2136</v>
      </c>
      <c r="EW894" t="s">
        <v>293</v>
      </c>
      <c r="FK894" t="s">
        <v>478</v>
      </c>
      <c r="FM894">
        <v>26</v>
      </c>
      <c r="FR894" t="s">
        <v>295</v>
      </c>
      <c r="GG894" t="s">
        <v>278</v>
      </c>
      <c r="GH894">
        <v>85</v>
      </c>
      <c r="GM894" t="s">
        <v>900</v>
      </c>
      <c r="GU894">
        <v>33</v>
      </c>
      <c r="GZ894" t="s">
        <v>296</v>
      </c>
      <c r="HH894" t="s">
        <v>272</v>
      </c>
      <c r="ID894" t="s">
        <v>479</v>
      </c>
      <c r="IE894" t="s">
        <v>2137</v>
      </c>
      <c r="IF894">
        <v>16331</v>
      </c>
      <c r="IG894" t="s">
        <v>2138</v>
      </c>
      <c r="IH894" t="s">
        <v>2139</v>
      </c>
      <c r="II894">
        <v>1994</v>
      </c>
      <c r="IJ894" t="s">
        <v>2140</v>
      </c>
    </row>
    <row r="895" spans="1:244" x14ac:dyDescent="0.45">
      <c r="A895">
        <v>1055006</v>
      </c>
      <c r="B895">
        <v>20031</v>
      </c>
      <c r="C895">
        <v>7718549</v>
      </c>
      <c r="D895" t="s">
        <v>2132</v>
      </c>
      <c r="F895" t="s">
        <v>327</v>
      </c>
      <c r="G895" t="s">
        <v>246</v>
      </c>
      <c r="N895" t="s">
        <v>2144</v>
      </c>
      <c r="O895" t="s">
        <v>2145</v>
      </c>
      <c r="P895" t="s">
        <v>249</v>
      </c>
      <c r="Q895" t="s">
        <v>250</v>
      </c>
      <c r="R895" t="s">
        <v>251</v>
      </c>
      <c r="T895" t="s">
        <v>252</v>
      </c>
      <c r="U895" t="s">
        <v>371</v>
      </c>
      <c r="V895" t="s">
        <v>372</v>
      </c>
      <c r="W895" t="s">
        <v>2146</v>
      </c>
      <c r="X895" t="s">
        <v>2147</v>
      </c>
      <c r="Z895" t="s">
        <v>284</v>
      </c>
      <c r="AM895" t="s">
        <v>317</v>
      </c>
      <c r="AN895" t="s">
        <v>259</v>
      </c>
      <c r="AO895" t="s">
        <v>260</v>
      </c>
      <c r="AQ895" t="s">
        <v>261</v>
      </c>
      <c r="AS895">
        <v>151.69999999999999</v>
      </c>
      <c r="AU895">
        <v>81</v>
      </c>
      <c r="AW895">
        <v>225.3</v>
      </c>
      <c r="AX895" t="s">
        <v>262</v>
      </c>
      <c r="BO895" t="s">
        <v>261</v>
      </c>
      <c r="BQ895">
        <v>0.1517</v>
      </c>
      <c r="BS895">
        <v>8.1000000000000003E-2</v>
      </c>
      <c r="BU895">
        <v>0.2253</v>
      </c>
      <c r="BV895" t="s">
        <v>263</v>
      </c>
      <c r="CM895" t="s">
        <v>264</v>
      </c>
      <c r="CN895" t="s">
        <v>264</v>
      </c>
      <c r="CP895" t="s">
        <v>265</v>
      </c>
      <c r="DB895">
        <v>4</v>
      </c>
      <c r="DG895" t="s">
        <v>267</v>
      </c>
      <c r="DI895">
        <v>96</v>
      </c>
      <c r="DN895" t="s">
        <v>268</v>
      </c>
      <c r="DR895">
        <v>88017</v>
      </c>
      <c r="DS895">
        <v>4812</v>
      </c>
      <c r="EW895" t="s">
        <v>333</v>
      </c>
      <c r="FM895">
        <v>22</v>
      </c>
      <c r="FR895" t="s">
        <v>295</v>
      </c>
      <c r="GU895">
        <v>30</v>
      </c>
      <c r="GZ895" t="s">
        <v>296</v>
      </c>
      <c r="HH895" t="s">
        <v>272</v>
      </c>
      <c r="IE895" t="s">
        <v>2150</v>
      </c>
      <c r="IF895">
        <v>3828</v>
      </c>
      <c r="IG895" t="s">
        <v>2151</v>
      </c>
      <c r="IH895" t="s">
        <v>2067</v>
      </c>
      <c r="II895">
        <v>1985</v>
      </c>
      <c r="IJ895" t="s">
        <v>2152</v>
      </c>
    </row>
    <row r="896" spans="1:244" x14ac:dyDescent="0.45">
      <c r="A896">
        <v>1277978</v>
      </c>
      <c r="B896">
        <v>731223</v>
      </c>
      <c r="C896">
        <v>7718549</v>
      </c>
      <c r="D896" t="s">
        <v>2132</v>
      </c>
      <c r="E896" t="s">
        <v>439</v>
      </c>
      <c r="F896" t="s">
        <v>245</v>
      </c>
      <c r="G896" t="s">
        <v>246</v>
      </c>
      <c r="N896" t="s">
        <v>968</v>
      </c>
      <c r="O896" t="s">
        <v>969</v>
      </c>
      <c r="P896" t="s">
        <v>249</v>
      </c>
      <c r="Q896" t="s">
        <v>250</v>
      </c>
      <c r="R896" t="s">
        <v>251</v>
      </c>
      <c r="T896" t="s">
        <v>252</v>
      </c>
      <c r="U896" t="s">
        <v>253</v>
      </c>
      <c r="V896" t="s">
        <v>418</v>
      </c>
      <c r="W896" t="s">
        <v>419</v>
      </c>
      <c r="X896" t="s">
        <v>970</v>
      </c>
      <c r="Z896" t="s">
        <v>649</v>
      </c>
      <c r="AL896" t="s">
        <v>1174</v>
      </c>
      <c r="AM896" t="s">
        <v>258</v>
      </c>
      <c r="AN896" t="s">
        <v>259</v>
      </c>
      <c r="AO896" t="s">
        <v>260</v>
      </c>
      <c r="AQ896" t="s">
        <v>261</v>
      </c>
      <c r="AS896">
        <v>3.55</v>
      </c>
      <c r="AU896">
        <v>1.76</v>
      </c>
      <c r="AW896">
        <v>7.1</v>
      </c>
      <c r="AX896" t="s">
        <v>356</v>
      </c>
      <c r="BO896" t="s">
        <v>261</v>
      </c>
      <c r="BQ896">
        <v>3.55</v>
      </c>
      <c r="BS896">
        <v>1.76</v>
      </c>
      <c r="BU896">
        <v>7.1</v>
      </c>
      <c r="BV896" t="s">
        <v>263</v>
      </c>
      <c r="CM896" t="s">
        <v>264</v>
      </c>
      <c r="CN896" t="s">
        <v>264</v>
      </c>
      <c r="CP896" t="s">
        <v>265</v>
      </c>
      <c r="CQ896" t="s">
        <v>837</v>
      </c>
      <c r="DB896">
        <v>4</v>
      </c>
      <c r="DG896" t="s">
        <v>267</v>
      </c>
      <c r="DI896">
        <v>96</v>
      </c>
      <c r="DN896" t="s">
        <v>268</v>
      </c>
      <c r="DP896" t="s">
        <v>2141</v>
      </c>
      <c r="DS896">
        <v>1010</v>
      </c>
      <c r="DT896" t="s">
        <v>1176</v>
      </c>
      <c r="EW896" t="s">
        <v>293</v>
      </c>
      <c r="FK896" t="s">
        <v>2153</v>
      </c>
      <c r="FM896">
        <v>30</v>
      </c>
      <c r="FR896" t="s">
        <v>295</v>
      </c>
      <c r="GG896" t="s">
        <v>288</v>
      </c>
      <c r="GH896">
        <v>90</v>
      </c>
      <c r="GM896" t="s">
        <v>900</v>
      </c>
      <c r="GO896">
        <v>8</v>
      </c>
      <c r="GU896">
        <v>36</v>
      </c>
      <c r="GZ896" t="s">
        <v>296</v>
      </c>
      <c r="HH896" t="s">
        <v>272</v>
      </c>
      <c r="ID896" t="s">
        <v>2154</v>
      </c>
      <c r="IE896" t="s">
        <v>1179</v>
      </c>
      <c r="IF896">
        <v>4973</v>
      </c>
      <c r="IG896" t="s">
        <v>1180</v>
      </c>
      <c r="IH896" t="s">
        <v>1181</v>
      </c>
      <c r="II896">
        <v>1982</v>
      </c>
      <c r="IJ896" t="s">
        <v>1182</v>
      </c>
    </row>
    <row r="897" spans="1:244" x14ac:dyDescent="0.45">
      <c r="A897">
        <v>1277766</v>
      </c>
      <c r="B897">
        <v>730992</v>
      </c>
      <c r="C897">
        <v>7718549</v>
      </c>
      <c r="D897" t="s">
        <v>2132</v>
      </c>
      <c r="E897" t="s">
        <v>439</v>
      </c>
      <c r="F897" t="s">
        <v>245</v>
      </c>
      <c r="G897" t="s">
        <v>246</v>
      </c>
      <c r="N897" t="s">
        <v>968</v>
      </c>
      <c r="O897" t="s">
        <v>969</v>
      </c>
      <c r="P897" t="s">
        <v>249</v>
      </c>
      <c r="Q897" t="s">
        <v>250</v>
      </c>
      <c r="R897" t="s">
        <v>251</v>
      </c>
      <c r="T897" t="s">
        <v>252</v>
      </c>
      <c r="U897" t="s">
        <v>253</v>
      </c>
      <c r="V897" t="s">
        <v>418</v>
      </c>
      <c r="W897" t="s">
        <v>419</v>
      </c>
      <c r="X897" t="s">
        <v>970</v>
      </c>
      <c r="Z897" t="s">
        <v>649</v>
      </c>
      <c r="AL897" t="s">
        <v>1174</v>
      </c>
      <c r="AM897" t="s">
        <v>258</v>
      </c>
      <c r="AN897" t="s">
        <v>259</v>
      </c>
      <c r="AO897" t="s">
        <v>260</v>
      </c>
      <c r="AQ897" t="s">
        <v>261</v>
      </c>
      <c r="AS897">
        <v>6.6</v>
      </c>
      <c r="AU897">
        <v>2.75</v>
      </c>
      <c r="AW897">
        <v>15.8</v>
      </c>
      <c r="AX897" t="s">
        <v>356</v>
      </c>
      <c r="BO897" t="s">
        <v>261</v>
      </c>
      <c r="BQ897">
        <v>6.6</v>
      </c>
      <c r="BS897">
        <v>2.75</v>
      </c>
      <c r="BU897">
        <v>15.8</v>
      </c>
      <c r="BV897" t="s">
        <v>263</v>
      </c>
      <c r="CM897" t="s">
        <v>264</v>
      </c>
      <c r="CN897" t="s">
        <v>264</v>
      </c>
      <c r="CP897" t="s">
        <v>265</v>
      </c>
      <c r="CQ897" t="s">
        <v>837</v>
      </c>
      <c r="DB897">
        <v>4</v>
      </c>
      <c r="DG897" t="s">
        <v>267</v>
      </c>
      <c r="DI897">
        <v>96</v>
      </c>
      <c r="DN897" t="s">
        <v>268</v>
      </c>
      <c r="DP897" t="s">
        <v>2141</v>
      </c>
      <c r="DS897">
        <v>1010</v>
      </c>
      <c r="DT897" t="s">
        <v>1176</v>
      </c>
      <c r="EW897" t="s">
        <v>293</v>
      </c>
      <c r="FK897" t="s">
        <v>2155</v>
      </c>
      <c r="FM897">
        <v>30</v>
      </c>
      <c r="FR897" t="s">
        <v>295</v>
      </c>
      <c r="GG897" t="s">
        <v>288</v>
      </c>
      <c r="GH897">
        <v>90</v>
      </c>
      <c r="GM897" t="s">
        <v>900</v>
      </c>
      <c r="GO897">
        <v>8</v>
      </c>
      <c r="GU897">
        <v>20</v>
      </c>
      <c r="GZ897" t="s">
        <v>296</v>
      </c>
      <c r="HH897" t="s">
        <v>272</v>
      </c>
      <c r="ID897" t="s">
        <v>2156</v>
      </c>
      <c r="IE897" t="s">
        <v>1179</v>
      </c>
      <c r="IF897">
        <v>4973</v>
      </c>
      <c r="IG897" t="s">
        <v>1180</v>
      </c>
      <c r="IH897" t="s">
        <v>1181</v>
      </c>
      <c r="II897">
        <v>1982</v>
      </c>
      <c r="IJ897" t="s">
        <v>1182</v>
      </c>
    </row>
    <row r="898" spans="1:244" x14ac:dyDescent="0.45">
      <c r="A898">
        <v>1269757</v>
      </c>
      <c r="B898">
        <v>721055</v>
      </c>
      <c r="C898">
        <v>7718549</v>
      </c>
      <c r="D898" t="s">
        <v>2132</v>
      </c>
      <c r="F898" t="s">
        <v>327</v>
      </c>
      <c r="G898" t="s">
        <v>246</v>
      </c>
      <c r="N898" t="s">
        <v>2157</v>
      </c>
      <c r="O898" t="s">
        <v>578</v>
      </c>
      <c r="P898" t="s">
        <v>249</v>
      </c>
      <c r="Q898" t="s">
        <v>250</v>
      </c>
      <c r="R898" t="s">
        <v>251</v>
      </c>
      <c r="T898" t="s">
        <v>252</v>
      </c>
      <c r="U898" t="s">
        <v>499</v>
      </c>
      <c r="V898" t="s">
        <v>1217</v>
      </c>
      <c r="W898" t="s">
        <v>1218</v>
      </c>
      <c r="X898" t="s">
        <v>351</v>
      </c>
      <c r="Z898" t="s">
        <v>315</v>
      </c>
      <c r="AD898">
        <v>2</v>
      </c>
      <c r="AF898">
        <v>3</v>
      </c>
      <c r="AG898" t="s">
        <v>1271</v>
      </c>
      <c r="AL898" t="s">
        <v>2158</v>
      </c>
      <c r="AM898" t="s">
        <v>317</v>
      </c>
      <c r="AN898" t="s">
        <v>259</v>
      </c>
      <c r="AO898" t="s">
        <v>260</v>
      </c>
      <c r="AP898">
        <v>5</v>
      </c>
      <c r="AQ898" t="s">
        <v>504</v>
      </c>
      <c r="AS898">
        <v>16800</v>
      </c>
      <c r="AU898">
        <v>13900</v>
      </c>
      <c r="AW898">
        <v>22800</v>
      </c>
      <c r="AX898" t="s">
        <v>262</v>
      </c>
      <c r="BO898" t="s">
        <v>504</v>
      </c>
      <c r="BQ898">
        <v>16.8</v>
      </c>
      <c r="BS898">
        <v>13.9</v>
      </c>
      <c r="BU898">
        <v>22.8</v>
      </c>
      <c r="BV898" t="s">
        <v>263</v>
      </c>
      <c r="CM898" t="s">
        <v>264</v>
      </c>
      <c r="CN898" t="s">
        <v>264</v>
      </c>
      <c r="CP898" t="s">
        <v>265</v>
      </c>
      <c r="CQ898" t="s">
        <v>837</v>
      </c>
      <c r="DB898">
        <v>4</v>
      </c>
      <c r="DG898" t="s">
        <v>267</v>
      </c>
      <c r="DI898">
        <v>96</v>
      </c>
      <c r="DN898" t="s">
        <v>268</v>
      </c>
      <c r="DP898" t="s">
        <v>2159</v>
      </c>
      <c r="DR898">
        <v>315597</v>
      </c>
      <c r="DS898">
        <v>18408</v>
      </c>
      <c r="DT898" t="s">
        <v>2160</v>
      </c>
      <c r="EW898" t="s">
        <v>293</v>
      </c>
      <c r="FA898" t="s">
        <v>2161</v>
      </c>
      <c r="FK898" t="s">
        <v>2162</v>
      </c>
      <c r="FO898">
        <v>20.5</v>
      </c>
      <c r="FQ898">
        <v>21.2</v>
      </c>
      <c r="FR898" t="s">
        <v>295</v>
      </c>
      <c r="GG898" t="s">
        <v>288</v>
      </c>
      <c r="GH898">
        <v>95</v>
      </c>
      <c r="GM898" t="s">
        <v>900</v>
      </c>
      <c r="GQ898">
        <v>8</v>
      </c>
      <c r="GS898">
        <v>8.1999999999999993</v>
      </c>
      <c r="GW898">
        <v>30</v>
      </c>
      <c r="GY898">
        <v>32</v>
      </c>
      <c r="GZ898" t="s">
        <v>296</v>
      </c>
      <c r="HH898" t="s">
        <v>272</v>
      </c>
      <c r="ID898" t="s">
        <v>2163</v>
      </c>
      <c r="IE898" t="s">
        <v>2164</v>
      </c>
      <c r="IF898">
        <v>100591</v>
      </c>
      <c r="IG898" t="s">
        <v>2165</v>
      </c>
      <c r="IH898" t="s">
        <v>2166</v>
      </c>
      <c r="II898">
        <v>2006</v>
      </c>
      <c r="IJ898" t="s">
        <v>2167</v>
      </c>
    </row>
    <row r="899" spans="1:244" x14ac:dyDescent="0.45">
      <c r="A899">
        <v>1054979</v>
      </c>
      <c r="B899">
        <v>131353</v>
      </c>
      <c r="C899">
        <v>7718549</v>
      </c>
      <c r="D899" t="s">
        <v>2132</v>
      </c>
      <c r="F899" t="s">
        <v>245</v>
      </c>
      <c r="G899" t="s">
        <v>1550</v>
      </c>
      <c r="N899" t="s">
        <v>798</v>
      </c>
      <c r="O899" t="s">
        <v>631</v>
      </c>
      <c r="P899" t="s">
        <v>249</v>
      </c>
      <c r="Q899" t="s">
        <v>250</v>
      </c>
      <c r="R899" t="s">
        <v>251</v>
      </c>
      <c r="T899" t="s">
        <v>389</v>
      </c>
      <c r="U899" t="s">
        <v>632</v>
      </c>
      <c r="V899" t="s">
        <v>799</v>
      </c>
      <c r="W899" t="s">
        <v>800</v>
      </c>
      <c r="X899" t="s">
        <v>801</v>
      </c>
      <c r="Z899" t="s">
        <v>315</v>
      </c>
      <c r="AI899">
        <v>4</v>
      </c>
      <c r="AM899" t="s">
        <v>317</v>
      </c>
      <c r="AN899" t="s">
        <v>259</v>
      </c>
      <c r="AO899" t="s">
        <v>260</v>
      </c>
      <c r="AP899">
        <v>7</v>
      </c>
      <c r="AQ899" t="s">
        <v>261</v>
      </c>
      <c r="AS899">
        <v>14.573</v>
      </c>
      <c r="AU899">
        <v>10.85</v>
      </c>
      <c r="AW899">
        <v>19.163</v>
      </c>
      <c r="AX899" t="s">
        <v>422</v>
      </c>
      <c r="BO899" t="s">
        <v>261</v>
      </c>
      <c r="BQ899">
        <v>14.573</v>
      </c>
      <c r="BS899">
        <v>10.85</v>
      </c>
      <c r="BU899">
        <v>19.163</v>
      </c>
      <c r="BV899" t="s">
        <v>263</v>
      </c>
      <c r="CM899" t="s">
        <v>264</v>
      </c>
      <c r="CN899" t="s">
        <v>264</v>
      </c>
      <c r="CP899" t="s">
        <v>265</v>
      </c>
      <c r="DB899">
        <v>3</v>
      </c>
      <c r="DG899" t="s">
        <v>267</v>
      </c>
      <c r="DI899">
        <v>72</v>
      </c>
      <c r="DN899" t="s">
        <v>268</v>
      </c>
      <c r="DR899">
        <v>163476</v>
      </c>
      <c r="DS899">
        <v>740</v>
      </c>
      <c r="DV899">
        <v>72</v>
      </c>
      <c r="EA899" t="s">
        <v>268</v>
      </c>
      <c r="EC899">
        <v>3</v>
      </c>
      <c r="EH899" t="s">
        <v>267</v>
      </c>
      <c r="EJ899">
        <v>72</v>
      </c>
      <c r="EO899" t="s">
        <v>268</v>
      </c>
      <c r="EQ899">
        <v>3</v>
      </c>
      <c r="EV899" t="s">
        <v>267</v>
      </c>
      <c r="EW899" t="s">
        <v>293</v>
      </c>
      <c r="EY899" t="s">
        <v>377</v>
      </c>
      <c r="EZ899" t="s">
        <v>2168</v>
      </c>
      <c r="FA899" t="s">
        <v>2169</v>
      </c>
      <c r="FM899">
        <v>15</v>
      </c>
      <c r="FR899" t="s">
        <v>295</v>
      </c>
      <c r="GU899">
        <v>30</v>
      </c>
      <c r="GZ899" t="s">
        <v>296</v>
      </c>
      <c r="HH899" t="s">
        <v>272</v>
      </c>
      <c r="IE899" t="s">
        <v>725</v>
      </c>
      <c r="IF899">
        <v>3826</v>
      </c>
      <c r="IG899" t="s">
        <v>2151</v>
      </c>
      <c r="IH899" t="s">
        <v>2170</v>
      </c>
      <c r="II899">
        <v>1985</v>
      </c>
      <c r="IJ899" t="s">
        <v>2171</v>
      </c>
    </row>
    <row r="900" spans="1:244" x14ac:dyDescent="0.45">
      <c r="A900">
        <v>1279025</v>
      </c>
      <c r="B900">
        <v>732331</v>
      </c>
      <c r="C900">
        <v>7718549</v>
      </c>
      <c r="D900" t="s">
        <v>2132</v>
      </c>
      <c r="E900" t="s">
        <v>439</v>
      </c>
      <c r="F900" t="s">
        <v>327</v>
      </c>
      <c r="G900" t="s">
        <v>246</v>
      </c>
      <c r="N900" t="s">
        <v>1426</v>
      </c>
      <c r="O900" t="s">
        <v>370</v>
      </c>
      <c r="P900" t="s">
        <v>249</v>
      </c>
      <c r="Q900" t="s">
        <v>250</v>
      </c>
      <c r="R900" t="s">
        <v>251</v>
      </c>
      <c r="T900" t="s">
        <v>252</v>
      </c>
      <c r="U900" t="s">
        <v>371</v>
      </c>
      <c r="V900" t="s">
        <v>372</v>
      </c>
      <c r="W900" t="s">
        <v>1427</v>
      </c>
      <c r="X900" t="s">
        <v>1428</v>
      </c>
      <c r="Z900" t="s">
        <v>649</v>
      </c>
      <c r="AD900">
        <v>1</v>
      </c>
      <c r="AF900">
        <v>5</v>
      </c>
      <c r="AG900" t="s">
        <v>267</v>
      </c>
      <c r="AM900" t="s">
        <v>258</v>
      </c>
      <c r="AN900" t="s">
        <v>259</v>
      </c>
      <c r="AO900" t="s">
        <v>260</v>
      </c>
      <c r="AP900">
        <v>6</v>
      </c>
      <c r="AQ900" t="s">
        <v>261</v>
      </c>
      <c r="AS900">
        <v>765</v>
      </c>
      <c r="AU900">
        <v>435</v>
      </c>
      <c r="AW900">
        <v>1095</v>
      </c>
      <c r="AX900" t="s">
        <v>262</v>
      </c>
      <c r="BO900" t="s">
        <v>261</v>
      </c>
      <c r="BQ900">
        <v>0.76500000000000001</v>
      </c>
      <c r="BS900">
        <v>0.435</v>
      </c>
      <c r="BU900">
        <v>1.095</v>
      </c>
      <c r="BV900" t="s">
        <v>263</v>
      </c>
      <c r="CM900" t="s">
        <v>264</v>
      </c>
      <c r="CN900" t="s">
        <v>264</v>
      </c>
      <c r="CP900" t="s">
        <v>265</v>
      </c>
      <c r="CQ900" t="s">
        <v>837</v>
      </c>
      <c r="DB900">
        <v>4</v>
      </c>
      <c r="DG900" t="s">
        <v>267</v>
      </c>
      <c r="DI900">
        <v>96</v>
      </c>
      <c r="DN900" t="s">
        <v>268</v>
      </c>
      <c r="DP900" t="s">
        <v>2159</v>
      </c>
      <c r="DR900">
        <v>223650</v>
      </c>
      <c r="DS900">
        <v>1577</v>
      </c>
      <c r="DT900" t="s">
        <v>1430</v>
      </c>
      <c r="EW900" t="s">
        <v>293</v>
      </c>
      <c r="FA900" t="s">
        <v>1867</v>
      </c>
      <c r="FK900" t="s">
        <v>2172</v>
      </c>
      <c r="FM900">
        <v>20</v>
      </c>
      <c r="FR900" t="s">
        <v>295</v>
      </c>
      <c r="GU900">
        <v>5</v>
      </c>
      <c r="GZ900" t="s">
        <v>296</v>
      </c>
      <c r="HH900" t="s">
        <v>272</v>
      </c>
      <c r="ID900" t="s">
        <v>2173</v>
      </c>
      <c r="IE900" t="s">
        <v>1433</v>
      </c>
      <c r="IF900">
        <v>75445</v>
      </c>
      <c r="IG900" t="s">
        <v>1434</v>
      </c>
      <c r="IH900" t="s">
        <v>1435</v>
      </c>
      <c r="II900">
        <v>2003</v>
      </c>
      <c r="IJ900" t="s">
        <v>1436</v>
      </c>
    </row>
    <row r="901" spans="1:244" x14ac:dyDescent="0.45">
      <c r="A901">
        <v>1278082</v>
      </c>
      <c r="B901">
        <v>731328</v>
      </c>
      <c r="C901">
        <v>7718549</v>
      </c>
      <c r="D901" t="s">
        <v>2132</v>
      </c>
      <c r="E901" t="s">
        <v>439</v>
      </c>
      <c r="F901" t="s">
        <v>245</v>
      </c>
      <c r="G901" t="s">
        <v>246</v>
      </c>
      <c r="N901" t="s">
        <v>968</v>
      </c>
      <c r="O901" t="s">
        <v>969</v>
      </c>
      <c r="P901" t="s">
        <v>249</v>
      </c>
      <c r="Q901" t="s">
        <v>250</v>
      </c>
      <c r="R901" t="s">
        <v>251</v>
      </c>
      <c r="T901" t="s">
        <v>252</v>
      </c>
      <c r="U901" t="s">
        <v>253</v>
      </c>
      <c r="V901" t="s">
        <v>418</v>
      </c>
      <c r="W901" t="s">
        <v>419</v>
      </c>
      <c r="X901" t="s">
        <v>970</v>
      </c>
      <c r="Z901" t="s">
        <v>649</v>
      </c>
      <c r="AL901" t="s">
        <v>1174</v>
      </c>
      <c r="AM901" t="s">
        <v>258</v>
      </c>
      <c r="AN901" t="s">
        <v>259</v>
      </c>
      <c r="AO901" t="s">
        <v>260</v>
      </c>
      <c r="AQ901" t="s">
        <v>261</v>
      </c>
      <c r="AS901">
        <v>2.8</v>
      </c>
      <c r="AU901">
        <v>1.1200000000000001</v>
      </c>
      <c r="AW901">
        <v>7</v>
      </c>
      <c r="AX901" t="s">
        <v>356</v>
      </c>
      <c r="BO901" t="s">
        <v>261</v>
      </c>
      <c r="BQ901">
        <v>2.8</v>
      </c>
      <c r="BS901">
        <v>1.1200000000000001</v>
      </c>
      <c r="BU901">
        <v>7</v>
      </c>
      <c r="BV901" t="s">
        <v>263</v>
      </c>
      <c r="CM901" t="s">
        <v>264</v>
      </c>
      <c r="CN901" t="s">
        <v>264</v>
      </c>
      <c r="CP901" t="s">
        <v>265</v>
      </c>
      <c r="CQ901" t="s">
        <v>837</v>
      </c>
      <c r="DB901">
        <v>4</v>
      </c>
      <c r="DG901" t="s">
        <v>267</v>
      </c>
      <c r="DI901">
        <v>96</v>
      </c>
      <c r="DN901" t="s">
        <v>268</v>
      </c>
      <c r="DP901" t="s">
        <v>2141</v>
      </c>
      <c r="DS901">
        <v>1010</v>
      </c>
      <c r="DT901" t="s">
        <v>1176</v>
      </c>
      <c r="EW901" t="s">
        <v>293</v>
      </c>
      <c r="FK901" t="s">
        <v>2174</v>
      </c>
      <c r="FM901">
        <v>35</v>
      </c>
      <c r="FR901" t="s">
        <v>295</v>
      </c>
      <c r="GG901" t="s">
        <v>288</v>
      </c>
      <c r="GH901">
        <v>90</v>
      </c>
      <c r="GM901" t="s">
        <v>900</v>
      </c>
      <c r="GO901">
        <v>8</v>
      </c>
      <c r="GU901">
        <v>36</v>
      </c>
      <c r="GZ901" t="s">
        <v>296</v>
      </c>
      <c r="HH901" t="s">
        <v>272</v>
      </c>
      <c r="ID901" t="s">
        <v>2175</v>
      </c>
      <c r="IE901" t="s">
        <v>1179</v>
      </c>
      <c r="IF901">
        <v>4973</v>
      </c>
      <c r="IG901" t="s">
        <v>1180</v>
      </c>
      <c r="IH901" t="s">
        <v>1181</v>
      </c>
      <c r="II901">
        <v>1982</v>
      </c>
      <c r="IJ901" t="s">
        <v>1182</v>
      </c>
    </row>
    <row r="902" spans="1:244" x14ac:dyDescent="0.45">
      <c r="A902">
        <v>1036960</v>
      </c>
      <c r="B902">
        <v>112370</v>
      </c>
      <c r="C902">
        <v>7718549</v>
      </c>
      <c r="D902" t="s">
        <v>2132</v>
      </c>
      <c r="F902" t="s">
        <v>245</v>
      </c>
      <c r="G902" t="s">
        <v>246</v>
      </c>
      <c r="N902" t="s">
        <v>1724</v>
      </c>
      <c r="O902" t="s">
        <v>1725</v>
      </c>
      <c r="P902" t="s">
        <v>249</v>
      </c>
      <c r="Q902" t="s">
        <v>250</v>
      </c>
      <c r="R902" t="s">
        <v>251</v>
      </c>
      <c r="T902" t="s">
        <v>252</v>
      </c>
      <c r="U902" t="s">
        <v>253</v>
      </c>
      <c r="V902" t="s">
        <v>1726</v>
      </c>
      <c r="W902" t="s">
        <v>1727</v>
      </c>
      <c r="X902" t="s">
        <v>1728</v>
      </c>
      <c r="Z902" t="s">
        <v>315</v>
      </c>
      <c r="AM902" t="s">
        <v>317</v>
      </c>
      <c r="AN902" t="s">
        <v>259</v>
      </c>
      <c r="AO902" t="s">
        <v>260</v>
      </c>
      <c r="AQ902" t="s">
        <v>261</v>
      </c>
      <c r="AS902">
        <v>47000</v>
      </c>
      <c r="AX902" t="s">
        <v>262</v>
      </c>
      <c r="BO902" t="s">
        <v>261</v>
      </c>
      <c r="BQ902">
        <v>47</v>
      </c>
      <c r="BV902" t="s">
        <v>263</v>
      </c>
      <c r="CM902" t="s">
        <v>264</v>
      </c>
      <c r="CN902" t="s">
        <v>264</v>
      </c>
      <c r="CP902" t="s">
        <v>265</v>
      </c>
      <c r="DB902">
        <v>4</v>
      </c>
      <c r="DG902" t="s">
        <v>267</v>
      </c>
      <c r="DI902">
        <v>96</v>
      </c>
      <c r="DN902" t="s">
        <v>268</v>
      </c>
      <c r="DP902" t="s">
        <v>570</v>
      </c>
      <c r="DR902">
        <v>111067</v>
      </c>
      <c r="DS902">
        <v>490</v>
      </c>
      <c r="DT902" t="s">
        <v>1729</v>
      </c>
      <c r="EW902" t="s">
        <v>333</v>
      </c>
      <c r="FK902" t="s">
        <v>478</v>
      </c>
      <c r="FM902">
        <v>20</v>
      </c>
      <c r="FR902" t="s">
        <v>295</v>
      </c>
      <c r="GG902" t="s">
        <v>288</v>
      </c>
      <c r="GH902">
        <v>4</v>
      </c>
      <c r="GM902" t="s">
        <v>356</v>
      </c>
      <c r="GU902">
        <v>20</v>
      </c>
      <c r="GZ902" t="s">
        <v>296</v>
      </c>
      <c r="HH902" t="s">
        <v>272</v>
      </c>
      <c r="ID902" t="s">
        <v>479</v>
      </c>
      <c r="IE902" t="s">
        <v>1730</v>
      </c>
      <c r="IF902">
        <v>2253</v>
      </c>
      <c r="IG902" t="s">
        <v>1731</v>
      </c>
      <c r="IH902" t="s">
        <v>1732</v>
      </c>
      <c r="II902">
        <v>1977</v>
      </c>
      <c r="IJ902" t="s">
        <v>1733</v>
      </c>
    </row>
    <row r="903" spans="1:244" x14ac:dyDescent="0.45">
      <c r="A903">
        <v>1278091</v>
      </c>
      <c r="B903">
        <v>731337</v>
      </c>
      <c r="C903">
        <v>7718549</v>
      </c>
      <c r="D903" t="s">
        <v>2132</v>
      </c>
      <c r="E903" t="s">
        <v>439</v>
      </c>
      <c r="F903" t="s">
        <v>245</v>
      </c>
      <c r="G903" t="s">
        <v>246</v>
      </c>
      <c r="N903" t="s">
        <v>968</v>
      </c>
      <c r="O903" t="s">
        <v>969</v>
      </c>
      <c r="P903" t="s">
        <v>249</v>
      </c>
      <c r="Q903" t="s">
        <v>250</v>
      </c>
      <c r="R903" t="s">
        <v>251</v>
      </c>
      <c r="T903" t="s">
        <v>252</v>
      </c>
      <c r="U903" t="s">
        <v>253</v>
      </c>
      <c r="V903" t="s">
        <v>418</v>
      </c>
      <c r="W903" t="s">
        <v>419</v>
      </c>
      <c r="X903" t="s">
        <v>970</v>
      </c>
      <c r="Z903" t="s">
        <v>649</v>
      </c>
      <c r="AL903" t="s">
        <v>1174</v>
      </c>
      <c r="AM903" t="s">
        <v>258</v>
      </c>
      <c r="AN903" t="s">
        <v>259</v>
      </c>
      <c r="AO903" t="s">
        <v>260</v>
      </c>
      <c r="AQ903" t="s">
        <v>261</v>
      </c>
      <c r="AU903">
        <v>10</v>
      </c>
      <c r="AW903">
        <v>32</v>
      </c>
      <c r="AX903" t="s">
        <v>356</v>
      </c>
      <c r="BO903" t="s">
        <v>261</v>
      </c>
      <c r="BS903">
        <v>10</v>
      </c>
      <c r="BU903">
        <v>32</v>
      </c>
      <c r="BV903" t="s">
        <v>263</v>
      </c>
      <c r="CM903" t="s">
        <v>264</v>
      </c>
      <c r="CN903" t="s">
        <v>264</v>
      </c>
      <c r="CP903" t="s">
        <v>265</v>
      </c>
      <c r="CQ903" t="s">
        <v>837</v>
      </c>
      <c r="DB903">
        <v>4</v>
      </c>
      <c r="DG903" t="s">
        <v>267</v>
      </c>
      <c r="DI903">
        <v>96</v>
      </c>
      <c r="DN903" t="s">
        <v>268</v>
      </c>
      <c r="DP903" t="s">
        <v>2141</v>
      </c>
      <c r="DS903">
        <v>1010</v>
      </c>
      <c r="DT903" t="s">
        <v>1176</v>
      </c>
      <c r="EW903" t="s">
        <v>293</v>
      </c>
      <c r="FK903" t="s">
        <v>2176</v>
      </c>
      <c r="FM903">
        <v>20</v>
      </c>
      <c r="FR903" t="s">
        <v>295</v>
      </c>
      <c r="GG903" t="s">
        <v>288</v>
      </c>
      <c r="GH903">
        <v>90</v>
      </c>
      <c r="GM903" t="s">
        <v>900</v>
      </c>
      <c r="GO903">
        <v>8</v>
      </c>
      <c r="GU903">
        <v>36</v>
      </c>
      <c r="GZ903" t="s">
        <v>296</v>
      </c>
      <c r="HH903" t="s">
        <v>272</v>
      </c>
      <c r="ID903" t="s">
        <v>2177</v>
      </c>
      <c r="IE903" t="s">
        <v>1179</v>
      </c>
      <c r="IF903">
        <v>4973</v>
      </c>
      <c r="IG903" t="s">
        <v>1180</v>
      </c>
      <c r="IH903" t="s">
        <v>1181</v>
      </c>
      <c r="II903">
        <v>1982</v>
      </c>
      <c r="IJ903" t="s">
        <v>1182</v>
      </c>
    </row>
    <row r="904" spans="1:244" x14ac:dyDescent="0.45">
      <c r="A904">
        <v>1197357</v>
      </c>
      <c r="B904">
        <v>150997</v>
      </c>
      <c r="C904">
        <v>7718549</v>
      </c>
      <c r="D904" t="s">
        <v>2132</v>
      </c>
      <c r="F904" t="s">
        <v>245</v>
      </c>
      <c r="G904" t="s">
        <v>246</v>
      </c>
      <c r="N904" t="s">
        <v>345</v>
      </c>
      <c r="O904" t="s">
        <v>346</v>
      </c>
      <c r="P904" t="s">
        <v>249</v>
      </c>
      <c r="Q904" t="s">
        <v>250</v>
      </c>
      <c r="R904" t="s">
        <v>251</v>
      </c>
      <c r="T904" t="s">
        <v>347</v>
      </c>
      <c r="U904" t="s">
        <v>348</v>
      </c>
      <c r="V904" t="s">
        <v>349</v>
      </c>
      <c r="W904" t="s">
        <v>350</v>
      </c>
      <c r="X904" t="s">
        <v>351</v>
      </c>
      <c r="Z904" t="s">
        <v>525</v>
      </c>
      <c r="AM904" t="s">
        <v>317</v>
      </c>
      <c r="AN904" t="s">
        <v>259</v>
      </c>
      <c r="AO904" t="s">
        <v>260</v>
      </c>
      <c r="AQ904" t="s">
        <v>261</v>
      </c>
      <c r="AS904">
        <v>11200</v>
      </c>
      <c r="AX904" t="s">
        <v>262</v>
      </c>
      <c r="BO904" t="s">
        <v>261</v>
      </c>
      <c r="BQ904">
        <v>11.2</v>
      </c>
      <c r="BV904" t="s">
        <v>263</v>
      </c>
      <c r="CM904" t="s">
        <v>264</v>
      </c>
      <c r="CN904" t="s">
        <v>264</v>
      </c>
      <c r="CO904" t="s">
        <v>1266</v>
      </c>
      <c r="CP904" t="s">
        <v>265</v>
      </c>
      <c r="DB904">
        <v>2</v>
      </c>
      <c r="DG904" t="s">
        <v>267</v>
      </c>
      <c r="DI904">
        <v>48</v>
      </c>
      <c r="DN904" t="s">
        <v>268</v>
      </c>
      <c r="DR904">
        <v>6660</v>
      </c>
      <c r="DS904">
        <v>421</v>
      </c>
      <c r="EW904" t="s">
        <v>293</v>
      </c>
      <c r="FK904" t="s">
        <v>478</v>
      </c>
      <c r="FM904">
        <v>28</v>
      </c>
      <c r="FR904" t="s">
        <v>295</v>
      </c>
      <c r="GJ904">
        <v>4.66</v>
      </c>
      <c r="GL904">
        <v>5.0999999999999996</v>
      </c>
      <c r="GM904" t="s">
        <v>356</v>
      </c>
      <c r="GQ904">
        <v>7.5</v>
      </c>
      <c r="GS904">
        <v>8.4</v>
      </c>
      <c r="GW904">
        <v>32.94</v>
      </c>
      <c r="GY904">
        <v>33.53</v>
      </c>
      <c r="GZ904" t="s">
        <v>296</v>
      </c>
      <c r="HH904" t="s">
        <v>272</v>
      </c>
      <c r="ID904" t="s">
        <v>479</v>
      </c>
      <c r="IE904" t="s">
        <v>1267</v>
      </c>
      <c r="IF904">
        <v>17792</v>
      </c>
      <c r="IG904" t="s">
        <v>1268</v>
      </c>
      <c r="IH904" t="s">
        <v>1269</v>
      </c>
      <c r="II904">
        <v>1990</v>
      </c>
      <c r="IJ904" t="s">
        <v>1270</v>
      </c>
    </row>
    <row r="905" spans="1:244" x14ac:dyDescent="0.45">
      <c r="A905">
        <v>1197356</v>
      </c>
      <c r="B905">
        <v>150996</v>
      </c>
      <c r="C905">
        <v>7718549</v>
      </c>
      <c r="D905" t="s">
        <v>2132</v>
      </c>
      <c r="F905" t="s">
        <v>245</v>
      </c>
      <c r="G905" t="s">
        <v>246</v>
      </c>
      <c r="N905" t="s">
        <v>345</v>
      </c>
      <c r="O905" t="s">
        <v>346</v>
      </c>
      <c r="P905" t="s">
        <v>249</v>
      </c>
      <c r="Q905" t="s">
        <v>250</v>
      </c>
      <c r="R905" t="s">
        <v>251</v>
      </c>
      <c r="T905" t="s">
        <v>347</v>
      </c>
      <c r="U905" t="s">
        <v>348</v>
      </c>
      <c r="V905" t="s">
        <v>349</v>
      </c>
      <c r="W905" t="s">
        <v>350</v>
      </c>
      <c r="X905" t="s">
        <v>351</v>
      </c>
      <c r="Z905" t="s">
        <v>525</v>
      </c>
      <c r="AM905" t="s">
        <v>317</v>
      </c>
      <c r="AN905" t="s">
        <v>259</v>
      </c>
      <c r="AO905" t="s">
        <v>260</v>
      </c>
      <c r="AQ905" t="s">
        <v>261</v>
      </c>
      <c r="AS905">
        <v>15600</v>
      </c>
      <c r="AX905" t="s">
        <v>262</v>
      </c>
      <c r="BO905" t="s">
        <v>261</v>
      </c>
      <c r="BQ905">
        <v>15.6</v>
      </c>
      <c r="BV905" t="s">
        <v>263</v>
      </c>
      <c r="CM905" t="s">
        <v>264</v>
      </c>
      <c r="CN905" t="s">
        <v>264</v>
      </c>
      <c r="CO905" t="s">
        <v>1266</v>
      </c>
      <c r="CP905" t="s">
        <v>265</v>
      </c>
      <c r="DB905">
        <v>1</v>
      </c>
      <c r="DG905" t="s">
        <v>267</v>
      </c>
      <c r="DI905">
        <v>24</v>
      </c>
      <c r="DN905" t="s">
        <v>268</v>
      </c>
      <c r="DR905">
        <v>6660</v>
      </c>
      <c r="DS905">
        <v>421</v>
      </c>
      <c r="EW905" t="s">
        <v>293</v>
      </c>
      <c r="FK905" t="s">
        <v>478</v>
      </c>
      <c r="FM905">
        <v>28</v>
      </c>
      <c r="FR905" t="s">
        <v>295</v>
      </c>
      <c r="GJ905">
        <v>4.66</v>
      </c>
      <c r="GL905">
        <v>5.0999999999999996</v>
      </c>
      <c r="GM905" t="s">
        <v>356</v>
      </c>
      <c r="GQ905">
        <v>7.5</v>
      </c>
      <c r="GS905">
        <v>8.4</v>
      </c>
      <c r="GW905">
        <v>32.94</v>
      </c>
      <c r="GY905">
        <v>33.53</v>
      </c>
      <c r="GZ905" t="s">
        <v>296</v>
      </c>
      <c r="HH905" t="s">
        <v>272</v>
      </c>
      <c r="ID905" t="s">
        <v>479</v>
      </c>
      <c r="IE905" t="s">
        <v>1267</v>
      </c>
      <c r="IF905">
        <v>17792</v>
      </c>
      <c r="IG905" t="s">
        <v>1268</v>
      </c>
      <c r="IH905" t="s">
        <v>1269</v>
      </c>
      <c r="II905">
        <v>1990</v>
      </c>
      <c r="IJ905" t="s">
        <v>1270</v>
      </c>
    </row>
    <row r="906" spans="1:244" x14ac:dyDescent="0.45">
      <c r="A906">
        <v>1269767</v>
      </c>
      <c r="B906">
        <v>721065</v>
      </c>
      <c r="C906">
        <v>7718549</v>
      </c>
      <c r="D906" t="s">
        <v>2132</v>
      </c>
      <c r="F906" t="s">
        <v>327</v>
      </c>
      <c r="G906" t="s">
        <v>246</v>
      </c>
      <c r="N906" t="s">
        <v>2157</v>
      </c>
      <c r="O906" t="s">
        <v>578</v>
      </c>
      <c r="P906" t="s">
        <v>249</v>
      </c>
      <c r="Q906" t="s">
        <v>250</v>
      </c>
      <c r="R906" t="s">
        <v>251</v>
      </c>
      <c r="T906" t="s">
        <v>252</v>
      </c>
      <c r="U906" t="s">
        <v>499</v>
      </c>
      <c r="V906" t="s">
        <v>1217</v>
      </c>
      <c r="W906" t="s">
        <v>1218</v>
      </c>
      <c r="X906" t="s">
        <v>351</v>
      </c>
      <c r="Z906" t="s">
        <v>649</v>
      </c>
      <c r="AA906" t="s">
        <v>289</v>
      </c>
      <c r="AB906">
        <v>7</v>
      </c>
      <c r="AG906" t="s">
        <v>267</v>
      </c>
      <c r="AL906" t="s">
        <v>2178</v>
      </c>
      <c r="AM906" t="s">
        <v>317</v>
      </c>
      <c r="AN906" t="s">
        <v>259</v>
      </c>
      <c r="AO906" t="s">
        <v>260</v>
      </c>
      <c r="AP906">
        <v>5</v>
      </c>
      <c r="AQ906" t="s">
        <v>504</v>
      </c>
      <c r="AS906">
        <v>2430</v>
      </c>
      <c r="AU906">
        <v>1760</v>
      </c>
      <c r="AW906">
        <v>3090</v>
      </c>
      <c r="AX906" t="s">
        <v>262</v>
      </c>
      <c r="BO906" t="s">
        <v>504</v>
      </c>
      <c r="BQ906">
        <v>2.4300000000000002</v>
      </c>
      <c r="BS906">
        <v>1.76</v>
      </c>
      <c r="BU906">
        <v>3.09</v>
      </c>
      <c r="BV906" t="s">
        <v>263</v>
      </c>
      <c r="CM906" t="s">
        <v>264</v>
      </c>
      <c r="CN906" t="s">
        <v>264</v>
      </c>
      <c r="CP906" t="s">
        <v>265</v>
      </c>
      <c r="CQ906" t="s">
        <v>837</v>
      </c>
      <c r="DB906">
        <v>4</v>
      </c>
      <c r="DG906" t="s">
        <v>267</v>
      </c>
      <c r="DI906">
        <v>96</v>
      </c>
      <c r="DN906" t="s">
        <v>268</v>
      </c>
      <c r="DP906" t="s">
        <v>2159</v>
      </c>
      <c r="DR906">
        <v>315597</v>
      </c>
      <c r="DS906">
        <v>18408</v>
      </c>
      <c r="DT906" t="s">
        <v>2160</v>
      </c>
      <c r="EW906" t="s">
        <v>293</v>
      </c>
      <c r="FA906" t="s">
        <v>2161</v>
      </c>
      <c r="FK906" t="s">
        <v>2179</v>
      </c>
      <c r="FO906">
        <v>20.5</v>
      </c>
      <c r="FQ906">
        <v>21.2</v>
      </c>
      <c r="FR906" t="s">
        <v>295</v>
      </c>
      <c r="GG906" t="s">
        <v>288</v>
      </c>
      <c r="GH906">
        <v>95</v>
      </c>
      <c r="GM906" t="s">
        <v>900</v>
      </c>
      <c r="GQ906">
        <v>8</v>
      </c>
      <c r="GS906">
        <v>8.1999999999999993</v>
      </c>
      <c r="GW906">
        <v>30</v>
      </c>
      <c r="GY906">
        <v>32</v>
      </c>
      <c r="GZ906" t="s">
        <v>296</v>
      </c>
      <c r="HH906" t="s">
        <v>272</v>
      </c>
      <c r="ID906" t="s">
        <v>2180</v>
      </c>
      <c r="IE906" t="s">
        <v>2164</v>
      </c>
      <c r="IF906">
        <v>100591</v>
      </c>
      <c r="IG906" t="s">
        <v>2165</v>
      </c>
      <c r="IH906" t="s">
        <v>2166</v>
      </c>
      <c r="II906">
        <v>2006</v>
      </c>
      <c r="IJ906" t="s">
        <v>2167</v>
      </c>
    </row>
    <row r="907" spans="1:244" x14ac:dyDescent="0.45">
      <c r="A907">
        <v>1279026</v>
      </c>
      <c r="B907">
        <v>732332</v>
      </c>
      <c r="C907">
        <v>7718549</v>
      </c>
      <c r="D907" t="s">
        <v>2132</v>
      </c>
      <c r="E907" t="s">
        <v>439</v>
      </c>
      <c r="F907" t="s">
        <v>327</v>
      </c>
      <c r="G907" t="s">
        <v>246</v>
      </c>
      <c r="N907" t="s">
        <v>1426</v>
      </c>
      <c r="O907" t="s">
        <v>370</v>
      </c>
      <c r="P907" t="s">
        <v>249</v>
      </c>
      <c r="Q907" t="s">
        <v>250</v>
      </c>
      <c r="R907" t="s">
        <v>251</v>
      </c>
      <c r="T907" t="s">
        <v>252</v>
      </c>
      <c r="U907" t="s">
        <v>371</v>
      </c>
      <c r="V907" t="s">
        <v>372</v>
      </c>
      <c r="W907" t="s">
        <v>1427</v>
      </c>
      <c r="X907" t="s">
        <v>1428</v>
      </c>
      <c r="Z907" t="s">
        <v>649</v>
      </c>
      <c r="AD907">
        <v>1</v>
      </c>
      <c r="AF907">
        <v>5</v>
      </c>
      <c r="AG907" t="s">
        <v>267</v>
      </c>
      <c r="AM907" t="s">
        <v>258</v>
      </c>
      <c r="AN907" t="s">
        <v>259</v>
      </c>
      <c r="AO907" t="s">
        <v>260</v>
      </c>
      <c r="AP907">
        <v>6</v>
      </c>
      <c r="AQ907" t="s">
        <v>261</v>
      </c>
      <c r="AS907">
        <v>1042</v>
      </c>
      <c r="AU907">
        <v>870</v>
      </c>
      <c r="AW907">
        <v>1263</v>
      </c>
      <c r="AX907" t="s">
        <v>262</v>
      </c>
      <c r="BO907" t="s">
        <v>261</v>
      </c>
      <c r="BQ907">
        <v>1.042</v>
      </c>
      <c r="BS907">
        <v>0.87</v>
      </c>
      <c r="BU907">
        <v>1.2629999999999999</v>
      </c>
      <c r="BV907" t="s">
        <v>263</v>
      </c>
      <c r="CM907" t="s">
        <v>264</v>
      </c>
      <c r="CN907" t="s">
        <v>264</v>
      </c>
      <c r="CP907" t="s">
        <v>265</v>
      </c>
      <c r="CQ907" t="s">
        <v>837</v>
      </c>
      <c r="DB907">
        <v>4</v>
      </c>
      <c r="DG907" t="s">
        <v>267</v>
      </c>
      <c r="DI907">
        <v>96</v>
      </c>
      <c r="DN907" t="s">
        <v>268</v>
      </c>
      <c r="DP907" t="s">
        <v>2159</v>
      </c>
      <c r="DR907">
        <v>223650</v>
      </c>
      <c r="DS907">
        <v>1577</v>
      </c>
      <c r="DT907" t="s">
        <v>1430</v>
      </c>
      <c r="EW907" t="s">
        <v>293</v>
      </c>
      <c r="FA907" t="s">
        <v>1692</v>
      </c>
      <c r="FK907" t="s">
        <v>2181</v>
      </c>
      <c r="FM907">
        <v>20</v>
      </c>
      <c r="FR907" t="s">
        <v>295</v>
      </c>
      <c r="GU907">
        <v>25</v>
      </c>
      <c r="GZ907" t="s">
        <v>296</v>
      </c>
      <c r="HH907" t="s">
        <v>272</v>
      </c>
      <c r="ID907" t="s">
        <v>2182</v>
      </c>
      <c r="IE907" t="s">
        <v>1433</v>
      </c>
      <c r="IF907">
        <v>75445</v>
      </c>
      <c r="IG907" t="s">
        <v>1434</v>
      </c>
      <c r="IH907" t="s">
        <v>1435</v>
      </c>
      <c r="II907">
        <v>2003</v>
      </c>
      <c r="IJ907" t="s">
        <v>1436</v>
      </c>
    </row>
    <row r="908" spans="1:244" x14ac:dyDescent="0.45">
      <c r="A908">
        <v>1036959</v>
      </c>
      <c r="B908">
        <v>112369</v>
      </c>
      <c r="C908">
        <v>7718549</v>
      </c>
      <c r="D908" t="s">
        <v>2132</v>
      </c>
      <c r="F908" t="s">
        <v>245</v>
      </c>
      <c r="G908" t="s">
        <v>246</v>
      </c>
      <c r="N908" t="s">
        <v>1724</v>
      </c>
      <c r="O908" t="s">
        <v>1725</v>
      </c>
      <c r="P908" t="s">
        <v>249</v>
      </c>
      <c r="Q908" t="s">
        <v>250</v>
      </c>
      <c r="R908" t="s">
        <v>251</v>
      </c>
      <c r="T908" t="s">
        <v>252</v>
      </c>
      <c r="U908" t="s">
        <v>253</v>
      </c>
      <c r="V908" t="s">
        <v>1726</v>
      </c>
      <c r="W908" t="s">
        <v>1727</v>
      </c>
      <c r="X908" t="s">
        <v>1728</v>
      </c>
      <c r="Z908" t="s">
        <v>315</v>
      </c>
      <c r="AM908" t="s">
        <v>317</v>
      </c>
      <c r="AN908" t="s">
        <v>259</v>
      </c>
      <c r="AO908" t="s">
        <v>260</v>
      </c>
      <c r="AQ908" t="s">
        <v>261</v>
      </c>
      <c r="AS908">
        <v>130000</v>
      </c>
      <c r="AX908" t="s">
        <v>262</v>
      </c>
      <c r="BO908" t="s">
        <v>261</v>
      </c>
      <c r="BQ908">
        <v>130</v>
      </c>
      <c r="BV908" t="s">
        <v>263</v>
      </c>
      <c r="CM908" t="s">
        <v>264</v>
      </c>
      <c r="CN908" t="s">
        <v>264</v>
      </c>
      <c r="CP908" t="s">
        <v>265</v>
      </c>
      <c r="DB908">
        <v>1</v>
      </c>
      <c r="DG908" t="s">
        <v>267</v>
      </c>
      <c r="DI908">
        <v>24</v>
      </c>
      <c r="DN908" t="s">
        <v>268</v>
      </c>
      <c r="DP908" t="s">
        <v>570</v>
      </c>
      <c r="DR908">
        <v>111067</v>
      </c>
      <c r="DS908">
        <v>490</v>
      </c>
      <c r="DT908" t="s">
        <v>1729</v>
      </c>
      <c r="EW908" t="s">
        <v>333</v>
      </c>
      <c r="FK908" t="s">
        <v>478</v>
      </c>
      <c r="FM908">
        <v>20</v>
      </c>
      <c r="FR908" t="s">
        <v>295</v>
      </c>
      <c r="GG908" t="s">
        <v>288</v>
      </c>
      <c r="GH908">
        <v>4</v>
      </c>
      <c r="GM908" t="s">
        <v>356</v>
      </c>
      <c r="GU908">
        <v>20</v>
      </c>
      <c r="GZ908" t="s">
        <v>296</v>
      </c>
      <c r="HH908" t="s">
        <v>272</v>
      </c>
      <c r="ID908" t="s">
        <v>479</v>
      </c>
      <c r="IE908" t="s">
        <v>1730</v>
      </c>
      <c r="IF908">
        <v>2253</v>
      </c>
      <c r="IG908" t="s">
        <v>1731</v>
      </c>
      <c r="IH908" t="s">
        <v>1732</v>
      </c>
      <c r="II908">
        <v>1977</v>
      </c>
      <c r="IJ908" t="s">
        <v>1733</v>
      </c>
    </row>
    <row r="909" spans="1:244" x14ac:dyDescent="0.45">
      <c r="A909">
        <v>1184320</v>
      </c>
      <c r="B909">
        <v>139832</v>
      </c>
      <c r="C909">
        <v>7718549</v>
      </c>
      <c r="D909" t="s">
        <v>2132</v>
      </c>
      <c r="E909" t="s">
        <v>439</v>
      </c>
      <c r="F909" t="s">
        <v>245</v>
      </c>
      <c r="G909" t="s">
        <v>246</v>
      </c>
      <c r="N909" t="s">
        <v>1914</v>
      </c>
      <c r="O909" t="s">
        <v>248</v>
      </c>
      <c r="P909" t="s">
        <v>249</v>
      </c>
      <c r="Q909" t="s">
        <v>250</v>
      </c>
      <c r="R909" t="s">
        <v>251</v>
      </c>
      <c r="T909" t="s">
        <v>252</v>
      </c>
      <c r="U909" t="s">
        <v>253</v>
      </c>
      <c r="V909" t="s">
        <v>254</v>
      </c>
      <c r="W909" t="s">
        <v>1915</v>
      </c>
      <c r="X909" t="s">
        <v>1916</v>
      </c>
      <c r="Z909" t="s">
        <v>284</v>
      </c>
      <c r="AB909" t="s">
        <v>2135</v>
      </c>
      <c r="AG909" t="s">
        <v>1409</v>
      </c>
      <c r="AM909" t="s">
        <v>258</v>
      </c>
      <c r="AN909" t="s">
        <v>259</v>
      </c>
      <c r="AO909" t="s">
        <v>260</v>
      </c>
      <c r="AQ909" t="s">
        <v>261</v>
      </c>
      <c r="AS909">
        <v>1300</v>
      </c>
      <c r="AU909">
        <v>700</v>
      </c>
      <c r="AW909">
        <v>2400</v>
      </c>
      <c r="AX909" t="s">
        <v>262</v>
      </c>
      <c r="BO909" t="s">
        <v>261</v>
      </c>
      <c r="BQ909">
        <v>1.3</v>
      </c>
      <c r="BS909">
        <v>0.7</v>
      </c>
      <c r="BU909">
        <v>2.4</v>
      </c>
      <c r="BV909" t="s">
        <v>263</v>
      </c>
      <c r="CM909" t="s">
        <v>264</v>
      </c>
      <c r="CN909" t="s">
        <v>264</v>
      </c>
      <c r="CP909" t="s">
        <v>265</v>
      </c>
      <c r="DB909">
        <v>2</v>
      </c>
      <c r="DG909" t="s">
        <v>267</v>
      </c>
      <c r="DI909">
        <v>48</v>
      </c>
      <c r="DN909" t="s">
        <v>268</v>
      </c>
      <c r="DR909">
        <v>80836</v>
      </c>
      <c r="DS909">
        <v>2488</v>
      </c>
      <c r="DT909" t="s">
        <v>2136</v>
      </c>
      <c r="EW909" t="s">
        <v>293</v>
      </c>
      <c r="FK909" t="s">
        <v>478</v>
      </c>
      <c r="FM909">
        <v>26</v>
      </c>
      <c r="FR909" t="s">
        <v>295</v>
      </c>
      <c r="GG909" t="s">
        <v>278</v>
      </c>
      <c r="GH909">
        <v>85</v>
      </c>
      <c r="GM909" t="s">
        <v>900</v>
      </c>
      <c r="GU909">
        <v>33</v>
      </c>
      <c r="GZ909" t="s">
        <v>296</v>
      </c>
      <c r="HH909" t="s">
        <v>272</v>
      </c>
      <c r="ID909" t="s">
        <v>479</v>
      </c>
      <c r="IE909" t="s">
        <v>2137</v>
      </c>
      <c r="IF909">
        <v>16331</v>
      </c>
      <c r="IG909" t="s">
        <v>2138</v>
      </c>
      <c r="IH909" t="s">
        <v>2139</v>
      </c>
      <c r="II909">
        <v>1994</v>
      </c>
      <c r="IJ909" t="s">
        <v>2140</v>
      </c>
    </row>
    <row r="910" spans="1:244" x14ac:dyDescent="0.45">
      <c r="A910">
        <v>1142056</v>
      </c>
      <c r="B910">
        <v>106202</v>
      </c>
      <c r="C910">
        <v>7718549</v>
      </c>
      <c r="D910" t="s">
        <v>2132</v>
      </c>
      <c r="F910" t="s">
        <v>245</v>
      </c>
      <c r="G910" t="s">
        <v>246</v>
      </c>
      <c r="N910" t="s">
        <v>2183</v>
      </c>
      <c r="O910" t="s">
        <v>498</v>
      </c>
      <c r="P910" t="s">
        <v>249</v>
      </c>
      <c r="Q910" t="s">
        <v>250</v>
      </c>
      <c r="R910" t="s">
        <v>251</v>
      </c>
      <c r="T910" t="s">
        <v>252</v>
      </c>
      <c r="U910" t="s">
        <v>499</v>
      </c>
      <c r="V910" t="s">
        <v>1281</v>
      </c>
      <c r="W910" t="s">
        <v>1282</v>
      </c>
      <c r="X910" t="s">
        <v>2184</v>
      </c>
      <c r="AM910" t="s">
        <v>258</v>
      </c>
      <c r="AN910" t="s">
        <v>259</v>
      </c>
      <c r="AO910" t="s">
        <v>260</v>
      </c>
      <c r="AQ910" t="s">
        <v>261</v>
      </c>
      <c r="AS910">
        <v>18000</v>
      </c>
      <c r="AX910" t="s">
        <v>262</v>
      </c>
      <c r="BO910" t="s">
        <v>261</v>
      </c>
      <c r="BQ910">
        <v>18</v>
      </c>
      <c r="BV910" t="s">
        <v>263</v>
      </c>
      <c r="CM910" t="s">
        <v>264</v>
      </c>
      <c r="CN910" t="s">
        <v>264</v>
      </c>
      <c r="CP910" t="s">
        <v>265</v>
      </c>
      <c r="DB910">
        <v>4</v>
      </c>
      <c r="DG910" t="s">
        <v>267</v>
      </c>
      <c r="DI910">
        <v>96</v>
      </c>
      <c r="DN910" t="s">
        <v>268</v>
      </c>
      <c r="DP910" t="s">
        <v>2185</v>
      </c>
      <c r="DR910">
        <v>371472</v>
      </c>
      <c r="DS910">
        <v>1342</v>
      </c>
      <c r="DT910" t="s">
        <v>2186</v>
      </c>
      <c r="EW910" t="s">
        <v>271</v>
      </c>
      <c r="FK910" t="s">
        <v>478</v>
      </c>
      <c r="FM910">
        <v>15</v>
      </c>
      <c r="FR910" t="s">
        <v>295</v>
      </c>
      <c r="GG910" t="s">
        <v>278</v>
      </c>
      <c r="GH910">
        <v>75</v>
      </c>
      <c r="GM910" t="s">
        <v>900</v>
      </c>
      <c r="GU910">
        <v>15</v>
      </c>
      <c r="GZ910" t="s">
        <v>296</v>
      </c>
      <c r="HH910" t="s">
        <v>272</v>
      </c>
      <c r="ID910" t="s">
        <v>479</v>
      </c>
      <c r="IE910" t="s">
        <v>2187</v>
      </c>
      <c r="IF910">
        <v>11875</v>
      </c>
      <c r="IG910" t="s">
        <v>2188</v>
      </c>
      <c r="IH910" t="s">
        <v>2189</v>
      </c>
      <c r="II910">
        <v>1985</v>
      </c>
      <c r="IJ910" t="s">
        <v>2190</v>
      </c>
    </row>
    <row r="911" spans="1:244" x14ac:dyDescent="0.45">
      <c r="A911">
        <v>1054281</v>
      </c>
      <c r="B911">
        <v>124652</v>
      </c>
      <c r="C911">
        <v>7718549</v>
      </c>
      <c r="D911" t="s">
        <v>2132</v>
      </c>
      <c r="F911" t="s">
        <v>245</v>
      </c>
      <c r="G911" t="s">
        <v>246</v>
      </c>
      <c r="N911" t="s">
        <v>1583</v>
      </c>
      <c r="O911" t="s">
        <v>1584</v>
      </c>
      <c r="P911" t="s">
        <v>249</v>
      </c>
      <c r="Q911" t="s">
        <v>250</v>
      </c>
      <c r="R911" t="s">
        <v>251</v>
      </c>
      <c r="T911" t="s">
        <v>252</v>
      </c>
      <c r="U911" t="s">
        <v>253</v>
      </c>
      <c r="V911" t="s">
        <v>418</v>
      </c>
      <c r="W911" t="s">
        <v>1585</v>
      </c>
      <c r="X911" t="s">
        <v>1586</v>
      </c>
      <c r="AL911" t="s">
        <v>2191</v>
      </c>
      <c r="AM911" t="s">
        <v>317</v>
      </c>
      <c r="AN911" t="s">
        <v>259</v>
      </c>
      <c r="AO911" t="s">
        <v>260</v>
      </c>
      <c r="AQ911" t="s">
        <v>261</v>
      </c>
      <c r="AS911">
        <v>112000</v>
      </c>
      <c r="AU911">
        <v>76800</v>
      </c>
      <c r="AW911">
        <v>163000</v>
      </c>
      <c r="AX911" t="s">
        <v>262</v>
      </c>
      <c r="BO911" t="s">
        <v>261</v>
      </c>
      <c r="BQ911">
        <v>112</v>
      </c>
      <c r="BS911">
        <v>76.8</v>
      </c>
      <c r="BU911">
        <v>163</v>
      </c>
      <c r="BV911" t="s">
        <v>263</v>
      </c>
      <c r="CM911" t="s">
        <v>264</v>
      </c>
      <c r="CN911" t="s">
        <v>264</v>
      </c>
      <c r="CP911" t="s">
        <v>265</v>
      </c>
      <c r="DB911">
        <v>4</v>
      </c>
      <c r="DG911" t="s">
        <v>267</v>
      </c>
      <c r="DI911">
        <v>96</v>
      </c>
      <c r="DN911" t="s">
        <v>268</v>
      </c>
      <c r="DR911">
        <v>64466</v>
      </c>
      <c r="DS911">
        <v>49914</v>
      </c>
      <c r="EW911" t="s">
        <v>271</v>
      </c>
      <c r="FK911" t="s">
        <v>2192</v>
      </c>
      <c r="FM911">
        <v>20</v>
      </c>
      <c r="FR911" t="s">
        <v>295</v>
      </c>
      <c r="GJ911">
        <v>3.5</v>
      </c>
      <c r="GL911">
        <v>5.7</v>
      </c>
      <c r="GM911" t="s">
        <v>356</v>
      </c>
      <c r="GO911">
        <v>8</v>
      </c>
      <c r="GU911">
        <v>25</v>
      </c>
      <c r="GZ911" t="s">
        <v>296</v>
      </c>
      <c r="HH911" t="s">
        <v>272</v>
      </c>
      <c r="ID911" t="s">
        <v>2193</v>
      </c>
      <c r="IE911" t="s">
        <v>2194</v>
      </c>
      <c r="IF911">
        <v>3779</v>
      </c>
      <c r="IG911" t="s">
        <v>2195</v>
      </c>
      <c r="IH911" t="s">
        <v>2196</v>
      </c>
      <c r="II911">
        <v>1975</v>
      </c>
      <c r="IJ911" t="s">
        <v>2197</v>
      </c>
    </row>
    <row r="912" spans="1:244" x14ac:dyDescent="0.45">
      <c r="A912">
        <v>1142059</v>
      </c>
      <c r="B912">
        <v>106205</v>
      </c>
      <c r="C912">
        <v>7718549</v>
      </c>
      <c r="D912" t="s">
        <v>2132</v>
      </c>
      <c r="F912" t="s">
        <v>245</v>
      </c>
      <c r="G912" t="s">
        <v>246</v>
      </c>
      <c r="N912" t="s">
        <v>2183</v>
      </c>
      <c r="O912" t="s">
        <v>498</v>
      </c>
      <c r="P912" t="s">
        <v>249</v>
      </c>
      <c r="Q912" t="s">
        <v>250</v>
      </c>
      <c r="R912" t="s">
        <v>251</v>
      </c>
      <c r="T912" t="s">
        <v>252</v>
      </c>
      <c r="U912" t="s">
        <v>499</v>
      </c>
      <c r="V912" t="s">
        <v>1281</v>
      </c>
      <c r="W912" t="s">
        <v>1282</v>
      </c>
      <c r="X912" t="s">
        <v>2184</v>
      </c>
      <c r="AM912" t="s">
        <v>258</v>
      </c>
      <c r="AN912" t="s">
        <v>259</v>
      </c>
      <c r="AO912" t="s">
        <v>260</v>
      </c>
      <c r="AQ912" t="s">
        <v>261</v>
      </c>
      <c r="AS912">
        <v>8000</v>
      </c>
      <c r="AX912" t="s">
        <v>262</v>
      </c>
      <c r="BO912" t="s">
        <v>261</v>
      </c>
      <c r="BQ912">
        <v>8</v>
      </c>
      <c r="BV912" t="s">
        <v>263</v>
      </c>
      <c r="CM912" t="s">
        <v>264</v>
      </c>
      <c r="CN912" t="s">
        <v>264</v>
      </c>
      <c r="CP912" t="s">
        <v>265</v>
      </c>
      <c r="DB912">
        <v>4</v>
      </c>
      <c r="DG912" t="s">
        <v>267</v>
      </c>
      <c r="DI912">
        <v>96</v>
      </c>
      <c r="DN912" t="s">
        <v>268</v>
      </c>
      <c r="DP912" t="s">
        <v>2185</v>
      </c>
      <c r="DR912">
        <v>371472</v>
      </c>
      <c r="DS912">
        <v>1342</v>
      </c>
      <c r="DT912" t="s">
        <v>2186</v>
      </c>
      <c r="EW912" t="s">
        <v>271</v>
      </c>
      <c r="FK912" t="s">
        <v>478</v>
      </c>
      <c r="FM912">
        <v>10</v>
      </c>
      <c r="FR912" t="s">
        <v>295</v>
      </c>
      <c r="GG912" t="s">
        <v>278</v>
      </c>
      <c r="GH912">
        <v>75</v>
      </c>
      <c r="GM912" t="s">
        <v>900</v>
      </c>
      <c r="GU912">
        <v>5</v>
      </c>
      <c r="GZ912" t="s">
        <v>296</v>
      </c>
      <c r="HH912" t="s">
        <v>272</v>
      </c>
      <c r="ID912" t="s">
        <v>479</v>
      </c>
      <c r="IE912" t="s">
        <v>2187</v>
      </c>
      <c r="IF912">
        <v>11875</v>
      </c>
      <c r="IG912" t="s">
        <v>2188</v>
      </c>
      <c r="IH912" t="s">
        <v>2189</v>
      </c>
      <c r="II912">
        <v>1985</v>
      </c>
      <c r="IJ912" t="s">
        <v>2190</v>
      </c>
    </row>
    <row r="913" spans="1:244" x14ac:dyDescent="0.45">
      <c r="A913">
        <v>1054981</v>
      </c>
      <c r="B913">
        <v>131355</v>
      </c>
      <c r="C913">
        <v>7718549</v>
      </c>
      <c r="D913" t="s">
        <v>2132</v>
      </c>
      <c r="F913" t="s">
        <v>245</v>
      </c>
      <c r="G913" t="s">
        <v>1550</v>
      </c>
      <c r="N913" t="s">
        <v>829</v>
      </c>
      <c r="O913" t="s">
        <v>631</v>
      </c>
      <c r="P913" t="s">
        <v>249</v>
      </c>
      <c r="Q913" t="s">
        <v>250</v>
      </c>
      <c r="R913" t="s">
        <v>251</v>
      </c>
      <c r="T913" t="s">
        <v>389</v>
      </c>
      <c r="U913" t="s">
        <v>632</v>
      </c>
      <c r="V913" t="s">
        <v>830</v>
      </c>
      <c r="W913" t="s">
        <v>831</v>
      </c>
      <c r="X913" t="s">
        <v>832</v>
      </c>
      <c r="Z913" t="s">
        <v>315</v>
      </c>
      <c r="AI913">
        <v>3</v>
      </c>
      <c r="AM913" t="s">
        <v>317</v>
      </c>
      <c r="AN913" t="s">
        <v>259</v>
      </c>
      <c r="AO913" t="s">
        <v>260</v>
      </c>
      <c r="AP913">
        <v>8</v>
      </c>
      <c r="AQ913" t="s">
        <v>261</v>
      </c>
      <c r="AS913">
        <v>13.182</v>
      </c>
      <c r="AU913">
        <v>11.566000000000001</v>
      </c>
      <c r="AW913">
        <v>14.981</v>
      </c>
      <c r="AX913" t="s">
        <v>422</v>
      </c>
      <c r="BO913" t="s">
        <v>261</v>
      </c>
      <c r="BQ913">
        <v>13.182</v>
      </c>
      <c r="BS913">
        <v>11.566000000000001</v>
      </c>
      <c r="BU913">
        <v>14.981</v>
      </c>
      <c r="BV913" t="s">
        <v>263</v>
      </c>
      <c r="CM913" t="s">
        <v>264</v>
      </c>
      <c r="CN913" t="s">
        <v>264</v>
      </c>
      <c r="CP913" t="s">
        <v>265</v>
      </c>
      <c r="DB913">
        <v>4</v>
      </c>
      <c r="DG913" t="s">
        <v>267</v>
      </c>
      <c r="DI913">
        <v>96</v>
      </c>
      <c r="DN913" t="s">
        <v>268</v>
      </c>
      <c r="DR913">
        <v>88015</v>
      </c>
      <c r="DS913">
        <v>649</v>
      </c>
      <c r="DV913">
        <v>96</v>
      </c>
      <c r="EA913" t="s">
        <v>268</v>
      </c>
      <c r="EC913">
        <v>4</v>
      </c>
      <c r="EH913" t="s">
        <v>267</v>
      </c>
      <c r="EJ913">
        <v>96</v>
      </c>
      <c r="EO913" t="s">
        <v>268</v>
      </c>
      <c r="EQ913">
        <v>4</v>
      </c>
      <c r="EV913" t="s">
        <v>267</v>
      </c>
      <c r="EW913" t="s">
        <v>293</v>
      </c>
      <c r="EY913" t="s">
        <v>377</v>
      </c>
      <c r="EZ913" t="s">
        <v>2198</v>
      </c>
      <c r="FA913" t="s">
        <v>2199</v>
      </c>
      <c r="FM913">
        <v>15</v>
      </c>
      <c r="FR913" t="s">
        <v>295</v>
      </c>
      <c r="GU913">
        <v>30</v>
      </c>
      <c r="GZ913" t="s">
        <v>296</v>
      </c>
      <c r="HH913" t="s">
        <v>272</v>
      </c>
      <c r="IE913" t="s">
        <v>725</v>
      </c>
      <c r="IF913">
        <v>3826</v>
      </c>
      <c r="IG913" t="s">
        <v>2151</v>
      </c>
      <c r="IH913" t="s">
        <v>2170</v>
      </c>
      <c r="II913">
        <v>1985</v>
      </c>
      <c r="IJ913" t="s">
        <v>2171</v>
      </c>
    </row>
    <row r="914" spans="1:244" x14ac:dyDescent="0.45">
      <c r="A914">
        <v>1142043</v>
      </c>
      <c r="B914">
        <v>106189</v>
      </c>
      <c r="C914">
        <v>7718549</v>
      </c>
      <c r="D914" t="s">
        <v>2132</v>
      </c>
      <c r="F914" t="s">
        <v>245</v>
      </c>
      <c r="G914" t="s">
        <v>246</v>
      </c>
      <c r="N914" t="s">
        <v>2183</v>
      </c>
      <c r="O914" t="s">
        <v>498</v>
      </c>
      <c r="P914" t="s">
        <v>249</v>
      </c>
      <c r="Q914" t="s">
        <v>250</v>
      </c>
      <c r="R914" t="s">
        <v>251</v>
      </c>
      <c r="T914" t="s">
        <v>252</v>
      </c>
      <c r="U914" t="s">
        <v>499</v>
      </c>
      <c r="V914" t="s">
        <v>1281</v>
      </c>
      <c r="W914" t="s">
        <v>1282</v>
      </c>
      <c r="X914" t="s">
        <v>2184</v>
      </c>
      <c r="AM914" t="s">
        <v>258</v>
      </c>
      <c r="AN914" t="s">
        <v>259</v>
      </c>
      <c r="AO914" t="s">
        <v>260</v>
      </c>
      <c r="AQ914" t="s">
        <v>261</v>
      </c>
      <c r="AR914" t="s">
        <v>288</v>
      </c>
      <c r="AS914">
        <v>128000</v>
      </c>
      <c r="AX914" t="s">
        <v>262</v>
      </c>
      <c r="BO914" t="s">
        <v>261</v>
      </c>
      <c r="BP914" t="s">
        <v>288</v>
      </c>
      <c r="BQ914">
        <v>128</v>
      </c>
      <c r="BV914" t="s">
        <v>263</v>
      </c>
      <c r="CM914" t="s">
        <v>264</v>
      </c>
      <c r="CN914" t="s">
        <v>264</v>
      </c>
      <c r="CP914" t="s">
        <v>265</v>
      </c>
      <c r="DB914">
        <v>2</v>
      </c>
      <c r="DG914" t="s">
        <v>267</v>
      </c>
      <c r="DI914">
        <v>48</v>
      </c>
      <c r="DN914" t="s">
        <v>268</v>
      </c>
      <c r="DP914" t="s">
        <v>2185</v>
      </c>
      <c r="DR914">
        <v>371472</v>
      </c>
      <c r="DS914">
        <v>1342</v>
      </c>
      <c r="DT914" t="s">
        <v>2186</v>
      </c>
      <c r="EW914" t="s">
        <v>271</v>
      </c>
      <c r="FK914" t="s">
        <v>478</v>
      </c>
      <c r="FM914">
        <v>5</v>
      </c>
      <c r="FR914" t="s">
        <v>295</v>
      </c>
      <c r="GG914" t="s">
        <v>278</v>
      </c>
      <c r="GH914">
        <v>75</v>
      </c>
      <c r="GM914" t="s">
        <v>900</v>
      </c>
      <c r="GU914">
        <v>35</v>
      </c>
      <c r="GZ914" t="s">
        <v>296</v>
      </c>
      <c r="HH914" t="s">
        <v>272</v>
      </c>
      <c r="ID914" t="s">
        <v>479</v>
      </c>
      <c r="IE914" t="s">
        <v>2187</v>
      </c>
      <c r="IF914">
        <v>11875</v>
      </c>
      <c r="IG914" t="s">
        <v>2188</v>
      </c>
      <c r="IH914" t="s">
        <v>2189</v>
      </c>
      <c r="II914">
        <v>1985</v>
      </c>
      <c r="IJ914" t="s">
        <v>2190</v>
      </c>
    </row>
    <row r="915" spans="1:244" x14ac:dyDescent="0.45">
      <c r="A915">
        <v>2030265</v>
      </c>
      <c r="B915">
        <v>2047702</v>
      </c>
      <c r="C915">
        <v>7718549</v>
      </c>
      <c r="D915" t="s">
        <v>2132</v>
      </c>
      <c r="F915" t="s">
        <v>245</v>
      </c>
      <c r="G915" t="s">
        <v>1550</v>
      </c>
      <c r="N915" t="s">
        <v>630</v>
      </c>
      <c r="O915" t="s">
        <v>631</v>
      </c>
      <c r="P915" t="s">
        <v>249</v>
      </c>
      <c r="Q915" t="s">
        <v>250</v>
      </c>
      <c r="R915" t="s">
        <v>251</v>
      </c>
      <c r="T915" t="s">
        <v>389</v>
      </c>
      <c r="U915" t="s">
        <v>632</v>
      </c>
      <c r="V915" t="s">
        <v>633</v>
      </c>
      <c r="W915" t="s">
        <v>634</v>
      </c>
      <c r="X915" t="s">
        <v>635</v>
      </c>
      <c r="Z915" t="s">
        <v>315</v>
      </c>
      <c r="AI915">
        <v>4</v>
      </c>
      <c r="AM915" t="s">
        <v>317</v>
      </c>
      <c r="AN915" t="s">
        <v>259</v>
      </c>
      <c r="AO915" t="s">
        <v>260</v>
      </c>
      <c r="AP915">
        <v>7</v>
      </c>
      <c r="AQ915" t="s">
        <v>261</v>
      </c>
      <c r="AS915">
        <v>0.747</v>
      </c>
      <c r="AU915">
        <v>0.5</v>
      </c>
      <c r="AW915">
        <v>1.04</v>
      </c>
      <c r="AX915" t="s">
        <v>422</v>
      </c>
      <c r="BO915" t="s">
        <v>261</v>
      </c>
      <c r="BQ915">
        <v>0.747</v>
      </c>
      <c r="BS915">
        <v>0.5</v>
      </c>
      <c r="BU915">
        <v>1.04</v>
      </c>
      <c r="BV915" t="s">
        <v>263</v>
      </c>
      <c r="CM915" t="s">
        <v>264</v>
      </c>
      <c r="CN915" t="s">
        <v>264</v>
      </c>
      <c r="CP915" t="s">
        <v>265</v>
      </c>
      <c r="DB915">
        <v>3</v>
      </c>
      <c r="DG915" t="s">
        <v>267</v>
      </c>
      <c r="DI915">
        <v>72</v>
      </c>
      <c r="DN915" t="s">
        <v>268</v>
      </c>
      <c r="DR915">
        <v>136180</v>
      </c>
      <c r="DS915">
        <v>376</v>
      </c>
      <c r="DV915">
        <v>72</v>
      </c>
      <c r="EA915" t="s">
        <v>268</v>
      </c>
      <c r="EC915">
        <v>3</v>
      </c>
      <c r="EH915" t="s">
        <v>267</v>
      </c>
      <c r="EJ915">
        <v>72</v>
      </c>
      <c r="EO915" t="s">
        <v>268</v>
      </c>
      <c r="EQ915">
        <v>3</v>
      </c>
      <c r="EV915" t="s">
        <v>267</v>
      </c>
      <c r="EW915" t="s">
        <v>293</v>
      </c>
      <c r="EY915" t="s">
        <v>377</v>
      </c>
      <c r="EZ915" t="s">
        <v>2200</v>
      </c>
      <c r="FA915" t="s">
        <v>2201</v>
      </c>
      <c r="FM915">
        <v>20</v>
      </c>
      <c r="FR915" t="s">
        <v>295</v>
      </c>
      <c r="GU915">
        <v>30</v>
      </c>
      <c r="GZ915" t="s">
        <v>296</v>
      </c>
      <c r="HH915" t="s">
        <v>272</v>
      </c>
      <c r="IE915" t="s">
        <v>725</v>
      </c>
      <c r="IF915">
        <v>3826</v>
      </c>
      <c r="IG915" t="s">
        <v>2151</v>
      </c>
      <c r="IH915" t="s">
        <v>2170</v>
      </c>
      <c r="II915">
        <v>1985</v>
      </c>
      <c r="IJ915" t="s">
        <v>2171</v>
      </c>
    </row>
    <row r="916" spans="1:244" x14ac:dyDescent="0.45">
      <c r="A916">
        <v>1142031</v>
      </c>
      <c r="B916">
        <v>106177</v>
      </c>
      <c r="C916">
        <v>7718549</v>
      </c>
      <c r="D916" t="s">
        <v>2132</v>
      </c>
      <c r="F916" t="s">
        <v>245</v>
      </c>
      <c r="G916" t="s">
        <v>246</v>
      </c>
      <c r="N916" t="s">
        <v>2183</v>
      </c>
      <c r="O916" t="s">
        <v>498</v>
      </c>
      <c r="P916" t="s">
        <v>249</v>
      </c>
      <c r="Q916" t="s">
        <v>250</v>
      </c>
      <c r="R916" t="s">
        <v>251</v>
      </c>
      <c r="T916" t="s">
        <v>252</v>
      </c>
      <c r="U916" t="s">
        <v>499</v>
      </c>
      <c r="V916" t="s">
        <v>1281</v>
      </c>
      <c r="W916" t="s">
        <v>1282</v>
      </c>
      <c r="X916" t="s">
        <v>2184</v>
      </c>
      <c r="AM916" t="s">
        <v>258</v>
      </c>
      <c r="AN916" t="s">
        <v>259</v>
      </c>
      <c r="AO916" t="s">
        <v>260</v>
      </c>
      <c r="AQ916" t="s">
        <v>261</v>
      </c>
      <c r="AS916">
        <v>90000</v>
      </c>
      <c r="AX916" t="s">
        <v>262</v>
      </c>
      <c r="BO916" t="s">
        <v>261</v>
      </c>
      <c r="BQ916">
        <v>90</v>
      </c>
      <c r="BV916" t="s">
        <v>263</v>
      </c>
      <c r="CM916" t="s">
        <v>264</v>
      </c>
      <c r="CN916" t="s">
        <v>264</v>
      </c>
      <c r="CP916" t="s">
        <v>265</v>
      </c>
      <c r="DB916">
        <v>1</v>
      </c>
      <c r="DG916" t="s">
        <v>267</v>
      </c>
      <c r="DI916">
        <v>24</v>
      </c>
      <c r="DN916" t="s">
        <v>268</v>
      </c>
      <c r="DP916" t="s">
        <v>2185</v>
      </c>
      <c r="DR916">
        <v>371472</v>
      </c>
      <c r="DS916">
        <v>1342</v>
      </c>
      <c r="DT916" t="s">
        <v>2186</v>
      </c>
      <c r="EW916" t="s">
        <v>271</v>
      </c>
      <c r="FK916" t="s">
        <v>478</v>
      </c>
      <c r="FM916">
        <v>10</v>
      </c>
      <c r="FR916" t="s">
        <v>295</v>
      </c>
      <c r="GG916" t="s">
        <v>278</v>
      </c>
      <c r="GH916">
        <v>75</v>
      </c>
      <c r="GM916" t="s">
        <v>900</v>
      </c>
      <c r="GU916">
        <v>15</v>
      </c>
      <c r="GZ916" t="s">
        <v>296</v>
      </c>
      <c r="HH916" t="s">
        <v>272</v>
      </c>
      <c r="ID916" t="s">
        <v>479</v>
      </c>
      <c r="IE916" t="s">
        <v>2187</v>
      </c>
      <c r="IF916">
        <v>11875</v>
      </c>
      <c r="IG916" t="s">
        <v>2188</v>
      </c>
      <c r="IH916" t="s">
        <v>2189</v>
      </c>
      <c r="II916">
        <v>1985</v>
      </c>
      <c r="IJ916" t="s">
        <v>2190</v>
      </c>
    </row>
    <row r="917" spans="1:244" x14ac:dyDescent="0.45">
      <c r="A917">
        <v>1142035</v>
      </c>
      <c r="B917">
        <v>106181</v>
      </c>
      <c r="C917">
        <v>7718549</v>
      </c>
      <c r="D917" t="s">
        <v>2132</v>
      </c>
      <c r="F917" t="s">
        <v>245</v>
      </c>
      <c r="G917" t="s">
        <v>246</v>
      </c>
      <c r="N917" t="s">
        <v>2183</v>
      </c>
      <c r="O917" t="s">
        <v>498</v>
      </c>
      <c r="P917" t="s">
        <v>249</v>
      </c>
      <c r="Q917" t="s">
        <v>250</v>
      </c>
      <c r="R917" t="s">
        <v>251</v>
      </c>
      <c r="T917" t="s">
        <v>252</v>
      </c>
      <c r="U917" t="s">
        <v>499</v>
      </c>
      <c r="V917" t="s">
        <v>1281</v>
      </c>
      <c r="W917" t="s">
        <v>1282</v>
      </c>
      <c r="X917" t="s">
        <v>2184</v>
      </c>
      <c r="AM917" t="s">
        <v>258</v>
      </c>
      <c r="AN917" t="s">
        <v>259</v>
      </c>
      <c r="AO917" t="s">
        <v>260</v>
      </c>
      <c r="AQ917" t="s">
        <v>261</v>
      </c>
      <c r="AR917" t="s">
        <v>288</v>
      </c>
      <c r="AS917">
        <v>128000</v>
      </c>
      <c r="AX917" t="s">
        <v>262</v>
      </c>
      <c r="BO917" t="s">
        <v>261</v>
      </c>
      <c r="BP917" t="s">
        <v>288</v>
      </c>
      <c r="BQ917">
        <v>128</v>
      </c>
      <c r="BV917" t="s">
        <v>263</v>
      </c>
      <c r="CM917" t="s">
        <v>264</v>
      </c>
      <c r="CN917" t="s">
        <v>264</v>
      </c>
      <c r="CP917" t="s">
        <v>265</v>
      </c>
      <c r="DB917">
        <v>1</v>
      </c>
      <c r="DG917" t="s">
        <v>267</v>
      </c>
      <c r="DI917">
        <v>24</v>
      </c>
      <c r="DN917" t="s">
        <v>268</v>
      </c>
      <c r="DP917" t="s">
        <v>2185</v>
      </c>
      <c r="DR917">
        <v>371472</v>
      </c>
      <c r="DS917">
        <v>1342</v>
      </c>
      <c r="DT917" t="s">
        <v>2186</v>
      </c>
      <c r="EW917" t="s">
        <v>271</v>
      </c>
      <c r="FK917" t="s">
        <v>478</v>
      </c>
      <c r="FM917">
        <v>15</v>
      </c>
      <c r="FR917" t="s">
        <v>295</v>
      </c>
      <c r="GG917" t="s">
        <v>278</v>
      </c>
      <c r="GH917">
        <v>75</v>
      </c>
      <c r="GM917" t="s">
        <v>900</v>
      </c>
      <c r="GU917">
        <v>10</v>
      </c>
      <c r="GZ917" t="s">
        <v>296</v>
      </c>
      <c r="HH917" t="s">
        <v>272</v>
      </c>
      <c r="ID917" t="s">
        <v>479</v>
      </c>
      <c r="IE917" t="s">
        <v>2187</v>
      </c>
      <c r="IF917">
        <v>11875</v>
      </c>
      <c r="IG917" t="s">
        <v>2188</v>
      </c>
      <c r="IH917" t="s">
        <v>2189</v>
      </c>
      <c r="II917">
        <v>1985</v>
      </c>
      <c r="IJ917" t="s">
        <v>2190</v>
      </c>
    </row>
    <row r="918" spans="1:244" x14ac:dyDescent="0.45">
      <c r="A918">
        <v>2319264</v>
      </c>
      <c r="B918">
        <v>2802768</v>
      </c>
      <c r="C918">
        <v>7718549</v>
      </c>
      <c r="D918" t="s">
        <v>2132</v>
      </c>
      <c r="E918" t="s">
        <v>2202</v>
      </c>
      <c r="F918" t="s">
        <v>327</v>
      </c>
      <c r="G918" t="s">
        <v>272</v>
      </c>
      <c r="H918" t="s">
        <v>288</v>
      </c>
      <c r="I918">
        <v>99.5</v>
      </c>
      <c r="N918" t="s">
        <v>387</v>
      </c>
      <c r="O918" t="s">
        <v>388</v>
      </c>
      <c r="P918" t="s">
        <v>249</v>
      </c>
      <c r="Q918" t="s">
        <v>250</v>
      </c>
      <c r="R918" t="s">
        <v>251</v>
      </c>
      <c r="T918" t="s">
        <v>389</v>
      </c>
      <c r="U918" t="s">
        <v>390</v>
      </c>
      <c r="V918" t="s">
        <v>391</v>
      </c>
      <c r="W918" t="s">
        <v>392</v>
      </c>
      <c r="X918" t="s">
        <v>393</v>
      </c>
      <c r="Z918" t="s">
        <v>1025</v>
      </c>
      <c r="AA918" t="s">
        <v>289</v>
      </c>
      <c r="AB918">
        <v>24</v>
      </c>
      <c r="AG918" t="s">
        <v>268</v>
      </c>
      <c r="AI918">
        <v>4</v>
      </c>
      <c r="AJ918" t="s">
        <v>285</v>
      </c>
      <c r="AM918" t="s">
        <v>258</v>
      </c>
      <c r="AN918" t="s">
        <v>259</v>
      </c>
      <c r="AO918" t="s">
        <v>260</v>
      </c>
      <c r="AP918">
        <v>7</v>
      </c>
      <c r="AQ918" t="s">
        <v>504</v>
      </c>
      <c r="AS918">
        <v>4300</v>
      </c>
      <c r="AU918">
        <v>3610</v>
      </c>
      <c r="AW918">
        <v>5090</v>
      </c>
      <c r="AX918" t="s">
        <v>262</v>
      </c>
      <c r="BO918" t="s">
        <v>504</v>
      </c>
      <c r="BQ918">
        <v>4.3</v>
      </c>
      <c r="BS918">
        <v>3.61</v>
      </c>
      <c r="BU918">
        <v>5.09</v>
      </c>
      <c r="BV918" t="s">
        <v>263</v>
      </c>
      <c r="CM918" t="s">
        <v>264</v>
      </c>
      <c r="CN918" t="s">
        <v>264</v>
      </c>
      <c r="CP918" t="s">
        <v>265</v>
      </c>
      <c r="CQ918" t="s">
        <v>837</v>
      </c>
      <c r="DB918">
        <v>4</v>
      </c>
      <c r="DG918" t="s">
        <v>267</v>
      </c>
      <c r="DI918">
        <v>96</v>
      </c>
      <c r="DN918" t="s">
        <v>268</v>
      </c>
      <c r="DP918" t="s">
        <v>2203</v>
      </c>
      <c r="DR918">
        <v>158387</v>
      </c>
      <c r="DS918">
        <v>6038</v>
      </c>
      <c r="DT918" t="s">
        <v>2204</v>
      </c>
      <c r="DV918">
        <v>96</v>
      </c>
      <c r="EA918" t="s">
        <v>268</v>
      </c>
      <c r="EC918">
        <v>4</v>
      </c>
      <c r="EH918" t="s">
        <v>267</v>
      </c>
      <c r="EJ918">
        <v>96</v>
      </c>
      <c r="EO918" t="s">
        <v>268</v>
      </c>
      <c r="EQ918">
        <v>4</v>
      </c>
      <c r="EV918" t="s">
        <v>267</v>
      </c>
      <c r="EW918" t="s">
        <v>293</v>
      </c>
      <c r="EZ918">
        <v>10</v>
      </c>
      <c r="FA918" t="s">
        <v>2205</v>
      </c>
      <c r="FJ918" t="s">
        <v>649</v>
      </c>
      <c r="FM918">
        <v>27</v>
      </c>
      <c r="FR918" t="s">
        <v>295</v>
      </c>
      <c r="GJ918">
        <v>5.4</v>
      </c>
      <c r="GL918">
        <v>5.5</v>
      </c>
      <c r="GM918" t="s">
        <v>356</v>
      </c>
      <c r="GQ918">
        <v>8.18</v>
      </c>
      <c r="GS918">
        <v>8.2100000000000009</v>
      </c>
      <c r="GW918">
        <v>33.200000000000003</v>
      </c>
      <c r="GY918">
        <v>33.299999999999997</v>
      </c>
      <c r="GZ918" t="s">
        <v>296</v>
      </c>
      <c r="HD918">
        <v>47600</v>
      </c>
      <c r="HF918">
        <v>52000</v>
      </c>
      <c r="HG918" t="s">
        <v>952</v>
      </c>
      <c r="HH918" t="s">
        <v>272</v>
      </c>
      <c r="ID918" t="s">
        <v>2206</v>
      </c>
      <c r="IE918" t="s">
        <v>2207</v>
      </c>
      <c r="IF918">
        <v>193873</v>
      </c>
      <c r="IG918" t="s">
        <v>2208</v>
      </c>
      <c r="IH918" t="s">
        <v>2209</v>
      </c>
      <c r="II918">
        <v>2020</v>
      </c>
      <c r="IJ918" t="s">
        <v>2210</v>
      </c>
    </row>
    <row r="919" spans="1:244" x14ac:dyDescent="0.45">
      <c r="A919">
        <v>1142066</v>
      </c>
      <c r="B919">
        <v>106212</v>
      </c>
      <c r="C919">
        <v>7718549</v>
      </c>
      <c r="D919" t="s">
        <v>2132</v>
      </c>
      <c r="F919" t="s">
        <v>245</v>
      </c>
      <c r="G919" t="s">
        <v>246</v>
      </c>
      <c r="N919" t="s">
        <v>2183</v>
      </c>
      <c r="O919" t="s">
        <v>498</v>
      </c>
      <c r="P919" t="s">
        <v>249</v>
      </c>
      <c r="Q919" t="s">
        <v>250</v>
      </c>
      <c r="R919" t="s">
        <v>251</v>
      </c>
      <c r="T919" t="s">
        <v>252</v>
      </c>
      <c r="U919" t="s">
        <v>499</v>
      </c>
      <c r="V919" t="s">
        <v>1281</v>
      </c>
      <c r="W919" t="s">
        <v>1282</v>
      </c>
      <c r="X919" t="s">
        <v>2184</v>
      </c>
      <c r="AM919" t="s">
        <v>258</v>
      </c>
      <c r="AN919" t="s">
        <v>259</v>
      </c>
      <c r="AO919" t="s">
        <v>260</v>
      </c>
      <c r="AQ919" t="s">
        <v>261</v>
      </c>
      <c r="AS919">
        <v>18000</v>
      </c>
      <c r="AX919" t="s">
        <v>262</v>
      </c>
      <c r="BO919" t="s">
        <v>261</v>
      </c>
      <c r="BQ919">
        <v>18</v>
      </c>
      <c r="BV919" t="s">
        <v>263</v>
      </c>
      <c r="CM919" t="s">
        <v>264</v>
      </c>
      <c r="CN919" t="s">
        <v>264</v>
      </c>
      <c r="CP919" t="s">
        <v>265</v>
      </c>
      <c r="DB919">
        <v>4</v>
      </c>
      <c r="DG919" t="s">
        <v>267</v>
      </c>
      <c r="DI919">
        <v>96</v>
      </c>
      <c r="DN919" t="s">
        <v>268</v>
      </c>
      <c r="DP919" t="s">
        <v>2185</v>
      </c>
      <c r="DR919">
        <v>371472</v>
      </c>
      <c r="DS919">
        <v>1342</v>
      </c>
      <c r="DT919" t="s">
        <v>2186</v>
      </c>
      <c r="EW919" t="s">
        <v>271</v>
      </c>
      <c r="FK919" t="s">
        <v>478</v>
      </c>
      <c r="FM919">
        <v>15</v>
      </c>
      <c r="FR919" t="s">
        <v>295</v>
      </c>
      <c r="GG919" t="s">
        <v>278</v>
      </c>
      <c r="GH919">
        <v>75</v>
      </c>
      <c r="GM919" t="s">
        <v>900</v>
      </c>
      <c r="GU919">
        <v>15</v>
      </c>
      <c r="GZ919" t="s">
        <v>296</v>
      </c>
      <c r="HH919" t="s">
        <v>272</v>
      </c>
      <c r="ID919" t="s">
        <v>479</v>
      </c>
      <c r="IE919" t="s">
        <v>2187</v>
      </c>
      <c r="IF919">
        <v>11875</v>
      </c>
      <c r="IG919" t="s">
        <v>2188</v>
      </c>
      <c r="IH919" t="s">
        <v>2189</v>
      </c>
      <c r="II919">
        <v>1985</v>
      </c>
      <c r="IJ919" t="s">
        <v>2190</v>
      </c>
    </row>
    <row r="920" spans="1:244" x14ac:dyDescent="0.45">
      <c r="A920">
        <v>1053481</v>
      </c>
      <c r="B920">
        <v>129439</v>
      </c>
      <c r="C920">
        <v>7718549</v>
      </c>
      <c r="D920" t="s">
        <v>2132</v>
      </c>
      <c r="F920" t="s">
        <v>327</v>
      </c>
      <c r="G920" t="s">
        <v>246</v>
      </c>
      <c r="N920" t="s">
        <v>645</v>
      </c>
      <c r="O920" t="s">
        <v>646</v>
      </c>
      <c r="P920" t="s">
        <v>249</v>
      </c>
      <c r="Q920" t="s">
        <v>250</v>
      </c>
      <c r="R920" t="s">
        <v>251</v>
      </c>
      <c r="T920" t="s">
        <v>252</v>
      </c>
      <c r="U920" t="s">
        <v>371</v>
      </c>
      <c r="V920" t="s">
        <v>372</v>
      </c>
      <c r="W920" t="s">
        <v>647</v>
      </c>
      <c r="X920" t="s">
        <v>648</v>
      </c>
      <c r="Z920" t="s">
        <v>649</v>
      </c>
      <c r="AM920" t="s">
        <v>317</v>
      </c>
      <c r="AN920" t="s">
        <v>259</v>
      </c>
      <c r="AO920" t="s">
        <v>260</v>
      </c>
      <c r="AQ920" t="s">
        <v>261</v>
      </c>
      <c r="AS920">
        <v>634</v>
      </c>
      <c r="AU920">
        <v>561</v>
      </c>
      <c r="AW920">
        <v>719</v>
      </c>
      <c r="AX920" t="s">
        <v>262</v>
      </c>
      <c r="BO920" t="s">
        <v>261</v>
      </c>
      <c r="BQ920">
        <v>0.63400000000000001</v>
      </c>
      <c r="BS920">
        <v>0.56100000000000005</v>
      </c>
      <c r="BU920">
        <v>0.71899999999999997</v>
      </c>
      <c r="BV920" t="s">
        <v>263</v>
      </c>
      <c r="CM920" t="s">
        <v>264</v>
      </c>
      <c r="CN920" t="s">
        <v>264</v>
      </c>
      <c r="CO920" t="s">
        <v>802</v>
      </c>
      <c r="CP920" t="s">
        <v>265</v>
      </c>
      <c r="DB920">
        <v>4</v>
      </c>
      <c r="DG920" t="s">
        <v>267</v>
      </c>
      <c r="DI920">
        <v>96</v>
      </c>
      <c r="DN920" t="s">
        <v>268</v>
      </c>
      <c r="DS920">
        <v>1197</v>
      </c>
      <c r="EW920" t="s">
        <v>333</v>
      </c>
      <c r="FM920">
        <v>22</v>
      </c>
      <c r="FR920" t="s">
        <v>295</v>
      </c>
      <c r="GU920">
        <v>30</v>
      </c>
      <c r="GZ920" t="s">
        <v>296</v>
      </c>
      <c r="HH920" t="s">
        <v>272</v>
      </c>
      <c r="IE920" t="s">
        <v>804</v>
      </c>
      <c r="IF920">
        <v>3734</v>
      </c>
      <c r="IG920" t="s">
        <v>741</v>
      </c>
      <c r="IH920" t="s">
        <v>805</v>
      </c>
      <c r="II920">
        <v>1982</v>
      </c>
      <c r="IJ920" t="s">
        <v>806</v>
      </c>
    </row>
    <row r="921" spans="1:244" x14ac:dyDescent="0.45">
      <c r="A921">
        <v>1142067</v>
      </c>
      <c r="B921">
        <v>106213</v>
      </c>
      <c r="C921">
        <v>7718549</v>
      </c>
      <c r="D921" t="s">
        <v>2132</v>
      </c>
      <c r="F921" t="s">
        <v>245</v>
      </c>
      <c r="G921" t="s">
        <v>246</v>
      </c>
      <c r="N921" t="s">
        <v>2183</v>
      </c>
      <c r="O921" t="s">
        <v>498</v>
      </c>
      <c r="P921" t="s">
        <v>249</v>
      </c>
      <c r="Q921" t="s">
        <v>250</v>
      </c>
      <c r="R921" t="s">
        <v>251</v>
      </c>
      <c r="T921" t="s">
        <v>252</v>
      </c>
      <c r="U921" t="s">
        <v>499</v>
      </c>
      <c r="V921" t="s">
        <v>1281</v>
      </c>
      <c r="W921" t="s">
        <v>1282</v>
      </c>
      <c r="X921" t="s">
        <v>2184</v>
      </c>
      <c r="AM921" t="s">
        <v>258</v>
      </c>
      <c r="AN921" t="s">
        <v>259</v>
      </c>
      <c r="AO921" t="s">
        <v>260</v>
      </c>
      <c r="AQ921" t="s">
        <v>261</v>
      </c>
      <c r="AS921">
        <v>22000</v>
      </c>
      <c r="AX921" t="s">
        <v>262</v>
      </c>
      <c r="BO921" t="s">
        <v>261</v>
      </c>
      <c r="BQ921">
        <v>22</v>
      </c>
      <c r="BV921" t="s">
        <v>263</v>
      </c>
      <c r="CM921" t="s">
        <v>264</v>
      </c>
      <c r="CN921" t="s">
        <v>264</v>
      </c>
      <c r="CP921" t="s">
        <v>265</v>
      </c>
      <c r="DB921">
        <v>4</v>
      </c>
      <c r="DG921" t="s">
        <v>267</v>
      </c>
      <c r="DI921">
        <v>96</v>
      </c>
      <c r="DN921" t="s">
        <v>268</v>
      </c>
      <c r="DP921" t="s">
        <v>2185</v>
      </c>
      <c r="DR921">
        <v>371472</v>
      </c>
      <c r="DS921">
        <v>1342</v>
      </c>
      <c r="DT921" t="s">
        <v>2186</v>
      </c>
      <c r="EW921" t="s">
        <v>271</v>
      </c>
      <c r="FK921" t="s">
        <v>478</v>
      </c>
      <c r="FM921">
        <v>15</v>
      </c>
      <c r="FR921" t="s">
        <v>295</v>
      </c>
      <c r="GG921" t="s">
        <v>278</v>
      </c>
      <c r="GH921">
        <v>75</v>
      </c>
      <c r="GM921" t="s">
        <v>900</v>
      </c>
      <c r="GU921">
        <v>25</v>
      </c>
      <c r="GZ921" t="s">
        <v>296</v>
      </c>
      <c r="HH921" t="s">
        <v>272</v>
      </c>
      <c r="ID921" t="s">
        <v>479</v>
      </c>
      <c r="IE921" t="s">
        <v>2187</v>
      </c>
      <c r="IF921">
        <v>11875</v>
      </c>
      <c r="IG921" t="s">
        <v>2188</v>
      </c>
      <c r="IH921" t="s">
        <v>2189</v>
      </c>
      <c r="II921">
        <v>1985</v>
      </c>
      <c r="IJ921" t="s">
        <v>2190</v>
      </c>
    </row>
    <row r="922" spans="1:244" x14ac:dyDescent="0.45">
      <c r="A922">
        <v>1142049</v>
      </c>
      <c r="B922">
        <v>106195</v>
      </c>
      <c r="C922">
        <v>7718549</v>
      </c>
      <c r="D922" t="s">
        <v>2132</v>
      </c>
      <c r="F922" t="s">
        <v>245</v>
      </c>
      <c r="G922" t="s">
        <v>246</v>
      </c>
      <c r="N922" t="s">
        <v>2183</v>
      </c>
      <c r="O922" t="s">
        <v>498</v>
      </c>
      <c r="P922" t="s">
        <v>249</v>
      </c>
      <c r="Q922" t="s">
        <v>250</v>
      </c>
      <c r="R922" t="s">
        <v>251</v>
      </c>
      <c r="T922" t="s">
        <v>252</v>
      </c>
      <c r="U922" t="s">
        <v>499</v>
      </c>
      <c r="V922" t="s">
        <v>1281</v>
      </c>
      <c r="W922" t="s">
        <v>1282</v>
      </c>
      <c r="X922" t="s">
        <v>2184</v>
      </c>
      <c r="AM922" t="s">
        <v>258</v>
      </c>
      <c r="AN922" t="s">
        <v>259</v>
      </c>
      <c r="AO922" t="s">
        <v>260</v>
      </c>
      <c r="AQ922" t="s">
        <v>261</v>
      </c>
      <c r="AS922">
        <v>30000</v>
      </c>
      <c r="AX922" t="s">
        <v>262</v>
      </c>
      <c r="BO922" t="s">
        <v>261</v>
      </c>
      <c r="BQ922">
        <v>30</v>
      </c>
      <c r="BV922" t="s">
        <v>263</v>
      </c>
      <c r="CM922" t="s">
        <v>264</v>
      </c>
      <c r="CN922" t="s">
        <v>264</v>
      </c>
      <c r="CP922" t="s">
        <v>265</v>
      </c>
      <c r="DB922">
        <v>2</v>
      </c>
      <c r="DG922" t="s">
        <v>267</v>
      </c>
      <c r="DI922">
        <v>48</v>
      </c>
      <c r="DN922" t="s">
        <v>268</v>
      </c>
      <c r="DP922" t="s">
        <v>2185</v>
      </c>
      <c r="DR922">
        <v>371472</v>
      </c>
      <c r="DS922">
        <v>1342</v>
      </c>
      <c r="DT922" t="s">
        <v>2186</v>
      </c>
      <c r="EW922" t="s">
        <v>271</v>
      </c>
      <c r="FK922" t="s">
        <v>478</v>
      </c>
      <c r="FM922">
        <v>15</v>
      </c>
      <c r="FR922" t="s">
        <v>295</v>
      </c>
      <c r="GG922" t="s">
        <v>278</v>
      </c>
      <c r="GH922">
        <v>75</v>
      </c>
      <c r="GM922" t="s">
        <v>900</v>
      </c>
      <c r="GU922">
        <v>5</v>
      </c>
      <c r="GZ922" t="s">
        <v>296</v>
      </c>
      <c r="HH922" t="s">
        <v>272</v>
      </c>
      <c r="ID922" t="s">
        <v>479</v>
      </c>
      <c r="IE922" t="s">
        <v>2187</v>
      </c>
      <c r="IF922">
        <v>11875</v>
      </c>
      <c r="IG922" t="s">
        <v>2188</v>
      </c>
      <c r="IH922" t="s">
        <v>2189</v>
      </c>
      <c r="II922">
        <v>1985</v>
      </c>
      <c r="IJ922" t="s">
        <v>2190</v>
      </c>
    </row>
    <row r="923" spans="1:244" x14ac:dyDescent="0.45">
      <c r="A923">
        <v>1142045</v>
      </c>
      <c r="B923">
        <v>106191</v>
      </c>
      <c r="C923">
        <v>7718549</v>
      </c>
      <c r="D923" t="s">
        <v>2132</v>
      </c>
      <c r="F923" t="s">
        <v>245</v>
      </c>
      <c r="G923" t="s">
        <v>246</v>
      </c>
      <c r="N923" t="s">
        <v>2183</v>
      </c>
      <c r="O923" t="s">
        <v>498</v>
      </c>
      <c r="P923" t="s">
        <v>249</v>
      </c>
      <c r="Q923" t="s">
        <v>250</v>
      </c>
      <c r="R923" t="s">
        <v>251</v>
      </c>
      <c r="T923" t="s">
        <v>252</v>
      </c>
      <c r="U923" t="s">
        <v>499</v>
      </c>
      <c r="V923" t="s">
        <v>1281</v>
      </c>
      <c r="W923" t="s">
        <v>1282</v>
      </c>
      <c r="X923" t="s">
        <v>2184</v>
      </c>
      <c r="AM923" t="s">
        <v>258</v>
      </c>
      <c r="AN923" t="s">
        <v>259</v>
      </c>
      <c r="AO923" t="s">
        <v>260</v>
      </c>
      <c r="AQ923" t="s">
        <v>261</v>
      </c>
      <c r="AS923">
        <v>30000</v>
      </c>
      <c r="AX923" t="s">
        <v>262</v>
      </c>
      <c r="BO923" t="s">
        <v>261</v>
      </c>
      <c r="BQ923">
        <v>30</v>
      </c>
      <c r="BV923" t="s">
        <v>263</v>
      </c>
      <c r="CM923" t="s">
        <v>264</v>
      </c>
      <c r="CN923" t="s">
        <v>264</v>
      </c>
      <c r="CP923" t="s">
        <v>265</v>
      </c>
      <c r="DB923">
        <v>2</v>
      </c>
      <c r="DG923" t="s">
        <v>267</v>
      </c>
      <c r="DI923">
        <v>48</v>
      </c>
      <c r="DN923" t="s">
        <v>268</v>
      </c>
      <c r="DP923" t="s">
        <v>2185</v>
      </c>
      <c r="DR923">
        <v>371472</v>
      </c>
      <c r="DS923">
        <v>1342</v>
      </c>
      <c r="DT923" t="s">
        <v>2186</v>
      </c>
      <c r="EW923" t="s">
        <v>271</v>
      </c>
      <c r="FK923" t="s">
        <v>478</v>
      </c>
      <c r="FM923">
        <v>10</v>
      </c>
      <c r="FR923" t="s">
        <v>295</v>
      </c>
      <c r="GG923" t="s">
        <v>278</v>
      </c>
      <c r="GH923">
        <v>75</v>
      </c>
      <c r="GM923" t="s">
        <v>900</v>
      </c>
      <c r="GU923">
        <v>10</v>
      </c>
      <c r="GZ923" t="s">
        <v>296</v>
      </c>
      <c r="HH923" t="s">
        <v>272</v>
      </c>
      <c r="ID923" t="s">
        <v>479</v>
      </c>
      <c r="IE923" t="s">
        <v>2187</v>
      </c>
      <c r="IF923">
        <v>11875</v>
      </c>
      <c r="IG923" t="s">
        <v>2188</v>
      </c>
      <c r="IH923" t="s">
        <v>2189</v>
      </c>
      <c r="II923">
        <v>1985</v>
      </c>
      <c r="IJ923" t="s">
        <v>2190</v>
      </c>
    </row>
    <row r="924" spans="1:244" x14ac:dyDescent="0.45">
      <c r="A924">
        <v>1142051</v>
      </c>
      <c r="B924">
        <v>106197</v>
      </c>
      <c r="C924">
        <v>7718549</v>
      </c>
      <c r="D924" t="s">
        <v>2132</v>
      </c>
      <c r="F924" t="s">
        <v>245</v>
      </c>
      <c r="G924" t="s">
        <v>246</v>
      </c>
      <c r="N924" t="s">
        <v>2183</v>
      </c>
      <c r="O924" t="s">
        <v>498</v>
      </c>
      <c r="P924" t="s">
        <v>249</v>
      </c>
      <c r="Q924" t="s">
        <v>250</v>
      </c>
      <c r="R924" t="s">
        <v>251</v>
      </c>
      <c r="T924" t="s">
        <v>252</v>
      </c>
      <c r="U924" t="s">
        <v>499</v>
      </c>
      <c r="V924" t="s">
        <v>1281</v>
      </c>
      <c r="W924" t="s">
        <v>1282</v>
      </c>
      <c r="X924" t="s">
        <v>2184</v>
      </c>
      <c r="AM924" t="s">
        <v>258</v>
      </c>
      <c r="AN924" t="s">
        <v>259</v>
      </c>
      <c r="AO924" t="s">
        <v>260</v>
      </c>
      <c r="AQ924" t="s">
        <v>261</v>
      </c>
      <c r="AS924">
        <v>54000</v>
      </c>
      <c r="AX924" t="s">
        <v>262</v>
      </c>
      <c r="BO924" t="s">
        <v>261</v>
      </c>
      <c r="BQ924">
        <v>54</v>
      </c>
      <c r="BV924" t="s">
        <v>263</v>
      </c>
      <c r="CM924" t="s">
        <v>264</v>
      </c>
      <c r="CN924" t="s">
        <v>264</v>
      </c>
      <c r="CP924" t="s">
        <v>265</v>
      </c>
      <c r="DB924">
        <v>2</v>
      </c>
      <c r="DG924" t="s">
        <v>267</v>
      </c>
      <c r="DI924">
        <v>48</v>
      </c>
      <c r="DN924" t="s">
        <v>268</v>
      </c>
      <c r="DP924" t="s">
        <v>2185</v>
      </c>
      <c r="DR924">
        <v>371472</v>
      </c>
      <c r="DS924">
        <v>1342</v>
      </c>
      <c r="DT924" t="s">
        <v>2186</v>
      </c>
      <c r="EW924" t="s">
        <v>271</v>
      </c>
      <c r="FK924" t="s">
        <v>478</v>
      </c>
      <c r="FM924">
        <v>15</v>
      </c>
      <c r="FR924" t="s">
        <v>295</v>
      </c>
      <c r="GG924" t="s">
        <v>278</v>
      </c>
      <c r="GH924">
        <v>75</v>
      </c>
      <c r="GM924" t="s">
        <v>900</v>
      </c>
      <c r="GU924">
        <v>15</v>
      </c>
      <c r="GZ924" t="s">
        <v>296</v>
      </c>
      <c r="HH924" t="s">
        <v>272</v>
      </c>
      <c r="ID924" t="s">
        <v>479</v>
      </c>
      <c r="IE924" t="s">
        <v>2187</v>
      </c>
      <c r="IF924">
        <v>11875</v>
      </c>
      <c r="IG924" t="s">
        <v>2188</v>
      </c>
      <c r="IH924" t="s">
        <v>2189</v>
      </c>
      <c r="II924">
        <v>1985</v>
      </c>
      <c r="IJ924" t="s">
        <v>2190</v>
      </c>
    </row>
    <row r="925" spans="1:244" x14ac:dyDescent="0.45">
      <c r="A925">
        <v>1142033</v>
      </c>
      <c r="B925">
        <v>106179</v>
      </c>
      <c r="C925">
        <v>7718549</v>
      </c>
      <c r="D925" t="s">
        <v>2132</v>
      </c>
      <c r="F925" t="s">
        <v>245</v>
      </c>
      <c r="G925" t="s">
        <v>246</v>
      </c>
      <c r="N925" t="s">
        <v>2183</v>
      </c>
      <c r="O925" t="s">
        <v>498</v>
      </c>
      <c r="P925" t="s">
        <v>249</v>
      </c>
      <c r="Q925" t="s">
        <v>250</v>
      </c>
      <c r="R925" t="s">
        <v>251</v>
      </c>
      <c r="T925" t="s">
        <v>252</v>
      </c>
      <c r="U925" t="s">
        <v>499</v>
      </c>
      <c r="V925" t="s">
        <v>1281</v>
      </c>
      <c r="W925" t="s">
        <v>1282</v>
      </c>
      <c r="X925" t="s">
        <v>2184</v>
      </c>
      <c r="AM925" t="s">
        <v>258</v>
      </c>
      <c r="AN925" t="s">
        <v>259</v>
      </c>
      <c r="AO925" t="s">
        <v>260</v>
      </c>
      <c r="AQ925" t="s">
        <v>261</v>
      </c>
      <c r="AR925" t="s">
        <v>288</v>
      </c>
      <c r="AS925">
        <v>128000</v>
      </c>
      <c r="AX925" t="s">
        <v>262</v>
      </c>
      <c r="BO925" t="s">
        <v>261</v>
      </c>
      <c r="BP925" t="s">
        <v>288</v>
      </c>
      <c r="BQ925">
        <v>128</v>
      </c>
      <c r="BV925" t="s">
        <v>263</v>
      </c>
      <c r="CM925" t="s">
        <v>264</v>
      </c>
      <c r="CN925" t="s">
        <v>264</v>
      </c>
      <c r="CP925" t="s">
        <v>265</v>
      </c>
      <c r="DB925">
        <v>1</v>
      </c>
      <c r="DG925" t="s">
        <v>267</v>
      </c>
      <c r="DI925">
        <v>24</v>
      </c>
      <c r="DN925" t="s">
        <v>268</v>
      </c>
      <c r="DP925" t="s">
        <v>2185</v>
      </c>
      <c r="DR925">
        <v>371472</v>
      </c>
      <c r="DS925">
        <v>1342</v>
      </c>
      <c r="DT925" t="s">
        <v>2186</v>
      </c>
      <c r="EW925" t="s">
        <v>271</v>
      </c>
      <c r="FK925" t="s">
        <v>478</v>
      </c>
      <c r="FM925">
        <v>10</v>
      </c>
      <c r="FR925" t="s">
        <v>295</v>
      </c>
      <c r="GG925" t="s">
        <v>278</v>
      </c>
      <c r="GH925">
        <v>75</v>
      </c>
      <c r="GM925" t="s">
        <v>900</v>
      </c>
      <c r="GU925">
        <v>35</v>
      </c>
      <c r="GZ925" t="s">
        <v>296</v>
      </c>
      <c r="HH925" t="s">
        <v>272</v>
      </c>
      <c r="ID925" t="s">
        <v>479</v>
      </c>
      <c r="IE925" t="s">
        <v>2187</v>
      </c>
      <c r="IF925">
        <v>11875</v>
      </c>
      <c r="IG925" t="s">
        <v>2188</v>
      </c>
      <c r="IH925" t="s">
        <v>2189</v>
      </c>
      <c r="II925">
        <v>1985</v>
      </c>
      <c r="IJ925" t="s">
        <v>2190</v>
      </c>
    </row>
    <row r="926" spans="1:244" x14ac:dyDescent="0.45">
      <c r="A926">
        <v>1142039</v>
      </c>
      <c r="B926">
        <v>106185</v>
      </c>
      <c r="C926">
        <v>7718549</v>
      </c>
      <c r="D926" t="s">
        <v>2132</v>
      </c>
      <c r="F926" t="s">
        <v>245</v>
      </c>
      <c r="G926" t="s">
        <v>246</v>
      </c>
      <c r="N926" t="s">
        <v>2183</v>
      </c>
      <c r="O926" t="s">
        <v>498</v>
      </c>
      <c r="P926" t="s">
        <v>249</v>
      </c>
      <c r="Q926" t="s">
        <v>250</v>
      </c>
      <c r="R926" t="s">
        <v>251</v>
      </c>
      <c r="T926" t="s">
        <v>252</v>
      </c>
      <c r="U926" t="s">
        <v>499</v>
      </c>
      <c r="V926" t="s">
        <v>1281</v>
      </c>
      <c r="W926" t="s">
        <v>1282</v>
      </c>
      <c r="X926" t="s">
        <v>2184</v>
      </c>
      <c r="AM926" t="s">
        <v>258</v>
      </c>
      <c r="AN926" t="s">
        <v>259</v>
      </c>
      <c r="AO926" t="s">
        <v>260</v>
      </c>
      <c r="AQ926" t="s">
        <v>261</v>
      </c>
      <c r="AS926">
        <v>20000</v>
      </c>
      <c r="AX926" t="s">
        <v>262</v>
      </c>
      <c r="BO926" t="s">
        <v>261</v>
      </c>
      <c r="BQ926">
        <v>20</v>
      </c>
      <c r="BV926" t="s">
        <v>263</v>
      </c>
      <c r="CM926" t="s">
        <v>264</v>
      </c>
      <c r="CN926" t="s">
        <v>264</v>
      </c>
      <c r="CP926" t="s">
        <v>265</v>
      </c>
      <c r="DB926">
        <v>2</v>
      </c>
      <c r="DG926" t="s">
        <v>267</v>
      </c>
      <c r="DI926">
        <v>48</v>
      </c>
      <c r="DN926" t="s">
        <v>268</v>
      </c>
      <c r="DP926" t="s">
        <v>2185</v>
      </c>
      <c r="DR926">
        <v>371472</v>
      </c>
      <c r="DS926">
        <v>1342</v>
      </c>
      <c r="DT926" t="s">
        <v>2186</v>
      </c>
      <c r="EW926" t="s">
        <v>271</v>
      </c>
      <c r="FK926" t="s">
        <v>478</v>
      </c>
      <c r="FM926">
        <v>5</v>
      </c>
      <c r="FR926" t="s">
        <v>295</v>
      </c>
      <c r="GG926" t="s">
        <v>278</v>
      </c>
      <c r="GH926">
        <v>75</v>
      </c>
      <c r="GM926" t="s">
        <v>900</v>
      </c>
      <c r="GU926">
        <v>5</v>
      </c>
      <c r="GZ926" t="s">
        <v>296</v>
      </c>
      <c r="HH926" t="s">
        <v>272</v>
      </c>
      <c r="ID926" t="s">
        <v>479</v>
      </c>
      <c r="IE926" t="s">
        <v>2187</v>
      </c>
      <c r="IF926">
        <v>11875</v>
      </c>
      <c r="IG926" t="s">
        <v>2188</v>
      </c>
      <c r="IH926" t="s">
        <v>2189</v>
      </c>
      <c r="II926">
        <v>1985</v>
      </c>
      <c r="IJ926" t="s">
        <v>2190</v>
      </c>
    </row>
    <row r="927" spans="1:244" x14ac:dyDescent="0.45">
      <c r="A927">
        <v>1142044</v>
      </c>
      <c r="B927">
        <v>106190</v>
      </c>
      <c r="C927">
        <v>7718549</v>
      </c>
      <c r="D927" t="s">
        <v>2132</v>
      </c>
      <c r="F927" t="s">
        <v>245</v>
      </c>
      <c r="G927" t="s">
        <v>246</v>
      </c>
      <c r="N927" t="s">
        <v>2183</v>
      </c>
      <c r="O927" t="s">
        <v>498</v>
      </c>
      <c r="P927" t="s">
        <v>249</v>
      </c>
      <c r="Q927" t="s">
        <v>250</v>
      </c>
      <c r="R927" t="s">
        <v>251</v>
      </c>
      <c r="T927" t="s">
        <v>252</v>
      </c>
      <c r="U927" t="s">
        <v>499</v>
      </c>
      <c r="V927" t="s">
        <v>1281</v>
      </c>
      <c r="W927" t="s">
        <v>1282</v>
      </c>
      <c r="X927" t="s">
        <v>2184</v>
      </c>
      <c r="AM927" t="s">
        <v>258</v>
      </c>
      <c r="AN927" t="s">
        <v>259</v>
      </c>
      <c r="AO927" t="s">
        <v>260</v>
      </c>
      <c r="AQ927" t="s">
        <v>261</v>
      </c>
      <c r="AS927">
        <v>18000</v>
      </c>
      <c r="AX927" t="s">
        <v>262</v>
      </c>
      <c r="BO927" t="s">
        <v>261</v>
      </c>
      <c r="BQ927">
        <v>18</v>
      </c>
      <c r="BV927" t="s">
        <v>263</v>
      </c>
      <c r="CM927" t="s">
        <v>264</v>
      </c>
      <c r="CN927" t="s">
        <v>264</v>
      </c>
      <c r="CP927" t="s">
        <v>265</v>
      </c>
      <c r="DB927">
        <v>2</v>
      </c>
      <c r="DG927" t="s">
        <v>267</v>
      </c>
      <c r="DI927">
        <v>48</v>
      </c>
      <c r="DN927" t="s">
        <v>268</v>
      </c>
      <c r="DP927" t="s">
        <v>2185</v>
      </c>
      <c r="DR927">
        <v>371472</v>
      </c>
      <c r="DS927">
        <v>1342</v>
      </c>
      <c r="DT927" t="s">
        <v>2186</v>
      </c>
      <c r="EW927" t="s">
        <v>271</v>
      </c>
      <c r="FK927" t="s">
        <v>478</v>
      </c>
      <c r="FM927">
        <v>10</v>
      </c>
      <c r="FR927" t="s">
        <v>295</v>
      </c>
      <c r="GG927" t="s">
        <v>278</v>
      </c>
      <c r="GH927">
        <v>75</v>
      </c>
      <c r="GM927" t="s">
        <v>900</v>
      </c>
      <c r="GU927">
        <v>5</v>
      </c>
      <c r="GZ927" t="s">
        <v>296</v>
      </c>
      <c r="HH927" t="s">
        <v>272</v>
      </c>
      <c r="ID927" t="s">
        <v>479</v>
      </c>
      <c r="IE927" t="s">
        <v>2187</v>
      </c>
      <c r="IF927">
        <v>11875</v>
      </c>
      <c r="IG927" t="s">
        <v>2188</v>
      </c>
      <c r="IH927" t="s">
        <v>2189</v>
      </c>
      <c r="II927">
        <v>1985</v>
      </c>
      <c r="IJ927" t="s">
        <v>2190</v>
      </c>
    </row>
    <row r="928" spans="1:244" x14ac:dyDescent="0.45">
      <c r="A928">
        <v>1054280</v>
      </c>
      <c r="B928">
        <v>124651</v>
      </c>
      <c r="C928">
        <v>7718549</v>
      </c>
      <c r="D928" t="s">
        <v>2132</v>
      </c>
      <c r="F928" t="s">
        <v>245</v>
      </c>
      <c r="G928" t="s">
        <v>246</v>
      </c>
      <c r="N928" t="s">
        <v>1583</v>
      </c>
      <c r="O928" t="s">
        <v>1584</v>
      </c>
      <c r="P928" t="s">
        <v>249</v>
      </c>
      <c r="Q928" t="s">
        <v>250</v>
      </c>
      <c r="R928" t="s">
        <v>251</v>
      </c>
      <c r="T928" t="s">
        <v>252</v>
      </c>
      <c r="U928" t="s">
        <v>253</v>
      </c>
      <c r="V928" t="s">
        <v>418</v>
      </c>
      <c r="W928" t="s">
        <v>1585</v>
      </c>
      <c r="X928" t="s">
        <v>1586</v>
      </c>
      <c r="AL928" t="s">
        <v>2191</v>
      </c>
      <c r="AM928" t="s">
        <v>317</v>
      </c>
      <c r="AN928" t="s">
        <v>259</v>
      </c>
      <c r="AO928" t="s">
        <v>260</v>
      </c>
      <c r="AQ928" t="s">
        <v>261</v>
      </c>
      <c r="AS928">
        <v>415000</v>
      </c>
      <c r="AU928">
        <v>276000</v>
      </c>
      <c r="AW928">
        <v>624000</v>
      </c>
      <c r="AX928" t="s">
        <v>262</v>
      </c>
      <c r="BO928" t="s">
        <v>261</v>
      </c>
      <c r="BQ928">
        <v>415</v>
      </c>
      <c r="BS928">
        <v>276</v>
      </c>
      <c r="BU928">
        <v>624</v>
      </c>
      <c r="BV928" t="s">
        <v>263</v>
      </c>
      <c r="CM928" t="s">
        <v>264</v>
      </c>
      <c r="CN928" t="s">
        <v>264</v>
      </c>
      <c r="CP928" t="s">
        <v>265</v>
      </c>
      <c r="DB928">
        <v>2</v>
      </c>
      <c r="DG928" t="s">
        <v>267</v>
      </c>
      <c r="DI928">
        <v>48</v>
      </c>
      <c r="DN928" t="s">
        <v>268</v>
      </c>
      <c r="DR928">
        <v>64466</v>
      </c>
      <c r="DS928">
        <v>49914</v>
      </c>
      <c r="EW928" t="s">
        <v>271</v>
      </c>
      <c r="FK928" t="s">
        <v>2192</v>
      </c>
      <c r="FM928">
        <v>20</v>
      </c>
      <c r="FR928" t="s">
        <v>295</v>
      </c>
      <c r="GJ928">
        <v>6.1</v>
      </c>
      <c r="GL928">
        <v>6.7</v>
      </c>
      <c r="GM928" t="s">
        <v>356</v>
      </c>
      <c r="GO928">
        <v>8</v>
      </c>
      <c r="GU928">
        <v>25</v>
      </c>
      <c r="GZ928" t="s">
        <v>296</v>
      </c>
      <c r="HH928" t="s">
        <v>272</v>
      </c>
      <c r="ID928" t="s">
        <v>2193</v>
      </c>
      <c r="IE928" t="s">
        <v>2194</v>
      </c>
      <c r="IF928">
        <v>3779</v>
      </c>
      <c r="IG928" t="s">
        <v>2195</v>
      </c>
      <c r="IH928" t="s">
        <v>2196</v>
      </c>
      <c r="II928">
        <v>1975</v>
      </c>
      <c r="IJ928" t="s">
        <v>2197</v>
      </c>
    </row>
    <row r="929" spans="1:244" x14ac:dyDescent="0.45">
      <c r="A929">
        <v>1142060</v>
      </c>
      <c r="B929">
        <v>106206</v>
      </c>
      <c r="C929">
        <v>7718549</v>
      </c>
      <c r="D929" t="s">
        <v>2132</v>
      </c>
      <c r="F929" t="s">
        <v>245</v>
      </c>
      <c r="G929" t="s">
        <v>246</v>
      </c>
      <c r="N929" t="s">
        <v>2183</v>
      </c>
      <c r="O929" t="s">
        <v>498</v>
      </c>
      <c r="P929" t="s">
        <v>249</v>
      </c>
      <c r="Q929" t="s">
        <v>250</v>
      </c>
      <c r="R929" t="s">
        <v>251</v>
      </c>
      <c r="T929" t="s">
        <v>252</v>
      </c>
      <c r="U929" t="s">
        <v>499</v>
      </c>
      <c r="V929" t="s">
        <v>1281</v>
      </c>
      <c r="W929" t="s">
        <v>1282</v>
      </c>
      <c r="X929" t="s">
        <v>2184</v>
      </c>
      <c r="AM929" t="s">
        <v>258</v>
      </c>
      <c r="AN929" t="s">
        <v>259</v>
      </c>
      <c r="AO929" t="s">
        <v>260</v>
      </c>
      <c r="AQ929" t="s">
        <v>261</v>
      </c>
      <c r="AS929">
        <v>15000</v>
      </c>
      <c r="AX929" t="s">
        <v>262</v>
      </c>
      <c r="BO929" t="s">
        <v>261</v>
      </c>
      <c r="BQ929">
        <v>15</v>
      </c>
      <c r="BV929" t="s">
        <v>263</v>
      </c>
      <c r="CM929" t="s">
        <v>264</v>
      </c>
      <c r="CN929" t="s">
        <v>264</v>
      </c>
      <c r="CP929" t="s">
        <v>265</v>
      </c>
      <c r="DB929">
        <v>4</v>
      </c>
      <c r="DG929" t="s">
        <v>267</v>
      </c>
      <c r="DI929">
        <v>96</v>
      </c>
      <c r="DN929" t="s">
        <v>268</v>
      </c>
      <c r="DP929" t="s">
        <v>2185</v>
      </c>
      <c r="DR929">
        <v>371472</v>
      </c>
      <c r="DS929">
        <v>1342</v>
      </c>
      <c r="DT929" t="s">
        <v>2186</v>
      </c>
      <c r="EW929" t="s">
        <v>271</v>
      </c>
      <c r="FK929" t="s">
        <v>478</v>
      </c>
      <c r="FM929">
        <v>10</v>
      </c>
      <c r="FR929" t="s">
        <v>295</v>
      </c>
      <c r="GG929" t="s">
        <v>278</v>
      </c>
      <c r="GH929">
        <v>75</v>
      </c>
      <c r="GM929" t="s">
        <v>900</v>
      </c>
      <c r="GU929">
        <v>10</v>
      </c>
      <c r="GZ929" t="s">
        <v>296</v>
      </c>
      <c r="HH929" t="s">
        <v>272</v>
      </c>
      <c r="ID929" t="s">
        <v>479</v>
      </c>
      <c r="IE929" t="s">
        <v>2187</v>
      </c>
      <c r="IF929">
        <v>11875</v>
      </c>
      <c r="IG929" t="s">
        <v>2188</v>
      </c>
      <c r="IH929" t="s">
        <v>2189</v>
      </c>
      <c r="II929">
        <v>1985</v>
      </c>
      <c r="IJ929" t="s">
        <v>2190</v>
      </c>
    </row>
    <row r="930" spans="1:244" x14ac:dyDescent="0.45">
      <c r="A930">
        <v>1142055</v>
      </c>
      <c r="B930">
        <v>106201</v>
      </c>
      <c r="C930">
        <v>7718549</v>
      </c>
      <c r="D930" t="s">
        <v>2132</v>
      </c>
      <c r="F930" t="s">
        <v>245</v>
      </c>
      <c r="G930" t="s">
        <v>246</v>
      </c>
      <c r="N930" t="s">
        <v>2183</v>
      </c>
      <c r="O930" t="s">
        <v>498</v>
      </c>
      <c r="P930" t="s">
        <v>249</v>
      </c>
      <c r="Q930" t="s">
        <v>250</v>
      </c>
      <c r="R930" t="s">
        <v>251</v>
      </c>
      <c r="T930" t="s">
        <v>252</v>
      </c>
      <c r="U930" t="s">
        <v>499</v>
      </c>
      <c r="V930" t="s">
        <v>1281</v>
      </c>
      <c r="W930" t="s">
        <v>1282</v>
      </c>
      <c r="X930" t="s">
        <v>2184</v>
      </c>
      <c r="AM930" t="s">
        <v>258</v>
      </c>
      <c r="AN930" t="s">
        <v>259</v>
      </c>
      <c r="AO930" t="s">
        <v>260</v>
      </c>
      <c r="AQ930" t="s">
        <v>261</v>
      </c>
      <c r="AS930">
        <v>21000</v>
      </c>
      <c r="AX930" t="s">
        <v>262</v>
      </c>
      <c r="BO930" t="s">
        <v>261</v>
      </c>
      <c r="BQ930">
        <v>21</v>
      </c>
      <c r="BV930" t="s">
        <v>263</v>
      </c>
      <c r="CM930" t="s">
        <v>264</v>
      </c>
      <c r="CN930" t="s">
        <v>264</v>
      </c>
      <c r="CP930" t="s">
        <v>265</v>
      </c>
      <c r="DB930">
        <v>4</v>
      </c>
      <c r="DG930" t="s">
        <v>267</v>
      </c>
      <c r="DI930">
        <v>96</v>
      </c>
      <c r="DN930" t="s">
        <v>268</v>
      </c>
      <c r="DP930" t="s">
        <v>2185</v>
      </c>
      <c r="DR930">
        <v>371472</v>
      </c>
      <c r="DS930">
        <v>1342</v>
      </c>
      <c r="DT930" t="s">
        <v>2186</v>
      </c>
      <c r="EW930" t="s">
        <v>271</v>
      </c>
      <c r="FK930" t="s">
        <v>478</v>
      </c>
      <c r="FM930">
        <v>5</v>
      </c>
      <c r="FR930" t="s">
        <v>295</v>
      </c>
      <c r="GG930" t="s">
        <v>278</v>
      </c>
      <c r="GH930">
        <v>75</v>
      </c>
      <c r="GM930" t="s">
        <v>900</v>
      </c>
      <c r="GU930">
        <v>10</v>
      </c>
      <c r="GZ930" t="s">
        <v>296</v>
      </c>
      <c r="HH930" t="s">
        <v>272</v>
      </c>
      <c r="ID930" t="s">
        <v>479</v>
      </c>
      <c r="IE930" t="s">
        <v>2187</v>
      </c>
      <c r="IF930">
        <v>11875</v>
      </c>
      <c r="IG930" t="s">
        <v>2188</v>
      </c>
      <c r="IH930" t="s">
        <v>2189</v>
      </c>
      <c r="II930">
        <v>1985</v>
      </c>
      <c r="IJ930" t="s">
        <v>2190</v>
      </c>
    </row>
    <row r="931" spans="1:244" x14ac:dyDescent="0.45">
      <c r="A931">
        <v>1142046</v>
      </c>
      <c r="B931">
        <v>106192</v>
      </c>
      <c r="C931">
        <v>7718549</v>
      </c>
      <c r="D931" t="s">
        <v>2132</v>
      </c>
      <c r="F931" t="s">
        <v>245</v>
      </c>
      <c r="G931" t="s">
        <v>246</v>
      </c>
      <c r="N931" t="s">
        <v>2183</v>
      </c>
      <c r="O931" t="s">
        <v>498</v>
      </c>
      <c r="P931" t="s">
        <v>249</v>
      </c>
      <c r="Q931" t="s">
        <v>250</v>
      </c>
      <c r="R931" t="s">
        <v>251</v>
      </c>
      <c r="T931" t="s">
        <v>252</v>
      </c>
      <c r="U931" t="s">
        <v>499</v>
      </c>
      <c r="V931" t="s">
        <v>1281</v>
      </c>
      <c r="W931" t="s">
        <v>1282</v>
      </c>
      <c r="X931" t="s">
        <v>2184</v>
      </c>
      <c r="AM931" t="s">
        <v>258</v>
      </c>
      <c r="AN931" t="s">
        <v>259</v>
      </c>
      <c r="AO931" t="s">
        <v>260</v>
      </c>
      <c r="AQ931" t="s">
        <v>261</v>
      </c>
      <c r="AS931">
        <v>46000</v>
      </c>
      <c r="AX931" t="s">
        <v>262</v>
      </c>
      <c r="BO931" t="s">
        <v>261</v>
      </c>
      <c r="BQ931">
        <v>46</v>
      </c>
      <c r="BV931" t="s">
        <v>263</v>
      </c>
      <c r="CM931" t="s">
        <v>264</v>
      </c>
      <c r="CN931" t="s">
        <v>264</v>
      </c>
      <c r="CP931" t="s">
        <v>265</v>
      </c>
      <c r="DB931">
        <v>2</v>
      </c>
      <c r="DG931" t="s">
        <v>267</v>
      </c>
      <c r="DI931">
        <v>48</v>
      </c>
      <c r="DN931" t="s">
        <v>268</v>
      </c>
      <c r="DP931" t="s">
        <v>2185</v>
      </c>
      <c r="DR931">
        <v>371472</v>
      </c>
      <c r="DS931">
        <v>1342</v>
      </c>
      <c r="DT931" t="s">
        <v>2186</v>
      </c>
      <c r="EW931" t="s">
        <v>271</v>
      </c>
      <c r="FK931" t="s">
        <v>478</v>
      </c>
      <c r="FM931">
        <v>10</v>
      </c>
      <c r="FR931" t="s">
        <v>295</v>
      </c>
      <c r="GG931" t="s">
        <v>278</v>
      </c>
      <c r="GH931">
        <v>75</v>
      </c>
      <c r="GM931" t="s">
        <v>900</v>
      </c>
      <c r="GU931">
        <v>15</v>
      </c>
      <c r="GZ931" t="s">
        <v>296</v>
      </c>
      <c r="HH931" t="s">
        <v>272</v>
      </c>
      <c r="ID931" t="s">
        <v>479</v>
      </c>
      <c r="IE931" t="s">
        <v>2187</v>
      </c>
      <c r="IF931">
        <v>11875</v>
      </c>
      <c r="IG931" t="s">
        <v>2188</v>
      </c>
      <c r="IH931" t="s">
        <v>2189</v>
      </c>
      <c r="II931">
        <v>1985</v>
      </c>
      <c r="IJ931" t="s">
        <v>2190</v>
      </c>
    </row>
    <row r="932" spans="1:244" x14ac:dyDescent="0.45">
      <c r="A932">
        <v>1142058</v>
      </c>
      <c r="B932">
        <v>106204</v>
      </c>
      <c r="C932">
        <v>7718549</v>
      </c>
      <c r="D932" t="s">
        <v>2132</v>
      </c>
      <c r="F932" t="s">
        <v>245</v>
      </c>
      <c r="G932" t="s">
        <v>246</v>
      </c>
      <c r="N932" t="s">
        <v>2183</v>
      </c>
      <c r="O932" t="s">
        <v>498</v>
      </c>
      <c r="P932" t="s">
        <v>249</v>
      </c>
      <c r="Q932" t="s">
        <v>250</v>
      </c>
      <c r="R932" t="s">
        <v>251</v>
      </c>
      <c r="T932" t="s">
        <v>252</v>
      </c>
      <c r="U932" t="s">
        <v>499</v>
      </c>
      <c r="V932" t="s">
        <v>1281</v>
      </c>
      <c r="W932" t="s">
        <v>1282</v>
      </c>
      <c r="X932" t="s">
        <v>2184</v>
      </c>
      <c r="AM932" t="s">
        <v>258</v>
      </c>
      <c r="AN932" t="s">
        <v>259</v>
      </c>
      <c r="AO932" t="s">
        <v>260</v>
      </c>
      <c r="AQ932" t="s">
        <v>261</v>
      </c>
      <c r="AS932">
        <v>54000</v>
      </c>
      <c r="AX932" t="s">
        <v>262</v>
      </c>
      <c r="BO932" t="s">
        <v>261</v>
      </c>
      <c r="BQ932">
        <v>54</v>
      </c>
      <c r="BV932" t="s">
        <v>263</v>
      </c>
      <c r="CM932" t="s">
        <v>264</v>
      </c>
      <c r="CN932" t="s">
        <v>264</v>
      </c>
      <c r="CP932" t="s">
        <v>265</v>
      </c>
      <c r="DB932">
        <v>4</v>
      </c>
      <c r="DG932" t="s">
        <v>267</v>
      </c>
      <c r="DI932">
        <v>96</v>
      </c>
      <c r="DN932" t="s">
        <v>268</v>
      </c>
      <c r="DP932" t="s">
        <v>2185</v>
      </c>
      <c r="DR932">
        <v>371472</v>
      </c>
      <c r="DS932">
        <v>1342</v>
      </c>
      <c r="DT932" t="s">
        <v>2186</v>
      </c>
      <c r="EW932" t="s">
        <v>271</v>
      </c>
      <c r="FK932" t="s">
        <v>478</v>
      </c>
      <c r="FM932">
        <v>5</v>
      </c>
      <c r="FR932" t="s">
        <v>295</v>
      </c>
      <c r="GG932" t="s">
        <v>278</v>
      </c>
      <c r="GH932">
        <v>75</v>
      </c>
      <c r="GM932" t="s">
        <v>900</v>
      </c>
      <c r="GU932">
        <v>35</v>
      </c>
      <c r="GZ932" t="s">
        <v>296</v>
      </c>
      <c r="HH932" t="s">
        <v>272</v>
      </c>
      <c r="ID932" t="s">
        <v>479</v>
      </c>
      <c r="IE932" t="s">
        <v>2187</v>
      </c>
      <c r="IF932">
        <v>11875</v>
      </c>
      <c r="IG932" t="s">
        <v>2188</v>
      </c>
      <c r="IH932" t="s">
        <v>2189</v>
      </c>
      <c r="II932">
        <v>1985</v>
      </c>
      <c r="IJ932" t="s">
        <v>2190</v>
      </c>
    </row>
    <row r="933" spans="1:244" x14ac:dyDescent="0.45">
      <c r="A933">
        <v>1054980</v>
      </c>
      <c r="B933">
        <v>131354</v>
      </c>
      <c r="C933">
        <v>7718549</v>
      </c>
      <c r="D933" t="s">
        <v>2132</v>
      </c>
      <c r="F933" t="s">
        <v>245</v>
      </c>
      <c r="G933" t="s">
        <v>1550</v>
      </c>
      <c r="N933" t="s">
        <v>829</v>
      </c>
      <c r="O933" t="s">
        <v>631</v>
      </c>
      <c r="P933" t="s">
        <v>249</v>
      </c>
      <c r="Q933" t="s">
        <v>250</v>
      </c>
      <c r="R933" t="s">
        <v>251</v>
      </c>
      <c r="T933" t="s">
        <v>389</v>
      </c>
      <c r="U933" t="s">
        <v>632</v>
      </c>
      <c r="V933" t="s">
        <v>830</v>
      </c>
      <c r="W933" t="s">
        <v>831</v>
      </c>
      <c r="X933" t="s">
        <v>832</v>
      </c>
      <c r="Z933" t="s">
        <v>315</v>
      </c>
      <c r="AI933">
        <v>3</v>
      </c>
      <c r="AM933" t="s">
        <v>317</v>
      </c>
      <c r="AN933" t="s">
        <v>259</v>
      </c>
      <c r="AO933" t="s">
        <v>260</v>
      </c>
      <c r="AP933">
        <v>6</v>
      </c>
      <c r="AQ933" t="s">
        <v>261</v>
      </c>
      <c r="AS933">
        <v>9.593</v>
      </c>
      <c r="AU933">
        <v>7.0979999999999999</v>
      </c>
      <c r="AW933">
        <v>13.252000000000001</v>
      </c>
      <c r="AX933" t="s">
        <v>422</v>
      </c>
      <c r="BO933" t="s">
        <v>261</v>
      </c>
      <c r="BQ933">
        <v>9.593</v>
      </c>
      <c r="BS933">
        <v>7.0979999999999999</v>
      </c>
      <c r="BU933">
        <v>13.252000000000001</v>
      </c>
      <c r="BV933" t="s">
        <v>263</v>
      </c>
      <c r="CM933" t="s">
        <v>264</v>
      </c>
      <c r="CN933" t="s">
        <v>264</v>
      </c>
      <c r="CP933" t="s">
        <v>265</v>
      </c>
      <c r="DB933">
        <v>4</v>
      </c>
      <c r="DG933" t="s">
        <v>267</v>
      </c>
      <c r="DI933">
        <v>96</v>
      </c>
      <c r="DN933" t="s">
        <v>268</v>
      </c>
      <c r="DR933">
        <v>88015</v>
      </c>
      <c r="DS933">
        <v>649</v>
      </c>
      <c r="DV933">
        <v>96</v>
      </c>
      <c r="EA933" t="s">
        <v>268</v>
      </c>
      <c r="EC933">
        <v>4</v>
      </c>
      <c r="EH933" t="s">
        <v>267</v>
      </c>
      <c r="EJ933">
        <v>96</v>
      </c>
      <c r="EO933" t="s">
        <v>268</v>
      </c>
      <c r="EQ933">
        <v>4</v>
      </c>
      <c r="EV933" t="s">
        <v>267</v>
      </c>
      <c r="EW933" t="s">
        <v>293</v>
      </c>
      <c r="EY933" t="s">
        <v>377</v>
      </c>
      <c r="EZ933" t="s">
        <v>2211</v>
      </c>
      <c r="FA933" t="s">
        <v>2199</v>
      </c>
      <c r="FM933">
        <v>15</v>
      </c>
      <c r="FR933" t="s">
        <v>295</v>
      </c>
      <c r="GU933">
        <v>30</v>
      </c>
      <c r="GZ933" t="s">
        <v>296</v>
      </c>
      <c r="HH933" t="s">
        <v>272</v>
      </c>
      <c r="IE933" t="s">
        <v>725</v>
      </c>
      <c r="IF933">
        <v>3826</v>
      </c>
      <c r="IG933" t="s">
        <v>2151</v>
      </c>
      <c r="IH933" t="s">
        <v>2170</v>
      </c>
      <c r="II933">
        <v>1985</v>
      </c>
      <c r="IJ933" t="s">
        <v>2171</v>
      </c>
    </row>
    <row r="934" spans="1:244" x14ac:dyDescent="0.45">
      <c r="A934">
        <v>1142057</v>
      </c>
      <c r="B934">
        <v>106203</v>
      </c>
      <c r="C934">
        <v>7718549</v>
      </c>
      <c r="D934" t="s">
        <v>2132</v>
      </c>
      <c r="F934" t="s">
        <v>245</v>
      </c>
      <c r="G934" t="s">
        <v>246</v>
      </c>
      <c r="N934" t="s">
        <v>2183</v>
      </c>
      <c r="O934" t="s">
        <v>498</v>
      </c>
      <c r="P934" t="s">
        <v>249</v>
      </c>
      <c r="Q934" t="s">
        <v>250</v>
      </c>
      <c r="R934" t="s">
        <v>251</v>
      </c>
      <c r="T934" t="s">
        <v>252</v>
      </c>
      <c r="U934" t="s">
        <v>499</v>
      </c>
      <c r="V934" t="s">
        <v>1281</v>
      </c>
      <c r="W934" t="s">
        <v>1282</v>
      </c>
      <c r="X934" t="s">
        <v>2184</v>
      </c>
      <c r="AM934" t="s">
        <v>258</v>
      </c>
      <c r="AN934" t="s">
        <v>259</v>
      </c>
      <c r="AO934" t="s">
        <v>260</v>
      </c>
      <c r="AQ934" t="s">
        <v>261</v>
      </c>
      <c r="AS934">
        <v>36000</v>
      </c>
      <c r="AX934" t="s">
        <v>262</v>
      </c>
      <c r="BO934" t="s">
        <v>261</v>
      </c>
      <c r="BQ934">
        <v>36</v>
      </c>
      <c r="BV934" t="s">
        <v>263</v>
      </c>
      <c r="CM934" t="s">
        <v>264</v>
      </c>
      <c r="CN934" t="s">
        <v>264</v>
      </c>
      <c r="CP934" t="s">
        <v>265</v>
      </c>
      <c r="DB934">
        <v>4</v>
      </c>
      <c r="DG934" t="s">
        <v>267</v>
      </c>
      <c r="DI934">
        <v>96</v>
      </c>
      <c r="DN934" t="s">
        <v>268</v>
      </c>
      <c r="DP934" t="s">
        <v>2185</v>
      </c>
      <c r="DR934">
        <v>371472</v>
      </c>
      <c r="DS934">
        <v>1342</v>
      </c>
      <c r="DT934" t="s">
        <v>2186</v>
      </c>
      <c r="EW934" t="s">
        <v>271</v>
      </c>
      <c r="FK934" t="s">
        <v>478</v>
      </c>
      <c r="FM934">
        <v>5</v>
      </c>
      <c r="FR934" t="s">
        <v>295</v>
      </c>
      <c r="GG934" t="s">
        <v>278</v>
      </c>
      <c r="GH934">
        <v>75</v>
      </c>
      <c r="GM934" t="s">
        <v>900</v>
      </c>
      <c r="GU934">
        <v>25</v>
      </c>
      <c r="GZ934" t="s">
        <v>296</v>
      </c>
      <c r="HH934" t="s">
        <v>272</v>
      </c>
      <c r="ID934" t="s">
        <v>479</v>
      </c>
      <c r="IE934" t="s">
        <v>2187</v>
      </c>
      <c r="IF934">
        <v>11875</v>
      </c>
      <c r="IG934" t="s">
        <v>2188</v>
      </c>
      <c r="IH934" t="s">
        <v>2189</v>
      </c>
      <c r="II934">
        <v>1985</v>
      </c>
      <c r="IJ934" t="s">
        <v>2190</v>
      </c>
    </row>
    <row r="935" spans="1:244" x14ac:dyDescent="0.45">
      <c r="A935">
        <v>1054977</v>
      </c>
      <c r="B935">
        <v>131351</v>
      </c>
      <c r="C935">
        <v>7718549</v>
      </c>
      <c r="D935" t="s">
        <v>2132</v>
      </c>
      <c r="F935" t="s">
        <v>245</v>
      </c>
      <c r="G935" t="s">
        <v>1550</v>
      </c>
      <c r="N935" t="s">
        <v>723</v>
      </c>
      <c r="O935" t="s">
        <v>631</v>
      </c>
      <c r="P935" t="s">
        <v>249</v>
      </c>
      <c r="Q935" t="s">
        <v>250</v>
      </c>
      <c r="R935" t="s">
        <v>251</v>
      </c>
      <c r="T935" t="s">
        <v>389</v>
      </c>
      <c r="U935" t="s">
        <v>632</v>
      </c>
      <c r="V935" t="s">
        <v>633</v>
      </c>
      <c r="W935" t="s">
        <v>634</v>
      </c>
      <c r="X935" t="s">
        <v>724</v>
      </c>
      <c r="Z935" t="s">
        <v>315</v>
      </c>
      <c r="AI935">
        <v>3</v>
      </c>
      <c r="AM935" t="s">
        <v>317</v>
      </c>
      <c r="AN935" t="s">
        <v>259</v>
      </c>
      <c r="AO935" t="s">
        <v>260</v>
      </c>
      <c r="AP935">
        <v>5</v>
      </c>
      <c r="AQ935" t="s">
        <v>261</v>
      </c>
      <c r="AS935">
        <v>3.4660000000000002</v>
      </c>
      <c r="AU935">
        <v>2.8210000000000002</v>
      </c>
      <c r="AW935">
        <v>4.3170000000000002</v>
      </c>
      <c r="AX935" t="s">
        <v>422</v>
      </c>
      <c r="BO935" t="s">
        <v>261</v>
      </c>
      <c r="BQ935">
        <v>3.4660000000000002</v>
      </c>
      <c r="BS935">
        <v>2.8210000000000002</v>
      </c>
      <c r="BU935">
        <v>4.3170000000000002</v>
      </c>
      <c r="BV935" t="s">
        <v>263</v>
      </c>
      <c r="CM935" t="s">
        <v>264</v>
      </c>
      <c r="CN935" t="s">
        <v>264</v>
      </c>
      <c r="CP935" t="s">
        <v>265</v>
      </c>
      <c r="DB935">
        <v>4</v>
      </c>
      <c r="DG935" t="s">
        <v>267</v>
      </c>
      <c r="DI935">
        <v>96</v>
      </c>
      <c r="DN935" t="s">
        <v>268</v>
      </c>
      <c r="DR935">
        <v>136140</v>
      </c>
      <c r="DS935">
        <v>1784</v>
      </c>
      <c r="DV935">
        <v>96</v>
      </c>
      <c r="EA935" t="s">
        <v>268</v>
      </c>
      <c r="EC935">
        <v>4</v>
      </c>
      <c r="EH935" t="s">
        <v>267</v>
      </c>
      <c r="EJ935">
        <v>96</v>
      </c>
      <c r="EO935" t="s">
        <v>268</v>
      </c>
      <c r="EQ935">
        <v>4</v>
      </c>
      <c r="EV935" t="s">
        <v>267</v>
      </c>
      <c r="EW935" t="s">
        <v>293</v>
      </c>
      <c r="EY935" t="s">
        <v>377</v>
      </c>
      <c r="EZ935" t="s">
        <v>2212</v>
      </c>
      <c r="FA935" t="s">
        <v>2199</v>
      </c>
      <c r="FM935">
        <v>20</v>
      </c>
      <c r="FR935" t="s">
        <v>295</v>
      </c>
      <c r="GU935">
        <v>30</v>
      </c>
      <c r="GZ935" t="s">
        <v>296</v>
      </c>
      <c r="HH935" t="s">
        <v>272</v>
      </c>
      <c r="IE935" t="s">
        <v>725</v>
      </c>
      <c r="IF935">
        <v>3826</v>
      </c>
      <c r="IG935" t="s">
        <v>2151</v>
      </c>
      <c r="IH935" t="s">
        <v>2170</v>
      </c>
      <c r="II935">
        <v>1985</v>
      </c>
      <c r="IJ935" t="s">
        <v>2171</v>
      </c>
    </row>
    <row r="936" spans="1:244" x14ac:dyDescent="0.45">
      <c r="A936">
        <v>1142065</v>
      </c>
      <c r="B936">
        <v>106211</v>
      </c>
      <c r="C936">
        <v>7718549</v>
      </c>
      <c r="D936" t="s">
        <v>2132</v>
      </c>
      <c r="F936" t="s">
        <v>245</v>
      </c>
      <c r="G936" t="s">
        <v>246</v>
      </c>
      <c r="N936" t="s">
        <v>2183</v>
      </c>
      <c r="O936" t="s">
        <v>498</v>
      </c>
      <c r="P936" t="s">
        <v>249</v>
      </c>
      <c r="Q936" t="s">
        <v>250</v>
      </c>
      <c r="R936" t="s">
        <v>251</v>
      </c>
      <c r="T936" t="s">
        <v>252</v>
      </c>
      <c r="U936" t="s">
        <v>499</v>
      </c>
      <c r="V936" t="s">
        <v>1281</v>
      </c>
      <c r="W936" t="s">
        <v>1282</v>
      </c>
      <c r="X936" t="s">
        <v>2184</v>
      </c>
      <c r="AM936" t="s">
        <v>258</v>
      </c>
      <c r="AN936" t="s">
        <v>259</v>
      </c>
      <c r="AO936" t="s">
        <v>260</v>
      </c>
      <c r="AQ936" t="s">
        <v>261</v>
      </c>
      <c r="AS936">
        <v>16000</v>
      </c>
      <c r="AX936" t="s">
        <v>262</v>
      </c>
      <c r="BO936" t="s">
        <v>261</v>
      </c>
      <c r="BQ936">
        <v>16</v>
      </c>
      <c r="BV936" t="s">
        <v>263</v>
      </c>
      <c r="CM936" t="s">
        <v>264</v>
      </c>
      <c r="CN936" t="s">
        <v>264</v>
      </c>
      <c r="CP936" t="s">
        <v>265</v>
      </c>
      <c r="DB936">
        <v>4</v>
      </c>
      <c r="DG936" t="s">
        <v>267</v>
      </c>
      <c r="DI936">
        <v>96</v>
      </c>
      <c r="DN936" t="s">
        <v>268</v>
      </c>
      <c r="DP936" t="s">
        <v>2185</v>
      </c>
      <c r="DR936">
        <v>371472</v>
      </c>
      <c r="DS936">
        <v>1342</v>
      </c>
      <c r="DT936" t="s">
        <v>2186</v>
      </c>
      <c r="EW936" t="s">
        <v>271</v>
      </c>
      <c r="FK936" t="s">
        <v>478</v>
      </c>
      <c r="FM936">
        <v>15</v>
      </c>
      <c r="FR936" t="s">
        <v>295</v>
      </c>
      <c r="GG936" t="s">
        <v>278</v>
      </c>
      <c r="GH936">
        <v>75</v>
      </c>
      <c r="GM936" t="s">
        <v>900</v>
      </c>
      <c r="GU936">
        <v>10</v>
      </c>
      <c r="GZ936" t="s">
        <v>296</v>
      </c>
      <c r="HH936" t="s">
        <v>272</v>
      </c>
      <c r="ID936" t="s">
        <v>479</v>
      </c>
      <c r="IE936" t="s">
        <v>2187</v>
      </c>
      <c r="IF936">
        <v>11875</v>
      </c>
      <c r="IG936" t="s">
        <v>2188</v>
      </c>
      <c r="IH936" t="s">
        <v>2189</v>
      </c>
      <c r="II936">
        <v>1985</v>
      </c>
      <c r="IJ936" t="s">
        <v>2190</v>
      </c>
    </row>
    <row r="937" spans="1:244" x14ac:dyDescent="0.45">
      <c r="A937">
        <v>1142068</v>
      </c>
      <c r="B937">
        <v>106214</v>
      </c>
      <c r="C937">
        <v>7718549</v>
      </c>
      <c r="D937" t="s">
        <v>2132</v>
      </c>
      <c r="F937" t="s">
        <v>245</v>
      </c>
      <c r="G937" t="s">
        <v>246</v>
      </c>
      <c r="N937" t="s">
        <v>2183</v>
      </c>
      <c r="O937" t="s">
        <v>498</v>
      </c>
      <c r="P937" t="s">
        <v>249</v>
      </c>
      <c r="Q937" t="s">
        <v>250</v>
      </c>
      <c r="R937" t="s">
        <v>251</v>
      </c>
      <c r="T937" t="s">
        <v>252</v>
      </c>
      <c r="U937" t="s">
        <v>499</v>
      </c>
      <c r="V937" t="s">
        <v>1281</v>
      </c>
      <c r="W937" t="s">
        <v>1282</v>
      </c>
      <c r="X937" t="s">
        <v>2184</v>
      </c>
      <c r="AM937" t="s">
        <v>258</v>
      </c>
      <c r="AN937" t="s">
        <v>259</v>
      </c>
      <c r="AO937" t="s">
        <v>260</v>
      </c>
      <c r="AQ937" t="s">
        <v>261</v>
      </c>
      <c r="AS937">
        <v>34000</v>
      </c>
      <c r="AX937" t="s">
        <v>262</v>
      </c>
      <c r="BO937" t="s">
        <v>261</v>
      </c>
      <c r="BQ937">
        <v>34</v>
      </c>
      <c r="BV937" t="s">
        <v>263</v>
      </c>
      <c r="CM937" t="s">
        <v>264</v>
      </c>
      <c r="CN937" t="s">
        <v>264</v>
      </c>
      <c r="CP937" t="s">
        <v>265</v>
      </c>
      <c r="DB937">
        <v>4</v>
      </c>
      <c r="DG937" t="s">
        <v>267</v>
      </c>
      <c r="DI937">
        <v>96</v>
      </c>
      <c r="DN937" t="s">
        <v>268</v>
      </c>
      <c r="DP937" t="s">
        <v>2185</v>
      </c>
      <c r="DR937">
        <v>371472</v>
      </c>
      <c r="DS937">
        <v>1342</v>
      </c>
      <c r="DT937" t="s">
        <v>2186</v>
      </c>
      <c r="EW937" t="s">
        <v>271</v>
      </c>
      <c r="FK937" t="s">
        <v>478</v>
      </c>
      <c r="FM937">
        <v>15</v>
      </c>
      <c r="FR937" t="s">
        <v>295</v>
      </c>
      <c r="GG937" t="s">
        <v>278</v>
      </c>
      <c r="GH937">
        <v>75</v>
      </c>
      <c r="GM937" t="s">
        <v>900</v>
      </c>
      <c r="GU937">
        <v>35</v>
      </c>
      <c r="GZ937" t="s">
        <v>296</v>
      </c>
      <c r="HH937" t="s">
        <v>272</v>
      </c>
      <c r="ID937" t="s">
        <v>479</v>
      </c>
      <c r="IE937" t="s">
        <v>2187</v>
      </c>
      <c r="IF937">
        <v>11875</v>
      </c>
      <c r="IG937" t="s">
        <v>2188</v>
      </c>
      <c r="IH937" t="s">
        <v>2189</v>
      </c>
      <c r="II937">
        <v>1985</v>
      </c>
      <c r="IJ937" t="s">
        <v>2190</v>
      </c>
    </row>
    <row r="938" spans="1:244" x14ac:dyDescent="0.45">
      <c r="A938">
        <v>1142041</v>
      </c>
      <c r="B938">
        <v>106187</v>
      </c>
      <c r="C938">
        <v>7718549</v>
      </c>
      <c r="D938" t="s">
        <v>2132</v>
      </c>
      <c r="F938" t="s">
        <v>245</v>
      </c>
      <c r="G938" t="s">
        <v>246</v>
      </c>
      <c r="N938" t="s">
        <v>2183</v>
      </c>
      <c r="O938" t="s">
        <v>498</v>
      </c>
      <c r="P938" t="s">
        <v>249</v>
      </c>
      <c r="Q938" t="s">
        <v>250</v>
      </c>
      <c r="R938" t="s">
        <v>251</v>
      </c>
      <c r="T938" t="s">
        <v>252</v>
      </c>
      <c r="U938" t="s">
        <v>499</v>
      </c>
      <c r="V938" t="s">
        <v>1281</v>
      </c>
      <c r="W938" t="s">
        <v>1282</v>
      </c>
      <c r="X938" t="s">
        <v>2184</v>
      </c>
      <c r="AM938" t="s">
        <v>258</v>
      </c>
      <c r="AN938" t="s">
        <v>259</v>
      </c>
      <c r="AO938" t="s">
        <v>260</v>
      </c>
      <c r="AQ938" t="s">
        <v>261</v>
      </c>
      <c r="AS938">
        <v>31000</v>
      </c>
      <c r="AX938" t="s">
        <v>262</v>
      </c>
      <c r="BO938" t="s">
        <v>261</v>
      </c>
      <c r="BQ938">
        <v>31</v>
      </c>
      <c r="BV938" t="s">
        <v>263</v>
      </c>
      <c r="CM938" t="s">
        <v>264</v>
      </c>
      <c r="CN938" t="s">
        <v>264</v>
      </c>
      <c r="CP938" t="s">
        <v>265</v>
      </c>
      <c r="DB938">
        <v>2</v>
      </c>
      <c r="DG938" t="s">
        <v>267</v>
      </c>
      <c r="DI938">
        <v>48</v>
      </c>
      <c r="DN938" t="s">
        <v>268</v>
      </c>
      <c r="DP938" t="s">
        <v>2185</v>
      </c>
      <c r="DR938">
        <v>371472</v>
      </c>
      <c r="DS938">
        <v>1342</v>
      </c>
      <c r="DT938" t="s">
        <v>2186</v>
      </c>
      <c r="EW938" t="s">
        <v>271</v>
      </c>
      <c r="FK938" t="s">
        <v>478</v>
      </c>
      <c r="FM938">
        <v>5</v>
      </c>
      <c r="FR938" t="s">
        <v>295</v>
      </c>
      <c r="GG938" t="s">
        <v>278</v>
      </c>
      <c r="GH938">
        <v>75</v>
      </c>
      <c r="GM938" t="s">
        <v>900</v>
      </c>
      <c r="GU938">
        <v>15</v>
      </c>
      <c r="GZ938" t="s">
        <v>296</v>
      </c>
      <c r="HH938" t="s">
        <v>272</v>
      </c>
      <c r="ID938" t="s">
        <v>479</v>
      </c>
      <c r="IE938" t="s">
        <v>2187</v>
      </c>
      <c r="IF938">
        <v>11875</v>
      </c>
      <c r="IG938" t="s">
        <v>2188</v>
      </c>
      <c r="IH938" t="s">
        <v>2189</v>
      </c>
      <c r="II938">
        <v>1985</v>
      </c>
      <c r="IJ938" t="s">
        <v>2190</v>
      </c>
    </row>
    <row r="939" spans="1:244" x14ac:dyDescent="0.45">
      <c r="A939">
        <v>1142054</v>
      </c>
      <c r="B939">
        <v>106200</v>
      </c>
      <c r="C939">
        <v>7718549</v>
      </c>
      <c r="D939" t="s">
        <v>2132</v>
      </c>
      <c r="F939" t="s">
        <v>245</v>
      </c>
      <c r="G939" t="s">
        <v>246</v>
      </c>
      <c r="N939" t="s">
        <v>2183</v>
      </c>
      <c r="O939" t="s">
        <v>498</v>
      </c>
      <c r="P939" t="s">
        <v>249</v>
      </c>
      <c r="Q939" t="s">
        <v>250</v>
      </c>
      <c r="R939" t="s">
        <v>251</v>
      </c>
      <c r="T939" t="s">
        <v>252</v>
      </c>
      <c r="U939" t="s">
        <v>499</v>
      </c>
      <c r="V939" t="s">
        <v>1281</v>
      </c>
      <c r="W939" t="s">
        <v>1282</v>
      </c>
      <c r="X939" t="s">
        <v>2184</v>
      </c>
      <c r="AM939" t="s">
        <v>258</v>
      </c>
      <c r="AN939" t="s">
        <v>259</v>
      </c>
      <c r="AO939" t="s">
        <v>260</v>
      </c>
      <c r="AQ939" t="s">
        <v>261</v>
      </c>
      <c r="AS939">
        <v>5000</v>
      </c>
      <c r="AX939" t="s">
        <v>262</v>
      </c>
      <c r="BO939" t="s">
        <v>261</v>
      </c>
      <c r="BQ939">
        <v>5</v>
      </c>
      <c r="BV939" t="s">
        <v>263</v>
      </c>
      <c r="CM939" t="s">
        <v>264</v>
      </c>
      <c r="CN939" t="s">
        <v>264</v>
      </c>
      <c r="CP939" t="s">
        <v>265</v>
      </c>
      <c r="DB939">
        <v>4</v>
      </c>
      <c r="DG939" t="s">
        <v>267</v>
      </c>
      <c r="DI939">
        <v>96</v>
      </c>
      <c r="DN939" t="s">
        <v>268</v>
      </c>
      <c r="DP939" t="s">
        <v>2185</v>
      </c>
      <c r="DR939">
        <v>371472</v>
      </c>
      <c r="DS939">
        <v>1342</v>
      </c>
      <c r="DT939" t="s">
        <v>2186</v>
      </c>
      <c r="EW939" t="s">
        <v>271</v>
      </c>
      <c r="FK939" t="s">
        <v>478</v>
      </c>
      <c r="FM939">
        <v>5</v>
      </c>
      <c r="FR939" t="s">
        <v>295</v>
      </c>
      <c r="GG939" t="s">
        <v>278</v>
      </c>
      <c r="GH939">
        <v>75</v>
      </c>
      <c r="GM939" t="s">
        <v>900</v>
      </c>
      <c r="GU939">
        <v>5</v>
      </c>
      <c r="GZ939" t="s">
        <v>296</v>
      </c>
      <c r="HH939" t="s">
        <v>272</v>
      </c>
      <c r="ID939" t="s">
        <v>479</v>
      </c>
      <c r="IE939" t="s">
        <v>2187</v>
      </c>
      <c r="IF939">
        <v>11875</v>
      </c>
      <c r="IG939" t="s">
        <v>2188</v>
      </c>
      <c r="IH939" t="s">
        <v>2189</v>
      </c>
      <c r="II939">
        <v>1985</v>
      </c>
      <c r="IJ939" t="s">
        <v>2190</v>
      </c>
    </row>
    <row r="940" spans="1:244" x14ac:dyDescent="0.45">
      <c r="A940">
        <v>1054279</v>
      </c>
      <c r="B940">
        <v>124650</v>
      </c>
      <c r="C940">
        <v>7718549</v>
      </c>
      <c r="D940" t="s">
        <v>2132</v>
      </c>
      <c r="F940" t="s">
        <v>245</v>
      </c>
      <c r="G940" t="s">
        <v>246</v>
      </c>
      <c r="N940" t="s">
        <v>1583</v>
      </c>
      <c r="O940" t="s">
        <v>1584</v>
      </c>
      <c r="P940" t="s">
        <v>249</v>
      </c>
      <c r="Q940" t="s">
        <v>250</v>
      </c>
      <c r="R940" t="s">
        <v>251</v>
      </c>
      <c r="T940" t="s">
        <v>252</v>
      </c>
      <c r="U940" t="s">
        <v>253</v>
      </c>
      <c r="V940" t="s">
        <v>418</v>
      </c>
      <c r="W940" t="s">
        <v>1585</v>
      </c>
      <c r="X940" t="s">
        <v>1586</v>
      </c>
      <c r="AL940" t="s">
        <v>2191</v>
      </c>
      <c r="AM940" t="s">
        <v>317</v>
      </c>
      <c r="AN940" t="s">
        <v>259</v>
      </c>
      <c r="AO940" t="s">
        <v>260</v>
      </c>
      <c r="AQ940" t="s">
        <v>261</v>
      </c>
      <c r="AR940" t="s">
        <v>288</v>
      </c>
      <c r="AS940">
        <v>560000</v>
      </c>
      <c r="AX940" t="s">
        <v>262</v>
      </c>
      <c r="BO940" t="s">
        <v>261</v>
      </c>
      <c r="BP940" t="s">
        <v>288</v>
      </c>
      <c r="BQ940">
        <v>560</v>
      </c>
      <c r="BV940" t="s">
        <v>263</v>
      </c>
      <c r="CM940" t="s">
        <v>264</v>
      </c>
      <c r="CN940" t="s">
        <v>264</v>
      </c>
      <c r="CP940" t="s">
        <v>265</v>
      </c>
      <c r="DB940">
        <v>1</v>
      </c>
      <c r="DG940" t="s">
        <v>267</v>
      </c>
      <c r="DI940">
        <v>24</v>
      </c>
      <c r="DN940" t="s">
        <v>268</v>
      </c>
      <c r="DR940">
        <v>64466</v>
      </c>
      <c r="DS940">
        <v>49914</v>
      </c>
      <c r="EW940" t="s">
        <v>271</v>
      </c>
      <c r="FK940" t="s">
        <v>2192</v>
      </c>
      <c r="FM940">
        <v>20</v>
      </c>
      <c r="FR940" t="s">
        <v>295</v>
      </c>
      <c r="GJ940">
        <v>6.6</v>
      </c>
      <c r="GL940">
        <v>6.8</v>
      </c>
      <c r="GM940" t="s">
        <v>356</v>
      </c>
      <c r="GO940">
        <v>8</v>
      </c>
      <c r="GU940">
        <v>25</v>
      </c>
      <c r="GZ940" t="s">
        <v>296</v>
      </c>
      <c r="HH940" t="s">
        <v>272</v>
      </c>
      <c r="ID940" t="s">
        <v>2193</v>
      </c>
      <c r="IE940" t="s">
        <v>2194</v>
      </c>
      <c r="IF940">
        <v>3779</v>
      </c>
      <c r="IG940" t="s">
        <v>2195</v>
      </c>
      <c r="IH940" t="s">
        <v>2196</v>
      </c>
      <c r="II940">
        <v>1975</v>
      </c>
      <c r="IJ940" t="s">
        <v>2197</v>
      </c>
    </row>
    <row r="941" spans="1:244" x14ac:dyDescent="0.45">
      <c r="A941">
        <v>1142052</v>
      </c>
      <c r="B941">
        <v>106198</v>
      </c>
      <c r="C941">
        <v>7718549</v>
      </c>
      <c r="D941" t="s">
        <v>2132</v>
      </c>
      <c r="F941" t="s">
        <v>245</v>
      </c>
      <c r="G941" t="s">
        <v>246</v>
      </c>
      <c r="N941" t="s">
        <v>2183</v>
      </c>
      <c r="O941" t="s">
        <v>498</v>
      </c>
      <c r="P941" t="s">
        <v>249</v>
      </c>
      <c r="Q941" t="s">
        <v>250</v>
      </c>
      <c r="R941" t="s">
        <v>251</v>
      </c>
      <c r="T941" t="s">
        <v>252</v>
      </c>
      <c r="U941" t="s">
        <v>499</v>
      </c>
      <c r="V941" t="s">
        <v>1281</v>
      </c>
      <c r="W941" t="s">
        <v>1282</v>
      </c>
      <c r="X941" t="s">
        <v>2184</v>
      </c>
      <c r="AM941" t="s">
        <v>258</v>
      </c>
      <c r="AN941" t="s">
        <v>259</v>
      </c>
      <c r="AO941" t="s">
        <v>260</v>
      </c>
      <c r="AQ941" t="s">
        <v>261</v>
      </c>
      <c r="AS941">
        <v>65000</v>
      </c>
      <c r="AX941" t="s">
        <v>262</v>
      </c>
      <c r="BO941" t="s">
        <v>261</v>
      </c>
      <c r="BQ941">
        <v>65</v>
      </c>
      <c r="BV941" t="s">
        <v>263</v>
      </c>
      <c r="CM941" t="s">
        <v>264</v>
      </c>
      <c r="CN941" t="s">
        <v>264</v>
      </c>
      <c r="CP941" t="s">
        <v>265</v>
      </c>
      <c r="DB941">
        <v>2</v>
      </c>
      <c r="DG941" t="s">
        <v>267</v>
      </c>
      <c r="DI941">
        <v>48</v>
      </c>
      <c r="DN941" t="s">
        <v>268</v>
      </c>
      <c r="DP941" t="s">
        <v>2185</v>
      </c>
      <c r="DR941">
        <v>371472</v>
      </c>
      <c r="DS941">
        <v>1342</v>
      </c>
      <c r="DT941" t="s">
        <v>2186</v>
      </c>
      <c r="EW941" t="s">
        <v>271</v>
      </c>
      <c r="FK941" t="s">
        <v>478</v>
      </c>
      <c r="FM941">
        <v>15</v>
      </c>
      <c r="FR941" t="s">
        <v>295</v>
      </c>
      <c r="GG941" t="s">
        <v>278</v>
      </c>
      <c r="GH941">
        <v>75</v>
      </c>
      <c r="GM941" t="s">
        <v>900</v>
      </c>
      <c r="GU941">
        <v>25</v>
      </c>
      <c r="GZ941" t="s">
        <v>296</v>
      </c>
      <c r="HH941" t="s">
        <v>272</v>
      </c>
      <c r="ID941" t="s">
        <v>479</v>
      </c>
      <c r="IE941" t="s">
        <v>2187</v>
      </c>
      <c r="IF941">
        <v>11875</v>
      </c>
      <c r="IG941" t="s">
        <v>2188</v>
      </c>
      <c r="IH941" t="s">
        <v>2189</v>
      </c>
      <c r="II941">
        <v>1985</v>
      </c>
      <c r="IJ941" t="s">
        <v>2190</v>
      </c>
    </row>
    <row r="942" spans="1:244" x14ac:dyDescent="0.45">
      <c r="A942">
        <v>1142036</v>
      </c>
      <c r="B942">
        <v>106182</v>
      </c>
      <c r="C942">
        <v>7718549</v>
      </c>
      <c r="D942" t="s">
        <v>2132</v>
      </c>
      <c r="F942" t="s">
        <v>245</v>
      </c>
      <c r="G942" t="s">
        <v>246</v>
      </c>
      <c r="N942" t="s">
        <v>2183</v>
      </c>
      <c r="O942" t="s">
        <v>498</v>
      </c>
      <c r="P942" t="s">
        <v>249</v>
      </c>
      <c r="Q942" t="s">
        <v>250</v>
      </c>
      <c r="R942" t="s">
        <v>251</v>
      </c>
      <c r="T942" t="s">
        <v>252</v>
      </c>
      <c r="U942" t="s">
        <v>499</v>
      </c>
      <c r="V942" t="s">
        <v>1281</v>
      </c>
      <c r="W942" t="s">
        <v>1282</v>
      </c>
      <c r="X942" t="s">
        <v>2184</v>
      </c>
      <c r="AM942" t="s">
        <v>258</v>
      </c>
      <c r="AN942" t="s">
        <v>259</v>
      </c>
      <c r="AO942" t="s">
        <v>260</v>
      </c>
      <c r="AQ942" t="s">
        <v>261</v>
      </c>
      <c r="AR942" t="s">
        <v>288</v>
      </c>
      <c r="AS942">
        <v>128000</v>
      </c>
      <c r="AX942" t="s">
        <v>262</v>
      </c>
      <c r="BO942" t="s">
        <v>261</v>
      </c>
      <c r="BP942" t="s">
        <v>288</v>
      </c>
      <c r="BQ942">
        <v>128</v>
      </c>
      <c r="BV942" t="s">
        <v>263</v>
      </c>
      <c r="CM942" t="s">
        <v>264</v>
      </c>
      <c r="CN942" t="s">
        <v>264</v>
      </c>
      <c r="CP942" t="s">
        <v>265</v>
      </c>
      <c r="DB942">
        <v>1</v>
      </c>
      <c r="DG942" t="s">
        <v>267</v>
      </c>
      <c r="DI942">
        <v>24</v>
      </c>
      <c r="DN942" t="s">
        <v>268</v>
      </c>
      <c r="DP942" t="s">
        <v>2185</v>
      </c>
      <c r="DR942">
        <v>371472</v>
      </c>
      <c r="DS942">
        <v>1342</v>
      </c>
      <c r="DT942" t="s">
        <v>2186</v>
      </c>
      <c r="EW942" t="s">
        <v>271</v>
      </c>
      <c r="FK942" t="s">
        <v>478</v>
      </c>
      <c r="FM942">
        <v>15</v>
      </c>
      <c r="FR942" t="s">
        <v>295</v>
      </c>
      <c r="GG942" t="s">
        <v>278</v>
      </c>
      <c r="GH942">
        <v>75</v>
      </c>
      <c r="GM942" t="s">
        <v>900</v>
      </c>
      <c r="GU942">
        <v>15</v>
      </c>
      <c r="GZ942" t="s">
        <v>296</v>
      </c>
      <c r="HH942" t="s">
        <v>272</v>
      </c>
      <c r="ID942" t="s">
        <v>479</v>
      </c>
      <c r="IE942" t="s">
        <v>2187</v>
      </c>
      <c r="IF942">
        <v>11875</v>
      </c>
      <c r="IG942" t="s">
        <v>2188</v>
      </c>
      <c r="IH942" t="s">
        <v>2189</v>
      </c>
      <c r="II942">
        <v>1985</v>
      </c>
      <c r="IJ942" t="s">
        <v>2190</v>
      </c>
    </row>
    <row r="943" spans="1:244" x14ac:dyDescent="0.45">
      <c r="A943">
        <v>1142037</v>
      </c>
      <c r="B943">
        <v>106183</v>
      </c>
      <c r="C943">
        <v>7718549</v>
      </c>
      <c r="D943" t="s">
        <v>2132</v>
      </c>
      <c r="F943" t="s">
        <v>245</v>
      </c>
      <c r="G943" t="s">
        <v>246</v>
      </c>
      <c r="N943" t="s">
        <v>2183</v>
      </c>
      <c r="O943" t="s">
        <v>498</v>
      </c>
      <c r="P943" t="s">
        <v>249</v>
      </c>
      <c r="Q943" t="s">
        <v>250</v>
      </c>
      <c r="R943" t="s">
        <v>251</v>
      </c>
      <c r="T943" t="s">
        <v>252</v>
      </c>
      <c r="U943" t="s">
        <v>499</v>
      </c>
      <c r="V943" t="s">
        <v>1281</v>
      </c>
      <c r="W943" t="s">
        <v>1282</v>
      </c>
      <c r="X943" t="s">
        <v>2184</v>
      </c>
      <c r="AM943" t="s">
        <v>258</v>
      </c>
      <c r="AN943" t="s">
        <v>259</v>
      </c>
      <c r="AO943" t="s">
        <v>260</v>
      </c>
      <c r="AQ943" t="s">
        <v>261</v>
      </c>
      <c r="AR943" t="s">
        <v>288</v>
      </c>
      <c r="AS943">
        <v>128000</v>
      </c>
      <c r="AX943" t="s">
        <v>262</v>
      </c>
      <c r="BO943" t="s">
        <v>261</v>
      </c>
      <c r="BP943" t="s">
        <v>288</v>
      </c>
      <c r="BQ943">
        <v>128</v>
      </c>
      <c r="BV943" t="s">
        <v>263</v>
      </c>
      <c r="CM943" t="s">
        <v>264</v>
      </c>
      <c r="CN943" t="s">
        <v>264</v>
      </c>
      <c r="CP943" t="s">
        <v>265</v>
      </c>
      <c r="DB943">
        <v>1</v>
      </c>
      <c r="DG943" t="s">
        <v>267</v>
      </c>
      <c r="DI943">
        <v>24</v>
      </c>
      <c r="DN943" t="s">
        <v>268</v>
      </c>
      <c r="DP943" t="s">
        <v>2185</v>
      </c>
      <c r="DR943">
        <v>371472</v>
      </c>
      <c r="DS943">
        <v>1342</v>
      </c>
      <c r="DT943" t="s">
        <v>2186</v>
      </c>
      <c r="EW943" t="s">
        <v>271</v>
      </c>
      <c r="FK943" t="s">
        <v>478</v>
      </c>
      <c r="FM943">
        <v>15</v>
      </c>
      <c r="FR943" t="s">
        <v>295</v>
      </c>
      <c r="GG943" t="s">
        <v>278</v>
      </c>
      <c r="GH943">
        <v>75</v>
      </c>
      <c r="GM943" t="s">
        <v>900</v>
      </c>
      <c r="GU943">
        <v>25</v>
      </c>
      <c r="GZ943" t="s">
        <v>296</v>
      </c>
      <c r="HH943" t="s">
        <v>272</v>
      </c>
      <c r="ID943" t="s">
        <v>479</v>
      </c>
      <c r="IE943" t="s">
        <v>2187</v>
      </c>
      <c r="IF943">
        <v>11875</v>
      </c>
      <c r="IG943" t="s">
        <v>2188</v>
      </c>
      <c r="IH943" t="s">
        <v>2189</v>
      </c>
      <c r="II943">
        <v>1985</v>
      </c>
      <c r="IJ943" t="s">
        <v>2190</v>
      </c>
    </row>
    <row r="944" spans="1:244" x14ac:dyDescent="0.45">
      <c r="A944">
        <v>1142024</v>
      </c>
      <c r="B944">
        <v>106170</v>
      </c>
      <c r="C944">
        <v>7718549</v>
      </c>
      <c r="D944" t="s">
        <v>2132</v>
      </c>
      <c r="F944" t="s">
        <v>245</v>
      </c>
      <c r="G944" t="s">
        <v>246</v>
      </c>
      <c r="N944" t="s">
        <v>2183</v>
      </c>
      <c r="O944" t="s">
        <v>498</v>
      </c>
      <c r="P944" t="s">
        <v>249</v>
      </c>
      <c r="Q944" t="s">
        <v>250</v>
      </c>
      <c r="R944" t="s">
        <v>251</v>
      </c>
      <c r="T944" t="s">
        <v>252</v>
      </c>
      <c r="U944" t="s">
        <v>499</v>
      </c>
      <c r="V944" t="s">
        <v>1281</v>
      </c>
      <c r="W944" t="s">
        <v>1282</v>
      </c>
      <c r="X944" t="s">
        <v>2184</v>
      </c>
      <c r="AM944" t="s">
        <v>258</v>
      </c>
      <c r="AN944" t="s">
        <v>259</v>
      </c>
      <c r="AO944" t="s">
        <v>260</v>
      </c>
      <c r="AQ944" t="s">
        <v>261</v>
      </c>
      <c r="AS944">
        <v>80000</v>
      </c>
      <c r="AX944" t="s">
        <v>262</v>
      </c>
      <c r="BO944" t="s">
        <v>261</v>
      </c>
      <c r="BQ944">
        <v>80</v>
      </c>
      <c r="BV944" t="s">
        <v>263</v>
      </c>
      <c r="CM944" t="s">
        <v>264</v>
      </c>
      <c r="CN944" t="s">
        <v>264</v>
      </c>
      <c r="CP944" t="s">
        <v>265</v>
      </c>
      <c r="DB944">
        <v>1</v>
      </c>
      <c r="DG944" t="s">
        <v>267</v>
      </c>
      <c r="DI944">
        <v>24</v>
      </c>
      <c r="DN944" t="s">
        <v>268</v>
      </c>
      <c r="DP944" t="s">
        <v>2185</v>
      </c>
      <c r="DR944">
        <v>371472</v>
      </c>
      <c r="DS944">
        <v>1342</v>
      </c>
      <c r="DT944" t="s">
        <v>2186</v>
      </c>
      <c r="EW944" t="s">
        <v>271</v>
      </c>
      <c r="FK944" t="s">
        <v>478</v>
      </c>
      <c r="FM944">
        <v>5</v>
      </c>
      <c r="FR944" t="s">
        <v>295</v>
      </c>
      <c r="GG944" t="s">
        <v>278</v>
      </c>
      <c r="GH944">
        <v>75</v>
      </c>
      <c r="GM944" t="s">
        <v>900</v>
      </c>
      <c r="GU944">
        <v>5</v>
      </c>
      <c r="GZ944" t="s">
        <v>296</v>
      </c>
      <c r="HH944" t="s">
        <v>272</v>
      </c>
      <c r="ID944" t="s">
        <v>479</v>
      </c>
      <c r="IE944" t="s">
        <v>2187</v>
      </c>
      <c r="IF944">
        <v>11875</v>
      </c>
      <c r="IG944" t="s">
        <v>2188</v>
      </c>
      <c r="IH944" t="s">
        <v>2189</v>
      </c>
      <c r="II944">
        <v>1985</v>
      </c>
      <c r="IJ944" t="s">
        <v>2190</v>
      </c>
    </row>
    <row r="945" spans="1:244" x14ac:dyDescent="0.45">
      <c r="A945">
        <v>1142042</v>
      </c>
      <c r="B945">
        <v>106188</v>
      </c>
      <c r="C945">
        <v>7718549</v>
      </c>
      <c r="D945" t="s">
        <v>2132</v>
      </c>
      <c r="F945" t="s">
        <v>245</v>
      </c>
      <c r="G945" t="s">
        <v>246</v>
      </c>
      <c r="N945" t="s">
        <v>2183</v>
      </c>
      <c r="O945" t="s">
        <v>498</v>
      </c>
      <c r="P945" t="s">
        <v>249</v>
      </c>
      <c r="Q945" t="s">
        <v>250</v>
      </c>
      <c r="R945" t="s">
        <v>251</v>
      </c>
      <c r="T945" t="s">
        <v>252</v>
      </c>
      <c r="U945" t="s">
        <v>499</v>
      </c>
      <c r="V945" t="s">
        <v>1281</v>
      </c>
      <c r="W945" t="s">
        <v>1282</v>
      </c>
      <c r="X945" t="s">
        <v>2184</v>
      </c>
      <c r="AM945" t="s">
        <v>258</v>
      </c>
      <c r="AN945" t="s">
        <v>259</v>
      </c>
      <c r="AO945" t="s">
        <v>260</v>
      </c>
      <c r="AQ945" t="s">
        <v>261</v>
      </c>
      <c r="AS945">
        <v>100000</v>
      </c>
      <c r="AX945" t="s">
        <v>262</v>
      </c>
      <c r="BO945" t="s">
        <v>261</v>
      </c>
      <c r="BQ945">
        <v>100</v>
      </c>
      <c r="BV945" t="s">
        <v>263</v>
      </c>
      <c r="CM945" t="s">
        <v>264</v>
      </c>
      <c r="CN945" t="s">
        <v>264</v>
      </c>
      <c r="CP945" t="s">
        <v>265</v>
      </c>
      <c r="DB945">
        <v>2</v>
      </c>
      <c r="DG945" t="s">
        <v>267</v>
      </c>
      <c r="DI945">
        <v>48</v>
      </c>
      <c r="DN945" t="s">
        <v>268</v>
      </c>
      <c r="DP945" t="s">
        <v>2185</v>
      </c>
      <c r="DR945">
        <v>371472</v>
      </c>
      <c r="DS945">
        <v>1342</v>
      </c>
      <c r="DT945" t="s">
        <v>2186</v>
      </c>
      <c r="EW945" t="s">
        <v>271</v>
      </c>
      <c r="FK945" t="s">
        <v>478</v>
      </c>
      <c r="FM945">
        <v>5</v>
      </c>
      <c r="FR945" t="s">
        <v>295</v>
      </c>
      <c r="GG945" t="s">
        <v>278</v>
      </c>
      <c r="GH945">
        <v>75</v>
      </c>
      <c r="GM945" t="s">
        <v>900</v>
      </c>
      <c r="GU945">
        <v>25</v>
      </c>
      <c r="GZ945" t="s">
        <v>296</v>
      </c>
      <c r="HH945" t="s">
        <v>272</v>
      </c>
      <c r="ID945" t="s">
        <v>479</v>
      </c>
      <c r="IE945" t="s">
        <v>2187</v>
      </c>
      <c r="IF945">
        <v>11875</v>
      </c>
      <c r="IG945" t="s">
        <v>2188</v>
      </c>
      <c r="IH945" t="s">
        <v>2189</v>
      </c>
      <c r="II945">
        <v>1985</v>
      </c>
      <c r="IJ945" t="s">
        <v>2190</v>
      </c>
    </row>
    <row r="946" spans="1:244" x14ac:dyDescent="0.45">
      <c r="A946">
        <v>1142040</v>
      </c>
      <c r="B946">
        <v>106186</v>
      </c>
      <c r="C946">
        <v>7718549</v>
      </c>
      <c r="D946" t="s">
        <v>2132</v>
      </c>
      <c r="F946" t="s">
        <v>245</v>
      </c>
      <c r="G946" t="s">
        <v>246</v>
      </c>
      <c r="N946" t="s">
        <v>2183</v>
      </c>
      <c r="O946" t="s">
        <v>498</v>
      </c>
      <c r="P946" t="s">
        <v>249</v>
      </c>
      <c r="Q946" t="s">
        <v>250</v>
      </c>
      <c r="R946" t="s">
        <v>251</v>
      </c>
      <c r="T946" t="s">
        <v>252</v>
      </c>
      <c r="U946" t="s">
        <v>499</v>
      </c>
      <c r="V946" t="s">
        <v>1281</v>
      </c>
      <c r="W946" t="s">
        <v>1282</v>
      </c>
      <c r="X946" t="s">
        <v>2184</v>
      </c>
      <c r="AM946" t="s">
        <v>258</v>
      </c>
      <c r="AN946" t="s">
        <v>259</v>
      </c>
      <c r="AO946" t="s">
        <v>260</v>
      </c>
      <c r="AQ946" t="s">
        <v>261</v>
      </c>
      <c r="AS946">
        <v>60000</v>
      </c>
      <c r="AX946" t="s">
        <v>262</v>
      </c>
      <c r="BO946" t="s">
        <v>261</v>
      </c>
      <c r="BQ946">
        <v>60</v>
      </c>
      <c r="BV946" t="s">
        <v>263</v>
      </c>
      <c r="CM946" t="s">
        <v>264</v>
      </c>
      <c r="CN946" t="s">
        <v>264</v>
      </c>
      <c r="CP946" t="s">
        <v>265</v>
      </c>
      <c r="DB946">
        <v>2</v>
      </c>
      <c r="DG946" t="s">
        <v>267</v>
      </c>
      <c r="DI946">
        <v>48</v>
      </c>
      <c r="DN946" t="s">
        <v>268</v>
      </c>
      <c r="DP946" t="s">
        <v>2185</v>
      </c>
      <c r="DR946">
        <v>371472</v>
      </c>
      <c r="DS946">
        <v>1342</v>
      </c>
      <c r="DT946" t="s">
        <v>2186</v>
      </c>
      <c r="EW946" t="s">
        <v>271</v>
      </c>
      <c r="FK946" t="s">
        <v>478</v>
      </c>
      <c r="FM946">
        <v>5</v>
      </c>
      <c r="FR946" t="s">
        <v>295</v>
      </c>
      <c r="GG946" t="s">
        <v>278</v>
      </c>
      <c r="GH946">
        <v>75</v>
      </c>
      <c r="GM946" t="s">
        <v>900</v>
      </c>
      <c r="GU946">
        <v>10</v>
      </c>
      <c r="GZ946" t="s">
        <v>296</v>
      </c>
      <c r="HH946" t="s">
        <v>272</v>
      </c>
      <c r="ID946" t="s">
        <v>479</v>
      </c>
      <c r="IE946" t="s">
        <v>2187</v>
      </c>
      <c r="IF946">
        <v>11875</v>
      </c>
      <c r="IG946" t="s">
        <v>2188</v>
      </c>
      <c r="IH946" t="s">
        <v>2189</v>
      </c>
      <c r="II946">
        <v>1985</v>
      </c>
      <c r="IJ946" t="s">
        <v>2190</v>
      </c>
    </row>
    <row r="947" spans="1:244" x14ac:dyDescent="0.45">
      <c r="A947">
        <v>1142034</v>
      </c>
      <c r="B947">
        <v>106180</v>
      </c>
      <c r="C947">
        <v>7718549</v>
      </c>
      <c r="D947" t="s">
        <v>2132</v>
      </c>
      <c r="F947" t="s">
        <v>245</v>
      </c>
      <c r="G947" t="s">
        <v>246</v>
      </c>
      <c r="N947" t="s">
        <v>2183</v>
      </c>
      <c r="O947" t="s">
        <v>498</v>
      </c>
      <c r="P947" t="s">
        <v>249</v>
      </c>
      <c r="Q947" t="s">
        <v>250</v>
      </c>
      <c r="R947" t="s">
        <v>251</v>
      </c>
      <c r="T947" t="s">
        <v>252</v>
      </c>
      <c r="U947" t="s">
        <v>499</v>
      </c>
      <c r="V947" t="s">
        <v>1281</v>
      </c>
      <c r="W947" t="s">
        <v>1282</v>
      </c>
      <c r="X947" t="s">
        <v>2184</v>
      </c>
      <c r="AM947" t="s">
        <v>258</v>
      </c>
      <c r="AN947" t="s">
        <v>259</v>
      </c>
      <c r="AO947" t="s">
        <v>260</v>
      </c>
      <c r="AQ947" t="s">
        <v>261</v>
      </c>
      <c r="AR947" t="s">
        <v>288</v>
      </c>
      <c r="AS947">
        <v>128000</v>
      </c>
      <c r="AX947" t="s">
        <v>262</v>
      </c>
      <c r="BO947" t="s">
        <v>261</v>
      </c>
      <c r="BP947" t="s">
        <v>288</v>
      </c>
      <c r="BQ947">
        <v>128</v>
      </c>
      <c r="BV947" t="s">
        <v>263</v>
      </c>
      <c r="CM947" t="s">
        <v>264</v>
      </c>
      <c r="CN947" t="s">
        <v>264</v>
      </c>
      <c r="CP947" t="s">
        <v>265</v>
      </c>
      <c r="DB947">
        <v>1</v>
      </c>
      <c r="DG947" t="s">
        <v>267</v>
      </c>
      <c r="DI947">
        <v>24</v>
      </c>
      <c r="DN947" t="s">
        <v>268</v>
      </c>
      <c r="DP947" t="s">
        <v>2185</v>
      </c>
      <c r="DR947">
        <v>371472</v>
      </c>
      <c r="DS947">
        <v>1342</v>
      </c>
      <c r="DT947" t="s">
        <v>2186</v>
      </c>
      <c r="EW947" t="s">
        <v>271</v>
      </c>
      <c r="FK947" t="s">
        <v>478</v>
      </c>
      <c r="FM947">
        <v>15</v>
      </c>
      <c r="FR947" t="s">
        <v>295</v>
      </c>
      <c r="GG947" t="s">
        <v>278</v>
      </c>
      <c r="GH947">
        <v>75</v>
      </c>
      <c r="GM947" t="s">
        <v>900</v>
      </c>
      <c r="GU947">
        <v>5</v>
      </c>
      <c r="GZ947" t="s">
        <v>296</v>
      </c>
      <c r="HH947" t="s">
        <v>272</v>
      </c>
      <c r="ID947" t="s">
        <v>479</v>
      </c>
      <c r="IE947" t="s">
        <v>2187</v>
      </c>
      <c r="IF947">
        <v>11875</v>
      </c>
      <c r="IG947" t="s">
        <v>2188</v>
      </c>
      <c r="IH947" t="s">
        <v>2189</v>
      </c>
      <c r="II947">
        <v>1985</v>
      </c>
      <c r="IJ947" t="s">
        <v>2190</v>
      </c>
    </row>
    <row r="948" spans="1:244" x14ac:dyDescent="0.45">
      <c r="A948">
        <v>1142026</v>
      </c>
      <c r="B948">
        <v>106172</v>
      </c>
      <c r="C948">
        <v>7718549</v>
      </c>
      <c r="D948" t="s">
        <v>2132</v>
      </c>
      <c r="F948" t="s">
        <v>245</v>
      </c>
      <c r="G948" t="s">
        <v>246</v>
      </c>
      <c r="N948" t="s">
        <v>2183</v>
      </c>
      <c r="O948" t="s">
        <v>498</v>
      </c>
      <c r="P948" t="s">
        <v>249</v>
      </c>
      <c r="Q948" t="s">
        <v>250</v>
      </c>
      <c r="R948" t="s">
        <v>251</v>
      </c>
      <c r="T948" t="s">
        <v>252</v>
      </c>
      <c r="U948" t="s">
        <v>499</v>
      </c>
      <c r="V948" t="s">
        <v>1281</v>
      </c>
      <c r="W948" t="s">
        <v>1282</v>
      </c>
      <c r="X948" t="s">
        <v>2184</v>
      </c>
      <c r="AM948" t="s">
        <v>258</v>
      </c>
      <c r="AN948" t="s">
        <v>259</v>
      </c>
      <c r="AO948" t="s">
        <v>260</v>
      </c>
      <c r="AQ948" t="s">
        <v>261</v>
      </c>
      <c r="AS948">
        <v>60000</v>
      </c>
      <c r="AX948" t="s">
        <v>262</v>
      </c>
      <c r="BO948" t="s">
        <v>261</v>
      </c>
      <c r="BQ948">
        <v>60</v>
      </c>
      <c r="BV948" t="s">
        <v>263</v>
      </c>
      <c r="CM948" t="s">
        <v>264</v>
      </c>
      <c r="CN948" t="s">
        <v>264</v>
      </c>
      <c r="CP948" t="s">
        <v>265</v>
      </c>
      <c r="DB948">
        <v>1</v>
      </c>
      <c r="DG948" t="s">
        <v>267</v>
      </c>
      <c r="DI948">
        <v>24</v>
      </c>
      <c r="DN948" t="s">
        <v>268</v>
      </c>
      <c r="DP948" t="s">
        <v>2185</v>
      </c>
      <c r="DR948">
        <v>371472</v>
      </c>
      <c r="DS948">
        <v>1342</v>
      </c>
      <c r="DT948" t="s">
        <v>2186</v>
      </c>
      <c r="EW948" t="s">
        <v>271</v>
      </c>
      <c r="FK948" t="s">
        <v>478</v>
      </c>
      <c r="FM948">
        <v>5</v>
      </c>
      <c r="FR948" t="s">
        <v>295</v>
      </c>
      <c r="GG948" t="s">
        <v>278</v>
      </c>
      <c r="GH948">
        <v>75</v>
      </c>
      <c r="GM948" t="s">
        <v>900</v>
      </c>
      <c r="GU948">
        <v>15</v>
      </c>
      <c r="GZ948" t="s">
        <v>296</v>
      </c>
      <c r="HH948" t="s">
        <v>272</v>
      </c>
      <c r="ID948" t="s">
        <v>479</v>
      </c>
      <c r="IE948" t="s">
        <v>2187</v>
      </c>
      <c r="IF948">
        <v>11875</v>
      </c>
      <c r="IG948" t="s">
        <v>2188</v>
      </c>
      <c r="IH948" t="s">
        <v>2189</v>
      </c>
      <c r="II948">
        <v>1985</v>
      </c>
      <c r="IJ948" t="s">
        <v>2190</v>
      </c>
    </row>
    <row r="949" spans="1:244" x14ac:dyDescent="0.45">
      <c r="A949">
        <v>1142027</v>
      </c>
      <c r="B949">
        <v>106173</v>
      </c>
      <c r="C949">
        <v>7718549</v>
      </c>
      <c r="D949" t="s">
        <v>2132</v>
      </c>
      <c r="F949" t="s">
        <v>245</v>
      </c>
      <c r="G949" t="s">
        <v>246</v>
      </c>
      <c r="N949" t="s">
        <v>2183</v>
      </c>
      <c r="O949" t="s">
        <v>498</v>
      </c>
      <c r="P949" t="s">
        <v>249</v>
      </c>
      <c r="Q949" t="s">
        <v>250</v>
      </c>
      <c r="R949" t="s">
        <v>251</v>
      </c>
      <c r="T949" t="s">
        <v>252</v>
      </c>
      <c r="U949" t="s">
        <v>499</v>
      </c>
      <c r="V949" t="s">
        <v>1281</v>
      </c>
      <c r="W949" t="s">
        <v>1282</v>
      </c>
      <c r="X949" t="s">
        <v>2184</v>
      </c>
      <c r="AM949" t="s">
        <v>258</v>
      </c>
      <c r="AN949" t="s">
        <v>259</v>
      </c>
      <c r="AO949" t="s">
        <v>260</v>
      </c>
      <c r="AQ949" t="s">
        <v>261</v>
      </c>
      <c r="AR949" t="s">
        <v>288</v>
      </c>
      <c r="AS949">
        <v>128000</v>
      </c>
      <c r="AX949" t="s">
        <v>262</v>
      </c>
      <c r="BO949" t="s">
        <v>261</v>
      </c>
      <c r="BP949" t="s">
        <v>288</v>
      </c>
      <c r="BQ949">
        <v>128</v>
      </c>
      <c r="BV949" t="s">
        <v>263</v>
      </c>
      <c r="CM949" t="s">
        <v>264</v>
      </c>
      <c r="CN949" t="s">
        <v>264</v>
      </c>
      <c r="CP949" t="s">
        <v>265</v>
      </c>
      <c r="DB949">
        <v>1</v>
      </c>
      <c r="DG949" t="s">
        <v>267</v>
      </c>
      <c r="DI949">
        <v>24</v>
      </c>
      <c r="DN949" t="s">
        <v>268</v>
      </c>
      <c r="DP949" t="s">
        <v>2185</v>
      </c>
      <c r="DR949">
        <v>371472</v>
      </c>
      <c r="DS949">
        <v>1342</v>
      </c>
      <c r="DT949" t="s">
        <v>2186</v>
      </c>
      <c r="EW949" t="s">
        <v>271</v>
      </c>
      <c r="FK949" t="s">
        <v>478</v>
      </c>
      <c r="FM949">
        <v>5</v>
      </c>
      <c r="FR949" t="s">
        <v>295</v>
      </c>
      <c r="GG949" t="s">
        <v>278</v>
      </c>
      <c r="GH949">
        <v>75</v>
      </c>
      <c r="GM949" t="s">
        <v>900</v>
      </c>
      <c r="GU949">
        <v>25</v>
      </c>
      <c r="GZ949" t="s">
        <v>296</v>
      </c>
      <c r="HH949" t="s">
        <v>272</v>
      </c>
      <c r="ID949" t="s">
        <v>479</v>
      </c>
      <c r="IE949" t="s">
        <v>2187</v>
      </c>
      <c r="IF949">
        <v>11875</v>
      </c>
      <c r="IG949" t="s">
        <v>2188</v>
      </c>
      <c r="IH949" t="s">
        <v>2189</v>
      </c>
      <c r="II949">
        <v>1985</v>
      </c>
      <c r="IJ949" t="s">
        <v>2190</v>
      </c>
    </row>
    <row r="950" spans="1:244" x14ac:dyDescent="0.45">
      <c r="A950">
        <v>1142047</v>
      </c>
      <c r="B950">
        <v>106193</v>
      </c>
      <c r="C950">
        <v>7718549</v>
      </c>
      <c r="D950" t="s">
        <v>2132</v>
      </c>
      <c r="F950" t="s">
        <v>245</v>
      </c>
      <c r="G950" t="s">
        <v>246</v>
      </c>
      <c r="N950" t="s">
        <v>2183</v>
      </c>
      <c r="O950" t="s">
        <v>498</v>
      </c>
      <c r="P950" t="s">
        <v>249</v>
      </c>
      <c r="Q950" t="s">
        <v>250</v>
      </c>
      <c r="R950" t="s">
        <v>251</v>
      </c>
      <c r="T950" t="s">
        <v>252</v>
      </c>
      <c r="U950" t="s">
        <v>499</v>
      </c>
      <c r="V950" t="s">
        <v>1281</v>
      </c>
      <c r="W950" t="s">
        <v>1282</v>
      </c>
      <c r="X950" t="s">
        <v>2184</v>
      </c>
      <c r="AM950" t="s">
        <v>258</v>
      </c>
      <c r="AN950" t="s">
        <v>259</v>
      </c>
      <c r="AO950" t="s">
        <v>260</v>
      </c>
      <c r="AQ950" t="s">
        <v>261</v>
      </c>
      <c r="AS950">
        <v>56000</v>
      </c>
      <c r="AX950" t="s">
        <v>262</v>
      </c>
      <c r="BO950" t="s">
        <v>261</v>
      </c>
      <c r="BQ950">
        <v>56</v>
      </c>
      <c r="BV950" t="s">
        <v>263</v>
      </c>
      <c r="CM950" t="s">
        <v>264</v>
      </c>
      <c r="CN950" t="s">
        <v>264</v>
      </c>
      <c r="CP950" t="s">
        <v>265</v>
      </c>
      <c r="DB950">
        <v>2</v>
      </c>
      <c r="DG950" t="s">
        <v>267</v>
      </c>
      <c r="DI950">
        <v>48</v>
      </c>
      <c r="DN950" t="s">
        <v>268</v>
      </c>
      <c r="DP950" t="s">
        <v>2185</v>
      </c>
      <c r="DR950">
        <v>371472</v>
      </c>
      <c r="DS950">
        <v>1342</v>
      </c>
      <c r="DT950" t="s">
        <v>2186</v>
      </c>
      <c r="EW950" t="s">
        <v>271</v>
      </c>
      <c r="FK950" t="s">
        <v>478</v>
      </c>
      <c r="FM950">
        <v>10</v>
      </c>
      <c r="FR950" t="s">
        <v>295</v>
      </c>
      <c r="GG950" t="s">
        <v>278</v>
      </c>
      <c r="GH950">
        <v>75</v>
      </c>
      <c r="GM950" t="s">
        <v>900</v>
      </c>
      <c r="GU950">
        <v>25</v>
      </c>
      <c r="GZ950" t="s">
        <v>296</v>
      </c>
      <c r="HH950" t="s">
        <v>272</v>
      </c>
      <c r="ID950" t="s">
        <v>479</v>
      </c>
      <c r="IE950" t="s">
        <v>2187</v>
      </c>
      <c r="IF950">
        <v>11875</v>
      </c>
      <c r="IG950" t="s">
        <v>2188</v>
      </c>
      <c r="IH950" t="s">
        <v>2189</v>
      </c>
      <c r="II950">
        <v>1985</v>
      </c>
      <c r="IJ950" t="s">
        <v>2190</v>
      </c>
    </row>
    <row r="951" spans="1:244" x14ac:dyDescent="0.45">
      <c r="A951">
        <v>1142030</v>
      </c>
      <c r="B951">
        <v>106176</v>
      </c>
      <c r="C951">
        <v>7718549</v>
      </c>
      <c r="D951" t="s">
        <v>2132</v>
      </c>
      <c r="F951" t="s">
        <v>245</v>
      </c>
      <c r="G951" t="s">
        <v>246</v>
      </c>
      <c r="N951" t="s">
        <v>2183</v>
      </c>
      <c r="O951" t="s">
        <v>498</v>
      </c>
      <c r="P951" t="s">
        <v>249</v>
      </c>
      <c r="Q951" t="s">
        <v>250</v>
      </c>
      <c r="R951" t="s">
        <v>251</v>
      </c>
      <c r="T951" t="s">
        <v>252</v>
      </c>
      <c r="U951" t="s">
        <v>499</v>
      </c>
      <c r="V951" t="s">
        <v>1281</v>
      </c>
      <c r="W951" t="s">
        <v>1282</v>
      </c>
      <c r="X951" t="s">
        <v>2184</v>
      </c>
      <c r="AM951" t="s">
        <v>258</v>
      </c>
      <c r="AN951" t="s">
        <v>259</v>
      </c>
      <c r="AO951" t="s">
        <v>260</v>
      </c>
      <c r="AQ951" t="s">
        <v>261</v>
      </c>
      <c r="AS951">
        <v>62000</v>
      </c>
      <c r="AX951" t="s">
        <v>262</v>
      </c>
      <c r="BO951" t="s">
        <v>261</v>
      </c>
      <c r="BQ951">
        <v>62</v>
      </c>
      <c r="BV951" t="s">
        <v>263</v>
      </c>
      <c r="CM951" t="s">
        <v>264</v>
      </c>
      <c r="CN951" t="s">
        <v>264</v>
      </c>
      <c r="CP951" t="s">
        <v>265</v>
      </c>
      <c r="DB951">
        <v>1</v>
      </c>
      <c r="DG951" t="s">
        <v>267</v>
      </c>
      <c r="DI951">
        <v>24</v>
      </c>
      <c r="DN951" t="s">
        <v>268</v>
      </c>
      <c r="DP951" t="s">
        <v>2185</v>
      </c>
      <c r="DR951">
        <v>371472</v>
      </c>
      <c r="DS951">
        <v>1342</v>
      </c>
      <c r="DT951" t="s">
        <v>2186</v>
      </c>
      <c r="EW951" t="s">
        <v>271</v>
      </c>
      <c r="FK951" t="s">
        <v>478</v>
      </c>
      <c r="FM951">
        <v>10</v>
      </c>
      <c r="FR951" t="s">
        <v>295</v>
      </c>
      <c r="GG951" t="s">
        <v>278</v>
      </c>
      <c r="GH951">
        <v>75</v>
      </c>
      <c r="GM951" t="s">
        <v>900</v>
      </c>
      <c r="GU951">
        <v>10</v>
      </c>
      <c r="GZ951" t="s">
        <v>296</v>
      </c>
      <c r="HH951" t="s">
        <v>272</v>
      </c>
      <c r="ID951" t="s">
        <v>479</v>
      </c>
      <c r="IE951" t="s">
        <v>2187</v>
      </c>
      <c r="IF951">
        <v>11875</v>
      </c>
      <c r="IG951" t="s">
        <v>2188</v>
      </c>
      <c r="IH951" t="s">
        <v>2189</v>
      </c>
      <c r="II951">
        <v>1985</v>
      </c>
      <c r="IJ951" t="s">
        <v>2190</v>
      </c>
    </row>
    <row r="952" spans="1:244" x14ac:dyDescent="0.45">
      <c r="A952">
        <v>1035629</v>
      </c>
      <c r="B952">
        <v>54870</v>
      </c>
      <c r="C952">
        <v>7718549</v>
      </c>
      <c r="D952" t="s">
        <v>2132</v>
      </c>
      <c r="F952" t="s">
        <v>245</v>
      </c>
      <c r="G952" t="s">
        <v>246</v>
      </c>
      <c r="N952" t="s">
        <v>566</v>
      </c>
      <c r="O952" t="s">
        <v>388</v>
      </c>
      <c r="P952" t="s">
        <v>249</v>
      </c>
      <c r="Q952" t="s">
        <v>250</v>
      </c>
      <c r="R952" t="s">
        <v>251</v>
      </c>
      <c r="T952" t="s">
        <v>389</v>
      </c>
      <c r="U952" t="s">
        <v>390</v>
      </c>
      <c r="V952" t="s">
        <v>567</v>
      </c>
      <c r="W952" t="s">
        <v>568</v>
      </c>
      <c r="X952" t="s">
        <v>569</v>
      </c>
      <c r="Z952" t="s">
        <v>315</v>
      </c>
      <c r="AM952" t="s">
        <v>317</v>
      </c>
      <c r="AN952" t="s">
        <v>259</v>
      </c>
      <c r="AO952" t="s">
        <v>260</v>
      </c>
      <c r="AQ952" t="s">
        <v>261</v>
      </c>
      <c r="AS952">
        <v>6000</v>
      </c>
      <c r="AU952">
        <v>3900</v>
      </c>
      <c r="AW952">
        <v>9100</v>
      </c>
      <c r="AX952" t="s">
        <v>262</v>
      </c>
      <c r="BO952" t="s">
        <v>261</v>
      </c>
      <c r="BQ952">
        <v>6</v>
      </c>
      <c r="BS952">
        <v>3.9</v>
      </c>
      <c r="BU952">
        <v>9.1</v>
      </c>
      <c r="BV952" t="s">
        <v>263</v>
      </c>
      <c r="CM952" t="s">
        <v>264</v>
      </c>
      <c r="CN952" t="s">
        <v>264</v>
      </c>
      <c r="CP952" t="s">
        <v>265</v>
      </c>
      <c r="CQ952" t="s">
        <v>837</v>
      </c>
      <c r="DB952">
        <v>4</v>
      </c>
      <c r="DG952" t="s">
        <v>267</v>
      </c>
      <c r="DI952">
        <v>96</v>
      </c>
      <c r="DN952" t="s">
        <v>268</v>
      </c>
      <c r="DP952" t="s">
        <v>570</v>
      </c>
      <c r="DS952">
        <v>212</v>
      </c>
      <c r="DT952" t="s">
        <v>571</v>
      </c>
      <c r="EW952" t="s">
        <v>271</v>
      </c>
      <c r="FM952">
        <v>20</v>
      </c>
      <c r="FR952" t="s">
        <v>295</v>
      </c>
      <c r="GA952">
        <v>75</v>
      </c>
      <c r="GF952" t="s">
        <v>572</v>
      </c>
      <c r="GO952">
        <v>8</v>
      </c>
      <c r="GU952">
        <v>7</v>
      </c>
      <c r="GZ952" t="s">
        <v>296</v>
      </c>
      <c r="HH952" t="s">
        <v>272</v>
      </c>
      <c r="IE952" t="s">
        <v>573</v>
      </c>
      <c r="IF952">
        <v>2183</v>
      </c>
      <c r="IG952" t="s">
        <v>574</v>
      </c>
      <c r="IH952" t="s">
        <v>575</v>
      </c>
      <c r="II952">
        <v>1978</v>
      </c>
      <c r="IJ952" t="s">
        <v>576</v>
      </c>
    </row>
    <row r="953" spans="1:244" x14ac:dyDescent="0.45">
      <c r="A953">
        <v>1142028</v>
      </c>
      <c r="B953">
        <v>106174</v>
      </c>
      <c r="C953">
        <v>7718549</v>
      </c>
      <c r="D953" t="s">
        <v>2132</v>
      </c>
      <c r="F953" t="s">
        <v>245</v>
      </c>
      <c r="G953" t="s">
        <v>246</v>
      </c>
      <c r="N953" t="s">
        <v>2183</v>
      </c>
      <c r="O953" t="s">
        <v>498</v>
      </c>
      <c r="P953" t="s">
        <v>249</v>
      </c>
      <c r="Q953" t="s">
        <v>250</v>
      </c>
      <c r="R953" t="s">
        <v>251</v>
      </c>
      <c r="T953" t="s">
        <v>252</v>
      </c>
      <c r="U953" t="s">
        <v>499</v>
      </c>
      <c r="V953" t="s">
        <v>1281</v>
      </c>
      <c r="W953" t="s">
        <v>1282</v>
      </c>
      <c r="X953" t="s">
        <v>2184</v>
      </c>
      <c r="AM953" t="s">
        <v>258</v>
      </c>
      <c r="AN953" t="s">
        <v>259</v>
      </c>
      <c r="AO953" t="s">
        <v>260</v>
      </c>
      <c r="AQ953" t="s">
        <v>261</v>
      </c>
      <c r="AR953" t="s">
        <v>288</v>
      </c>
      <c r="AS953">
        <v>128000</v>
      </c>
      <c r="AX953" t="s">
        <v>262</v>
      </c>
      <c r="BO953" t="s">
        <v>261</v>
      </c>
      <c r="BP953" t="s">
        <v>288</v>
      </c>
      <c r="BQ953">
        <v>128</v>
      </c>
      <c r="BV953" t="s">
        <v>263</v>
      </c>
      <c r="CM953" t="s">
        <v>264</v>
      </c>
      <c r="CN953" t="s">
        <v>264</v>
      </c>
      <c r="CP953" t="s">
        <v>265</v>
      </c>
      <c r="DB953">
        <v>1</v>
      </c>
      <c r="DG953" t="s">
        <v>267</v>
      </c>
      <c r="DI953">
        <v>24</v>
      </c>
      <c r="DN953" t="s">
        <v>268</v>
      </c>
      <c r="DP953" t="s">
        <v>2185</v>
      </c>
      <c r="DR953">
        <v>371472</v>
      </c>
      <c r="DS953">
        <v>1342</v>
      </c>
      <c r="DT953" t="s">
        <v>2186</v>
      </c>
      <c r="EW953" t="s">
        <v>271</v>
      </c>
      <c r="FK953" t="s">
        <v>478</v>
      </c>
      <c r="FM953">
        <v>5</v>
      </c>
      <c r="FR953" t="s">
        <v>295</v>
      </c>
      <c r="GG953" t="s">
        <v>278</v>
      </c>
      <c r="GH953">
        <v>75</v>
      </c>
      <c r="GM953" t="s">
        <v>900</v>
      </c>
      <c r="GU953">
        <v>35</v>
      </c>
      <c r="GZ953" t="s">
        <v>296</v>
      </c>
      <c r="HH953" t="s">
        <v>272</v>
      </c>
      <c r="ID953" t="s">
        <v>479</v>
      </c>
      <c r="IE953" t="s">
        <v>2187</v>
      </c>
      <c r="IF953">
        <v>11875</v>
      </c>
      <c r="IG953" t="s">
        <v>2188</v>
      </c>
      <c r="IH953" t="s">
        <v>2189</v>
      </c>
      <c r="II953">
        <v>1985</v>
      </c>
      <c r="IJ953" t="s">
        <v>2190</v>
      </c>
    </row>
    <row r="954" spans="1:244" x14ac:dyDescent="0.45">
      <c r="A954">
        <v>1142032</v>
      </c>
      <c r="B954">
        <v>106178</v>
      </c>
      <c r="C954">
        <v>7718549</v>
      </c>
      <c r="D954" t="s">
        <v>2132</v>
      </c>
      <c r="F954" t="s">
        <v>245</v>
      </c>
      <c r="G954" t="s">
        <v>246</v>
      </c>
      <c r="N954" t="s">
        <v>2183</v>
      </c>
      <c r="O954" t="s">
        <v>498</v>
      </c>
      <c r="P954" t="s">
        <v>249</v>
      </c>
      <c r="Q954" t="s">
        <v>250</v>
      </c>
      <c r="R954" t="s">
        <v>251</v>
      </c>
      <c r="T954" t="s">
        <v>252</v>
      </c>
      <c r="U954" t="s">
        <v>499</v>
      </c>
      <c r="V954" t="s">
        <v>1281</v>
      </c>
      <c r="W954" t="s">
        <v>1282</v>
      </c>
      <c r="X954" t="s">
        <v>2184</v>
      </c>
      <c r="AM954" t="s">
        <v>258</v>
      </c>
      <c r="AN954" t="s">
        <v>259</v>
      </c>
      <c r="AO954" t="s">
        <v>260</v>
      </c>
      <c r="AQ954" t="s">
        <v>261</v>
      </c>
      <c r="AR954" t="s">
        <v>288</v>
      </c>
      <c r="AS954">
        <v>128000</v>
      </c>
      <c r="AX954" t="s">
        <v>262</v>
      </c>
      <c r="BO954" t="s">
        <v>261</v>
      </c>
      <c r="BP954" t="s">
        <v>288</v>
      </c>
      <c r="BQ954">
        <v>128</v>
      </c>
      <c r="BV954" t="s">
        <v>263</v>
      </c>
      <c r="CM954" t="s">
        <v>264</v>
      </c>
      <c r="CN954" t="s">
        <v>264</v>
      </c>
      <c r="CP954" t="s">
        <v>265</v>
      </c>
      <c r="DB954">
        <v>1</v>
      </c>
      <c r="DG954" t="s">
        <v>267</v>
      </c>
      <c r="DI954">
        <v>24</v>
      </c>
      <c r="DN954" t="s">
        <v>268</v>
      </c>
      <c r="DP954" t="s">
        <v>2185</v>
      </c>
      <c r="DR954">
        <v>371472</v>
      </c>
      <c r="DS954">
        <v>1342</v>
      </c>
      <c r="DT954" t="s">
        <v>2186</v>
      </c>
      <c r="EW954" t="s">
        <v>271</v>
      </c>
      <c r="FK954" t="s">
        <v>478</v>
      </c>
      <c r="FM954">
        <v>10</v>
      </c>
      <c r="FR954" t="s">
        <v>295</v>
      </c>
      <c r="GG954" t="s">
        <v>278</v>
      </c>
      <c r="GH954">
        <v>75</v>
      </c>
      <c r="GM954" t="s">
        <v>900</v>
      </c>
      <c r="GU954">
        <v>25</v>
      </c>
      <c r="GZ954" t="s">
        <v>296</v>
      </c>
      <c r="HH954" t="s">
        <v>272</v>
      </c>
      <c r="ID954" t="s">
        <v>479</v>
      </c>
      <c r="IE954" t="s">
        <v>2187</v>
      </c>
      <c r="IF954">
        <v>11875</v>
      </c>
      <c r="IG954" t="s">
        <v>2188</v>
      </c>
      <c r="IH954" t="s">
        <v>2189</v>
      </c>
      <c r="II954">
        <v>1985</v>
      </c>
      <c r="IJ954" t="s">
        <v>2190</v>
      </c>
    </row>
    <row r="955" spans="1:244" x14ac:dyDescent="0.45">
      <c r="A955">
        <v>1142064</v>
      </c>
      <c r="B955">
        <v>106210</v>
      </c>
      <c r="C955">
        <v>7718549</v>
      </c>
      <c r="D955" t="s">
        <v>2132</v>
      </c>
      <c r="F955" t="s">
        <v>245</v>
      </c>
      <c r="G955" t="s">
        <v>246</v>
      </c>
      <c r="N955" t="s">
        <v>2183</v>
      </c>
      <c r="O955" t="s">
        <v>498</v>
      </c>
      <c r="P955" t="s">
        <v>249</v>
      </c>
      <c r="Q955" t="s">
        <v>250</v>
      </c>
      <c r="R955" t="s">
        <v>251</v>
      </c>
      <c r="T955" t="s">
        <v>252</v>
      </c>
      <c r="U955" t="s">
        <v>499</v>
      </c>
      <c r="V955" t="s">
        <v>1281</v>
      </c>
      <c r="W955" t="s">
        <v>1282</v>
      </c>
      <c r="X955" t="s">
        <v>2184</v>
      </c>
      <c r="AM955" t="s">
        <v>258</v>
      </c>
      <c r="AN955" t="s">
        <v>259</v>
      </c>
      <c r="AO955" t="s">
        <v>260</v>
      </c>
      <c r="AQ955" t="s">
        <v>261</v>
      </c>
      <c r="AS955">
        <v>5600</v>
      </c>
      <c r="AX955" t="s">
        <v>262</v>
      </c>
      <c r="BO955" t="s">
        <v>261</v>
      </c>
      <c r="BQ955">
        <v>5.6</v>
      </c>
      <c r="BV955" t="s">
        <v>263</v>
      </c>
      <c r="CM955" t="s">
        <v>264</v>
      </c>
      <c r="CN955" t="s">
        <v>264</v>
      </c>
      <c r="CP955" t="s">
        <v>265</v>
      </c>
      <c r="DB955">
        <v>4</v>
      </c>
      <c r="DG955" t="s">
        <v>267</v>
      </c>
      <c r="DI955">
        <v>96</v>
      </c>
      <c r="DN955" t="s">
        <v>268</v>
      </c>
      <c r="DP955" t="s">
        <v>2185</v>
      </c>
      <c r="DR955">
        <v>371472</v>
      </c>
      <c r="DS955">
        <v>1342</v>
      </c>
      <c r="DT955" t="s">
        <v>2186</v>
      </c>
      <c r="EW955" t="s">
        <v>271</v>
      </c>
      <c r="FK955" t="s">
        <v>478</v>
      </c>
      <c r="FM955">
        <v>15</v>
      </c>
      <c r="FR955" t="s">
        <v>295</v>
      </c>
      <c r="GG955" t="s">
        <v>278</v>
      </c>
      <c r="GH955">
        <v>75</v>
      </c>
      <c r="GM955" t="s">
        <v>900</v>
      </c>
      <c r="GU955">
        <v>5</v>
      </c>
      <c r="GZ955" t="s">
        <v>296</v>
      </c>
      <c r="HH955" t="s">
        <v>272</v>
      </c>
      <c r="ID955" t="s">
        <v>479</v>
      </c>
      <c r="IE955" t="s">
        <v>2187</v>
      </c>
      <c r="IF955">
        <v>11875</v>
      </c>
      <c r="IG955" t="s">
        <v>2188</v>
      </c>
      <c r="IH955" t="s">
        <v>2189</v>
      </c>
      <c r="II955">
        <v>1985</v>
      </c>
      <c r="IJ955" t="s">
        <v>2190</v>
      </c>
    </row>
    <row r="956" spans="1:244" x14ac:dyDescent="0.45">
      <c r="A956">
        <v>1142062</v>
      </c>
      <c r="B956">
        <v>106208</v>
      </c>
      <c r="C956">
        <v>7718549</v>
      </c>
      <c r="D956" t="s">
        <v>2132</v>
      </c>
      <c r="F956" t="s">
        <v>245</v>
      </c>
      <c r="G956" t="s">
        <v>246</v>
      </c>
      <c r="N956" t="s">
        <v>2183</v>
      </c>
      <c r="O956" t="s">
        <v>498</v>
      </c>
      <c r="P956" t="s">
        <v>249</v>
      </c>
      <c r="Q956" t="s">
        <v>250</v>
      </c>
      <c r="R956" t="s">
        <v>251</v>
      </c>
      <c r="T956" t="s">
        <v>252</v>
      </c>
      <c r="U956" t="s">
        <v>499</v>
      </c>
      <c r="V956" t="s">
        <v>1281</v>
      </c>
      <c r="W956" t="s">
        <v>1282</v>
      </c>
      <c r="X956" t="s">
        <v>2184</v>
      </c>
      <c r="AM956" t="s">
        <v>258</v>
      </c>
      <c r="AN956" t="s">
        <v>259</v>
      </c>
      <c r="AO956" t="s">
        <v>260</v>
      </c>
      <c r="AQ956" t="s">
        <v>261</v>
      </c>
      <c r="AS956">
        <v>24000</v>
      </c>
      <c r="AX956" t="s">
        <v>262</v>
      </c>
      <c r="BO956" t="s">
        <v>261</v>
      </c>
      <c r="BQ956">
        <v>24</v>
      </c>
      <c r="BV956" t="s">
        <v>263</v>
      </c>
      <c r="CM956" t="s">
        <v>264</v>
      </c>
      <c r="CN956" t="s">
        <v>264</v>
      </c>
      <c r="CP956" t="s">
        <v>265</v>
      </c>
      <c r="DB956">
        <v>4</v>
      </c>
      <c r="DG956" t="s">
        <v>267</v>
      </c>
      <c r="DI956">
        <v>96</v>
      </c>
      <c r="DN956" t="s">
        <v>268</v>
      </c>
      <c r="DP956" t="s">
        <v>2185</v>
      </c>
      <c r="DR956">
        <v>371472</v>
      </c>
      <c r="DS956">
        <v>1342</v>
      </c>
      <c r="DT956" t="s">
        <v>2186</v>
      </c>
      <c r="EW956" t="s">
        <v>271</v>
      </c>
      <c r="FK956" t="s">
        <v>478</v>
      </c>
      <c r="FM956">
        <v>10</v>
      </c>
      <c r="FR956" t="s">
        <v>295</v>
      </c>
      <c r="GG956" t="s">
        <v>278</v>
      </c>
      <c r="GH956">
        <v>75</v>
      </c>
      <c r="GM956" t="s">
        <v>900</v>
      </c>
      <c r="GU956">
        <v>25</v>
      </c>
      <c r="GZ956" t="s">
        <v>296</v>
      </c>
      <c r="HH956" t="s">
        <v>272</v>
      </c>
      <c r="ID956" t="s">
        <v>479</v>
      </c>
      <c r="IE956" t="s">
        <v>2187</v>
      </c>
      <c r="IF956">
        <v>11875</v>
      </c>
      <c r="IG956" t="s">
        <v>2188</v>
      </c>
      <c r="IH956" t="s">
        <v>2189</v>
      </c>
      <c r="II956">
        <v>1985</v>
      </c>
      <c r="IJ956" t="s">
        <v>2190</v>
      </c>
    </row>
    <row r="957" spans="1:244" x14ac:dyDescent="0.45">
      <c r="A957">
        <v>1053479</v>
      </c>
      <c r="B957">
        <v>129437</v>
      </c>
      <c r="C957">
        <v>7718549</v>
      </c>
      <c r="D957" t="s">
        <v>2132</v>
      </c>
      <c r="F957" t="s">
        <v>327</v>
      </c>
      <c r="G957" t="s">
        <v>246</v>
      </c>
      <c r="N957" t="s">
        <v>369</v>
      </c>
      <c r="O957" t="s">
        <v>370</v>
      </c>
      <c r="P957" t="s">
        <v>249</v>
      </c>
      <c r="Q957" t="s">
        <v>250</v>
      </c>
      <c r="R957" t="s">
        <v>251</v>
      </c>
      <c r="T957" t="s">
        <v>252</v>
      </c>
      <c r="U957" t="s">
        <v>371</v>
      </c>
      <c r="V957" t="s">
        <v>372</v>
      </c>
      <c r="W957" t="s">
        <v>373</v>
      </c>
      <c r="X957" t="s">
        <v>374</v>
      </c>
      <c r="Z957" t="s">
        <v>649</v>
      </c>
      <c r="AM957" t="s">
        <v>307</v>
      </c>
      <c r="AN957" t="s">
        <v>259</v>
      </c>
      <c r="AO957" t="s">
        <v>260</v>
      </c>
      <c r="AQ957" t="s">
        <v>261</v>
      </c>
      <c r="AS957">
        <v>508</v>
      </c>
      <c r="AU957">
        <v>387</v>
      </c>
      <c r="AW957">
        <v>635</v>
      </c>
      <c r="AX957" t="s">
        <v>262</v>
      </c>
      <c r="BO957" t="s">
        <v>261</v>
      </c>
      <c r="BQ957">
        <v>0.50800000000000001</v>
      </c>
      <c r="BS957">
        <v>0.38700000000000001</v>
      </c>
      <c r="BU957">
        <v>0.63500000000000001</v>
      </c>
      <c r="BV957" t="s">
        <v>263</v>
      </c>
      <c r="CM957" t="s">
        <v>264</v>
      </c>
      <c r="CN957" t="s">
        <v>264</v>
      </c>
      <c r="CO957" t="s">
        <v>802</v>
      </c>
      <c r="CP957" t="s">
        <v>265</v>
      </c>
      <c r="DB957">
        <v>4</v>
      </c>
      <c r="DG957" t="s">
        <v>267</v>
      </c>
      <c r="DI957">
        <v>96</v>
      </c>
      <c r="DN957" t="s">
        <v>268</v>
      </c>
      <c r="DR957">
        <v>110441</v>
      </c>
      <c r="DS957">
        <v>142</v>
      </c>
      <c r="EW957" t="s">
        <v>333</v>
      </c>
      <c r="FM957">
        <v>22</v>
      </c>
      <c r="FR957" t="s">
        <v>295</v>
      </c>
      <c r="GU957">
        <v>30</v>
      </c>
      <c r="GZ957" t="s">
        <v>296</v>
      </c>
      <c r="HH957" t="s">
        <v>272</v>
      </c>
      <c r="IE957" t="s">
        <v>804</v>
      </c>
      <c r="IF957">
        <v>3734</v>
      </c>
      <c r="IG957" t="s">
        <v>741</v>
      </c>
      <c r="IH957" t="s">
        <v>805</v>
      </c>
      <c r="II957">
        <v>1982</v>
      </c>
      <c r="IJ957" t="s">
        <v>806</v>
      </c>
    </row>
    <row r="958" spans="1:244" x14ac:dyDescent="0.45">
      <c r="A958">
        <v>1142061</v>
      </c>
      <c r="B958">
        <v>106207</v>
      </c>
      <c r="C958">
        <v>7718549</v>
      </c>
      <c r="D958" t="s">
        <v>2132</v>
      </c>
      <c r="F958" t="s">
        <v>245</v>
      </c>
      <c r="G958" t="s">
        <v>246</v>
      </c>
      <c r="N958" t="s">
        <v>2183</v>
      </c>
      <c r="O958" t="s">
        <v>498</v>
      </c>
      <c r="P958" t="s">
        <v>249</v>
      </c>
      <c r="Q958" t="s">
        <v>250</v>
      </c>
      <c r="R958" t="s">
        <v>251</v>
      </c>
      <c r="T958" t="s">
        <v>252</v>
      </c>
      <c r="U958" t="s">
        <v>499</v>
      </c>
      <c r="V958" t="s">
        <v>1281</v>
      </c>
      <c r="W958" t="s">
        <v>1282</v>
      </c>
      <c r="X958" t="s">
        <v>2184</v>
      </c>
      <c r="AM958" t="s">
        <v>258</v>
      </c>
      <c r="AN958" t="s">
        <v>259</v>
      </c>
      <c r="AO958" t="s">
        <v>260</v>
      </c>
      <c r="AQ958" t="s">
        <v>261</v>
      </c>
      <c r="AS958">
        <v>22000</v>
      </c>
      <c r="AX958" t="s">
        <v>262</v>
      </c>
      <c r="BO958" t="s">
        <v>261</v>
      </c>
      <c r="BQ958">
        <v>22</v>
      </c>
      <c r="BV958" t="s">
        <v>263</v>
      </c>
      <c r="CM958" t="s">
        <v>264</v>
      </c>
      <c r="CN958" t="s">
        <v>264</v>
      </c>
      <c r="CP958" t="s">
        <v>265</v>
      </c>
      <c r="DB958">
        <v>4</v>
      </c>
      <c r="DG958" t="s">
        <v>267</v>
      </c>
      <c r="DI958">
        <v>96</v>
      </c>
      <c r="DN958" t="s">
        <v>268</v>
      </c>
      <c r="DP958" t="s">
        <v>2185</v>
      </c>
      <c r="DR958">
        <v>371472</v>
      </c>
      <c r="DS958">
        <v>1342</v>
      </c>
      <c r="DT958" t="s">
        <v>2186</v>
      </c>
      <c r="EW958" t="s">
        <v>271</v>
      </c>
      <c r="FK958" t="s">
        <v>478</v>
      </c>
      <c r="FM958">
        <v>10</v>
      </c>
      <c r="FR958" t="s">
        <v>295</v>
      </c>
      <c r="GG958" t="s">
        <v>278</v>
      </c>
      <c r="GH958">
        <v>75</v>
      </c>
      <c r="GM958" t="s">
        <v>900</v>
      </c>
      <c r="GU958">
        <v>15</v>
      </c>
      <c r="GZ958" t="s">
        <v>296</v>
      </c>
      <c r="HH958" t="s">
        <v>272</v>
      </c>
      <c r="ID958" t="s">
        <v>479</v>
      </c>
      <c r="IE958" t="s">
        <v>2187</v>
      </c>
      <c r="IF958">
        <v>11875</v>
      </c>
      <c r="IG958" t="s">
        <v>2188</v>
      </c>
      <c r="IH958" t="s">
        <v>2189</v>
      </c>
      <c r="II958">
        <v>1985</v>
      </c>
      <c r="IJ958" t="s">
        <v>2190</v>
      </c>
    </row>
    <row r="959" spans="1:244" x14ac:dyDescent="0.45">
      <c r="A959">
        <v>1142063</v>
      </c>
      <c r="B959">
        <v>106209</v>
      </c>
      <c r="C959">
        <v>7718549</v>
      </c>
      <c r="D959" t="s">
        <v>2132</v>
      </c>
      <c r="F959" t="s">
        <v>245</v>
      </c>
      <c r="G959" t="s">
        <v>246</v>
      </c>
      <c r="N959" t="s">
        <v>2183</v>
      </c>
      <c r="O959" t="s">
        <v>498</v>
      </c>
      <c r="P959" t="s">
        <v>249</v>
      </c>
      <c r="Q959" t="s">
        <v>250</v>
      </c>
      <c r="R959" t="s">
        <v>251</v>
      </c>
      <c r="T959" t="s">
        <v>252</v>
      </c>
      <c r="U959" t="s">
        <v>499</v>
      </c>
      <c r="V959" t="s">
        <v>1281</v>
      </c>
      <c r="W959" t="s">
        <v>1282</v>
      </c>
      <c r="X959" t="s">
        <v>2184</v>
      </c>
      <c r="AM959" t="s">
        <v>258</v>
      </c>
      <c r="AN959" t="s">
        <v>259</v>
      </c>
      <c r="AO959" t="s">
        <v>260</v>
      </c>
      <c r="AQ959" t="s">
        <v>261</v>
      </c>
      <c r="AS959">
        <v>52000</v>
      </c>
      <c r="AX959" t="s">
        <v>262</v>
      </c>
      <c r="BO959" t="s">
        <v>261</v>
      </c>
      <c r="BQ959">
        <v>52</v>
      </c>
      <c r="BV959" t="s">
        <v>263</v>
      </c>
      <c r="CM959" t="s">
        <v>264</v>
      </c>
      <c r="CN959" t="s">
        <v>264</v>
      </c>
      <c r="CP959" t="s">
        <v>265</v>
      </c>
      <c r="DB959">
        <v>4</v>
      </c>
      <c r="DG959" t="s">
        <v>267</v>
      </c>
      <c r="DI959">
        <v>96</v>
      </c>
      <c r="DN959" t="s">
        <v>268</v>
      </c>
      <c r="DP959" t="s">
        <v>2185</v>
      </c>
      <c r="DR959">
        <v>371472</v>
      </c>
      <c r="DS959">
        <v>1342</v>
      </c>
      <c r="DT959" t="s">
        <v>2186</v>
      </c>
      <c r="EW959" t="s">
        <v>271</v>
      </c>
      <c r="FK959" t="s">
        <v>478</v>
      </c>
      <c r="FM959">
        <v>10</v>
      </c>
      <c r="FR959" t="s">
        <v>295</v>
      </c>
      <c r="GG959" t="s">
        <v>278</v>
      </c>
      <c r="GH959">
        <v>75</v>
      </c>
      <c r="GM959" t="s">
        <v>900</v>
      </c>
      <c r="GU959">
        <v>35</v>
      </c>
      <c r="GZ959" t="s">
        <v>296</v>
      </c>
      <c r="HH959" t="s">
        <v>272</v>
      </c>
      <c r="ID959" t="s">
        <v>479</v>
      </c>
      <c r="IE959" t="s">
        <v>2187</v>
      </c>
      <c r="IF959">
        <v>11875</v>
      </c>
      <c r="IG959" t="s">
        <v>2188</v>
      </c>
      <c r="IH959" t="s">
        <v>2189</v>
      </c>
      <c r="II959">
        <v>1985</v>
      </c>
      <c r="IJ959" t="s">
        <v>2190</v>
      </c>
    </row>
    <row r="960" spans="1:244" x14ac:dyDescent="0.45">
      <c r="A960">
        <v>1055007</v>
      </c>
      <c r="B960">
        <v>20034</v>
      </c>
      <c r="C960">
        <v>7718549</v>
      </c>
      <c r="D960" t="s">
        <v>2132</v>
      </c>
      <c r="F960" t="s">
        <v>327</v>
      </c>
      <c r="G960" t="s">
        <v>246</v>
      </c>
      <c r="N960" t="s">
        <v>645</v>
      </c>
      <c r="O960" t="s">
        <v>646</v>
      </c>
      <c r="P960" t="s">
        <v>249</v>
      </c>
      <c r="Q960" t="s">
        <v>250</v>
      </c>
      <c r="R960" t="s">
        <v>251</v>
      </c>
      <c r="T960" t="s">
        <v>252</v>
      </c>
      <c r="U960" t="s">
        <v>371</v>
      </c>
      <c r="V960" t="s">
        <v>372</v>
      </c>
      <c r="W960" t="s">
        <v>647</v>
      </c>
      <c r="X960" t="s">
        <v>648</v>
      </c>
      <c r="Z960" t="s">
        <v>649</v>
      </c>
      <c r="AM960" t="s">
        <v>317</v>
      </c>
      <c r="AN960" t="s">
        <v>259</v>
      </c>
      <c r="AO960" t="s">
        <v>260</v>
      </c>
      <c r="AQ960" t="s">
        <v>261</v>
      </c>
      <c r="AS960">
        <v>634</v>
      </c>
      <c r="AU960">
        <v>561</v>
      </c>
      <c r="AW960">
        <v>719</v>
      </c>
      <c r="AX960" t="s">
        <v>262</v>
      </c>
      <c r="BO960" t="s">
        <v>261</v>
      </c>
      <c r="BQ960">
        <v>0.63400000000000001</v>
      </c>
      <c r="BS960">
        <v>0.56100000000000005</v>
      </c>
      <c r="BU960">
        <v>0.71899999999999997</v>
      </c>
      <c r="BV960" t="s">
        <v>263</v>
      </c>
      <c r="CM960" t="s">
        <v>264</v>
      </c>
      <c r="CN960" t="s">
        <v>264</v>
      </c>
      <c r="CP960" t="s">
        <v>265</v>
      </c>
      <c r="DB960">
        <v>4</v>
      </c>
      <c r="DG960" t="s">
        <v>267</v>
      </c>
      <c r="DI960">
        <v>96</v>
      </c>
      <c r="DN960" t="s">
        <v>268</v>
      </c>
      <c r="DS960">
        <v>1197</v>
      </c>
      <c r="EW960" t="s">
        <v>333</v>
      </c>
      <c r="FM960">
        <v>22</v>
      </c>
      <c r="FR960" t="s">
        <v>295</v>
      </c>
      <c r="GU960">
        <v>30</v>
      </c>
      <c r="GZ960" t="s">
        <v>296</v>
      </c>
      <c r="HH960" t="s">
        <v>272</v>
      </c>
      <c r="IE960" t="s">
        <v>2150</v>
      </c>
      <c r="IF960">
        <v>3828</v>
      </c>
      <c r="IG960" t="s">
        <v>2151</v>
      </c>
      <c r="IH960" t="s">
        <v>2067</v>
      </c>
      <c r="II960">
        <v>1985</v>
      </c>
      <c r="IJ960" t="s">
        <v>2152</v>
      </c>
    </row>
    <row r="961" spans="1:244" x14ac:dyDescent="0.45">
      <c r="A961">
        <v>1142053</v>
      </c>
      <c r="B961">
        <v>106199</v>
      </c>
      <c r="C961">
        <v>7718549</v>
      </c>
      <c r="D961" t="s">
        <v>2132</v>
      </c>
      <c r="F961" t="s">
        <v>245</v>
      </c>
      <c r="G961" t="s">
        <v>246</v>
      </c>
      <c r="N961" t="s">
        <v>2183</v>
      </c>
      <c r="O961" t="s">
        <v>498</v>
      </c>
      <c r="P961" t="s">
        <v>249</v>
      </c>
      <c r="Q961" t="s">
        <v>250</v>
      </c>
      <c r="R961" t="s">
        <v>251</v>
      </c>
      <c r="T961" t="s">
        <v>252</v>
      </c>
      <c r="U961" t="s">
        <v>499</v>
      </c>
      <c r="V961" t="s">
        <v>1281</v>
      </c>
      <c r="W961" t="s">
        <v>1282</v>
      </c>
      <c r="X961" t="s">
        <v>2184</v>
      </c>
      <c r="AM961" t="s">
        <v>258</v>
      </c>
      <c r="AN961" t="s">
        <v>259</v>
      </c>
      <c r="AO961" t="s">
        <v>260</v>
      </c>
      <c r="AQ961" t="s">
        <v>261</v>
      </c>
      <c r="AR961" t="s">
        <v>288</v>
      </c>
      <c r="AS961">
        <v>128000</v>
      </c>
      <c r="AX961" t="s">
        <v>262</v>
      </c>
      <c r="BO961" t="s">
        <v>261</v>
      </c>
      <c r="BP961" t="s">
        <v>288</v>
      </c>
      <c r="BQ961">
        <v>128</v>
      </c>
      <c r="BV961" t="s">
        <v>263</v>
      </c>
      <c r="CM961" t="s">
        <v>264</v>
      </c>
      <c r="CN961" t="s">
        <v>264</v>
      </c>
      <c r="CP961" t="s">
        <v>265</v>
      </c>
      <c r="DB961">
        <v>2</v>
      </c>
      <c r="DG961" t="s">
        <v>267</v>
      </c>
      <c r="DI961">
        <v>48</v>
      </c>
      <c r="DN961" t="s">
        <v>268</v>
      </c>
      <c r="DP961" t="s">
        <v>2185</v>
      </c>
      <c r="DR961">
        <v>371472</v>
      </c>
      <c r="DS961">
        <v>1342</v>
      </c>
      <c r="DT961" t="s">
        <v>2186</v>
      </c>
      <c r="EW961" t="s">
        <v>271</v>
      </c>
      <c r="FK961" t="s">
        <v>478</v>
      </c>
      <c r="FM961">
        <v>15</v>
      </c>
      <c r="FR961" t="s">
        <v>295</v>
      </c>
      <c r="GG961" t="s">
        <v>278</v>
      </c>
      <c r="GH961">
        <v>75</v>
      </c>
      <c r="GM961" t="s">
        <v>900</v>
      </c>
      <c r="GU961">
        <v>35</v>
      </c>
      <c r="GZ961" t="s">
        <v>296</v>
      </c>
      <c r="HH961" t="s">
        <v>272</v>
      </c>
      <c r="ID961" t="s">
        <v>479</v>
      </c>
      <c r="IE961" t="s">
        <v>2187</v>
      </c>
      <c r="IF961">
        <v>11875</v>
      </c>
      <c r="IG961" t="s">
        <v>2188</v>
      </c>
      <c r="IH961" t="s">
        <v>2189</v>
      </c>
      <c r="II961">
        <v>1985</v>
      </c>
      <c r="IJ961" t="s">
        <v>2190</v>
      </c>
    </row>
    <row r="962" spans="1:244" x14ac:dyDescent="0.45">
      <c r="A962">
        <v>1142038</v>
      </c>
      <c r="B962">
        <v>106184</v>
      </c>
      <c r="C962">
        <v>7718549</v>
      </c>
      <c r="D962" t="s">
        <v>2132</v>
      </c>
      <c r="F962" t="s">
        <v>245</v>
      </c>
      <c r="G962" t="s">
        <v>246</v>
      </c>
      <c r="N962" t="s">
        <v>2183</v>
      </c>
      <c r="O962" t="s">
        <v>498</v>
      </c>
      <c r="P962" t="s">
        <v>249</v>
      </c>
      <c r="Q962" t="s">
        <v>250</v>
      </c>
      <c r="R962" t="s">
        <v>251</v>
      </c>
      <c r="T962" t="s">
        <v>252</v>
      </c>
      <c r="U962" t="s">
        <v>499</v>
      </c>
      <c r="V962" t="s">
        <v>1281</v>
      </c>
      <c r="W962" t="s">
        <v>1282</v>
      </c>
      <c r="X962" t="s">
        <v>2184</v>
      </c>
      <c r="AM962" t="s">
        <v>258</v>
      </c>
      <c r="AN962" t="s">
        <v>259</v>
      </c>
      <c r="AO962" t="s">
        <v>260</v>
      </c>
      <c r="AQ962" t="s">
        <v>261</v>
      </c>
      <c r="AR962" t="s">
        <v>288</v>
      </c>
      <c r="AS962">
        <v>128000</v>
      </c>
      <c r="AX962" t="s">
        <v>262</v>
      </c>
      <c r="BO962" t="s">
        <v>261</v>
      </c>
      <c r="BP962" t="s">
        <v>288</v>
      </c>
      <c r="BQ962">
        <v>128</v>
      </c>
      <c r="BV962" t="s">
        <v>263</v>
      </c>
      <c r="CM962" t="s">
        <v>264</v>
      </c>
      <c r="CN962" t="s">
        <v>264</v>
      </c>
      <c r="CP962" t="s">
        <v>265</v>
      </c>
      <c r="DB962">
        <v>1</v>
      </c>
      <c r="DG962" t="s">
        <v>267</v>
      </c>
      <c r="DI962">
        <v>24</v>
      </c>
      <c r="DN962" t="s">
        <v>268</v>
      </c>
      <c r="DP962" t="s">
        <v>2185</v>
      </c>
      <c r="DR962">
        <v>371472</v>
      </c>
      <c r="DS962">
        <v>1342</v>
      </c>
      <c r="DT962" t="s">
        <v>2186</v>
      </c>
      <c r="EW962" t="s">
        <v>271</v>
      </c>
      <c r="FK962" t="s">
        <v>478</v>
      </c>
      <c r="FM962">
        <v>15</v>
      </c>
      <c r="FR962" t="s">
        <v>295</v>
      </c>
      <c r="GG962" t="s">
        <v>278</v>
      </c>
      <c r="GH962">
        <v>75</v>
      </c>
      <c r="GM962" t="s">
        <v>900</v>
      </c>
      <c r="GU962">
        <v>35</v>
      </c>
      <c r="GZ962" t="s">
        <v>296</v>
      </c>
      <c r="HH962" t="s">
        <v>272</v>
      </c>
      <c r="ID962" t="s">
        <v>479</v>
      </c>
      <c r="IE962" t="s">
        <v>2187</v>
      </c>
      <c r="IF962">
        <v>11875</v>
      </c>
      <c r="IG962" t="s">
        <v>2188</v>
      </c>
      <c r="IH962" t="s">
        <v>2189</v>
      </c>
      <c r="II962">
        <v>1985</v>
      </c>
      <c r="IJ962" t="s">
        <v>2190</v>
      </c>
    </row>
    <row r="963" spans="1:244" x14ac:dyDescent="0.45">
      <c r="A963">
        <v>1054978</v>
      </c>
      <c r="B963">
        <v>131352</v>
      </c>
      <c r="C963">
        <v>7718549</v>
      </c>
      <c r="D963" t="s">
        <v>2132</v>
      </c>
      <c r="F963" t="s">
        <v>245</v>
      </c>
      <c r="G963" t="s">
        <v>1550</v>
      </c>
      <c r="N963" t="s">
        <v>723</v>
      </c>
      <c r="O963" t="s">
        <v>631</v>
      </c>
      <c r="P963" t="s">
        <v>249</v>
      </c>
      <c r="Q963" t="s">
        <v>250</v>
      </c>
      <c r="R963" t="s">
        <v>251</v>
      </c>
      <c r="T963" t="s">
        <v>389</v>
      </c>
      <c r="U963" t="s">
        <v>632</v>
      </c>
      <c r="V963" t="s">
        <v>633</v>
      </c>
      <c r="W963" t="s">
        <v>634</v>
      </c>
      <c r="X963" t="s">
        <v>724</v>
      </c>
      <c r="Z963" t="s">
        <v>315</v>
      </c>
      <c r="AI963">
        <v>4</v>
      </c>
      <c r="AM963" t="s">
        <v>317</v>
      </c>
      <c r="AN963" t="s">
        <v>259</v>
      </c>
      <c r="AO963" t="s">
        <v>260</v>
      </c>
      <c r="AP963">
        <v>7</v>
      </c>
      <c r="AQ963" t="s">
        <v>261</v>
      </c>
      <c r="AS963">
        <v>6.0060000000000002</v>
      </c>
      <c r="AU963">
        <v>4.0949999999999998</v>
      </c>
      <c r="AW963">
        <v>8.6959999999999997</v>
      </c>
      <c r="AX963" t="s">
        <v>422</v>
      </c>
      <c r="BO963" t="s">
        <v>261</v>
      </c>
      <c r="BQ963">
        <v>6.0060000000000002</v>
      </c>
      <c r="BS963">
        <v>4.0949999999999998</v>
      </c>
      <c r="BU963">
        <v>8.6959999999999997</v>
      </c>
      <c r="BV963" t="s">
        <v>263</v>
      </c>
      <c r="CM963" t="s">
        <v>264</v>
      </c>
      <c r="CN963" t="s">
        <v>264</v>
      </c>
      <c r="CP963" t="s">
        <v>265</v>
      </c>
      <c r="DB963">
        <v>3</v>
      </c>
      <c r="DG963" t="s">
        <v>267</v>
      </c>
      <c r="DI963">
        <v>72</v>
      </c>
      <c r="DN963" t="s">
        <v>268</v>
      </c>
      <c r="DR963">
        <v>136140</v>
      </c>
      <c r="DS963">
        <v>1784</v>
      </c>
      <c r="DV963">
        <v>72</v>
      </c>
      <c r="EA963" t="s">
        <v>268</v>
      </c>
      <c r="EC963">
        <v>3</v>
      </c>
      <c r="EH963" t="s">
        <v>267</v>
      </c>
      <c r="EJ963">
        <v>72</v>
      </c>
      <c r="EO963" t="s">
        <v>268</v>
      </c>
      <c r="EQ963">
        <v>3</v>
      </c>
      <c r="EV963" t="s">
        <v>267</v>
      </c>
      <c r="EW963" t="s">
        <v>293</v>
      </c>
      <c r="EY963" t="s">
        <v>377</v>
      </c>
      <c r="EZ963" t="s">
        <v>2213</v>
      </c>
      <c r="FA963" t="s">
        <v>2169</v>
      </c>
      <c r="FM963">
        <v>15</v>
      </c>
      <c r="FR963" t="s">
        <v>295</v>
      </c>
      <c r="GU963">
        <v>30</v>
      </c>
      <c r="GZ963" t="s">
        <v>296</v>
      </c>
      <c r="HH963" t="s">
        <v>272</v>
      </c>
      <c r="IE963" t="s">
        <v>725</v>
      </c>
      <c r="IF963">
        <v>3826</v>
      </c>
      <c r="IG963" t="s">
        <v>2151</v>
      </c>
      <c r="IH963" t="s">
        <v>2170</v>
      </c>
      <c r="II963">
        <v>1985</v>
      </c>
      <c r="IJ963" t="s">
        <v>2171</v>
      </c>
    </row>
    <row r="964" spans="1:244" x14ac:dyDescent="0.45">
      <c r="A964">
        <v>1142048</v>
      </c>
      <c r="B964">
        <v>106194</v>
      </c>
      <c r="C964">
        <v>7718549</v>
      </c>
      <c r="D964" t="s">
        <v>2132</v>
      </c>
      <c r="F964" t="s">
        <v>245</v>
      </c>
      <c r="G964" t="s">
        <v>246</v>
      </c>
      <c r="N964" t="s">
        <v>2183</v>
      </c>
      <c r="O964" t="s">
        <v>498</v>
      </c>
      <c r="P964" t="s">
        <v>249</v>
      </c>
      <c r="Q964" t="s">
        <v>250</v>
      </c>
      <c r="R964" t="s">
        <v>251</v>
      </c>
      <c r="T964" t="s">
        <v>252</v>
      </c>
      <c r="U964" t="s">
        <v>499</v>
      </c>
      <c r="V964" t="s">
        <v>1281</v>
      </c>
      <c r="W964" t="s">
        <v>1282</v>
      </c>
      <c r="X964" t="s">
        <v>2184</v>
      </c>
      <c r="AM964" t="s">
        <v>258</v>
      </c>
      <c r="AN964" t="s">
        <v>259</v>
      </c>
      <c r="AO964" t="s">
        <v>260</v>
      </c>
      <c r="AQ964" t="s">
        <v>261</v>
      </c>
      <c r="AS964">
        <v>160000</v>
      </c>
      <c r="AX964" t="s">
        <v>262</v>
      </c>
      <c r="BO964" t="s">
        <v>261</v>
      </c>
      <c r="BQ964">
        <v>160</v>
      </c>
      <c r="BV964" t="s">
        <v>263</v>
      </c>
      <c r="CM964" t="s">
        <v>264</v>
      </c>
      <c r="CN964" t="s">
        <v>264</v>
      </c>
      <c r="CP964" t="s">
        <v>265</v>
      </c>
      <c r="DB964">
        <v>2</v>
      </c>
      <c r="DG964" t="s">
        <v>267</v>
      </c>
      <c r="DI964">
        <v>48</v>
      </c>
      <c r="DN964" t="s">
        <v>268</v>
      </c>
      <c r="DP964" t="s">
        <v>2185</v>
      </c>
      <c r="DR964">
        <v>371472</v>
      </c>
      <c r="DS964">
        <v>1342</v>
      </c>
      <c r="DT964" t="s">
        <v>2186</v>
      </c>
      <c r="EW964" t="s">
        <v>271</v>
      </c>
      <c r="FK964" t="s">
        <v>478</v>
      </c>
      <c r="FM964">
        <v>10</v>
      </c>
      <c r="FR964" t="s">
        <v>295</v>
      </c>
      <c r="GG964" t="s">
        <v>278</v>
      </c>
      <c r="GH964">
        <v>75</v>
      </c>
      <c r="GM964" t="s">
        <v>900</v>
      </c>
      <c r="GU964">
        <v>35</v>
      </c>
      <c r="GZ964" t="s">
        <v>296</v>
      </c>
      <c r="HH964" t="s">
        <v>272</v>
      </c>
      <c r="ID964" t="s">
        <v>479</v>
      </c>
      <c r="IE964" t="s">
        <v>2187</v>
      </c>
      <c r="IF964">
        <v>11875</v>
      </c>
      <c r="IG964" t="s">
        <v>2188</v>
      </c>
      <c r="IH964" t="s">
        <v>2189</v>
      </c>
      <c r="II964">
        <v>1985</v>
      </c>
      <c r="IJ964" t="s">
        <v>2190</v>
      </c>
    </row>
    <row r="965" spans="1:244" x14ac:dyDescent="0.45">
      <c r="A965">
        <v>1142050</v>
      </c>
      <c r="B965">
        <v>106196</v>
      </c>
      <c r="C965">
        <v>7718549</v>
      </c>
      <c r="D965" t="s">
        <v>2132</v>
      </c>
      <c r="F965" t="s">
        <v>245</v>
      </c>
      <c r="G965" t="s">
        <v>246</v>
      </c>
      <c r="N965" t="s">
        <v>2183</v>
      </c>
      <c r="O965" t="s">
        <v>498</v>
      </c>
      <c r="P965" t="s">
        <v>249</v>
      </c>
      <c r="Q965" t="s">
        <v>250</v>
      </c>
      <c r="R965" t="s">
        <v>251</v>
      </c>
      <c r="T965" t="s">
        <v>252</v>
      </c>
      <c r="U965" t="s">
        <v>499</v>
      </c>
      <c r="V965" t="s">
        <v>1281</v>
      </c>
      <c r="W965" t="s">
        <v>1282</v>
      </c>
      <c r="X965" t="s">
        <v>2184</v>
      </c>
      <c r="AM965" t="s">
        <v>258</v>
      </c>
      <c r="AN965" t="s">
        <v>259</v>
      </c>
      <c r="AO965" t="s">
        <v>260</v>
      </c>
      <c r="AQ965" t="s">
        <v>261</v>
      </c>
      <c r="AS965">
        <v>50000</v>
      </c>
      <c r="AX965" t="s">
        <v>262</v>
      </c>
      <c r="BO965" t="s">
        <v>261</v>
      </c>
      <c r="BQ965">
        <v>50</v>
      </c>
      <c r="BV965" t="s">
        <v>263</v>
      </c>
      <c r="CM965" t="s">
        <v>264</v>
      </c>
      <c r="CN965" t="s">
        <v>264</v>
      </c>
      <c r="CP965" t="s">
        <v>265</v>
      </c>
      <c r="DB965">
        <v>2</v>
      </c>
      <c r="DG965" t="s">
        <v>267</v>
      </c>
      <c r="DI965">
        <v>48</v>
      </c>
      <c r="DN965" t="s">
        <v>268</v>
      </c>
      <c r="DP965" t="s">
        <v>2185</v>
      </c>
      <c r="DR965">
        <v>371472</v>
      </c>
      <c r="DS965">
        <v>1342</v>
      </c>
      <c r="DT965" t="s">
        <v>2186</v>
      </c>
      <c r="EW965" t="s">
        <v>271</v>
      </c>
      <c r="FK965" t="s">
        <v>478</v>
      </c>
      <c r="FM965">
        <v>15</v>
      </c>
      <c r="FR965" t="s">
        <v>295</v>
      </c>
      <c r="GG965" t="s">
        <v>278</v>
      </c>
      <c r="GH965">
        <v>75</v>
      </c>
      <c r="GM965" t="s">
        <v>900</v>
      </c>
      <c r="GU965">
        <v>10</v>
      </c>
      <c r="GZ965" t="s">
        <v>296</v>
      </c>
      <c r="HH965" t="s">
        <v>272</v>
      </c>
      <c r="ID965" t="s">
        <v>479</v>
      </c>
      <c r="IE965" t="s">
        <v>2187</v>
      </c>
      <c r="IF965">
        <v>11875</v>
      </c>
      <c r="IG965" t="s">
        <v>2188</v>
      </c>
      <c r="IH965" t="s">
        <v>2189</v>
      </c>
      <c r="II965">
        <v>1985</v>
      </c>
      <c r="IJ965" t="s">
        <v>2190</v>
      </c>
    </row>
    <row r="966" spans="1:244" x14ac:dyDescent="0.45">
      <c r="A966">
        <v>1142025</v>
      </c>
      <c r="B966">
        <v>106171</v>
      </c>
      <c r="C966">
        <v>7718549</v>
      </c>
      <c r="D966" t="s">
        <v>2132</v>
      </c>
      <c r="F966" t="s">
        <v>245</v>
      </c>
      <c r="G966" t="s">
        <v>246</v>
      </c>
      <c r="N966" t="s">
        <v>2183</v>
      </c>
      <c r="O966" t="s">
        <v>498</v>
      </c>
      <c r="P966" t="s">
        <v>249</v>
      </c>
      <c r="Q966" t="s">
        <v>250</v>
      </c>
      <c r="R966" t="s">
        <v>251</v>
      </c>
      <c r="T966" t="s">
        <v>252</v>
      </c>
      <c r="U966" t="s">
        <v>499</v>
      </c>
      <c r="V966" t="s">
        <v>1281</v>
      </c>
      <c r="W966" t="s">
        <v>1282</v>
      </c>
      <c r="X966" t="s">
        <v>2184</v>
      </c>
      <c r="AM966" t="s">
        <v>258</v>
      </c>
      <c r="AN966" t="s">
        <v>259</v>
      </c>
      <c r="AO966" t="s">
        <v>260</v>
      </c>
      <c r="AQ966" t="s">
        <v>261</v>
      </c>
      <c r="AR966" t="s">
        <v>288</v>
      </c>
      <c r="AS966">
        <v>128000</v>
      </c>
      <c r="AX966" t="s">
        <v>262</v>
      </c>
      <c r="BO966" t="s">
        <v>261</v>
      </c>
      <c r="BP966" t="s">
        <v>288</v>
      </c>
      <c r="BQ966">
        <v>128</v>
      </c>
      <c r="BV966" t="s">
        <v>263</v>
      </c>
      <c r="CM966" t="s">
        <v>264</v>
      </c>
      <c r="CN966" t="s">
        <v>264</v>
      </c>
      <c r="CP966" t="s">
        <v>265</v>
      </c>
      <c r="DB966">
        <v>1</v>
      </c>
      <c r="DG966" t="s">
        <v>267</v>
      </c>
      <c r="DI966">
        <v>24</v>
      </c>
      <c r="DN966" t="s">
        <v>268</v>
      </c>
      <c r="DP966" t="s">
        <v>2185</v>
      </c>
      <c r="DR966">
        <v>371472</v>
      </c>
      <c r="DS966">
        <v>1342</v>
      </c>
      <c r="DT966" t="s">
        <v>2186</v>
      </c>
      <c r="EW966" t="s">
        <v>271</v>
      </c>
      <c r="FK966" t="s">
        <v>478</v>
      </c>
      <c r="FM966">
        <v>5</v>
      </c>
      <c r="FR966" t="s">
        <v>295</v>
      </c>
      <c r="GG966" t="s">
        <v>278</v>
      </c>
      <c r="GH966">
        <v>75</v>
      </c>
      <c r="GM966" t="s">
        <v>900</v>
      </c>
      <c r="GU966">
        <v>10</v>
      </c>
      <c r="GZ966" t="s">
        <v>296</v>
      </c>
      <c r="HH966" t="s">
        <v>272</v>
      </c>
      <c r="ID966" t="s">
        <v>479</v>
      </c>
      <c r="IE966" t="s">
        <v>2187</v>
      </c>
      <c r="IF966">
        <v>11875</v>
      </c>
      <c r="IG966" t="s">
        <v>2188</v>
      </c>
      <c r="IH966" t="s">
        <v>2189</v>
      </c>
      <c r="II966">
        <v>1985</v>
      </c>
      <c r="IJ966" t="s">
        <v>2190</v>
      </c>
    </row>
    <row r="967" spans="1:244" x14ac:dyDescent="0.45">
      <c r="A967">
        <v>1142029</v>
      </c>
      <c r="B967">
        <v>106175</v>
      </c>
      <c r="C967">
        <v>7718549</v>
      </c>
      <c r="D967" t="s">
        <v>2132</v>
      </c>
      <c r="F967" t="s">
        <v>245</v>
      </c>
      <c r="G967" t="s">
        <v>246</v>
      </c>
      <c r="N967" t="s">
        <v>2183</v>
      </c>
      <c r="O967" t="s">
        <v>498</v>
      </c>
      <c r="P967" t="s">
        <v>249</v>
      </c>
      <c r="Q967" t="s">
        <v>250</v>
      </c>
      <c r="R967" t="s">
        <v>251</v>
      </c>
      <c r="T967" t="s">
        <v>252</v>
      </c>
      <c r="U967" t="s">
        <v>499</v>
      </c>
      <c r="V967" t="s">
        <v>1281</v>
      </c>
      <c r="W967" t="s">
        <v>1282</v>
      </c>
      <c r="X967" t="s">
        <v>2184</v>
      </c>
      <c r="AM967" t="s">
        <v>258</v>
      </c>
      <c r="AN967" t="s">
        <v>259</v>
      </c>
      <c r="AO967" t="s">
        <v>260</v>
      </c>
      <c r="AQ967" t="s">
        <v>261</v>
      </c>
      <c r="AS967">
        <v>46000</v>
      </c>
      <c r="AX967" t="s">
        <v>262</v>
      </c>
      <c r="BO967" t="s">
        <v>261</v>
      </c>
      <c r="BQ967">
        <v>46</v>
      </c>
      <c r="BV967" t="s">
        <v>263</v>
      </c>
      <c r="CM967" t="s">
        <v>264</v>
      </c>
      <c r="CN967" t="s">
        <v>264</v>
      </c>
      <c r="CP967" t="s">
        <v>265</v>
      </c>
      <c r="DB967">
        <v>1</v>
      </c>
      <c r="DG967" t="s">
        <v>267</v>
      </c>
      <c r="DI967">
        <v>24</v>
      </c>
      <c r="DN967" t="s">
        <v>268</v>
      </c>
      <c r="DP967" t="s">
        <v>2185</v>
      </c>
      <c r="DR967">
        <v>371472</v>
      </c>
      <c r="DS967">
        <v>1342</v>
      </c>
      <c r="DT967" t="s">
        <v>2186</v>
      </c>
      <c r="EW967" t="s">
        <v>271</v>
      </c>
      <c r="FK967" t="s">
        <v>478</v>
      </c>
      <c r="FM967">
        <v>10</v>
      </c>
      <c r="FR967" t="s">
        <v>295</v>
      </c>
      <c r="GG967" t="s">
        <v>278</v>
      </c>
      <c r="GH967">
        <v>75</v>
      </c>
      <c r="GM967" t="s">
        <v>900</v>
      </c>
      <c r="GU967">
        <v>5</v>
      </c>
      <c r="GZ967" t="s">
        <v>296</v>
      </c>
      <c r="HH967" t="s">
        <v>272</v>
      </c>
      <c r="ID967" t="s">
        <v>479</v>
      </c>
      <c r="IE967" t="s">
        <v>2187</v>
      </c>
      <c r="IF967">
        <v>11875</v>
      </c>
      <c r="IG967" t="s">
        <v>2188</v>
      </c>
      <c r="IH967" t="s">
        <v>2189</v>
      </c>
      <c r="II967">
        <v>1985</v>
      </c>
      <c r="IJ967" t="s">
        <v>2190</v>
      </c>
    </row>
    <row r="968" spans="1:244" x14ac:dyDescent="0.45">
      <c r="A968">
        <v>1162981</v>
      </c>
      <c r="B968">
        <v>183401</v>
      </c>
      <c r="C968">
        <v>7733020</v>
      </c>
      <c r="D968" t="s">
        <v>2214</v>
      </c>
      <c r="F968" t="s">
        <v>272</v>
      </c>
      <c r="G968" t="s">
        <v>246</v>
      </c>
      <c r="N968" t="s">
        <v>789</v>
      </c>
      <c r="O968" t="s">
        <v>790</v>
      </c>
      <c r="P968" t="s">
        <v>249</v>
      </c>
      <c r="Q968" t="s">
        <v>250</v>
      </c>
      <c r="R968" t="s">
        <v>251</v>
      </c>
      <c r="T968" t="s">
        <v>252</v>
      </c>
      <c r="U968" t="s">
        <v>253</v>
      </c>
      <c r="V968" t="s">
        <v>418</v>
      </c>
      <c r="W968" t="s">
        <v>791</v>
      </c>
      <c r="X968" t="s">
        <v>792</v>
      </c>
      <c r="Z968" t="s">
        <v>649</v>
      </c>
      <c r="AL968" t="s">
        <v>2215</v>
      </c>
      <c r="AM968" t="s">
        <v>258</v>
      </c>
      <c r="AN968" t="s">
        <v>259</v>
      </c>
      <c r="AO968" t="s">
        <v>260</v>
      </c>
      <c r="AQ968" t="s">
        <v>261</v>
      </c>
      <c r="AS968">
        <v>1610</v>
      </c>
      <c r="AU968">
        <v>1073</v>
      </c>
      <c r="AW968">
        <v>2403</v>
      </c>
      <c r="AX968" t="s">
        <v>262</v>
      </c>
      <c r="BO968" t="s">
        <v>261</v>
      </c>
      <c r="BQ968">
        <v>1.61</v>
      </c>
      <c r="BS968">
        <v>1.073</v>
      </c>
      <c r="BU968">
        <v>2.403</v>
      </c>
      <c r="BV968" t="s">
        <v>263</v>
      </c>
      <c r="CM968" t="s">
        <v>264</v>
      </c>
      <c r="CN968" t="s">
        <v>264</v>
      </c>
      <c r="CP968" t="s">
        <v>265</v>
      </c>
      <c r="CQ968" t="s">
        <v>518</v>
      </c>
      <c r="DB968">
        <v>2</v>
      </c>
      <c r="DG968" t="s">
        <v>267</v>
      </c>
      <c r="DI968">
        <v>48</v>
      </c>
      <c r="DN968" t="s">
        <v>268</v>
      </c>
      <c r="DR968">
        <v>161924</v>
      </c>
      <c r="DS968">
        <v>3045</v>
      </c>
      <c r="EW968" t="s">
        <v>272</v>
      </c>
      <c r="FO968">
        <v>26</v>
      </c>
      <c r="FQ968">
        <v>26.5</v>
      </c>
      <c r="FR968" t="s">
        <v>295</v>
      </c>
      <c r="FT968">
        <v>5128</v>
      </c>
      <c r="FY968" t="s">
        <v>572</v>
      </c>
      <c r="GA968">
        <v>115</v>
      </c>
      <c r="GF968" t="s">
        <v>572</v>
      </c>
      <c r="GJ968">
        <v>5.2</v>
      </c>
      <c r="GL968">
        <v>6.4</v>
      </c>
      <c r="GM968" t="s">
        <v>356</v>
      </c>
      <c r="GQ968">
        <v>7.2</v>
      </c>
      <c r="GS968">
        <v>7.9</v>
      </c>
      <c r="GU968">
        <v>30</v>
      </c>
      <c r="GZ968" t="s">
        <v>296</v>
      </c>
      <c r="HH968" t="s">
        <v>272</v>
      </c>
      <c r="IE968" t="s">
        <v>2216</v>
      </c>
      <c r="IF968">
        <v>14402</v>
      </c>
      <c r="IG968" t="s">
        <v>2217</v>
      </c>
      <c r="IH968" t="s">
        <v>2218</v>
      </c>
      <c r="II968">
        <v>1993</v>
      </c>
      <c r="IJ968" t="s">
        <v>2219</v>
      </c>
    </row>
    <row r="969" spans="1:244" x14ac:dyDescent="0.45">
      <c r="A969">
        <v>1210386</v>
      </c>
      <c r="B969">
        <v>195470</v>
      </c>
      <c r="C969">
        <v>7733020</v>
      </c>
      <c r="D969" t="s">
        <v>2214</v>
      </c>
      <c r="F969" t="s">
        <v>272</v>
      </c>
      <c r="G969" t="s">
        <v>246</v>
      </c>
      <c r="N969" t="s">
        <v>789</v>
      </c>
      <c r="O969" t="s">
        <v>790</v>
      </c>
      <c r="P969" t="s">
        <v>249</v>
      </c>
      <c r="Q969" t="s">
        <v>250</v>
      </c>
      <c r="R969" t="s">
        <v>251</v>
      </c>
      <c r="T969" t="s">
        <v>252</v>
      </c>
      <c r="U969" t="s">
        <v>253</v>
      </c>
      <c r="V969" t="s">
        <v>418</v>
      </c>
      <c r="W969" t="s">
        <v>791</v>
      </c>
      <c r="X969" t="s">
        <v>792</v>
      </c>
      <c r="Z969" t="s">
        <v>284</v>
      </c>
      <c r="AM969" t="s">
        <v>287</v>
      </c>
      <c r="AN969" t="s">
        <v>259</v>
      </c>
      <c r="AO969" t="s">
        <v>260</v>
      </c>
      <c r="AQ969" t="s">
        <v>261</v>
      </c>
      <c r="AS969">
        <v>0.1</v>
      </c>
      <c r="AU969">
        <v>7.5999999999999998E-2</v>
      </c>
      <c r="AW969">
        <v>0.13200000000000001</v>
      </c>
      <c r="AX969" t="s">
        <v>762</v>
      </c>
      <c r="BO969" t="s">
        <v>261</v>
      </c>
      <c r="BQ969">
        <v>0.1</v>
      </c>
      <c r="BS969">
        <v>7.5999999999999998E-2</v>
      </c>
      <c r="BU969">
        <v>0.13200000000000001</v>
      </c>
      <c r="BV969" t="s">
        <v>263</v>
      </c>
      <c r="CM969" t="s">
        <v>264</v>
      </c>
      <c r="CN969" t="s">
        <v>264</v>
      </c>
      <c r="CP969" t="s">
        <v>265</v>
      </c>
      <c r="DB969">
        <v>1</v>
      </c>
      <c r="DG969" t="s">
        <v>267</v>
      </c>
      <c r="DI969">
        <v>24</v>
      </c>
      <c r="DN969" t="s">
        <v>268</v>
      </c>
      <c r="DR969">
        <v>161924</v>
      </c>
      <c r="DS969">
        <v>3045</v>
      </c>
      <c r="EW969" t="s">
        <v>272</v>
      </c>
      <c r="FM969">
        <v>24</v>
      </c>
      <c r="FR969" t="s">
        <v>295</v>
      </c>
      <c r="GO969">
        <v>8.1</v>
      </c>
      <c r="HH969" t="s">
        <v>272</v>
      </c>
      <c r="IE969" t="s">
        <v>763</v>
      </c>
      <c r="IF969">
        <v>19318</v>
      </c>
      <c r="IG969" t="s">
        <v>764</v>
      </c>
      <c r="IH969" t="s">
        <v>765</v>
      </c>
      <c r="II969">
        <v>1994</v>
      </c>
      <c r="IJ969" t="s">
        <v>766</v>
      </c>
    </row>
    <row r="970" spans="1:244" x14ac:dyDescent="0.45">
      <c r="A970">
        <v>1210384</v>
      </c>
      <c r="B970">
        <v>195468</v>
      </c>
      <c r="C970">
        <v>7733020</v>
      </c>
      <c r="D970" t="s">
        <v>2214</v>
      </c>
      <c r="F970" t="s">
        <v>272</v>
      </c>
      <c r="G970" t="s">
        <v>246</v>
      </c>
      <c r="N970" t="s">
        <v>345</v>
      </c>
      <c r="O970" t="s">
        <v>346</v>
      </c>
      <c r="P970" t="s">
        <v>249</v>
      </c>
      <c r="Q970" t="s">
        <v>250</v>
      </c>
      <c r="R970" t="s">
        <v>251</v>
      </c>
      <c r="T970" t="s">
        <v>347</v>
      </c>
      <c r="U970" t="s">
        <v>348</v>
      </c>
      <c r="V970" t="s">
        <v>349</v>
      </c>
      <c r="W970" t="s">
        <v>350</v>
      </c>
      <c r="X970" t="s">
        <v>351</v>
      </c>
      <c r="Z970" t="s">
        <v>284</v>
      </c>
      <c r="AM970" t="s">
        <v>287</v>
      </c>
      <c r="AN970" t="s">
        <v>259</v>
      </c>
      <c r="AO970" t="s">
        <v>260</v>
      </c>
      <c r="AQ970" t="s">
        <v>261</v>
      </c>
      <c r="AS970">
        <v>4.3</v>
      </c>
      <c r="AU970">
        <v>3.01</v>
      </c>
      <c r="AW970">
        <v>6.13</v>
      </c>
      <c r="AX970" t="s">
        <v>762</v>
      </c>
      <c r="BO970" t="s">
        <v>261</v>
      </c>
      <c r="BQ970">
        <v>4.3</v>
      </c>
      <c r="BS970">
        <v>3.01</v>
      </c>
      <c r="BU970">
        <v>6.13</v>
      </c>
      <c r="BV970" t="s">
        <v>263</v>
      </c>
      <c r="CM970" t="s">
        <v>264</v>
      </c>
      <c r="CN970" t="s">
        <v>264</v>
      </c>
      <c r="CP970" t="s">
        <v>265</v>
      </c>
      <c r="DB970">
        <v>2</v>
      </c>
      <c r="DG970" t="s">
        <v>267</v>
      </c>
      <c r="DI970">
        <v>48</v>
      </c>
      <c r="DN970" t="s">
        <v>268</v>
      </c>
      <c r="DR970">
        <v>6660</v>
      </c>
      <c r="DS970">
        <v>421</v>
      </c>
      <c r="EW970" t="s">
        <v>272</v>
      </c>
      <c r="FM970">
        <v>25</v>
      </c>
      <c r="FR970" t="s">
        <v>295</v>
      </c>
      <c r="GO970">
        <v>8.1</v>
      </c>
      <c r="HH970" t="s">
        <v>272</v>
      </c>
      <c r="IE970" t="s">
        <v>763</v>
      </c>
      <c r="IF970">
        <v>19318</v>
      </c>
      <c r="IG970" t="s">
        <v>764</v>
      </c>
      <c r="IH970" t="s">
        <v>765</v>
      </c>
      <c r="II970">
        <v>1994</v>
      </c>
      <c r="IJ970" t="s">
        <v>766</v>
      </c>
    </row>
    <row r="971" spans="1:244" x14ac:dyDescent="0.45">
      <c r="A971">
        <v>1153351</v>
      </c>
      <c r="B971">
        <v>160866</v>
      </c>
      <c r="C971">
        <v>7733020</v>
      </c>
      <c r="D971" t="s">
        <v>2214</v>
      </c>
      <c r="F971" t="s">
        <v>245</v>
      </c>
      <c r="G971" t="s">
        <v>246</v>
      </c>
      <c r="N971" t="s">
        <v>1672</v>
      </c>
      <c r="O971" t="s">
        <v>1673</v>
      </c>
      <c r="P971" t="s">
        <v>249</v>
      </c>
      <c r="Q971" t="s">
        <v>250</v>
      </c>
      <c r="R971" t="s">
        <v>251</v>
      </c>
      <c r="T971" t="s">
        <v>252</v>
      </c>
      <c r="U971" t="s">
        <v>253</v>
      </c>
      <c r="V971" t="s">
        <v>1674</v>
      </c>
      <c r="W971" t="s">
        <v>1675</v>
      </c>
      <c r="X971" t="s">
        <v>1676</v>
      </c>
      <c r="Z971" t="s">
        <v>1677</v>
      </c>
      <c r="AL971" t="s">
        <v>1678</v>
      </c>
      <c r="AM971" t="s">
        <v>287</v>
      </c>
      <c r="AN971" t="s">
        <v>259</v>
      </c>
      <c r="AO971" t="s">
        <v>260</v>
      </c>
      <c r="AQ971" t="s">
        <v>261</v>
      </c>
      <c r="AS971">
        <v>175300</v>
      </c>
      <c r="AX971" t="s">
        <v>262</v>
      </c>
      <c r="BO971" t="s">
        <v>261</v>
      </c>
      <c r="BQ971">
        <v>175.3</v>
      </c>
      <c r="BV971" t="s">
        <v>263</v>
      </c>
      <c r="CM971" t="s">
        <v>264</v>
      </c>
      <c r="CN971" t="s">
        <v>264</v>
      </c>
      <c r="CP971" t="s">
        <v>265</v>
      </c>
      <c r="DB971">
        <v>1</v>
      </c>
      <c r="DG971" t="s">
        <v>267</v>
      </c>
      <c r="DI971">
        <v>24</v>
      </c>
      <c r="DN971" t="s">
        <v>268</v>
      </c>
      <c r="DR971">
        <v>1460405</v>
      </c>
      <c r="DS971">
        <v>5936</v>
      </c>
      <c r="EW971" t="s">
        <v>293</v>
      </c>
      <c r="FK971" t="s">
        <v>1679</v>
      </c>
      <c r="HH971" t="s">
        <v>272</v>
      </c>
      <c r="ID971" t="s">
        <v>1680</v>
      </c>
      <c r="IE971" t="s">
        <v>1681</v>
      </c>
      <c r="IF971">
        <v>13233</v>
      </c>
      <c r="IG971" t="s">
        <v>1682</v>
      </c>
      <c r="IH971" t="s">
        <v>1683</v>
      </c>
      <c r="II971">
        <v>1988</v>
      </c>
      <c r="IJ971" t="s">
        <v>1684</v>
      </c>
    </row>
    <row r="972" spans="1:244" x14ac:dyDescent="0.45">
      <c r="A972">
        <v>1096430</v>
      </c>
      <c r="B972">
        <v>121126</v>
      </c>
      <c r="C972">
        <v>7733020</v>
      </c>
      <c r="D972" t="s">
        <v>2214</v>
      </c>
      <c r="F972" t="s">
        <v>245</v>
      </c>
      <c r="G972" t="s">
        <v>246</v>
      </c>
      <c r="N972" t="s">
        <v>2220</v>
      </c>
      <c r="O972" t="s">
        <v>631</v>
      </c>
      <c r="P972" t="s">
        <v>249</v>
      </c>
      <c r="Q972" t="s">
        <v>250</v>
      </c>
      <c r="R972" t="s">
        <v>251</v>
      </c>
      <c r="T972" t="s">
        <v>389</v>
      </c>
      <c r="U972" t="s">
        <v>632</v>
      </c>
      <c r="V972" t="s">
        <v>830</v>
      </c>
      <c r="W972" t="s">
        <v>2221</v>
      </c>
      <c r="X972" t="s">
        <v>2222</v>
      </c>
      <c r="Z972" t="s">
        <v>315</v>
      </c>
      <c r="AL972" t="s">
        <v>2223</v>
      </c>
      <c r="AM972" t="s">
        <v>317</v>
      </c>
      <c r="AN972" t="s">
        <v>259</v>
      </c>
      <c r="AO972" t="s">
        <v>260</v>
      </c>
      <c r="AQ972" t="s">
        <v>261</v>
      </c>
      <c r="AS972">
        <v>30</v>
      </c>
      <c r="AU972">
        <v>23</v>
      </c>
      <c r="AW972">
        <v>35</v>
      </c>
      <c r="AX972" t="s">
        <v>262</v>
      </c>
      <c r="BO972" t="s">
        <v>261</v>
      </c>
      <c r="BQ972">
        <v>0.03</v>
      </c>
      <c r="BS972">
        <v>2.3E-2</v>
      </c>
      <c r="BU972">
        <v>3.5000000000000003E-2</v>
      </c>
      <c r="BV972" t="s">
        <v>263</v>
      </c>
      <c r="CM972" t="s">
        <v>264</v>
      </c>
      <c r="CN972" t="s">
        <v>264</v>
      </c>
      <c r="CP972" t="s">
        <v>265</v>
      </c>
      <c r="CQ972" t="s">
        <v>518</v>
      </c>
      <c r="DB972">
        <v>2</v>
      </c>
      <c r="DG972" t="s">
        <v>267</v>
      </c>
      <c r="DI972">
        <v>48</v>
      </c>
      <c r="DN972" t="s">
        <v>268</v>
      </c>
      <c r="DR972">
        <v>399051</v>
      </c>
      <c r="DS972">
        <v>4599</v>
      </c>
      <c r="DT972" t="s">
        <v>2224</v>
      </c>
      <c r="EW972" t="s">
        <v>333</v>
      </c>
      <c r="FM972">
        <v>25</v>
      </c>
      <c r="FR972" t="s">
        <v>295</v>
      </c>
      <c r="GU972">
        <v>25</v>
      </c>
      <c r="GZ972" t="s">
        <v>296</v>
      </c>
      <c r="HH972" t="s">
        <v>272</v>
      </c>
      <c r="IE972" t="s">
        <v>2225</v>
      </c>
      <c r="IF972">
        <v>6825</v>
      </c>
      <c r="IG972" t="s">
        <v>2226</v>
      </c>
      <c r="IH972" t="s">
        <v>2227</v>
      </c>
      <c r="II972">
        <v>1993</v>
      </c>
      <c r="IJ972" t="s">
        <v>2228</v>
      </c>
    </row>
    <row r="973" spans="1:244" x14ac:dyDescent="0.45">
      <c r="A973">
        <v>1000002</v>
      </c>
      <c r="B973">
        <v>29393</v>
      </c>
      <c r="C973">
        <v>7733020</v>
      </c>
      <c r="D973" t="s">
        <v>2214</v>
      </c>
      <c r="F973" t="s">
        <v>245</v>
      </c>
      <c r="G973" t="s">
        <v>246</v>
      </c>
      <c r="N973" t="s">
        <v>838</v>
      </c>
      <c r="O973" t="s">
        <v>839</v>
      </c>
      <c r="P973" t="s">
        <v>249</v>
      </c>
      <c r="Q973" t="s">
        <v>250</v>
      </c>
      <c r="R973" t="s">
        <v>251</v>
      </c>
      <c r="T973" t="s">
        <v>347</v>
      </c>
      <c r="U973" t="s">
        <v>348</v>
      </c>
      <c r="V973" t="s">
        <v>349</v>
      </c>
      <c r="W973" t="s">
        <v>350</v>
      </c>
      <c r="X973" t="s">
        <v>840</v>
      </c>
      <c r="Z973" t="s">
        <v>558</v>
      </c>
      <c r="AM973" t="s">
        <v>317</v>
      </c>
      <c r="AN973" t="s">
        <v>259</v>
      </c>
      <c r="AO973" t="s">
        <v>260</v>
      </c>
      <c r="AQ973" t="s">
        <v>261</v>
      </c>
      <c r="AS973">
        <v>65</v>
      </c>
      <c r="AX973" t="s">
        <v>262</v>
      </c>
      <c r="BO973" t="s">
        <v>261</v>
      </c>
      <c r="BQ973">
        <v>6.5000000000000002E-2</v>
      </c>
      <c r="BV973" t="s">
        <v>263</v>
      </c>
      <c r="CM973" t="s">
        <v>264</v>
      </c>
      <c r="CN973" t="s">
        <v>264</v>
      </c>
      <c r="CP973" t="s">
        <v>265</v>
      </c>
      <c r="CQ973" t="s">
        <v>518</v>
      </c>
      <c r="DB973">
        <v>3</v>
      </c>
      <c r="DG973" t="s">
        <v>267</v>
      </c>
      <c r="DI973">
        <v>72</v>
      </c>
      <c r="DN973" t="s">
        <v>268</v>
      </c>
      <c r="DR973">
        <v>6661</v>
      </c>
      <c r="DS973">
        <v>3004</v>
      </c>
      <c r="DT973" t="s">
        <v>2229</v>
      </c>
      <c r="EW973" t="s">
        <v>333</v>
      </c>
      <c r="FM973">
        <v>28</v>
      </c>
      <c r="FR973" t="s">
        <v>295</v>
      </c>
      <c r="HH973" t="s">
        <v>272</v>
      </c>
      <c r="IE973" t="s">
        <v>2230</v>
      </c>
      <c r="IF973">
        <v>4</v>
      </c>
      <c r="IG973" t="s">
        <v>2231</v>
      </c>
      <c r="IH973" t="s">
        <v>2232</v>
      </c>
      <c r="II973">
        <v>1991</v>
      </c>
      <c r="IJ973" t="s">
        <v>2233</v>
      </c>
    </row>
    <row r="974" spans="1:244" x14ac:dyDescent="0.45">
      <c r="A974">
        <v>1096367</v>
      </c>
      <c r="B974">
        <v>117493</v>
      </c>
      <c r="C974">
        <v>7733020</v>
      </c>
      <c r="D974" t="s">
        <v>2214</v>
      </c>
      <c r="F974" t="s">
        <v>327</v>
      </c>
      <c r="G974" t="s">
        <v>246</v>
      </c>
      <c r="N974" t="s">
        <v>1401</v>
      </c>
      <c r="O974" t="s">
        <v>1299</v>
      </c>
      <c r="P974" t="s">
        <v>249</v>
      </c>
      <c r="Q974" t="s">
        <v>250</v>
      </c>
      <c r="R974" t="s">
        <v>251</v>
      </c>
      <c r="T974" t="s">
        <v>252</v>
      </c>
      <c r="U974" t="s">
        <v>371</v>
      </c>
      <c r="V974" t="s">
        <v>372</v>
      </c>
      <c r="W974" t="s">
        <v>1402</v>
      </c>
      <c r="X974" t="s">
        <v>1403</v>
      </c>
      <c r="Z974" t="s">
        <v>649</v>
      </c>
      <c r="AB974">
        <v>3</v>
      </c>
      <c r="AG974" t="s">
        <v>267</v>
      </c>
      <c r="AM974" t="s">
        <v>317</v>
      </c>
      <c r="AN974" t="s">
        <v>259</v>
      </c>
      <c r="AO974" t="s">
        <v>260</v>
      </c>
      <c r="AQ974" t="s">
        <v>261</v>
      </c>
      <c r="AS974">
        <v>212</v>
      </c>
      <c r="AU974">
        <v>177</v>
      </c>
      <c r="AW974">
        <v>260</v>
      </c>
      <c r="AX974" t="s">
        <v>262</v>
      </c>
      <c r="BO974" t="s">
        <v>261</v>
      </c>
      <c r="BQ974">
        <v>0.21199999999999999</v>
      </c>
      <c r="BS974">
        <v>0.17699999999999999</v>
      </c>
      <c r="BU974">
        <v>0.26</v>
      </c>
      <c r="BV974" t="s">
        <v>263</v>
      </c>
      <c r="CM974" t="s">
        <v>264</v>
      </c>
      <c r="CN974" t="s">
        <v>264</v>
      </c>
      <c r="CP974" t="s">
        <v>265</v>
      </c>
      <c r="CQ974" t="s">
        <v>518</v>
      </c>
      <c r="DB974">
        <v>4</v>
      </c>
      <c r="DG974" t="s">
        <v>267</v>
      </c>
      <c r="DI974">
        <v>96</v>
      </c>
      <c r="DN974" t="s">
        <v>268</v>
      </c>
      <c r="DR974">
        <v>236552</v>
      </c>
      <c r="DS974">
        <v>59434</v>
      </c>
      <c r="DT974" t="s">
        <v>2234</v>
      </c>
      <c r="EW974" t="s">
        <v>333</v>
      </c>
      <c r="FO974">
        <v>14.5</v>
      </c>
      <c r="FQ974">
        <v>15.5</v>
      </c>
      <c r="FR974" t="s">
        <v>295</v>
      </c>
      <c r="GJ974">
        <v>7</v>
      </c>
      <c r="GL974">
        <v>8.1</v>
      </c>
      <c r="GM974" t="s">
        <v>356</v>
      </c>
      <c r="GQ974">
        <v>7.84</v>
      </c>
      <c r="GS974">
        <v>8.0399999999999991</v>
      </c>
      <c r="GU974">
        <v>34</v>
      </c>
      <c r="GZ974" t="s">
        <v>296</v>
      </c>
      <c r="HH974" t="s">
        <v>272</v>
      </c>
      <c r="IE974" t="s">
        <v>2235</v>
      </c>
      <c r="IF974">
        <v>6821</v>
      </c>
      <c r="IG974" t="s">
        <v>2236</v>
      </c>
      <c r="IH974" t="s">
        <v>2237</v>
      </c>
      <c r="II974">
        <v>1989</v>
      </c>
      <c r="IJ974" t="s">
        <v>2238</v>
      </c>
    </row>
    <row r="975" spans="1:244" x14ac:dyDescent="0.45">
      <c r="A975">
        <v>1141314</v>
      </c>
      <c r="B975">
        <v>121184</v>
      </c>
      <c r="C975">
        <v>7733020</v>
      </c>
      <c r="D975" t="s">
        <v>2214</v>
      </c>
      <c r="F975" t="s">
        <v>245</v>
      </c>
      <c r="G975" t="s">
        <v>246</v>
      </c>
      <c r="N975" t="s">
        <v>1800</v>
      </c>
      <c r="O975" t="s">
        <v>1801</v>
      </c>
      <c r="P975" t="s">
        <v>249</v>
      </c>
      <c r="Q975" t="s">
        <v>250</v>
      </c>
      <c r="R975" t="s">
        <v>251</v>
      </c>
      <c r="T975" t="s">
        <v>252</v>
      </c>
      <c r="U975" t="s">
        <v>253</v>
      </c>
      <c r="V975" t="s">
        <v>418</v>
      </c>
      <c r="W975" t="s">
        <v>847</v>
      </c>
      <c r="X975" t="s">
        <v>1802</v>
      </c>
      <c r="AL975" t="s">
        <v>1834</v>
      </c>
      <c r="AM975" t="s">
        <v>258</v>
      </c>
      <c r="AN975" t="s">
        <v>259</v>
      </c>
      <c r="AO975" t="s">
        <v>260</v>
      </c>
      <c r="AQ975" t="s">
        <v>261</v>
      </c>
      <c r="AS975">
        <v>1950</v>
      </c>
      <c r="AU975">
        <v>1314.8</v>
      </c>
      <c r="AW975">
        <v>2892</v>
      </c>
      <c r="AX975" t="s">
        <v>262</v>
      </c>
      <c r="BO975" t="s">
        <v>261</v>
      </c>
      <c r="BQ975">
        <v>1.95</v>
      </c>
      <c r="BS975">
        <v>1.3148</v>
      </c>
      <c r="BU975">
        <v>2.8919999999999999</v>
      </c>
      <c r="BV975" t="s">
        <v>263</v>
      </c>
      <c r="CM975" t="s">
        <v>264</v>
      </c>
      <c r="CN975" t="s">
        <v>264</v>
      </c>
      <c r="CP975" t="s">
        <v>265</v>
      </c>
      <c r="CQ975" t="s">
        <v>518</v>
      </c>
      <c r="DB975">
        <v>3</v>
      </c>
      <c r="DG975" t="s">
        <v>267</v>
      </c>
      <c r="DI975">
        <v>72</v>
      </c>
      <c r="DN975" t="s">
        <v>268</v>
      </c>
      <c r="DP975" t="s">
        <v>1804</v>
      </c>
      <c r="DR975">
        <v>1378283</v>
      </c>
      <c r="DS975">
        <v>4579</v>
      </c>
      <c r="EW975" t="s">
        <v>271</v>
      </c>
      <c r="FM975">
        <v>27.5</v>
      </c>
      <c r="FR975" t="s">
        <v>295</v>
      </c>
      <c r="GG975" t="s">
        <v>288</v>
      </c>
      <c r="GH975">
        <v>60</v>
      </c>
      <c r="GM975" t="s">
        <v>900</v>
      </c>
      <c r="GU975">
        <v>15</v>
      </c>
      <c r="GZ975" t="s">
        <v>296</v>
      </c>
      <c r="HH975" t="s">
        <v>272</v>
      </c>
      <c r="IE975" t="s">
        <v>1805</v>
      </c>
      <c r="IF975">
        <v>11853</v>
      </c>
      <c r="IG975" t="s">
        <v>1806</v>
      </c>
      <c r="IH975" t="s">
        <v>1807</v>
      </c>
      <c r="II975">
        <v>1986</v>
      </c>
      <c r="IJ975" t="s">
        <v>1808</v>
      </c>
    </row>
    <row r="976" spans="1:244" x14ac:dyDescent="0.45">
      <c r="A976">
        <v>1141313</v>
      </c>
      <c r="B976">
        <v>121183</v>
      </c>
      <c r="C976">
        <v>7733020</v>
      </c>
      <c r="D976" t="s">
        <v>2214</v>
      </c>
      <c r="F976" t="s">
        <v>245</v>
      </c>
      <c r="G976" t="s">
        <v>246</v>
      </c>
      <c r="N976" t="s">
        <v>1800</v>
      </c>
      <c r="O976" t="s">
        <v>1801</v>
      </c>
      <c r="P976" t="s">
        <v>249</v>
      </c>
      <c r="Q976" t="s">
        <v>250</v>
      </c>
      <c r="R976" t="s">
        <v>251</v>
      </c>
      <c r="T976" t="s">
        <v>252</v>
      </c>
      <c r="U976" t="s">
        <v>253</v>
      </c>
      <c r="V976" t="s">
        <v>418</v>
      </c>
      <c r="W976" t="s">
        <v>847</v>
      </c>
      <c r="X976" t="s">
        <v>1802</v>
      </c>
      <c r="AL976" t="s">
        <v>1834</v>
      </c>
      <c r="AM976" t="s">
        <v>258</v>
      </c>
      <c r="AN976" t="s">
        <v>259</v>
      </c>
      <c r="AO976" t="s">
        <v>260</v>
      </c>
      <c r="AQ976" t="s">
        <v>261</v>
      </c>
      <c r="AS976">
        <v>4000</v>
      </c>
      <c r="AU976">
        <v>2586</v>
      </c>
      <c r="AW976">
        <v>6187.2</v>
      </c>
      <c r="AX976" t="s">
        <v>262</v>
      </c>
      <c r="BO976" t="s">
        <v>261</v>
      </c>
      <c r="BQ976">
        <v>4</v>
      </c>
      <c r="BS976">
        <v>2.5859999999999999</v>
      </c>
      <c r="BU976">
        <v>6.1871999999999998</v>
      </c>
      <c r="BV976" t="s">
        <v>263</v>
      </c>
      <c r="CM976" t="s">
        <v>264</v>
      </c>
      <c r="CN976" t="s">
        <v>264</v>
      </c>
      <c r="CP976" t="s">
        <v>265</v>
      </c>
      <c r="CQ976" t="s">
        <v>518</v>
      </c>
      <c r="DB976">
        <v>2</v>
      </c>
      <c r="DG976" t="s">
        <v>267</v>
      </c>
      <c r="DI976">
        <v>48</v>
      </c>
      <c r="DN976" t="s">
        <v>268</v>
      </c>
      <c r="DP976" t="s">
        <v>1804</v>
      </c>
      <c r="DR976">
        <v>1378283</v>
      </c>
      <c r="DS976">
        <v>4579</v>
      </c>
      <c r="EW976" t="s">
        <v>271</v>
      </c>
      <c r="FM976">
        <v>27.5</v>
      </c>
      <c r="FR976" t="s">
        <v>295</v>
      </c>
      <c r="GG976" t="s">
        <v>288</v>
      </c>
      <c r="GH976">
        <v>60</v>
      </c>
      <c r="GM976" t="s">
        <v>900</v>
      </c>
      <c r="GU976">
        <v>15</v>
      </c>
      <c r="GZ976" t="s">
        <v>296</v>
      </c>
      <c r="HH976" t="s">
        <v>272</v>
      </c>
      <c r="IE976" t="s">
        <v>1805</v>
      </c>
      <c r="IF976">
        <v>11853</v>
      </c>
      <c r="IG976" t="s">
        <v>1806</v>
      </c>
      <c r="IH976" t="s">
        <v>1807</v>
      </c>
      <c r="II976">
        <v>1986</v>
      </c>
      <c r="IJ976" t="s">
        <v>1808</v>
      </c>
    </row>
    <row r="977" spans="1:244" x14ac:dyDescent="0.45">
      <c r="A977">
        <v>1162982</v>
      </c>
      <c r="B977">
        <v>183402</v>
      </c>
      <c r="C977">
        <v>7733020</v>
      </c>
      <c r="D977" t="s">
        <v>2214</v>
      </c>
      <c r="F977" t="s">
        <v>272</v>
      </c>
      <c r="G977" t="s">
        <v>246</v>
      </c>
      <c r="N977" t="s">
        <v>789</v>
      </c>
      <c r="O977" t="s">
        <v>790</v>
      </c>
      <c r="P977" t="s">
        <v>249</v>
      </c>
      <c r="Q977" t="s">
        <v>250</v>
      </c>
      <c r="R977" t="s">
        <v>251</v>
      </c>
      <c r="T977" t="s">
        <v>252</v>
      </c>
      <c r="U977" t="s">
        <v>253</v>
      </c>
      <c r="V977" t="s">
        <v>418</v>
      </c>
      <c r="W977" t="s">
        <v>791</v>
      </c>
      <c r="X977" t="s">
        <v>792</v>
      </c>
      <c r="Z977" t="s">
        <v>649</v>
      </c>
      <c r="AL977" t="s">
        <v>2239</v>
      </c>
      <c r="AM977" t="s">
        <v>258</v>
      </c>
      <c r="AN977" t="s">
        <v>259</v>
      </c>
      <c r="AO977" t="s">
        <v>260</v>
      </c>
      <c r="AQ977" t="s">
        <v>261</v>
      </c>
      <c r="AS977">
        <v>1690</v>
      </c>
      <c r="AU977">
        <v>1157</v>
      </c>
      <c r="AW977">
        <v>2478</v>
      </c>
      <c r="AX977" t="s">
        <v>262</v>
      </c>
      <c r="BO977" t="s">
        <v>261</v>
      </c>
      <c r="BQ977">
        <v>1.69</v>
      </c>
      <c r="BS977">
        <v>1.157</v>
      </c>
      <c r="BU977">
        <v>2.4780000000000002</v>
      </c>
      <c r="BV977" t="s">
        <v>263</v>
      </c>
      <c r="CM977" t="s">
        <v>264</v>
      </c>
      <c r="CN977" t="s">
        <v>264</v>
      </c>
      <c r="CP977" t="s">
        <v>265</v>
      </c>
      <c r="CQ977" t="s">
        <v>518</v>
      </c>
      <c r="DB977">
        <v>2</v>
      </c>
      <c r="DG977" t="s">
        <v>267</v>
      </c>
      <c r="DI977">
        <v>48</v>
      </c>
      <c r="DN977" t="s">
        <v>268</v>
      </c>
      <c r="DR977">
        <v>161924</v>
      </c>
      <c r="DS977">
        <v>3045</v>
      </c>
      <c r="EW977" t="s">
        <v>272</v>
      </c>
      <c r="FO977">
        <v>27</v>
      </c>
      <c r="FQ977">
        <v>27.5</v>
      </c>
      <c r="FR977" t="s">
        <v>295</v>
      </c>
      <c r="FT977">
        <v>5128</v>
      </c>
      <c r="FY977" t="s">
        <v>572</v>
      </c>
      <c r="GA977">
        <v>115</v>
      </c>
      <c r="GF977" t="s">
        <v>572</v>
      </c>
      <c r="GJ977">
        <v>5</v>
      </c>
      <c r="GL977">
        <v>6.1</v>
      </c>
      <c r="GM977" t="s">
        <v>356</v>
      </c>
      <c r="GQ977">
        <v>8.1</v>
      </c>
      <c r="GS977">
        <v>8.5</v>
      </c>
      <c r="GU977">
        <v>31</v>
      </c>
      <c r="GZ977" t="s">
        <v>296</v>
      </c>
      <c r="HH977" t="s">
        <v>272</v>
      </c>
      <c r="IE977" t="s">
        <v>2216</v>
      </c>
      <c r="IF977">
        <v>14402</v>
      </c>
      <c r="IG977" t="s">
        <v>2217</v>
      </c>
      <c r="IH977" t="s">
        <v>2218</v>
      </c>
      <c r="II977">
        <v>1993</v>
      </c>
      <c r="IJ977" t="s">
        <v>2219</v>
      </c>
    </row>
    <row r="978" spans="1:244" x14ac:dyDescent="0.45">
      <c r="A978">
        <v>1269769</v>
      </c>
      <c r="B978">
        <v>721067</v>
      </c>
      <c r="C978">
        <v>7733020</v>
      </c>
      <c r="D978" t="s">
        <v>2214</v>
      </c>
      <c r="F978" t="s">
        <v>327</v>
      </c>
      <c r="G978" t="s">
        <v>246</v>
      </c>
      <c r="N978" t="s">
        <v>2157</v>
      </c>
      <c r="O978" t="s">
        <v>578</v>
      </c>
      <c r="P978" t="s">
        <v>249</v>
      </c>
      <c r="Q978" t="s">
        <v>250</v>
      </c>
      <c r="R978" t="s">
        <v>251</v>
      </c>
      <c r="T978" t="s">
        <v>252</v>
      </c>
      <c r="U978" t="s">
        <v>499</v>
      </c>
      <c r="V978" t="s">
        <v>1217</v>
      </c>
      <c r="W978" t="s">
        <v>1218</v>
      </c>
      <c r="X978" t="s">
        <v>351</v>
      </c>
      <c r="Z978" t="s">
        <v>649</v>
      </c>
      <c r="AA978" t="s">
        <v>289</v>
      </c>
      <c r="AB978">
        <v>7</v>
      </c>
      <c r="AG978" t="s">
        <v>267</v>
      </c>
      <c r="AL978" t="s">
        <v>2178</v>
      </c>
      <c r="AM978" t="s">
        <v>317</v>
      </c>
      <c r="AN978" t="s">
        <v>259</v>
      </c>
      <c r="AO978" t="s">
        <v>260</v>
      </c>
      <c r="AP978">
        <v>7</v>
      </c>
      <c r="AQ978" t="s">
        <v>504</v>
      </c>
      <c r="AS978">
        <v>640</v>
      </c>
      <c r="AU978">
        <v>390</v>
      </c>
      <c r="AW978">
        <v>910</v>
      </c>
      <c r="AX978" t="s">
        <v>262</v>
      </c>
      <c r="BO978" t="s">
        <v>504</v>
      </c>
      <c r="BQ978">
        <v>0.64</v>
      </c>
      <c r="BS978">
        <v>0.39</v>
      </c>
      <c r="BU978">
        <v>0.91</v>
      </c>
      <c r="BV978" t="s">
        <v>263</v>
      </c>
      <c r="CM978" t="s">
        <v>264</v>
      </c>
      <c r="CN978" t="s">
        <v>264</v>
      </c>
      <c r="CP978" t="s">
        <v>265</v>
      </c>
      <c r="CQ978" t="s">
        <v>518</v>
      </c>
      <c r="DB978">
        <v>4</v>
      </c>
      <c r="DG978" t="s">
        <v>267</v>
      </c>
      <c r="DI978">
        <v>96</v>
      </c>
      <c r="DN978" t="s">
        <v>268</v>
      </c>
      <c r="DP978" t="s">
        <v>2240</v>
      </c>
      <c r="DR978">
        <v>315597</v>
      </c>
      <c r="DS978">
        <v>18408</v>
      </c>
      <c r="DT978" t="s">
        <v>2160</v>
      </c>
      <c r="EW978" t="s">
        <v>293</v>
      </c>
      <c r="FA978" t="s">
        <v>2161</v>
      </c>
      <c r="FK978" t="s">
        <v>2241</v>
      </c>
      <c r="FO978">
        <v>20.5</v>
      </c>
      <c r="FQ978">
        <v>21.2</v>
      </c>
      <c r="FR978" t="s">
        <v>295</v>
      </c>
      <c r="GG978" t="s">
        <v>288</v>
      </c>
      <c r="GH978">
        <v>95</v>
      </c>
      <c r="GM978" t="s">
        <v>900</v>
      </c>
      <c r="GQ978">
        <v>8</v>
      </c>
      <c r="GS978">
        <v>8.1999999999999993</v>
      </c>
      <c r="GW978">
        <v>30</v>
      </c>
      <c r="GY978">
        <v>32</v>
      </c>
      <c r="GZ978" t="s">
        <v>296</v>
      </c>
      <c r="HH978" t="s">
        <v>272</v>
      </c>
      <c r="ID978" t="s">
        <v>2242</v>
      </c>
      <c r="IE978" t="s">
        <v>2164</v>
      </c>
      <c r="IF978">
        <v>100591</v>
      </c>
      <c r="IG978" t="s">
        <v>2165</v>
      </c>
      <c r="IH978" t="s">
        <v>2166</v>
      </c>
      <c r="II978">
        <v>2006</v>
      </c>
      <c r="IJ978" t="s">
        <v>2167</v>
      </c>
    </row>
    <row r="979" spans="1:244" x14ac:dyDescent="0.45">
      <c r="A979">
        <v>1096444</v>
      </c>
      <c r="B979">
        <v>130164</v>
      </c>
      <c r="C979">
        <v>7733020</v>
      </c>
      <c r="D979" t="s">
        <v>2214</v>
      </c>
      <c r="F979" t="s">
        <v>245</v>
      </c>
      <c r="G979" t="s">
        <v>246</v>
      </c>
      <c r="N979" t="s">
        <v>2243</v>
      </c>
      <c r="O979" t="s">
        <v>646</v>
      </c>
      <c r="P979" t="s">
        <v>249</v>
      </c>
      <c r="Q979" t="s">
        <v>250</v>
      </c>
      <c r="R979" t="s">
        <v>251</v>
      </c>
      <c r="T979" t="s">
        <v>252</v>
      </c>
      <c r="U979" t="s">
        <v>371</v>
      </c>
      <c r="V979" t="s">
        <v>372</v>
      </c>
      <c r="W979" t="s">
        <v>647</v>
      </c>
      <c r="X979" t="s">
        <v>2244</v>
      </c>
      <c r="AB979">
        <v>5</v>
      </c>
      <c r="AG979" t="s">
        <v>267</v>
      </c>
      <c r="AM979" t="s">
        <v>317</v>
      </c>
      <c r="AN979" t="s">
        <v>259</v>
      </c>
      <c r="AO979" t="s">
        <v>260</v>
      </c>
      <c r="AQ979" t="s">
        <v>261</v>
      </c>
      <c r="AS979">
        <v>350</v>
      </c>
      <c r="AU979">
        <v>310</v>
      </c>
      <c r="AW979">
        <v>390</v>
      </c>
      <c r="AX979" t="s">
        <v>262</v>
      </c>
      <c r="BO979" t="s">
        <v>261</v>
      </c>
      <c r="BQ979">
        <v>0.35</v>
      </c>
      <c r="BS979">
        <v>0.31</v>
      </c>
      <c r="BU979">
        <v>0.39</v>
      </c>
      <c r="BV979" t="s">
        <v>263</v>
      </c>
      <c r="CM979" t="s">
        <v>264</v>
      </c>
      <c r="CN979" t="s">
        <v>264</v>
      </c>
      <c r="CP979" t="s">
        <v>265</v>
      </c>
      <c r="CQ979" t="s">
        <v>518</v>
      </c>
      <c r="DB979">
        <v>4</v>
      </c>
      <c r="DG979" t="s">
        <v>267</v>
      </c>
      <c r="DI979">
        <v>96</v>
      </c>
      <c r="DN979" t="s">
        <v>268</v>
      </c>
      <c r="DS979">
        <v>4703</v>
      </c>
      <c r="DT979" t="s">
        <v>2224</v>
      </c>
      <c r="EW979" t="s">
        <v>333</v>
      </c>
      <c r="FM979">
        <v>25</v>
      </c>
      <c r="FR979" t="s">
        <v>295</v>
      </c>
      <c r="GU979">
        <v>33.5</v>
      </c>
      <c r="GZ979" t="s">
        <v>296</v>
      </c>
      <c r="HH979" t="s">
        <v>272</v>
      </c>
      <c r="IE979" t="s">
        <v>2225</v>
      </c>
      <c r="IF979">
        <v>6825</v>
      </c>
      <c r="IG979" t="s">
        <v>2226</v>
      </c>
      <c r="IH979" t="s">
        <v>2227</v>
      </c>
      <c r="II979">
        <v>1993</v>
      </c>
      <c r="IJ979" t="s">
        <v>2228</v>
      </c>
    </row>
    <row r="980" spans="1:244" x14ac:dyDescent="0.45">
      <c r="A980">
        <v>1096364</v>
      </c>
      <c r="B980">
        <v>117490</v>
      </c>
      <c r="C980">
        <v>7733020</v>
      </c>
      <c r="D980" t="s">
        <v>2214</v>
      </c>
      <c r="F980" t="s">
        <v>327</v>
      </c>
      <c r="G980" t="s">
        <v>246</v>
      </c>
      <c r="N980" t="s">
        <v>1401</v>
      </c>
      <c r="O980" t="s">
        <v>1299</v>
      </c>
      <c r="P980" t="s">
        <v>249</v>
      </c>
      <c r="Q980" t="s">
        <v>250</v>
      </c>
      <c r="R980" t="s">
        <v>251</v>
      </c>
      <c r="T980" t="s">
        <v>252</v>
      </c>
      <c r="U980" t="s">
        <v>371</v>
      </c>
      <c r="V980" t="s">
        <v>372</v>
      </c>
      <c r="W980" t="s">
        <v>1402</v>
      </c>
      <c r="X980" t="s">
        <v>1403</v>
      </c>
      <c r="Z980" t="s">
        <v>649</v>
      </c>
      <c r="AB980">
        <v>3</v>
      </c>
      <c r="AG980" t="s">
        <v>267</v>
      </c>
      <c r="AM980" t="s">
        <v>317</v>
      </c>
      <c r="AN980" t="s">
        <v>259</v>
      </c>
      <c r="AO980" t="s">
        <v>260</v>
      </c>
      <c r="AQ980" t="s">
        <v>261</v>
      </c>
      <c r="AS980">
        <v>138</v>
      </c>
      <c r="AU980">
        <v>122</v>
      </c>
      <c r="AW980">
        <v>152</v>
      </c>
      <c r="AX980" t="s">
        <v>262</v>
      </c>
      <c r="BO980" t="s">
        <v>261</v>
      </c>
      <c r="BQ980">
        <v>0.13800000000000001</v>
      </c>
      <c r="BS980">
        <v>0.122</v>
      </c>
      <c r="BU980">
        <v>0.152</v>
      </c>
      <c r="BV980" t="s">
        <v>263</v>
      </c>
      <c r="CM980" t="s">
        <v>264</v>
      </c>
      <c r="CN980" t="s">
        <v>264</v>
      </c>
      <c r="CP980" t="s">
        <v>265</v>
      </c>
      <c r="CQ980" t="s">
        <v>518</v>
      </c>
      <c r="DB980">
        <v>4</v>
      </c>
      <c r="DG980" t="s">
        <v>267</v>
      </c>
      <c r="DI980">
        <v>96</v>
      </c>
      <c r="DN980" t="s">
        <v>268</v>
      </c>
      <c r="DR980">
        <v>236552</v>
      </c>
      <c r="DS980">
        <v>59434</v>
      </c>
      <c r="DT980" t="s">
        <v>2234</v>
      </c>
      <c r="EW980" t="s">
        <v>333</v>
      </c>
      <c r="FO980">
        <v>13</v>
      </c>
      <c r="FQ980">
        <v>15.5</v>
      </c>
      <c r="FR980" t="s">
        <v>295</v>
      </c>
      <c r="GJ980">
        <v>7.5</v>
      </c>
      <c r="GL980">
        <v>8</v>
      </c>
      <c r="GM980" t="s">
        <v>356</v>
      </c>
      <c r="GQ980">
        <v>7.75</v>
      </c>
      <c r="GS980">
        <v>7.95</v>
      </c>
      <c r="GW980">
        <v>35</v>
      </c>
      <c r="GY980">
        <v>40</v>
      </c>
      <c r="GZ980" t="s">
        <v>296</v>
      </c>
      <c r="HH980" t="s">
        <v>272</v>
      </c>
      <c r="IE980" t="s">
        <v>2235</v>
      </c>
      <c r="IF980">
        <v>6821</v>
      </c>
      <c r="IG980" t="s">
        <v>2236</v>
      </c>
      <c r="IH980" t="s">
        <v>2237</v>
      </c>
      <c r="II980">
        <v>1989</v>
      </c>
      <c r="IJ980" t="s">
        <v>2238</v>
      </c>
    </row>
    <row r="981" spans="1:244" x14ac:dyDescent="0.45">
      <c r="A981">
        <v>1096447</v>
      </c>
      <c r="B981">
        <v>130167</v>
      </c>
      <c r="C981">
        <v>7733020</v>
      </c>
      <c r="D981" t="s">
        <v>2214</v>
      </c>
      <c r="F981" t="s">
        <v>245</v>
      </c>
      <c r="G981" t="s">
        <v>246</v>
      </c>
      <c r="N981" t="s">
        <v>2245</v>
      </c>
      <c r="O981" t="s">
        <v>631</v>
      </c>
      <c r="P981" t="s">
        <v>249</v>
      </c>
      <c r="Q981" t="s">
        <v>250</v>
      </c>
      <c r="R981" t="s">
        <v>251</v>
      </c>
      <c r="T981" t="s">
        <v>389</v>
      </c>
      <c r="U981" t="s">
        <v>632</v>
      </c>
      <c r="V981" t="s">
        <v>633</v>
      </c>
      <c r="W981" t="s">
        <v>634</v>
      </c>
      <c r="X981" t="s">
        <v>2246</v>
      </c>
      <c r="Z981" t="s">
        <v>315</v>
      </c>
      <c r="AM981" t="s">
        <v>317</v>
      </c>
      <c r="AN981" t="s">
        <v>259</v>
      </c>
      <c r="AO981" t="s">
        <v>260</v>
      </c>
      <c r="AQ981" t="s">
        <v>2247</v>
      </c>
      <c r="AS981">
        <v>800</v>
      </c>
      <c r="AU981">
        <v>310</v>
      </c>
      <c r="AW981">
        <v>960</v>
      </c>
      <c r="AX981" t="s">
        <v>262</v>
      </c>
      <c r="BO981" t="s">
        <v>2247</v>
      </c>
      <c r="BQ981">
        <v>0.8</v>
      </c>
      <c r="BS981">
        <v>0.31</v>
      </c>
      <c r="BU981">
        <v>0.96</v>
      </c>
      <c r="BV981" t="s">
        <v>263</v>
      </c>
      <c r="CM981" t="s">
        <v>264</v>
      </c>
      <c r="CN981" t="s">
        <v>264</v>
      </c>
      <c r="CP981" t="s">
        <v>265</v>
      </c>
      <c r="CQ981" t="s">
        <v>518</v>
      </c>
      <c r="DB981">
        <v>2</v>
      </c>
      <c r="DG981" t="s">
        <v>267</v>
      </c>
      <c r="DI981">
        <v>48</v>
      </c>
      <c r="DN981" t="s">
        <v>268</v>
      </c>
      <c r="DS981">
        <v>4662</v>
      </c>
      <c r="DT981" t="s">
        <v>2224</v>
      </c>
      <c r="EW981" t="s">
        <v>333</v>
      </c>
      <c r="FM981">
        <v>25</v>
      </c>
      <c r="FR981" t="s">
        <v>295</v>
      </c>
      <c r="GU981">
        <v>23</v>
      </c>
      <c r="GZ981" t="s">
        <v>296</v>
      </c>
      <c r="HH981" t="s">
        <v>272</v>
      </c>
      <c r="IE981" t="s">
        <v>2225</v>
      </c>
      <c r="IF981">
        <v>6825</v>
      </c>
      <c r="IG981" t="s">
        <v>2226</v>
      </c>
      <c r="IH981" t="s">
        <v>2227</v>
      </c>
      <c r="II981">
        <v>1993</v>
      </c>
      <c r="IJ981" t="s">
        <v>2228</v>
      </c>
    </row>
    <row r="982" spans="1:244" x14ac:dyDescent="0.45">
      <c r="A982">
        <v>1271937</v>
      </c>
      <c r="B982">
        <v>723235</v>
      </c>
      <c r="C982">
        <v>7733020</v>
      </c>
      <c r="D982" t="s">
        <v>2214</v>
      </c>
      <c r="F982" t="s">
        <v>327</v>
      </c>
      <c r="G982" t="s">
        <v>246</v>
      </c>
      <c r="N982" t="s">
        <v>1914</v>
      </c>
      <c r="O982" t="s">
        <v>248</v>
      </c>
      <c r="P982" t="s">
        <v>249</v>
      </c>
      <c r="Q982" t="s">
        <v>250</v>
      </c>
      <c r="R982" t="s">
        <v>251</v>
      </c>
      <c r="T982" t="s">
        <v>252</v>
      </c>
      <c r="U982" t="s">
        <v>253</v>
      </c>
      <c r="V982" t="s">
        <v>254</v>
      </c>
      <c r="W982" t="s">
        <v>1915</v>
      </c>
      <c r="X982" t="s">
        <v>1916</v>
      </c>
      <c r="AL982" t="s">
        <v>2248</v>
      </c>
      <c r="AM982" t="s">
        <v>317</v>
      </c>
      <c r="AN982" t="s">
        <v>259</v>
      </c>
      <c r="AO982" t="s">
        <v>260</v>
      </c>
      <c r="AP982">
        <v>3</v>
      </c>
      <c r="AQ982" t="s">
        <v>261</v>
      </c>
      <c r="AR982" t="s">
        <v>515</v>
      </c>
      <c r="AS982">
        <v>100</v>
      </c>
      <c r="AX982" t="s">
        <v>2249</v>
      </c>
      <c r="BO982" t="s">
        <v>261</v>
      </c>
      <c r="BP982" t="s">
        <v>515</v>
      </c>
      <c r="BQ982">
        <v>100</v>
      </c>
      <c r="BV982" t="s">
        <v>263</v>
      </c>
      <c r="CM982" t="s">
        <v>264</v>
      </c>
      <c r="CN982" t="s">
        <v>264</v>
      </c>
      <c r="CP982" t="s">
        <v>265</v>
      </c>
      <c r="CQ982" t="s">
        <v>518</v>
      </c>
      <c r="DB982">
        <v>4</v>
      </c>
      <c r="DG982" t="s">
        <v>267</v>
      </c>
      <c r="DI982">
        <v>96</v>
      </c>
      <c r="DN982" t="s">
        <v>268</v>
      </c>
      <c r="DP982" t="s">
        <v>2250</v>
      </c>
      <c r="DR982">
        <v>80836</v>
      </c>
      <c r="DS982">
        <v>2488</v>
      </c>
      <c r="EW982" t="s">
        <v>2251</v>
      </c>
      <c r="FA982" t="s">
        <v>2252</v>
      </c>
      <c r="FK982" t="s">
        <v>2253</v>
      </c>
      <c r="FM982">
        <v>22</v>
      </c>
      <c r="FR982" t="s">
        <v>295</v>
      </c>
      <c r="GO982">
        <v>8.1999999999999993</v>
      </c>
      <c r="GU982">
        <v>36</v>
      </c>
      <c r="GZ982" t="s">
        <v>296</v>
      </c>
      <c r="HH982" t="s">
        <v>272</v>
      </c>
      <c r="ID982" t="s">
        <v>2254</v>
      </c>
      <c r="IE982" t="s">
        <v>2255</v>
      </c>
      <c r="IF982">
        <v>14467</v>
      </c>
      <c r="IG982" t="s">
        <v>2256</v>
      </c>
      <c r="IH982" t="s">
        <v>2257</v>
      </c>
      <c r="II982">
        <v>1986</v>
      </c>
      <c r="IJ982" t="s">
        <v>2258</v>
      </c>
    </row>
    <row r="983" spans="1:244" x14ac:dyDescent="0.45">
      <c r="A983">
        <v>1096428</v>
      </c>
      <c r="B983">
        <v>121124</v>
      </c>
      <c r="C983">
        <v>7733020</v>
      </c>
      <c r="D983" t="s">
        <v>2214</v>
      </c>
      <c r="F983" t="s">
        <v>245</v>
      </c>
      <c r="G983" t="s">
        <v>246</v>
      </c>
      <c r="N983" t="s">
        <v>2220</v>
      </c>
      <c r="O983" t="s">
        <v>631</v>
      </c>
      <c r="P983" t="s">
        <v>249</v>
      </c>
      <c r="Q983" t="s">
        <v>250</v>
      </c>
      <c r="R983" t="s">
        <v>251</v>
      </c>
      <c r="T983" t="s">
        <v>389</v>
      </c>
      <c r="U983" t="s">
        <v>632</v>
      </c>
      <c r="V983" t="s">
        <v>830</v>
      </c>
      <c r="W983" t="s">
        <v>2221</v>
      </c>
      <c r="X983" t="s">
        <v>2222</v>
      </c>
      <c r="Z983" t="s">
        <v>315</v>
      </c>
      <c r="AL983" t="s">
        <v>2223</v>
      </c>
      <c r="AM983" t="s">
        <v>317</v>
      </c>
      <c r="AN983" t="s">
        <v>259</v>
      </c>
      <c r="AO983" t="s">
        <v>260</v>
      </c>
      <c r="AQ983" t="s">
        <v>261</v>
      </c>
      <c r="AS983">
        <v>90</v>
      </c>
      <c r="AU983">
        <v>60</v>
      </c>
      <c r="AW983">
        <v>120</v>
      </c>
      <c r="AX983" t="s">
        <v>262</v>
      </c>
      <c r="BO983" t="s">
        <v>261</v>
      </c>
      <c r="BQ983">
        <v>0.09</v>
      </c>
      <c r="BS983">
        <v>0.06</v>
      </c>
      <c r="BU983">
        <v>0.12</v>
      </c>
      <c r="BV983" t="s">
        <v>263</v>
      </c>
      <c r="CM983" t="s">
        <v>264</v>
      </c>
      <c r="CN983" t="s">
        <v>264</v>
      </c>
      <c r="CP983" t="s">
        <v>265</v>
      </c>
      <c r="CQ983" t="s">
        <v>518</v>
      </c>
      <c r="DB983">
        <v>2</v>
      </c>
      <c r="DG983" t="s">
        <v>267</v>
      </c>
      <c r="DI983">
        <v>48</v>
      </c>
      <c r="DN983" t="s">
        <v>268</v>
      </c>
      <c r="DR983">
        <v>399051</v>
      </c>
      <c r="DS983">
        <v>4599</v>
      </c>
      <c r="DT983" t="s">
        <v>2224</v>
      </c>
      <c r="EW983" t="s">
        <v>333</v>
      </c>
      <c r="FM983">
        <v>25</v>
      </c>
      <c r="FR983" t="s">
        <v>295</v>
      </c>
      <c r="GU983">
        <v>33.5</v>
      </c>
      <c r="GZ983" t="s">
        <v>296</v>
      </c>
      <c r="HH983" t="s">
        <v>272</v>
      </c>
      <c r="IE983" t="s">
        <v>2225</v>
      </c>
      <c r="IF983">
        <v>6825</v>
      </c>
      <c r="IG983" t="s">
        <v>2226</v>
      </c>
      <c r="IH983" t="s">
        <v>2227</v>
      </c>
      <c r="II983">
        <v>1993</v>
      </c>
      <c r="IJ983" t="s">
        <v>2228</v>
      </c>
    </row>
    <row r="984" spans="1:244" x14ac:dyDescent="0.45">
      <c r="A984">
        <v>1153352</v>
      </c>
      <c r="B984">
        <v>160867</v>
      </c>
      <c r="C984">
        <v>7733020</v>
      </c>
      <c r="D984" t="s">
        <v>2214</v>
      </c>
      <c r="F984" t="s">
        <v>245</v>
      </c>
      <c r="G984" t="s">
        <v>246</v>
      </c>
      <c r="N984" t="s">
        <v>1672</v>
      </c>
      <c r="O984" t="s">
        <v>1673</v>
      </c>
      <c r="P984" t="s">
        <v>249</v>
      </c>
      <c r="Q984" t="s">
        <v>250</v>
      </c>
      <c r="R984" t="s">
        <v>251</v>
      </c>
      <c r="T984" t="s">
        <v>252</v>
      </c>
      <c r="U984" t="s">
        <v>253</v>
      </c>
      <c r="V984" t="s">
        <v>1674</v>
      </c>
      <c r="W984" t="s">
        <v>1675</v>
      </c>
      <c r="X984" t="s">
        <v>1676</v>
      </c>
      <c r="Z984" t="s">
        <v>1677</v>
      </c>
      <c r="AL984" t="s">
        <v>1678</v>
      </c>
      <c r="AM984" t="s">
        <v>287</v>
      </c>
      <c r="AN984" t="s">
        <v>259</v>
      </c>
      <c r="AO984" t="s">
        <v>260</v>
      </c>
      <c r="AQ984" t="s">
        <v>261</v>
      </c>
      <c r="AS984">
        <v>161900</v>
      </c>
      <c r="AX984" t="s">
        <v>262</v>
      </c>
      <c r="BO984" t="s">
        <v>261</v>
      </c>
      <c r="BQ984">
        <v>161.9</v>
      </c>
      <c r="BV984" t="s">
        <v>263</v>
      </c>
      <c r="CM984" t="s">
        <v>264</v>
      </c>
      <c r="CN984" t="s">
        <v>264</v>
      </c>
      <c r="CP984" t="s">
        <v>265</v>
      </c>
      <c r="DB984">
        <v>2</v>
      </c>
      <c r="DG984" t="s">
        <v>267</v>
      </c>
      <c r="DI984">
        <v>48</v>
      </c>
      <c r="DN984" t="s">
        <v>268</v>
      </c>
      <c r="DR984">
        <v>1460405</v>
      </c>
      <c r="DS984">
        <v>5936</v>
      </c>
      <c r="EW984" t="s">
        <v>293</v>
      </c>
      <c r="FK984" t="s">
        <v>1679</v>
      </c>
      <c r="HH984" t="s">
        <v>272</v>
      </c>
      <c r="ID984" t="s">
        <v>1680</v>
      </c>
      <c r="IE984" t="s">
        <v>1681</v>
      </c>
      <c r="IF984">
        <v>13233</v>
      </c>
      <c r="IG984" t="s">
        <v>1682</v>
      </c>
      <c r="IH984" t="s">
        <v>1683</v>
      </c>
      <c r="II984">
        <v>1988</v>
      </c>
      <c r="IJ984" t="s">
        <v>1684</v>
      </c>
    </row>
    <row r="985" spans="1:244" x14ac:dyDescent="0.45">
      <c r="A985">
        <v>1096365</v>
      </c>
      <c r="B985">
        <v>117491</v>
      </c>
      <c r="C985">
        <v>7733020</v>
      </c>
      <c r="D985" t="s">
        <v>2214</v>
      </c>
      <c r="F985" t="s">
        <v>327</v>
      </c>
      <c r="G985" t="s">
        <v>246</v>
      </c>
      <c r="N985" t="s">
        <v>1401</v>
      </c>
      <c r="O985" t="s">
        <v>1299</v>
      </c>
      <c r="P985" t="s">
        <v>249</v>
      </c>
      <c r="Q985" t="s">
        <v>250</v>
      </c>
      <c r="R985" t="s">
        <v>251</v>
      </c>
      <c r="T985" t="s">
        <v>252</v>
      </c>
      <c r="U985" t="s">
        <v>371</v>
      </c>
      <c r="V985" t="s">
        <v>372</v>
      </c>
      <c r="W985" t="s">
        <v>1402</v>
      </c>
      <c r="X985" t="s">
        <v>1403</v>
      </c>
      <c r="Z985" t="s">
        <v>649</v>
      </c>
      <c r="AB985">
        <v>3</v>
      </c>
      <c r="AG985" t="s">
        <v>267</v>
      </c>
      <c r="AM985" t="s">
        <v>317</v>
      </c>
      <c r="AN985" t="s">
        <v>259</v>
      </c>
      <c r="AO985" t="s">
        <v>260</v>
      </c>
      <c r="AQ985" t="s">
        <v>261</v>
      </c>
      <c r="AS985">
        <v>87</v>
      </c>
      <c r="AU985">
        <v>75</v>
      </c>
      <c r="AW985">
        <v>100</v>
      </c>
      <c r="AX985" t="s">
        <v>262</v>
      </c>
      <c r="BO985" t="s">
        <v>261</v>
      </c>
      <c r="BQ985">
        <v>8.6999999999999994E-2</v>
      </c>
      <c r="BS985">
        <v>7.4999999999999997E-2</v>
      </c>
      <c r="BU985">
        <v>0.1</v>
      </c>
      <c r="BV985" t="s">
        <v>263</v>
      </c>
      <c r="CM985" t="s">
        <v>264</v>
      </c>
      <c r="CN985" t="s">
        <v>264</v>
      </c>
      <c r="CP985" t="s">
        <v>265</v>
      </c>
      <c r="CQ985" t="s">
        <v>518</v>
      </c>
      <c r="DB985">
        <v>4</v>
      </c>
      <c r="DG985" t="s">
        <v>267</v>
      </c>
      <c r="DI985">
        <v>96</v>
      </c>
      <c r="DN985" t="s">
        <v>268</v>
      </c>
      <c r="DR985">
        <v>236552</v>
      </c>
      <c r="DS985">
        <v>59434</v>
      </c>
      <c r="DT985" t="s">
        <v>2234</v>
      </c>
      <c r="EW985" t="s">
        <v>333</v>
      </c>
      <c r="FO985">
        <v>14</v>
      </c>
      <c r="FQ985">
        <v>15</v>
      </c>
      <c r="FR985" t="s">
        <v>295</v>
      </c>
      <c r="GJ985">
        <v>6.8</v>
      </c>
      <c r="GL985">
        <v>8.3000000000000007</v>
      </c>
      <c r="GM985" t="s">
        <v>356</v>
      </c>
      <c r="GQ985">
        <v>7.8</v>
      </c>
      <c r="GS985">
        <v>7.9</v>
      </c>
      <c r="GW985">
        <v>35</v>
      </c>
      <c r="GY985">
        <v>38</v>
      </c>
      <c r="GZ985" t="s">
        <v>296</v>
      </c>
      <c r="HH985" t="s">
        <v>272</v>
      </c>
      <c r="IE985" t="s">
        <v>2235</v>
      </c>
      <c r="IF985">
        <v>6821</v>
      </c>
      <c r="IG985" t="s">
        <v>2236</v>
      </c>
      <c r="IH985" t="s">
        <v>2237</v>
      </c>
      <c r="II985">
        <v>1989</v>
      </c>
      <c r="IJ985" t="s">
        <v>2238</v>
      </c>
    </row>
    <row r="986" spans="1:244" x14ac:dyDescent="0.45">
      <c r="A986">
        <v>1209047</v>
      </c>
      <c r="B986">
        <v>199110</v>
      </c>
      <c r="C986">
        <v>7733020</v>
      </c>
      <c r="D986" t="s">
        <v>2214</v>
      </c>
      <c r="F986" t="s">
        <v>245</v>
      </c>
      <c r="G986" t="s">
        <v>246</v>
      </c>
      <c r="N986" t="s">
        <v>1401</v>
      </c>
      <c r="O986" t="s">
        <v>1299</v>
      </c>
      <c r="P986" t="s">
        <v>249</v>
      </c>
      <c r="Q986" t="s">
        <v>250</v>
      </c>
      <c r="R986" t="s">
        <v>251</v>
      </c>
      <c r="T986" t="s">
        <v>252</v>
      </c>
      <c r="U986" t="s">
        <v>371</v>
      </c>
      <c r="V986" t="s">
        <v>372</v>
      </c>
      <c r="W986" t="s">
        <v>1402</v>
      </c>
      <c r="X986" t="s">
        <v>1403</v>
      </c>
      <c r="Z986" t="s">
        <v>649</v>
      </c>
      <c r="AB986">
        <v>3</v>
      </c>
      <c r="AG986" t="s">
        <v>267</v>
      </c>
      <c r="AM986" t="s">
        <v>258</v>
      </c>
      <c r="AN986" t="s">
        <v>259</v>
      </c>
      <c r="AO986" t="s">
        <v>260</v>
      </c>
      <c r="AQ986" t="s">
        <v>261</v>
      </c>
      <c r="AS986">
        <v>80.7</v>
      </c>
      <c r="AX986" t="s">
        <v>262</v>
      </c>
      <c r="BO986" t="s">
        <v>261</v>
      </c>
      <c r="BQ986">
        <v>8.0699999999999994E-2</v>
      </c>
      <c r="BV986" t="s">
        <v>263</v>
      </c>
      <c r="CM986" t="s">
        <v>264</v>
      </c>
      <c r="CN986" t="s">
        <v>264</v>
      </c>
      <c r="CP986" t="s">
        <v>265</v>
      </c>
      <c r="CQ986" t="s">
        <v>518</v>
      </c>
      <c r="DB986">
        <v>4</v>
      </c>
      <c r="DG986" t="s">
        <v>267</v>
      </c>
      <c r="DI986">
        <v>96</v>
      </c>
      <c r="DN986" t="s">
        <v>268</v>
      </c>
      <c r="DR986">
        <v>236552</v>
      </c>
      <c r="DS986">
        <v>59434</v>
      </c>
      <c r="EW986" t="s">
        <v>293</v>
      </c>
      <c r="FA986" t="s">
        <v>2259</v>
      </c>
      <c r="FO986">
        <v>13.1</v>
      </c>
      <c r="FQ986">
        <v>15.3</v>
      </c>
      <c r="FR986" t="s">
        <v>295</v>
      </c>
      <c r="GJ986">
        <v>7.34</v>
      </c>
      <c r="GL986">
        <v>7.9</v>
      </c>
      <c r="GM986" t="s">
        <v>356</v>
      </c>
      <c r="GQ986">
        <v>7.7</v>
      </c>
      <c r="GS986">
        <v>7.95</v>
      </c>
      <c r="GW986">
        <v>34</v>
      </c>
      <c r="GY986">
        <v>42</v>
      </c>
      <c r="GZ986" t="s">
        <v>296</v>
      </c>
      <c r="HH986" t="s">
        <v>272</v>
      </c>
      <c r="IE986" t="s">
        <v>1497</v>
      </c>
      <c r="IF986">
        <v>19130</v>
      </c>
      <c r="IG986" t="s">
        <v>1498</v>
      </c>
      <c r="IH986" t="s">
        <v>1499</v>
      </c>
      <c r="II986">
        <v>1989</v>
      </c>
      <c r="IJ986" t="s">
        <v>1500</v>
      </c>
    </row>
    <row r="987" spans="1:244" x14ac:dyDescent="0.45">
      <c r="A987">
        <v>1277750</v>
      </c>
      <c r="B987">
        <v>730973</v>
      </c>
      <c r="C987">
        <v>7733020</v>
      </c>
      <c r="D987" t="s">
        <v>2214</v>
      </c>
      <c r="E987" t="s">
        <v>439</v>
      </c>
      <c r="F987" t="s">
        <v>245</v>
      </c>
      <c r="G987" t="s">
        <v>246</v>
      </c>
      <c r="N987" t="s">
        <v>968</v>
      </c>
      <c r="O987" t="s">
        <v>969</v>
      </c>
      <c r="P987" t="s">
        <v>249</v>
      </c>
      <c r="Q987" t="s">
        <v>250</v>
      </c>
      <c r="R987" t="s">
        <v>251</v>
      </c>
      <c r="T987" t="s">
        <v>252</v>
      </c>
      <c r="U987" t="s">
        <v>253</v>
      </c>
      <c r="V987" t="s">
        <v>418</v>
      </c>
      <c r="W987" t="s">
        <v>419</v>
      </c>
      <c r="X987" t="s">
        <v>970</v>
      </c>
      <c r="Z987" t="s">
        <v>649</v>
      </c>
      <c r="AL987" t="s">
        <v>1174</v>
      </c>
      <c r="AM987" t="s">
        <v>258</v>
      </c>
      <c r="AN987" t="s">
        <v>259</v>
      </c>
      <c r="AO987" t="s">
        <v>260</v>
      </c>
      <c r="AQ987" t="s">
        <v>261</v>
      </c>
      <c r="AS987">
        <v>0.37</v>
      </c>
      <c r="AU987">
        <v>0.19</v>
      </c>
      <c r="AW987">
        <v>0.74</v>
      </c>
      <c r="AX987" t="s">
        <v>356</v>
      </c>
      <c r="BO987" t="s">
        <v>261</v>
      </c>
      <c r="BQ987">
        <v>0.37</v>
      </c>
      <c r="BS987">
        <v>0.19</v>
      </c>
      <c r="BU987">
        <v>0.74</v>
      </c>
      <c r="BV987" t="s">
        <v>263</v>
      </c>
      <c r="CM987" t="s">
        <v>264</v>
      </c>
      <c r="CN987" t="s">
        <v>264</v>
      </c>
      <c r="CP987" t="s">
        <v>265</v>
      </c>
      <c r="CQ987" t="s">
        <v>518</v>
      </c>
      <c r="DB987">
        <v>4</v>
      </c>
      <c r="DG987" t="s">
        <v>267</v>
      </c>
      <c r="DI987">
        <v>96</v>
      </c>
      <c r="DN987" t="s">
        <v>268</v>
      </c>
      <c r="DP987" t="s">
        <v>2260</v>
      </c>
      <c r="DS987">
        <v>1010</v>
      </c>
      <c r="DT987" t="s">
        <v>1176</v>
      </c>
      <c r="EW987" t="s">
        <v>293</v>
      </c>
      <c r="FK987" t="s">
        <v>2261</v>
      </c>
      <c r="FM987">
        <v>35</v>
      </c>
      <c r="FR987" t="s">
        <v>295</v>
      </c>
      <c r="GG987" t="s">
        <v>288</v>
      </c>
      <c r="GH987">
        <v>90</v>
      </c>
      <c r="GM987" t="s">
        <v>900</v>
      </c>
      <c r="GO987">
        <v>8</v>
      </c>
      <c r="GU987">
        <v>36</v>
      </c>
      <c r="GZ987" t="s">
        <v>296</v>
      </c>
      <c r="HH987" t="s">
        <v>272</v>
      </c>
      <c r="ID987" t="s">
        <v>2262</v>
      </c>
      <c r="IE987" t="s">
        <v>1179</v>
      </c>
      <c r="IF987">
        <v>4973</v>
      </c>
      <c r="IG987" t="s">
        <v>1180</v>
      </c>
      <c r="IH987" t="s">
        <v>1181</v>
      </c>
      <c r="II987">
        <v>1982</v>
      </c>
      <c r="IJ987" t="s">
        <v>1182</v>
      </c>
    </row>
    <row r="988" spans="1:244" x14ac:dyDescent="0.45">
      <c r="A988">
        <v>1194074</v>
      </c>
      <c r="B988">
        <v>166693</v>
      </c>
      <c r="C988">
        <v>7733020</v>
      </c>
      <c r="D988" t="s">
        <v>2214</v>
      </c>
      <c r="F988" t="s">
        <v>245</v>
      </c>
      <c r="G988" t="s">
        <v>246</v>
      </c>
      <c r="N988" t="s">
        <v>1914</v>
      </c>
      <c r="O988" t="s">
        <v>248</v>
      </c>
      <c r="P988" t="s">
        <v>249</v>
      </c>
      <c r="Q988" t="s">
        <v>250</v>
      </c>
      <c r="R988" t="s">
        <v>251</v>
      </c>
      <c r="T988" t="s">
        <v>252</v>
      </c>
      <c r="U988" t="s">
        <v>253</v>
      </c>
      <c r="V988" t="s">
        <v>254</v>
      </c>
      <c r="W988" t="s">
        <v>1915</v>
      </c>
      <c r="X988" t="s">
        <v>1916</v>
      </c>
      <c r="Z988" t="s">
        <v>2263</v>
      </c>
      <c r="AL988" t="s">
        <v>2264</v>
      </c>
      <c r="AM988" t="s">
        <v>317</v>
      </c>
      <c r="AN988" t="s">
        <v>259</v>
      </c>
      <c r="AO988" t="s">
        <v>260</v>
      </c>
      <c r="AQ988" t="s">
        <v>261</v>
      </c>
      <c r="AS988">
        <v>18620</v>
      </c>
      <c r="AX988" t="s">
        <v>262</v>
      </c>
      <c r="BO988" t="s">
        <v>261</v>
      </c>
      <c r="BQ988">
        <v>18.62</v>
      </c>
      <c r="BV988" t="s">
        <v>263</v>
      </c>
      <c r="CM988" t="s">
        <v>264</v>
      </c>
      <c r="CN988" t="s">
        <v>264</v>
      </c>
      <c r="CP988" t="s">
        <v>265</v>
      </c>
      <c r="CQ988" t="s">
        <v>518</v>
      </c>
      <c r="DB988">
        <v>4</v>
      </c>
      <c r="DG988" t="s">
        <v>267</v>
      </c>
      <c r="DI988">
        <v>96</v>
      </c>
      <c r="DN988" t="s">
        <v>268</v>
      </c>
      <c r="DR988">
        <v>80836</v>
      </c>
      <c r="DS988">
        <v>2488</v>
      </c>
      <c r="EW988" t="s">
        <v>293</v>
      </c>
      <c r="FK988" t="s">
        <v>2265</v>
      </c>
      <c r="FM988">
        <v>17</v>
      </c>
      <c r="FR988" t="s">
        <v>295</v>
      </c>
      <c r="GH988">
        <v>81</v>
      </c>
      <c r="GM988" t="s">
        <v>900</v>
      </c>
      <c r="GU988">
        <v>36.700000000000003</v>
      </c>
      <c r="GZ988" t="s">
        <v>900</v>
      </c>
      <c r="HH988" t="s">
        <v>272</v>
      </c>
      <c r="ID988" t="s">
        <v>2266</v>
      </c>
      <c r="IE988" t="s">
        <v>2267</v>
      </c>
      <c r="IF988">
        <v>17415</v>
      </c>
      <c r="IG988" t="s">
        <v>2268</v>
      </c>
      <c r="IH988" t="s">
        <v>2269</v>
      </c>
      <c r="II988">
        <v>1985</v>
      </c>
      <c r="IJ988" t="s">
        <v>2270</v>
      </c>
    </row>
    <row r="989" spans="1:244" x14ac:dyDescent="0.45">
      <c r="A989">
        <v>1096442</v>
      </c>
      <c r="B989">
        <v>130162</v>
      </c>
      <c r="C989">
        <v>7733020</v>
      </c>
      <c r="D989" t="s">
        <v>2214</v>
      </c>
      <c r="F989" t="s">
        <v>245</v>
      </c>
      <c r="G989" t="s">
        <v>246</v>
      </c>
      <c r="N989" t="s">
        <v>2243</v>
      </c>
      <c r="O989" t="s">
        <v>646</v>
      </c>
      <c r="P989" t="s">
        <v>249</v>
      </c>
      <c r="Q989" t="s">
        <v>250</v>
      </c>
      <c r="R989" t="s">
        <v>251</v>
      </c>
      <c r="T989" t="s">
        <v>252</v>
      </c>
      <c r="U989" t="s">
        <v>371</v>
      </c>
      <c r="V989" t="s">
        <v>372</v>
      </c>
      <c r="W989" t="s">
        <v>647</v>
      </c>
      <c r="X989" t="s">
        <v>2244</v>
      </c>
      <c r="AB989">
        <v>3</v>
      </c>
      <c r="AG989" t="s">
        <v>267</v>
      </c>
      <c r="AM989" t="s">
        <v>317</v>
      </c>
      <c r="AN989" t="s">
        <v>259</v>
      </c>
      <c r="AO989" t="s">
        <v>260</v>
      </c>
      <c r="AQ989" t="s">
        <v>261</v>
      </c>
      <c r="AS989">
        <v>360</v>
      </c>
      <c r="AU989">
        <v>310</v>
      </c>
      <c r="AW989">
        <v>410</v>
      </c>
      <c r="AX989" t="s">
        <v>262</v>
      </c>
      <c r="BO989" t="s">
        <v>261</v>
      </c>
      <c r="BQ989">
        <v>0.36</v>
      </c>
      <c r="BS989">
        <v>0.31</v>
      </c>
      <c r="BU989">
        <v>0.41</v>
      </c>
      <c r="BV989" t="s">
        <v>263</v>
      </c>
      <c r="CM989" t="s">
        <v>264</v>
      </c>
      <c r="CN989" t="s">
        <v>264</v>
      </c>
      <c r="CP989" t="s">
        <v>265</v>
      </c>
      <c r="CQ989" t="s">
        <v>518</v>
      </c>
      <c r="DB989">
        <v>4</v>
      </c>
      <c r="DG989" t="s">
        <v>267</v>
      </c>
      <c r="DI989">
        <v>96</v>
      </c>
      <c r="DN989" t="s">
        <v>268</v>
      </c>
      <c r="DS989">
        <v>4703</v>
      </c>
      <c r="DT989" t="s">
        <v>2224</v>
      </c>
      <c r="EW989" t="s">
        <v>333</v>
      </c>
      <c r="FM989">
        <v>25</v>
      </c>
      <c r="FR989" t="s">
        <v>295</v>
      </c>
      <c r="GU989">
        <v>33.5</v>
      </c>
      <c r="GZ989" t="s">
        <v>296</v>
      </c>
      <c r="HH989" t="s">
        <v>272</v>
      </c>
      <c r="IE989" t="s">
        <v>2225</v>
      </c>
      <c r="IF989">
        <v>6825</v>
      </c>
      <c r="IG989" t="s">
        <v>2226</v>
      </c>
      <c r="IH989" t="s">
        <v>2227</v>
      </c>
      <c r="II989">
        <v>1993</v>
      </c>
      <c r="IJ989" t="s">
        <v>2228</v>
      </c>
    </row>
    <row r="990" spans="1:244" x14ac:dyDescent="0.45">
      <c r="A990">
        <v>1194073</v>
      </c>
      <c r="B990">
        <v>166692</v>
      </c>
      <c r="C990">
        <v>7733020</v>
      </c>
      <c r="D990" t="s">
        <v>2214</v>
      </c>
      <c r="F990" t="s">
        <v>245</v>
      </c>
      <c r="G990" t="s">
        <v>246</v>
      </c>
      <c r="N990" t="s">
        <v>1914</v>
      </c>
      <c r="O990" t="s">
        <v>248</v>
      </c>
      <c r="P990" t="s">
        <v>249</v>
      </c>
      <c r="Q990" t="s">
        <v>250</v>
      </c>
      <c r="R990" t="s">
        <v>251</v>
      </c>
      <c r="T990" t="s">
        <v>252</v>
      </c>
      <c r="U990" t="s">
        <v>253</v>
      </c>
      <c r="V990" t="s">
        <v>254</v>
      </c>
      <c r="W990" t="s">
        <v>1915</v>
      </c>
      <c r="X990" t="s">
        <v>1916</v>
      </c>
      <c r="Z990" t="s">
        <v>2263</v>
      </c>
      <c r="AL990" t="s">
        <v>2271</v>
      </c>
      <c r="AM990" t="s">
        <v>317</v>
      </c>
      <c r="AN990" t="s">
        <v>259</v>
      </c>
      <c r="AO990" t="s">
        <v>260</v>
      </c>
      <c r="AQ990" t="s">
        <v>261</v>
      </c>
      <c r="AS990">
        <v>22380</v>
      </c>
      <c r="AX990" t="s">
        <v>262</v>
      </c>
      <c r="BO990" t="s">
        <v>261</v>
      </c>
      <c r="BQ990">
        <v>22.38</v>
      </c>
      <c r="BV990" t="s">
        <v>263</v>
      </c>
      <c r="CM990" t="s">
        <v>264</v>
      </c>
      <c r="CN990" t="s">
        <v>264</v>
      </c>
      <c r="CP990" t="s">
        <v>265</v>
      </c>
      <c r="CQ990" t="s">
        <v>518</v>
      </c>
      <c r="DB990">
        <v>4</v>
      </c>
      <c r="DG990" t="s">
        <v>267</v>
      </c>
      <c r="DI990">
        <v>96</v>
      </c>
      <c r="DN990" t="s">
        <v>268</v>
      </c>
      <c r="DR990">
        <v>80836</v>
      </c>
      <c r="DS990">
        <v>2488</v>
      </c>
      <c r="EW990" t="s">
        <v>293</v>
      </c>
      <c r="FK990" t="s">
        <v>2265</v>
      </c>
      <c r="FM990">
        <v>17</v>
      </c>
      <c r="FR990" t="s">
        <v>295</v>
      </c>
      <c r="GH990">
        <v>81</v>
      </c>
      <c r="GM990" t="s">
        <v>900</v>
      </c>
      <c r="GU990">
        <v>36.700000000000003</v>
      </c>
      <c r="GZ990" t="s">
        <v>900</v>
      </c>
      <c r="HH990" t="s">
        <v>272</v>
      </c>
      <c r="ID990" t="s">
        <v>2266</v>
      </c>
      <c r="IE990" t="s">
        <v>2267</v>
      </c>
      <c r="IF990">
        <v>17415</v>
      </c>
      <c r="IG990" t="s">
        <v>2268</v>
      </c>
      <c r="IH990" t="s">
        <v>2269</v>
      </c>
      <c r="II990">
        <v>1985</v>
      </c>
      <c r="IJ990" t="s">
        <v>2270</v>
      </c>
    </row>
    <row r="991" spans="1:244" x14ac:dyDescent="0.45">
      <c r="A991">
        <v>1041010</v>
      </c>
      <c r="B991">
        <v>25222</v>
      </c>
      <c r="C991">
        <v>7733020</v>
      </c>
      <c r="D991" t="s">
        <v>2214</v>
      </c>
      <c r="F991" t="s">
        <v>245</v>
      </c>
      <c r="G991" t="s">
        <v>246</v>
      </c>
      <c r="N991" t="s">
        <v>1837</v>
      </c>
      <c r="O991" t="s">
        <v>1783</v>
      </c>
      <c r="P991" t="s">
        <v>249</v>
      </c>
      <c r="Q991" t="s">
        <v>250</v>
      </c>
      <c r="R991" t="s">
        <v>251</v>
      </c>
      <c r="T991" t="s">
        <v>252</v>
      </c>
      <c r="U991" t="s">
        <v>253</v>
      </c>
      <c r="V991" t="s">
        <v>1735</v>
      </c>
      <c r="W991" t="s">
        <v>1784</v>
      </c>
      <c r="X991" t="s">
        <v>1838</v>
      </c>
      <c r="Z991" t="s">
        <v>1677</v>
      </c>
      <c r="AL991" t="s">
        <v>1786</v>
      </c>
      <c r="AM991" t="s">
        <v>258</v>
      </c>
      <c r="AN991" t="s">
        <v>259</v>
      </c>
      <c r="AO991" t="s">
        <v>260</v>
      </c>
      <c r="AQ991" t="s">
        <v>261</v>
      </c>
      <c r="AS991">
        <v>46130</v>
      </c>
      <c r="AX991" t="s">
        <v>262</v>
      </c>
      <c r="BO991" t="s">
        <v>261</v>
      </c>
      <c r="BQ991">
        <v>46.13</v>
      </c>
      <c r="BV991" t="s">
        <v>263</v>
      </c>
      <c r="CM991" t="s">
        <v>264</v>
      </c>
      <c r="CN991" t="s">
        <v>264</v>
      </c>
      <c r="CP991" t="s">
        <v>265</v>
      </c>
      <c r="CQ991" t="s">
        <v>518</v>
      </c>
      <c r="DB991">
        <v>2</v>
      </c>
      <c r="DG991" t="s">
        <v>267</v>
      </c>
      <c r="DI991">
        <v>48</v>
      </c>
      <c r="DN991" t="s">
        <v>268</v>
      </c>
      <c r="DP991" t="s">
        <v>977</v>
      </c>
      <c r="DS991">
        <v>2899</v>
      </c>
      <c r="DT991" t="s">
        <v>1787</v>
      </c>
      <c r="EW991" t="s">
        <v>333</v>
      </c>
      <c r="FM991">
        <v>29</v>
      </c>
      <c r="FR991" t="s">
        <v>295</v>
      </c>
      <c r="GU991">
        <v>25</v>
      </c>
      <c r="GZ991" t="s">
        <v>296</v>
      </c>
      <c r="HH991" t="s">
        <v>272</v>
      </c>
      <c r="IE991" t="s">
        <v>1788</v>
      </c>
      <c r="IF991">
        <v>2602</v>
      </c>
      <c r="IG991" t="s">
        <v>1789</v>
      </c>
      <c r="IH991" t="s">
        <v>1790</v>
      </c>
      <c r="II991">
        <v>1987</v>
      </c>
      <c r="IJ991" t="s">
        <v>1791</v>
      </c>
    </row>
    <row r="992" spans="1:244" x14ac:dyDescent="0.45">
      <c r="A992">
        <v>1278914</v>
      </c>
      <c r="B992">
        <v>732208</v>
      </c>
      <c r="C992">
        <v>7733020</v>
      </c>
      <c r="D992" t="s">
        <v>2214</v>
      </c>
      <c r="E992" t="s">
        <v>439</v>
      </c>
      <c r="F992" t="s">
        <v>245</v>
      </c>
      <c r="G992" t="s">
        <v>246</v>
      </c>
      <c r="N992" t="s">
        <v>2272</v>
      </c>
      <c r="O992" t="s">
        <v>2273</v>
      </c>
      <c r="P992" t="s">
        <v>249</v>
      </c>
      <c r="Q992" t="s">
        <v>250</v>
      </c>
      <c r="R992" t="s">
        <v>251</v>
      </c>
      <c r="T992" t="s">
        <v>252</v>
      </c>
      <c r="U992" t="s">
        <v>253</v>
      </c>
      <c r="V992" t="s">
        <v>1735</v>
      </c>
      <c r="W992" t="s">
        <v>2274</v>
      </c>
      <c r="X992" t="s">
        <v>2275</v>
      </c>
      <c r="Z992" t="s">
        <v>1409</v>
      </c>
      <c r="AA992" t="s">
        <v>352</v>
      </c>
      <c r="AB992">
        <v>7</v>
      </c>
      <c r="AG992" t="s">
        <v>353</v>
      </c>
      <c r="AM992" t="s">
        <v>307</v>
      </c>
      <c r="AN992" t="s">
        <v>259</v>
      </c>
      <c r="AO992" t="s">
        <v>260</v>
      </c>
      <c r="AP992">
        <v>6</v>
      </c>
      <c r="AQ992" t="s">
        <v>261</v>
      </c>
      <c r="AS992">
        <v>152</v>
      </c>
      <c r="AU992">
        <v>144.06</v>
      </c>
      <c r="AW992">
        <v>161.36000000000001</v>
      </c>
      <c r="AX992" t="s">
        <v>262</v>
      </c>
      <c r="BO992" t="s">
        <v>261</v>
      </c>
      <c r="BQ992">
        <v>0.152</v>
      </c>
      <c r="BS992">
        <v>0.14405999999999999</v>
      </c>
      <c r="BU992">
        <v>0.16136</v>
      </c>
      <c r="BV992" t="s">
        <v>263</v>
      </c>
      <c r="CM992" t="s">
        <v>264</v>
      </c>
      <c r="CN992" t="s">
        <v>264</v>
      </c>
      <c r="CP992" t="s">
        <v>265</v>
      </c>
      <c r="CQ992" t="s">
        <v>518</v>
      </c>
      <c r="DB992">
        <v>4</v>
      </c>
      <c r="DG992" t="s">
        <v>267</v>
      </c>
      <c r="DI992">
        <v>96</v>
      </c>
      <c r="DN992" t="s">
        <v>268</v>
      </c>
      <c r="DP992" t="s">
        <v>2276</v>
      </c>
      <c r="DR992">
        <v>220131</v>
      </c>
      <c r="DS992">
        <v>16412</v>
      </c>
      <c r="EW992" t="s">
        <v>2277</v>
      </c>
      <c r="FK992" t="s">
        <v>2278</v>
      </c>
      <c r="FM992">
        <v>27</v>
      </c>
      <c r="FR992" t="s">
        <v>295</v>
      </c>
      <c r="GH992">
        <v>4.8</v>
      </c>
      <c r="GM992" t="s">
        <v>1766</v>
      </c>
      <c r="GQ992">
        <v>7.2</v>
      </c>
      <c r="GS992">
        <v>7.5</v>
      </c>
      <c r="GU992">
        <v>25</v>
      </c>
      <c r="GZ992" t="s">
        <v>296</v>
      </c>
      <c r="HH992" t="s">
        <v>272</v>
      </c>
      <c r="ID992" t="s">
        <v>2279</v>
      </c>
      <c r="IE992" t="s">
        <v>2280</v>
      </c>
      <c r="IF992">
        <v>69820</v>
      </c>
      <c r="IG992" t="s">
        <v>2281</v>
      </c>
      <c r="IH992" t="s">
        <v>2282</v>
      </c>
      <c r="II992">
        <v>2000</v>
      </c>
      <c r="IJ992" t="s">
        <v>2283</v>
      </c>
    </row>
    <row r="993" spans="1:244" x14ac:dyDescent="0.45">
      <c r="A993">
        <v>1162987</v>
      </c>
      <c r="B993">
        <v>183407</v>
      </c>
      <c r="C993">
        <v>7733020</v>
      </c>
      <c r="D993" t="s">
        <v>2214</v>
      </c>
      <c r="F993" t="s">
        <v>272</v>
      </c>
      <c r="G993" t="s">
        <v>246</v>
      </c>
      <c r="N993" t="s">
        <v>789</v>
      </c>
      <c r="O993" t="s">
        <v>790</v>
      </c>
      <c r="P993" t="s">
        <v>249</v>
      </c>
      <c r="Q993" t="s">
        <v>250</v>
      </c>
      <c r="R993" t="s">
        <v>251</v>
      </c>
      <c r="T993" t="s">
        <v>252</v>
      </c>
      <c r="U993" t="s">
        <v>253</v>
      </c>
      <c r="V993" t="s">
        <v>418</v>
      </c>
      <c r="W993" t="s">
        <v>791</v>
      </c>
      <c r="X993" t="s">
        <v>792</v>
      </c>
      <c r="Z993" t="s">
        <v>649</v>
      </c>
      <c r="AL993" t="s">
        <v>2239</v>
      </c>
      <c r="AM993" t="s">
        <v>258</v>
      </c>
      <c r="AN993" t="s">
        <v>259</v>
      </c>
      <c r="AO993" t="s">
        <v>260</v>
      </c>
      <c r="AQ993" t="s">
        <v>261</v>
      </c>
      <c r="AS993">
        <v>1310</v>
      </c>
      <c r="AU993">
        <v>1078</v>
      </c>
      <c r="AW993">
        <v>1587</v>
      </c>
      <c r="AX993" t="s">
        <v>262</v>
      </c>
      <c r="BO993" t="s">
        <v>261</v>
      </c>
      <c r="BQ993">
        <v>1.31</v>
      </c>
      <c r="BS993">
        <v>1.0780000000000001</v>
      </c>
      <c r="BU993">
        <v>1.587</v>
      </c>
      <c r="BV993" t="s">
        <v>263</v>
      </c>
      <c r="CM993" t="s">
        <v>264</v>
      </c>
      <c r="CN993" t="s">
        <v>264</v>
      </c>
      <c r="CP993" t="s">
        <v>265</v>
      </c>
      <c r="CQ993" t="s">
        <v>518</v>
      </c>
      <c r="DB993">
        <v>3</v>
      </c>
      <c r="DG993" t="s">
        <v>267</v>
      </c>
      <c r="DI993">
        <v>72</v>
      </c>
      <c r="DN993" t="s">
        <v>268</v>
      </c>
      <c r="DR993">
        <v>161924</v>
      </c>
      <c r="DS993">
        <v>3045</v>
      </c>
      <c r="EW993" t="s">
        <v>272</v>
      </c>
      <c r="FO993">
        <v>27</v>
      </c>
      <c r="FQ993">
        <v>27.5</v>
      </c>
      <c r="FR993" t="s">
        <v>295</v>
      </c>
      <c r="FT993">
        <v>5128</v>
      </c>
      <c r="FY993" t="s">
        <v>572</v>
      </c>
      <c r="GA993">
        <v>115</v>
      </c>
      <c r="GF993" t="s">
        <v>572</v>
      </c>
      <c r="GJ993">
        <v>5</v>
      </c>
      <c r="GL993">
        <v>6.1</v>
      </c>
      <c r="GM993" t="s">
        <v>356</v>
      </c>
      <c r="GQ993">
        <v>8.1</v>
      </c>
      <c r="GS993">
        <v>8.5</v>
      </c>
      <c r="GU993">
        <v>30</v>
      </c>
      <c r="GZ993" t="s">
        <v>296</v>
      </c>
      <c r="HH993" t="s">
        <v>272</v>
      </c>
      <c r="IE993" t="s">
        <v>2216</v>
      </c>
      <c r="IF993">
        <v>14402</v>
      </c>
      <c r="IG993" t="s">
        <v>2217</v>
      </c>
      <c r="IH993" t="s">
        <v>2218</v>
      </c>
      <c r="II993">
        <v>1993</v>
      </c>
      <c r="IJ993" t="s">
        <v>2219</v>
      </c>
    </row>
    <row r="994" spans="1:244" x14ac:dyDescent="0.45">
      <c r="A994">
        <v>1273412</v>
      </c>
      <c r="B994">
        <v>724712</v>
      </c>
      <c r="C994">
        <v>7733020</v>
      </c>
      <c r="D994" t="s">
        <v>2214</v>
      </c>
      <c r="E994" t="s">
        <v>439</v>
      </c>
      <c r="F994" t="s">
        <v>245</v>
      </c>
      <c r="G994" t="s">
        <v>246</v>
      </c>
      <c r="N994" t="s">
        <v>2284</v>
      </c>
      <c r="O994" t="s">
        <v>370</v>
      </c>
      <c r="P994" t="s">
        <v>249</v>
      </c>
      <c r="Q994" t="s">
        <v>250</v>
      </c>
      <c r="R994" t="s">
        <v>251</v>
      </c>
      <c r="T994" t="s">
        <v>252</v>
      </c>
      <c r="U994" t="s">
        <v>371</v>
      </c>
      <c r="V994" t="s">
        <v>372</v>
      </c>
      <c r="W994" t="s">
        <v>2285</v>
      </c>
      <c r="X994" t="s">
        <v>2286</v>
      </c>
      <c r="AL994" t="s">
        <v>2287</v>
      </c>
      <c r="AM994" t="s">
        <v>317</v>
      </c>
      <c r="AN994" t="s">
        <v>259</v>
      </c>
      <c r="AO994" t="s">
        <v>260</v>
      </c>
      <c r="AQ994" t="s">
        <v>261</v>
      </c>
      <c r="AS994">
        <v>0.88</v>
      </c>
      <c r="AU994">
        <v>0.74</v>
      </c>
      <c r="AW994">
        <v>1.05</v>
      </c>
      <c r="AX994" t="s">
        <v>356</v>
      </c>
      <c r="BO994" t="s">
        <v>261</v>
      </c>
      <c r="BQ994">
        <v>0.88</v>
      </c>
      <c r="BS994">
        <v>0.74</v>
      </c>
      <c r="BU994">
        <v>1.05</v>
      </c>
      <c r="BV994" t="s">
        <v>263</v>
      </c>
      <c r="CM994" t="s">
        <v>264</v>
      </c>
      <c r="CN994" t="s">
        <v>264</v>
      </c>
      <c r="CP994" t="s">
        <v>265</v>
      </c>
      <c r="CQ994" t="s">
        <v>518</v>
      </c>
      <c r="DB994">
        <v>4</v>
      </c>
      <c r="DG994" t="s">
        <v>267</v>
      </c>
      <c r="DI994">
        <v>96</v>
      </c>
      <c r="DN994" t="s">
        <v>268</v>
      </c>
      <c r="DP994" t="s">
        <v>2288</v>
      </c>
      <c r="DS994">
        <v>18597</v>
      </c>
      <c r="EW994" t="s">
        <v>293</v>
      </c>
      <c r="FA994" t="s">
        <v>2289</v>
      </c>
      <c r="FK994" t="s">
        <v>2290</v>
      </c>
      <c r="FM994">
        <v>20</v>
      </c>
      <c r="FR994" t="s">
        <v>295</v>
      </c>
      <c r="GU994">
        <v>20</v>
      </c>
      <c r="GZ994" t="s">
        <v>296</v>
      </c>
      <c r="HH994" t="s">
        <v>272</v>
      </c>
      <c r="ID994" t="s">
        <v>2291</v>
      </c>
      <c r="IE994" t="s">
        <v>2292</v>
      </c>
      <c r="IF994">
        <v>84096</v>
      </c>
      <c r="IG994" t="s">
        <v>2293</v>
      </c>
      <c r="IH994" t="s">
        <v>2294</v>
      </c>
      <c r="II994">
        <v>1997</v>
      </c>
      <c r="IJ994" t="s">
        <v>2295</v>
      </c>
    </row>
    <row r="995" spans="1:244" x14ac:dyDescent="0.45">
      <c r="A995">
        <v>1033122</v>
      </c>
      <c r="B995">
        <v>107272</v>
      </c>
      <c r="C995">
        <v>7733020</v>
      </c>
      <c r="D995" t="s">
        <v>2214</v>
      </c>
      <c r="F995" t="s">
        <v>245</v>
      </c>
      <c r="G995" t="s">
        <v>246</v>
      </c>
      <c r="N995" t="s">
        <v>471</v>
      </c>
      <c r="O995" t="s">
        <v>388</v>
      </c>
      <c r="P995" t="s">
        <v>249</v>
      </c>
      <c r="Q995" t="s">
        <v>250</v>
      </c>
      <c r="R995" t="s">
        <v>251</v>
      </c>
      <c r="T995" t="s">
        <v>389</v>
      </c>
      <c r="U995" t="s">
        <v>390</v>
      </c>
      <c r="V995" t="s">
        <v>472</v>
      </c>
      <c r="W995" t="s">
        <v>473</v>
      </c>
      <c r="X995" t="s">
        <v>474</v>
      </c>
      <c r="AL995" t="s">
        <v>2296</v>
      </c>
      <c r="AM995" t="s">
        <v>317</v>
      </c>
      <c r="AN995" t="s">
        <v>259</v>
      </c>
      <c r="AO995" t="s">
        <v>260</v>
      </c>
      <c r="AQ995" t="s">
        <v>261</v>
      </c>
      <c r="AS995">
        <v>1076</v>
      </c>
      <c r="AX995" t="s">
        <v>262</v>
      </c>
      <c r="BO995" t="s">
        <v>261</v>
      </c>
      <c r="BQ995">
        <v>1.0760000000000001</v>
      </c>
      <c r="BV995" t="s">
        <v>263</v>
      </c>
      <c r="CM995" t="s">
        <v>264</v>
      </c>
      <c r="CN995" t="s">
        <v>264</v>
      </c>
      <c r="CP995" t="s">
        <v>265</v>
      </c>
      <c r="CQ995" t="s">
        <v>518</v>
      </c>
      <c r="DB995">
        <v>2</v>
      </c>
      <c r="DG995" t="s">
        <v>267</v>
      </c>
      <c r="DI995">
        <v>48</v>
      </c>
      <c r="DN995" t="s">
        <v>268</v>
      </c>
      <c r="DR995">
        <v>2056173</v>
      </c>
      <c r="DS995">
        <v>1053</v>
      </c>
      <c r="DT995" t="s">
        <v>2297</v>
      </c>
      <c r="EW995" t="s">
        <v>333</v>
      </c>
      <c r="FA995" t="s">
        <v>2298</v>
      </c>
      <c r="FM995">
        <v>18</v>
      </c>
      <c r="FR995" t="s">
        <v>295</v>
      </c>
      <c r="HH995" t="s">
        <v>272</v>
      </c>
      <c r="IE995" t="s">
        <v>2299</v>
      </c>
      <c r="IF995">
        <v>2084</v>
      </c>
      <c r="IG995" t="s">
        <v>2300</v>
      </c>
      <c r="IH995" t="s">
        <v>2301</v>
      </c>
      <c r="II995">
        <v>1989</v>
      </c>
      <c r="IJ995" t="s">
        <v>2302</v>
      </c>
    </row>
    <row r="996" spans="1:244" x14ac:dyDescent="0.45">
      <c r="A996">
        <v>2145342</v>
      </c>
      <c r="B996">
        <v>2273859</v>
      </c>
      <c r="C996">
        <v>7733020</v>
      </c>
      <c r="D996" t="s">
        <v>2214</v>
      </c>
      <c r="E996" t="s">
        <v>622</v>
      </c>
      <c r="F996" t="s">
        <v>245</v>
      </c>
      <c r="G996" t="s">
        <v>2303</v>
      </c>
      <c r="N996" t="s">
        <v>2304</v>
      </c>
      <c r="O996" t="s">
        <v>656</v>
      </c>
      <c r="P996" t="s">
        <v>249</v>
      </c>
      <c r="Q996" t="s">
        <v>250</v>
      </c>
      <c r="R996" t="s">
        <v>251</v>
      </c>
      <c r="T996" t="s">
        <v>252</v>
      </c>
      <c r="U996" t="s">
        <v>253</v>
      </c>
      <c r="V996" t="s">
        <v>657</v>
      </c>
      <c r="W996" t="s">
        <v>658</v>
      </c>
      <c r="X996" t="s">
        <v>2305</v>
      </c>
      <c r="Z996" t="s">
        <v>1057</v>
      </c>
      <c r="AJ996" t="s">
        <v>285</v>
      </c>
      <c r="AL996" t="s">
        <v>2306</v>
      </c>
      <c r="AM996" t="s">
        <v>258</v>
      </c>
      <c r="AN996" t="s">
        <v>259</v>
      </c>
      <c r="AO996" t="s">
        <v>260</v>
      </c>
      <c r="AQ996" t="s">
        <v>261</v>
      </c>
      <c r="AS996">
        <v>12</v>
      </c>
      <c r="AX996" t="s">
        <v>422</v>
      </c>
      <c r="BO996" t="s">
        <v>261</v>
      </c>
      <c r="BQ996">
        <v>12</v>
      </c>
      <c r="BV996" t="s">
        <v>263</v>
      </c>
      <c r="CM996" t="s">
        <v>264</v>
      </c>
      <c r="CN996" t="s">
        <v>264</v>
      </c>
      <c r="CP996" t="s">
        <v>265</v>
      </c>
      <c r="CQ996" t="s">
        <v>518</v>
      </c>
      <c r="DB996">
        <v>4</v>
      </c>
      <c r="DG996" t="s">
        <v>267</v>
      </c>
      <c r="DI996">
        <v>96</v>
      </c>
      <c r="DN996" t="s">
        <v>268</v>
      </c>
      <c r="DP996" t="s">
        <v>2307</v>
      </c>
      <c r="DR996">
        <v>638975</v>
      </c>
      <c r="DS996">
        <v>27994</v>
      </c>
      <c r="DV996">
        <v>96</v>
      </c>
      <c r="EA996" t="s">
        <v>268</v>
      </c>
      <c r="EC996">
        <v>4</v>
      </c>
      <c r="EH996" t="s">
        <v>267</v>
      </c>
      <c r="EJ996">
        <v>96</v>
      </c>
      <c r="EO996" t="s">
        <v>268</v>
      </c>
      <c r="EQ996">
        <v>4</v>
      </c>
      <c r="EV996" t="s">
        <v>267</v>
      </c>
      <c r="EW996" t="s">
        <v>272</v>
      </c>
      <c r="EY996" t="s">
        <v>377</v>
      </c>
      <c r="FM996">
        <v>29.1</v>
      </c>
      <c r="FR996" t="s">
        <v>295</v>
      </c>
      <c r="GH996">
        <v>4.4000000000000004</v>
      </c>
      <c r="GM996" t="s">
        <v>1766</v>
      </c>
      <c r="GO996">
        <v>7.8</v>
      </c>
      <c r="GU996">
        <v>27</v>
      </c>
      <c r="GZ996" t="s">
        <v>900</v>
      </c>
      <c r="HH996" t="s">
        <v>272</v>
      </c>
      <c r="IE996" t="s">
        <v>2308</v>
      </c>
      <c r="IF996">
        <v>154096</v>
      </c>
      <c r="IG996" t="s">
        <v>2309</v>
      </c>
      <c r="IH996" t="s">
        <v>2310</v>
      </c>
      <c r="II996">
        <v>2011</v>
      </c>
      <c r="IJ996" t="s">
        <v>2311</v>
      </c>
    </row>
    <row r="997" spans="1:244" x14ac:dyDescent="0.45">
      <c r="A997">
        <v>1096431</v>
      </c>
      <c r="B997">
        <v>121127</v>
      </c>
      <c r="C997">
        <v>7733020</v>
      </c>
      <c r="D997" t="s">
        <v>2214</v>
      </c>
      <c r="F997" t="s">
        <v>245</v>
      </c>
      <c r="G997" t="s">
        <v>246</v>
      </c>
      <c r="N997" t="s">
        <v>2220</v>
      </c>
      <c r="O997" t="s">
        <v>631</v>
      </c>
      <c r="P997" t="s">
        <v>249</v>
      </c>
      <c r="Q997" t="s">
        <v>250</v>
      </c>
      <c r="R997" t="s">
        <v>251</v>
      </c>
      <c r="T997" t="s">
        <v>389</v>
      </c>
      <c r="U997" t="s">
        <v>632</v>
      </c>
      <c r="V997" t="s">
        <v>830</v>
      </c>
      <c r="W997" t="s">
        <v>2221</v>
      </c>
      <c r="X997" t="s">
        <v>2222</v>
      </c>
      <c r="Z997" t="s">
        <v>315</v>
      </c>
      <c r="AL997" t="s">
        <v>2223</v>
      </c>
      <c r="AM997" t="s">
        <v>317</v>
      </c>
      <c r="AN997" t="s">
        <v>259</v>
      </c>
      <c r="AO997" t="s">
        <v>260</v>
      </c>
      <c r="AQ997" t="s">
        <v>261</v>
      </c>
      <c r="AS997">
        <v>23</v>
      </c>
      <c r="AU997">
        <v>4</v>
      </c>
      <c r="AW997">
        <v>36</v>
      </c>
      <c r="AX997" t="s">
        <v>262</v>
      </c>
      <c r="BO997" t="s">
        <v>261</v>
      </c>
      <c r="BQ997">
        <v>2.3E-2</v>
      </c>
      <c r="BS997">
        <v>4.0000000000000001E-3</v>
      </c>
      <c r="BU997">
        <v>3.5999999999999997E-2</v>
      </c>
      <c r="BV997" t="s">
        <v>263</v>
      </c>
      <c r="CM997" t="s">
        <v>264</v>
      </c>
      <c r="CN997" t="s">
        <v>264</v>
      </c>
      <c r="CP997" t="s">
        <v>265</v>
      </c>
      <c r="CQ997" t="s">
        <v>518</v>
      </c>
      <c r="DB997">
        <v>2</v>
      </c>
      <c r="DG997" t="s">
        <v>267</v>
      </c>
      <c r="DI997">
        <v>48</v>
      </c>
      <c r="DN997" t="s">
        <v>268</v>
      </c>
      <c r="DR997">
        <v>399051</v>
      </c>
      <c r="DS997">
        <v>4599</v>
      </c>
      <c r="DT997" t="s">
        <v>2224</v>
      </c>
      <c r="EW997" t="s">
        <v>333</v>
      </c>
      <c r="FM997">
        <v>25</v>
      </c>
      <c r="FR997" t="s">
        <v>295</v>
      </c>
      <c r="GU997">
        <v>28</v>
      </c>
      <c r="GZ997" t="s">
        <v>296</v>
      </c>
      <c r="HH997" t="s">
        <v>272</v>
      </c>
      <c r="IE997" t="s">
        <v>2225</v>
      </c>
      <c r="IF997">
        <v>6825</v>
      </c>
      <c r="IG997" t="s">
        <v>2226</v>
      </c>
      <c r="IH997" t="s">
        <v>2227</v>
      </c>
      <c r="II997">
        <v>1993</v>
      </c>
      <c r="IJ997" t="s">
        <v>2228</v>
      </c>
    </row>
    <row r="998" spans="1:244" x14ac:dyDescent="0.45">
      <c r="A998">
        <v>1277976</v>
      </c>
      <c r="B998">
        <v>731221</v>
      </c>
      <c r="C998">
        <v>7733020</v>
      </c>
      <c r="D998" t="s">
        <v>2214</v>
      </c>
      <c r="E998" t="s">
        <v>439</v>
      </c>
      <c r="F998" t="s">
        <v>245</v>
      </c>
      <c r="G998" t="s">
        <v>246</v>
      </c>
      <c r="N998" t="s">
        <v>968</v>
      </c>
      <c r="O998" t="s">
        <v>969</v>
      </c>
      <c r="P998" t="s">
        <v>249</v>
      </c>
      <c r="Q998" t="s">
        <v>250</v>
      </c>
      <c r="R998" t="s">
        <v>251</v>
      </c>
      <c r="T998" t="s">
        <v>252</v>
      </c>
      <c r="U998" t="s">
        <v>253</v>
      </c>
      <c r="V998" t="s">
        <v>418</v>
      </c>
      <c r="W998" t="s">
        <v>419</v>
      </c>
      <c r="X998" t="s">
        <v>970</v>
      </c>
      <c r="Z998" t="s">
        <v>649</v>
      </c>
      <c r="AL998" t="s">
        <v>1174</v>
      </c>
      <c r="AM998" t="s">
        <v>258</v>
      </c>
      <c r="AN998" t="s">
        <v>259</v>
      </c>
      <c r="AO998" t="s">
        <v>260</v>
      </c>
      <c r="AQ998" t="s">
        <v>261</v>
      </c>
      <c r="AS998">
        <v>0.5</v>
      </c>
      <c r="AU998">
        <v>0.3</v>
      </c>
      <c r="AW998">
        <v>0.84</v>
      </c>
      <c r="AX998" t="s">
        <v>356</v>
      </c>
      <c r="BO998" t="s">
        <v>261</v>
      </c>
      <c r="BQ998">
        <v>0.5</v>
      </c>
      <c r="BS998">
        <v>0.3</v>
      </c>
      <c r="BU998">
        <v>0.84</v>
      </c>
      <c r="BV998" t="s">
        <v>263</v>
      </c>
      <c r="CM998" t="s">
        <v>264</v>
      </c>
      <c r="CN998" t="s">
        <v>264</v>
      </c>
      <c r="CP998" t="s">
        <v>265</v>
      </c>
      <c r="CQ998" t="s">
        <v>518</v>
      </c>
      <c r="DB998">
        <v>4</v>
      </c>
      <c r="DG998" t="s">
        <v>267</v>
      </c>
      <c r="DI998">
        <v>96</v>
      </c>
      <c r="DN998" t="s">
        <v>268</v>
      </c>
      <c r="DP998" t="s">
        <v>2260</v>
      </c>
      <c r="DS998">
        <v>1010</v>
      </c>
      <c r="DT998" t="s">
        <v>1176</v>
      </c>
      <c r="EW998" t="s">
        <v>293</v>
      </c>
      <c r="FK998" t="s">
        <v>2312</v>
      </c>
      <c r="FM998">
        <v>30</v>
      </c>
      <c r="FR998" t="s">
        <v>295</v>
      </c>
      <c r="GG998" t="s">
        <v>288</v>
      </c>
      <c r="GH998">
        <v>90</v>
      </c>
      <c r="GM998" t="s">
        <v>900</v>
      </c>
      <c r="GO998">
        <v>8</v>
      </c>
      <c r="GU998">
        <v>20</v>
      </c>
      <c r="GZ998" t="s">
        <v>296</v>
      </c>
      <c r="HH998" t="s">
        <v>272</v>
      </c>
      <c r="ID998" t="s">
        <v>2313</v>
      </c>
      <c r="IE998" t="s">
        <v>1179</v>
      </c>
      <c r="IF998">
        <v>4973</v>
      </c>
      <c r="IG998" t="s">
        <v>1180</v>
      </c>
      <c r="IH998" t="s">
        <v>1181</v>
      </c>
      <c r="II998">
        <v>1982</v>
      </c>
      <c r="IJ998" t="s">
        <v>1182</v>
      </c>
    </row>
    <row r="999" spans="1:244" x14ac:dyDescent="0.45">
      <c r="A999">
        <v>1096376</v>
      </c>
      <c r="B999">
        <v>117502</v>
      </c>
      <c r="C999">
        <v>7733020</v>
      </c>
      <c r="D999" t="s">
        <v>2214</v>
      </c>
      <c r="F999" t="s">
        <v>245</v>
      </c>
      <c r="G999" t="s">
        <v>246</v>
      </c>
      <c r="N999" t="s">
        <v>1401</v>
      </c>
      <c r="O999" t="s">
        <v>1299</v>
      </c>
      <c r="P999" t="s">
        <v>249</v>
      </c>
      <c r="Q999" t="s">
        <v>250</v>
      </c>
      <c r="R999" t="s">
        <v>251</v>
      </c>
      <c r="T999" t="s">
        <v>252</v>
      </c>
      <c r="U999" t="s">
        <v>371</v>
      </c>
      <c r="V999" t="s">
        <v>372</v>
      </c>
      <c r="W999" t="s">
        <v>1402</v>
      </c>
      <c r="X999" t="s">
        <v>1403</v>
      </c>
      <c r="AL999" t="s">
        <v>2314</v>
      </c>
      <c r="AM999" t="s">
        <v>317</v>
      </c>
      <c r="AN999" t="s">
        <v>259</v>
      </c>
      <c r="AO999" t="s">
        <v>260</v>
      </c>
      <c r="AQ999" t="s">
        <v>261</v>
      </c>
      <c r="AR999" t="s">
        <v>288</v>
      </c>
      <c r="AS999">
        <v>320</v>
      </c>
      <c r="AX999" t="s">
        <v>262</v>
      </c>
      <c r="BO999" t="s">
        <v>261</v>
      </c>
      <c r="BP999" t="s">
        <v>288</v>
      </c>
      <c r="BQ999">
        <v>0.32</v>
      </c>
      <c r="BV999" t="s">
        <v>263</v>
      </c>
      <c r="CM999" t="s">
        <v>264</v>
      </c>
      <c r="CN999" t="s">
        <v>264</v>
      </c>
      <c r="CP999" t="s">
        <v>265</v>
      </c>
      <c r="CQ999" t="s">
        <v>518</v>
      </c>
      <c r="DB999">
        <v>4</v>
      </c>
      <c r="DG999" t="s">
        <v>267</v>
      </c>
      <c r="DI999">
        <v>96</v>
      </c>
      <c r="DN999" t="s">
        <v>268</v>
      </c>
      <c r="DR999">
        <v>236552</v>
      </c>
      <c r="DS999">
        <v>59434</v>
      </c>
      <c r="DT999" t="s">
        <v>2234</v>
      </c>
      <c r="EW999" t="s">
        <v>333</v>
      </c>
      <c r="FO999">
        <v>15</v>
      </c>
      <c r="FQ999">
        <v>17</v>
      </c>
      <c r="FR999" t="s">
        <v>295</v>
      </c>
      <c r="GJ999">
        <v>6.6</v>
      </c>
      <c r="GL999">
        <v>8</v>
      </c>
      <c r="GM999" t="s">
        <v>356</v>
      </c>
      <c r="GQ999">
        <v>7.7</v>
      </c>
      <c r="GS999">
        <v>8.0500000000000007</v>
      </c>
      <c r="GW999">
        <v>34</v>
      </c>
      <c r="GY999">
        <v>38</v>
      </c>
      <c r="GZ999" t="s">
        <v>296</v>
      </c>
      <c r="HH999" t="s">
        <v>272</v>
      </c>
      <c r="IE999" t="s">
        <v>2235</v>
      </c>
      <c r="IF999">
        <v>6821</v>
      </c>
      <c r="IG999" t="s">
        <v>2236</v>
      </c>
      <c r="IH999" t="s">
        <v>2237</v>
      </c>
      <c r="II999">
        <v>1989</v>
      </c>
      <c r="IJ999" t="s">
        <v>2238</v>
      </c>
    </row>
    <row r="1000" spans="1:244" x14ac:dyDescent="0.45">
      <c r="A1000">
        <v>1271721</v>
      </c>
      <c r="B1000">
        <v>723019</v>
      </c>
      <c r="C1000">
        <v>7733020</v>
      </c>
      <c r="D1000" t="s">
        <v>2214</v>
      </c>
      <c r="F1000" t="s">
        <v>245</v>
      </c>
      <c r="G1000" t="s">
        <v>246</v>
      </c>
      <c r="N1000" t="s">
        <v>2315</v>
      </c>
      <c r="O1000" t="s">
        <v>2316</v>
      </c>
      <c r="P1000" t="s">
        <v>249</v>
      </c>
      <c r="Q1000" t="s">
        <v>250</v>
      </c>
      <c r="R1000" t="s">
        <v>251</v>
      </c>
      <c r="T1000" t="s">
        <v>252</v>
      </c>
      <c r="U1000" t="s">
        <v>253</v>
      </c>
      <c r="V1000" t="s">
        <v>418</v>
      </c>
      <c r="W1000" t="s">
        <v>946</v>
      </c>
      <c r="X1000" t="s">
        <v>2317</v>
      </c>
      <c r="Z1000" t="s">
        <v>284</v>
      </c>
      <c r="AL1000" t="s">
        <v>2318</v>
      </c>
      <c r="AM1000" t="s">
        <v>317</v>
      </c>
      <c r="AN1000" t="s">
        <v>259</v>
      </c>
      <c r="AO1000" t="s">
        <v>260</v>
      </c>
      <c r="AP1000">
        <v>8</v>
      </c>
      <c r="AQ1000" t="s">
        <v>261</v>
      </c>
      <c r="AS1000">
        <v>0.86</v>
      </c>
      <c r="AU1000">
        <v>0.51</v>
      </c>
      <c r="AW1000">
        <v>1.44</v>
      </c>
      <c r="AX1000" t="s">
        <v>356</v>
      </c>
      <c r="BO1000" t="s">
        <v>261</v>
      </c>
      <c r="BQ1000">
        <v>0.86</v>
      </c>
      <c r="BS1000">
        <v>0.51</v>
      </c>
      <c r="BU1000">
        <v>1.44</v>
      </c>
      <c r="BV1000" t="s">
        <v>263</v>
      </c>
      <c r="CM1000" t="s">
        <v>264</v>
      </c>
      <c r="CN1000" t="s">
        <v>264</v>
      </c>
      <c r="CP1000" t="s">
        <v>265</v>
      </c>
      <c r="CQ1000" t="s">
        <v>518</v>
      </c>
      <c r="DB1000">
        <v>3</v>
      </c>
      <c r="DG1000" t="s">
        <v>267</v>
      </c>
      <c r="DI1000">
        <v>72</v>
      </c>
      <c r="DN1000" t="s">
        <v>268</v>
      </c>
      <c r="DP1000" t="s">
        <v>2240</v>
      </c>
      <c r="DR1000">
        <v>122378</v>
      </c>
      <c r="DS1000">
        <v>18497</v>
      </c>
      <c r="DT1000" t="s">
        <v>2319</v>
      </c>
      <c r="EW1000" t="s">
        <v>293</v>
      </c>
      <c r="FK1000" t="s">
        <v>2320</v>
      </c>
      <c r="FM1000">
        <v>25</v>
      </c>
      <c r="FR1000" t="s">
        <v>295</v>
      </c>
      <c r="GJ1000">
        <v>6.2</v>
      </c>
      <c r="GL1000">
        <v>6.25</v>
      </c>
      <c r="GM1000" t="s">
        <v>356</v>
      </c>
      <c r="GQ1000">
        <v>8.1999999999999993</v>
      </c>
      <c r="GS1000">
        <v>8.2200000000000006</v>
      </c>
      <c r="GU1000">
        <v>36</v>
      </c>
      <c r="GZ1000" t="s">
        <v>296</v>
      </c>
      <c r="HH1000" t="s">
        <v>272</v>
      </c>
      <c r="ID1000" t="s">
        <v>2321</v>
      </c>
      <c r="IE1000" t="s">
        <v>2322</v>
      </c>
      <c r="IF1000">
        <v>101373</v>
      </c>
      <c r="IG1000" t="s">
        <v>2323</v>
      </c>
      <c r="IH1000" t="s">
        <v>2324</v>
      </c>
      <c r="II1000">
        <v>2007</v>
      </c>
      <c r="IJ1000" t="s">
        <v>2325</v>
      </c>
    </row>
    <row r="1001" spans="1:244" x14ac:dyDescent="0.45">
      <c r="A1001">
        <v>1048992</v>
      </c>
      <c r="B1001">
        <v>25175</v>
      </c>
      <c r="C1001">
        <v>7733020</v>
      </c>
      <c r="D1001" t="s">
        <v>2214</v>
      </c>
      <c r="F1001" t="s">
        <v>245</v>
      </c>
      <c r="G1001" t="s">
        <v>246</v>
      </c>
      <c r="N1001" t="s">
        <v>690</v>
      </c>
      <c r="O1001" t="s">
        <v>691</v>
      </c>
      <c r="P1001" t="s">
        <v>249</v>
      </c>
      <c r="Q1001" t="s">
        <v>250</v>
      </c>
      <c r="R1001" t="s">
        <v>251</v>
      </c>
      <c r="T1001" t="s">
        <v>252</v>
      </c>
      <c r="U1001" t="s">
        <v>253</v>
      </c>
      <c r="V1001" t="s">
        <v>418</v>
      </c>
      <c r="W1001" t="s">
        <v>419</v>
      </c>
      <c r="X1001" t="s">
        <v>692</v>
      </c>
      <c r="Z1001" t="s">
        <v>284</v>
      </c>
      <c r="AM1001" t="s">
        <v>317</v>
      </c>
      <c r="AN1001" t="s">
        <v>259</v>
      </c>
      <c r="AO1001" t="s">
        <v>260</v>
      </c>
      <c r="AQ1001" t="s">
        <v>261</v>
      </c>
      <c r="AS1001">
        <v>2500</v>
      </c>
      <c r="AX1001" t="s">
        <v>262</v>
      </c>
      <c r="BO1001" t="s">
        <v>261</v>
      </c>
      <c r="BQ1001">
        <v>2.5</v>
      </c>
      <c r="BV1001" t="s">
        <v>263</v>
      </c>
      <c r="CM1001" t="s">
        <v>264</v>
      </c>
      <c r="CN1001" t="s">
        <v>264</v>
      </c>
      <c r="CP1001" t="s">
        <v>265</v>
      </c>
      <c r="CQ1001" t="s">
        <v>518</v>
      </c>
      <c r="DB1001">
        <v>2</v>
      </c>
      <c r="DG1001" t="s">
        <v>267</v>
      </c>
      <c r="DI1001">
        <v>48</v>
      </c>
      <c r="DN1001" t="s">
        <v>268</v>
      </c>
      <c r="DR1001">
        <v>139456</v>
      </c>
      <c r="DS1001">
        <v>3044</v>
      </c>
      <c r="EW1001" t="s">
        <v>271</v>
      </c>
      <c r="HH1001" t="s">
        <v>272</v>
      </c>
      <c r="IE1001" t="s">
        <v>1743</v>
      </c>
      <c r="IF1001">
        <v>3232</v>
      </c>
      <c r="IG1001" t="s">
        <v>1744</v>
      </c>
      <c r="IH1001" t="s">
        <v>1745</v>
      </c>
      <c r="II1001">
        <v>1988</v>
      </c>
      <c r="IJ1001" t="s">
        <v>1746</v>
      </c>
    </row>
    <row r="1002" spans="1:244" x14ac:dyDescent="0.45">
      <c r="A1002">
        <v>1246413</v>
      </c>
      <c r="B1002">
        <v>239763</v>
      </c>
      <c r="C1002">
        <v>7733020</v>
      </c>
      <c r="D1002" t="s">
        <v>2214</v>
      </c>
      <c r="F1002" t="s">
        <v>327</v>
      </c>
      <c r="G1002" t="s">
        <v>246</v>
      </c>
      <c r="N1002" t="s">
        <v>1242</v>
      </c>
      <c r="O1002" t="s">
        <v>1243</v>
      </c>
      <c r="P1002" t="s">
        <v>249</v>
      </c>
      <c r="Q1002" t="s">
        <v>250</v>
      </c>
      <c r="R1002" t="s">
        <v>251</v>
      </c>
      <c r="T1002" t="s">
        <v>252</v>
      </c>
      <c r="U1002" t="s">
        <v>1244</v>
      </c>
      <c r="V1002" t="s">
        <v>1245</v>
      </c>
      <c r="W1002" t="s">
        <v>1246</v>
      </c>
      <c r="X1002" t="s">
        <v>1247</v>
      </c>
      <c r="Z1002" t="s">
        <v>315</v>
      </c>
      <c r="AJ1002" t="s">
        <v>285</v>
      </c>
      <c r="AM1002" t="s">
        <v>258</v>
      </c>
      <c r="AN1002" t="s">
        <v>259</v>
      </c>
      <c r="AO1002" t="s">
        <v>260</v>
      </c>
      <c r="AP1002">
        <v>9</v>
      </c>
      <c r="AQ1002" t="s">
        <v>504</v>
      </c>
      <c r="AS1002">
        <v>1.95</v>
      </c>
      <c r="AX1002" t="s">
        <v>356</v>
      </c>
      <c r="BO1002" t="s">
        <v>504</v>
      </c>
      <c r="BQ1002">
        <v>1.95</v>
      </c>
      <c r="BV1002" t="s">
        <v>263</v>
      </c>
      <c r="CM1002" t="s">
        <v>264</v>
      </c>
      <c r="CN1002" t="s">
        <v>264</v>
      </c>
      <c r="CP1002" t="s">
        <v>265</v>
      </c>
      <c r="CQ1002" t="s">
        <v>518</v>
      </c>
      <c r="DB1002">
        <v>4</v>
      </c>
      <c r="DG1002" t="s">
        <v>267</v>
      </c>
      <c r="DI1002">
        <v>96</v>
      </c>
      <c r="DN1002" t="s">
        <v>268</v>
      </c>
      <c r="DR1002">
        <v>82763</v>
      </c>
      <c r="DS1002">
        <v>1070</v>
      </c>
      <c r="EW1002" t="s">
        <v>293</v>
      </c>
      <c r="FA1002" t="s">
        <v>1381</v>
      </c>
      <c r="FK1002" t="s">
        <v>2326</v>
      </c>
      <c r="HH1002" t="s">
        <v>272</v>
      </c>
      <c r="ID1002" t="s">
        <v>2327</v>
      </c>
      <c r="IE1002" t="s">
        <v>2328</v>
      </c>
      <c r="IF1002">
        <v>84114</v>
      </c>
      <c r="IG1002" t="s">
        <v>2329</v>
      </c>
      <c r="IH1002" t="s">
        <v>2330</v>
      </c>
      <c r="II1002">
        <v>1997</v>
      </c>
      <c r="IJ1002" t="s">
        <v>2331</v>
      </c>
    </row>
    <row r="1003" spans="1:244" x14ac:dyDescent="0.45">
      <c r="A1003">
        <v>1096363</v>
      </c>
      <c r="B1003">
        <v>117489</v>
      </c>
      <c r="C1003">
        <v>7733020</v>
      </c>
      <c r="D1003" t="s">
        <v>2214</v>
      </c>
      <c r="F1003" t="s">
        <v>327</v>
      </c>
      <c r="G1003" t="s">
        <v>246</v>
      </c>
      <c r="N1003" t="s">
        <v>1401</v>
      </c>
      <c r="O1003" t="s">
        <v>1299</v>
      </c>
      <c r="P1003" t="s">
        <v>249</v>
      </c>
      <c r="Q1003" t="s">
        <v>250</v>
      </c>
      <c r="R1003" t="s">
        <v>251</v>
      </c>
      <c r="T1003" t="s">
        <v>252</v>
      </c>
      <c r="U1003" t="s">
        <v>371</v>
      </c>
      <c r="V1003" t="s">
        <v>372</v>
      </c>
      <c r="W1003" t="s">
        <v>1402</v>
      </c>
      <c r="X1003" t="s">
        <v>1403</v>
      </c>
      <c r="Z1003" t="s">
        <v>649</v>
      </c>
      <c r="AB1003">
        <v>3</v>
      </c>
      <c r="AG1003" t="s">
        <v>267</v>
      </c>
      <c r="AM1003" t="s">
        <v>317</v>
      </c>
      <c r="AN1003" t="s">
        <v>259</v>
      </c>
      <c r="AO1003" t="s">
        <v>260</v>
      </c>
      <c r="AQ1003" t="s">
        <v>261</v>
      </c>
      <c r="AS1003">
        <v>509</v>
      </c>
      <c r="AU1003">
        <v>438</v>
      </c>
      <c r="AW1003">
        <v>607</v>
      </c>
      <c r="AX1003" t="s">
        <v>262</v>
      </c>
      <c r="BO1003" t="s">
        <v>261</v>
      </c>
      <c r="BQ1003">
        <v>0.50900000000000001</v>
      </c>
      <c r="BS1003">
        <v>0.438</v>
      </c>
      <c r="BU1003">
        <v>0.60699999999999998</v>
      </c>
      <c r="BV1003" t="s">
        <v>263</v>
      </c>
      <c r="CM1003" t="s">
        <v>264</v>
      </c>
      <c r="CN1003" t="s">
        <v>264</v>
      </c>
      <c r="CP1003" t="s">
        <v>265</v>
      </c>
      <c r="CQ1003" t="s">
        <v>518</v>
      </c>
      <c r="DB1003">
        <v>2</v>
      </c>
      <c r="DG1003" t="s">
        <v>267</v>
      </c>
      <c r="DI1003">
        <v>48</v>
      </c>
      <c r="DN1003" t="s">
        <v>268</v>
      </c>
      <c r="DR1003">
        <v>236552</v>
      </c>
      <c r="DS1003">
        <v>59434</v>
      </c>
      <c r="DT1003" t="s">
        <v>2234</v>
      </c>
      <c r="EW1003" t="s">
        <v>333</v>
      </c>
      <c r="FO1003">
        <v>13</v>
      </c>
      <c r="FQ1003">
        <v>13.5</v>
      </c>
      <c r="FR1003" t="s">
        <v>295</v>
      </c>
      <c r="GJ1003">
        <v>7.4</v>
      </c>
      <c r="GL1003">
        <v>7.8</v>
      </c>
      <c r="GM1003" t="s">
        <v>356</v>
      </c>
      <c r="GQ1003">
        <v>7.85</v>
      </c>
      <c r="GS1003">
        <v>7.9</v>
      </c>
      <c r="GU1003">
        <v>36</v>
      </c>
      <c r="GZ1003" t="s">
        <v>296</v>
      </c>
      <c r="HH1003" t="s">
        <v>272</v>
      </c>
      <c r="IE1003" t="s">
        <v>2235</v>
      </c>
      <c r="IF1003">
        <v>6821</v>
      </c>
      <c r="IG1003" t="s">
        <v>2236</v>
      </c>
      <c r="IH1003" t="s">
        <v>2237</v>
      </c>
      <c r="II1003">
        <v>1989</v>
      </c>
      <c r="IJ1003" t="s">
        <v>2238</v>
      </c>
    </row>
    <row r="1004" spans="1:244" x14ac:dyDescent="0.45">
      <c r="A1004">
        <v>2145816</v>
      </c>
      <c r="B1004">
        <v>2275523</v>
      </c>
      <c r="C1004">
        <v>7733020</v>
      </c>
      <c r="D1004" t="s">
        <v>2214</v>
      </c>
      <c r="F1004" t="s">
        <v>245</v>
      </c>
      <c r="G1004" t="s">
        <v>368</v>
      </c>
      <c r="N1004" t="s">
        <v>958</v>
      </c>
      <c r="O1004" t="s">
        <v>959</v>
      </c>
      <c r="P1004" t="s">
        <v>249</v>
      </c>
      <c r="Q1004" t="s">
        <v>250</v>
      </c>
      <c r="R1004" t="s">
        <v>251</v>
      </c>
      <c r="T1004" t="s">
        <v>252</v>
      </c>
      <c r="U1004" t="s">
        <v>253</v>
      </c>
      <c r="V1004" t="s">
        <v>418</v>
      </c>
      <c r="W1004" t="s">
        <v>419</v>
      </c>
      <c r="X1004" t="s">
        <v>960</v>
      </c>
      <c r="Z1004" t="s">
        <v>421</v>
      </c>
      <c r="AI1004">
        <v>2</v>
      </c>
      <c r="AJ1004" t="s">
        <v>285</v>
      </c>
      <c r="AL1004" t="s">
        <v>1380</v>
      </c>
      <c r="AM1004" t="s">
        <v>258</v>
      </c>
      <c r="AN1004" t="s">
        <v>259</v>
      </c>
      <c r="AO1004" t="s">
        <v>260</v>
      </c>
      <c r="AP1004">
        <v>6</v>
      </c>
      <c r="AQ1004" t="s">
        <v>261</v>
      </c>
      <c r="AS1004">
        <v>2.74</v>
      </c>
      <c r="AU1004">
        <v>1.69</v>
      </c>
      <c r="AW1004">
        <v>4.63</v>
      </c>
      <c r="AX1004" t="s">
        <v>356</v>
      </c>
      <c r="BO1004" t="s">
        <v>261</v>
      </c>
      <c r="BQ1004">
        <v>2.74</v>
      </c>
      <c r="BS1004">
        <v>1.69</v>
      </c>
      <c r="BU1004">
        <v>4.63</v>
      </c>
      <c r="BV1004" t="s">
        <v>263</v>
      </c>
      <c r="CM1004" t="s">
        <v>264</v>
      </c>
      <c r="CN1004" t="s">
        <v>264</v>
      </c>
      <c r="CP1004" t="s">
        <v>265</v>
      </c>
      <c r="CQ1004" t="s">
        <v>518</v>
      </c>
      <c r="DB1004">
        <v>4</v>
      </c>
      <c r="DG1004" t="s">
        <v>267</v>
      </c>
      <c r="DI1004">
        <v>96</v>
      </c>
      <c r="DN1004" t="s">
        <v>268</v>
      </c>
      <c r="DP1004" t="s">
        <v>2307</v>
      </c>
      <c r="DR1004">
        <v>6687</v>
      </c>
      <c r="DS1004">
        <v>252</v>
      </c>
      <c r="DV1004">
        <v>96</v>
      </c>
      <c r="EA1004" t="s">
        <v>268</v>
      </c>
      <c r="EC1004">
        <v>4</v>
      </c>
      <c r="EH1004" t="s">
        <v>267</v>
      </c>
      <c r="EJ1004">
        <v>96</v>
      </c>
      <c r="EO1004" t="s">
        <v>268</v>
      </c>
      <c r="EQ1004">
        <v>4</v>
      </c>
      <c r="EV1004" t="s">
        <v>267</v>
      </c>
      <c r="EW1004" t="s">
        <v>293</v>
      </c>
      <c r="EY1004" t="s">
        <v>377</v>
      </c>
      <c r="FA1004" t="s">
        <v>1381</v>
      </c>
      <c r="FM1004">
        <v>28</v>
      </c>
      <c r="FR1004" t="s">
        <v>295</v>
      </c>
      <c r="FV1004">
        <v>1550</v>
      </c>
      <c r="FX1004">
        <v>1786</v>
      </c>
      <c r="FY1004" t="s">
        <v>356</v>
      </c>
      <c r="GH1004">
        <v>4.9000000000000004</v>
      </c>
      <c r="GM1004" t="s">
        <v>356</v>
      </c>
      <c r="GO1004">
        <v>7.78</v>
      </c>
      <c r="GU1004">
        <v>28</v>
      </c>
      <c r="GZ1004" t="s">
        <v>362</v>
      </c>
      <c r="HH1004" t="s">
        <v>272</v>
      </c>
      <c r="IE1004" t="s">
        <v>1382</v>
      </c>
      <c r="IF1004">
        <v>169572</v>
      </c>
      <c r="IG1004" t="s">
        <v>1383</v>
      </c>
      <c r="IH1004" t="s">
        <v>1384</v>
      </c>
      <c r="II1004">
        <v>2012</v>
      </c>
      <c r="IJ1004" t="s">
        <v>1385</v>
      </c>
    </row>
    <row r="1005" spans="1:244" x14ac:dyDescent="0.45">
      <c r="A1005">
        <v>1096368</v>
      </c>
      <c r="B1005">
        <v>117494</v>
      </c>
      <c r="C1005">
        <v>7733020</v>
      </c>
      <c r="D1005" t="s">
        <v>2214</v>
      </c>
      <c r="F1005" t="s">
        <v>327</v>
      </c>
      <c r="G1005" t="s">
        <v>246</v>
      </c>
      <c r="N1005" t="s">
        <v>1401</v>
      </c>
      <c r="O1005" t="s">
        <v>1299</v>
      </c>
      <c r="P1005" t="s">
        <v>249</v>
      </c>
      <c r="Q1005" t="s">
        <v>250</v>
      </c>
      <c r="R1005" t="s">
        <v>251</v>
      </c>
      <c r="T1005" t="s">
        <v>252</v>
      </c>
      <c r="U1005" t="s">
        <v>371</v>
      </c>
      <c r="V1005" t="s">
        <v>372</v>
      </c>
      <c r="W1005" t="s">
        <v>1402</v>
      </c>
      <c r="X1005" t="s">
        <v>1403</v>
      </c>
      <c r="Z1005" t="s">
        <v>649</v>
      </c>
      <c r="AB1005">
        <v>3</v>
      </c>
      <c r="AG1005" t="s">
        <v>267</v>
      </c>
      <c r="AM1005" t="s">
        <v>317</v>
      </c>
      <c r="AN1005" t="s">
        <v>259</v>
      </c>
      <c r="AO1005" t="s">
        <v>260</v>
      </c>
      <c r="AQ1005" t="s">
        <v>261</v>
      </c>
      <c r="AS1005">
        <v>151</v>
      </c>
      <c r="AU1005">
        <v>138</v>
      </c>
      <c r="AW1005">
        <v>167</v>
      </c>
      <c r="AX1005" t="s">
        <v>262</v>
      </c>
      <c r="BO1005" t="s">
        <v>261</v>
      </c>
      <c r="BQ1005">
        <v>0.151</v>
      </c>
      <c r="BS1005">
        <v>0.13800000000000001</v>
      </c>
      <c r="BU1005">
        <v>0.16700000000000001</v>
      </c>
      <c r="BV1005" t="s">
        <v>263</v>
      </c>
      <c r="CM1005" t="s">
        <v>264</v>
      </c>
      <c r="CN1005" t="s">
        <v>264</v>
      </c>
      <c r="CP1005" t="s">
        <v>265</v>
      </c>
      <c r="CQ1005" t="s">
        <v>518</v>
      </c>
      <c r="DB1005">
        <v>4</v>
      </c>
      <c r="DG1005" t="s">
        <v>267</v>
      </c>
      <c r="DI1005">
        <v>96</v>
      </c>
      <c r="DN1005" t="s">
        <v>268</v>
      </c>
      <c r="DR1005">
        <v>236552</v>
      </c>
      <c r="DS1005">
        <v>59434</v>
      </c>
      <c r="DT1005" t="s">
        <v>2234</v>
      </c>
      <c r="EW1005" t="s">
        <v>333</v>
      </c>
      <c r="FO1005">
        <v>14.5</v>
      </c>
      <c r="FQ1005">
        <v>15</v>
      </c>
      <c r="FR1005" t="s">
        <v>295</v>
      </c>
      <c r="GJ1005">
        <v>7.5</v>
      </c>
      <c r="GL1005">
        <v>8.4</v>
      </c>
      <c r="GM1005" t="s">
        <v>356</v>
      </c>
      <c r="GQ1005">
        <v>7.8</v>
      </c>
      <c r="GS1005">
        <v>8.0500000000000007</v>
      </c>
      <c r="GW1005">
        <v>34</v>
      </c>
      <c r="GY1005">
        <v>36</v>
      </c>
      <c r="GZ1005" t="s">
        <v>296</v>
      </c>
      <c r="HH1005" t="s">
        <v>272</v>
      </c>
      <c r="IE1005" t="s">
        <v>2235</v>
      </c>
      <c r="IF1005">
        <v>6821</v>
      </c>
      <c r="IG1005" t="s">
        <v>2236</v>
      </c>
      <c r="IH1005" t="s">
        <v>2237</v>
      </c>
      <c r="II1005">
        <v>1989</v>
      </c>
      <c r="IJ1005" t="s">
        <v>2238</v>
      </c>
    </row>
    <row r="1006" spans="1:244" x14ac:dyDescent="0.45">
      <c r="A1006">
        <v>1340234</v>
      </c>
      <c r="B1006">
        <v>801239</v>
      </c>
      <c r="C1006">
        <v>7733020</v>
      </c>
      <c r="D1006" t="s">
        <v>2214</v>
      </c>
      <c r="E1006" t="s">
        <v>386</v>
      </c>
      <c r="F1006" t="s">
        <v>245</v>
      </c>
      <c r="G1006" t="s">
        <v>246</v>
      </c>
      <c r="N1006" t="s">
        <v>2332</v>
      </c>
      <c r="O1006" t="s">
        <v>2333</v>
      </c>
      <c r="P1006" t="s">
        <v>249</v>
      </c>
      <c r="Q1006" t="s">
        <v>250</v>
      </c>
      <c r="R1006" t="s">
        <v>251</v>
      </c>
      <c r="T1006" t="s">
        <v>389</v>
      </c>
      <c r="U1006" t="s">
        <v>390</v>
      </c>
      <c r="V1006" t="s">
        <v>1010</v>
      </c>
      <c r="W1006" t="s">
        <v>2334</v>
      </c>
      <c r="X1006" t="s">
        <v>2335</v>
      </c>
      <c r="Z1006" t="s">
        <v>525</v>
      </c>
      <c r="AA1006" t="s">
        <v>289</v>
      </c>
      <c r="AB1006">
        <v>24</v>
      </c>
      <c r="AG1006" t="s">
        <v>268</v>
      </c>
      <c r="AM1006" t="s">
        <v>317</v>
      </c>
      <c r="AN1006" t="s">
        <v>259</v>
      </c>
      <c r="AO1006" t="s">
        <v>260</v>
      </c>
      <c r="AQ1006" t="s">
        <v>261</v>
      </c>
      <c r="AS1006">
        <v>1.7</v>
      </c>
      <c r="AU1006">
        <v>1.1000000000000001</v>
      </c>
      <c r="AW1006">
        <v>2.5</v>
      </c>
      <c r="AX1006" t="s">
        <v>356</v>
      </c>
      <c r="BO1006" t="s">
        <v>261</v>
      </c>
      <c r="BQ1006">
        <v>1.7</v>
      </c>
      <c r="BS1006">
        <v>1.1000000000000001</v>
      </c>
      <c r="BU1006">
        <v>2.5</v>
      </c>
      <c r="BV1006" t="s">
        <v>263</v>
      </c>
      <c r="CM1006" t="s">
        <v>264</v>
      </c>
      <c r="CN1006" t="s">
        <v>264</v>
      </c>
      <c r="CP1006" t="s">
        <v>265</v>
      </c>
      <c r="DB1006">
        <v>4</v>
      </c>
      <c r="DG1006" t="s">
        <v>267</v>
      </c>
      <c r="DI1006">
        <v>96</v>
      </c>
      <c r="DN1006" t="s">
        <v>268</v>
      </c>
      <c r="DP1006" t="s">
        <v>2336</v>
      </c>
      <c r="DS1006">
        <v>27874</v>
      </c>
      <c r="DT1006" t="s">
        <v>2337</v>
      </c>
      <c r="EW1006" t="s">
        <v>293</v>
      </c>
      <c r="FK1006" t="s">
        <v>1086</v>
      </c>
      <c r="FM1006">
        <v>21</v>
      </c>
      <c r="FR1006" t="s">
        <v>295</v>
      </c>
      <c r="GG1006" t="s">
        <v>288</v>
      </c>
      <c r="GH1006">
        <v>90</v>
      </c>
      <c r="GM1006" t="s">
        <v>900</v>
      </c>
      <c r="GO1006">
        <v>8.1999999999999993</v>
      </c>
      <c r="GU1006">
        <v>32</v>
      </c>
      <c r="GZ1006" t="s">
        <v>296</v>
      </c>
      <c r="HH1006" t="s">
        <v>272</v>
      </c>
      <c r="ID1006" t="s">
        <v>1087</v>
      </c>
      <c r="IE1006" t="s">
        <v>2338</v>
      </c>
      <c r="IF1006">
        <v>111830</v>
      </c>
      <c r="IG1006" t="s">
        <v>2339</v>
      </c>
      <c r="IH1006" t="s">
        <v>2340</v>
      </c>
      <c r="II1006">
        <v>2008</v>
      </c>
      <c r="IJ1006" t="s">
        <v>2341</v>
      </c>
    </row>
    <row r="1007" spans="1:244" x14ac:dyDescent="0.45">
      <c r="A1007">
        <v>1096427</v>
      </c>
      <c r="B1007">
        <v>121123</v>
      </c>
      <c r="C1007">
        <v>7733020</v>
      </c>
      <c r="D1007" t="s">
        <v>2214</v>
      </c>
      <c r="F1007" t="s">
        <v>245</v>
      </c>
      <c r="G1007" t="s">
        <v>246</v>
      </c>
      <c r="N1007" t="s">
        <v>2220</v>
      </c>
      <c r="O1007" t="s">
        <v>631</v>
      </c>
      <c r="P1007" t="s">
        <v>249</v>
      </c>
      <c r="Q1007" t="s">
        <v>250</v>
      </c>
      <c r="R1007" t="s">
        <v>251</v>
      </c>
      <c r="T1007" t="s">
        <v>389</v>
      </c>
      <c r="U1007" t="s">
        <v>632</v>
      </c>
      <c r="V1007" t="s">
        <v>830</v>
      </c>
      <c r="W1007" t="s">
        <v>2221</v>
      </c>
      <c r="X1007" t="s">
        <v>2222</v>
      </c>
      <c r="Z1007" t="s">
        <v>315</v>
      </c>
      <c r="AL1007" t="s">
        <v>2223</v>
      </c>
      <c r="AM1007" t="s">
        <v>317</v>
      </c>
      <c r="AN1007" t="s">
        <v>259</v>
      </c>
      <c r="AO1007" t="s">
        <v>260</v>
      </c>
      <c r="AQ1007" t="s">
        <v>261</v>
      </c>
      <c r="AS1007">
        <v>14</v>
      </c>
      <c r="AU1007">
        <v>5</v>
      </c>
      <c r="AW1007">
        <v>40</v>
      </c>
      <c r="AX1007" t="s">
        <v>262</v>
      </c>
      <c r="BO1007" t="s">
        <v>261</v>
      </c>
      <c r="BQ1007">
        <v>1.4E-2</v>
      </c>
      <c r="BS1007">
        <v>5.0000000000000001E-3</v>
      </c>
      <c r="BU1007">
        <v>0.04</v>
      </c>
      <c r="BV1007" t="s">
        <v>263</v>
      </c>
      <c r="CM1007" t="s">
        <v>264</v>
      </c>
      <c r="CN1007" t="s">
        <v>264</v>
      </c>
      <c r="CP1007" t="s">
        <v>265</v>
      </c>
      <c r="CQ1007" t="s">
        <v>518</v>
      </c>
      <c r="DB1007">
        <v>2</v>
      </c>
      <c r="DG1007" t="s">
        <v>267</v>
      </c>
      <c r="DI1007">
        <v>48</v>
      </c>
      <c r="DN1007" t="s">
        <v>268</v>
      </c>
      <c r="DR1007">
        <v>399051</v>
      </c>
      <c r="DS1007">
        <v>4599</v>
      </c>
      <c r="DT1007" t="s">
        <v>2224</v>
      </c>
      <c r="EW1007" t="s">
        <v>333</v>
      </c>
      <c r="FM1007">
        <v>25</v>
      </c>
      <c r="FR1007" t="s">
        <v>295</v>
      </c>
      <c r="GU1007">
        <v>33.5</v>
      </c>
      <c r="GZ1007" t="s">
        <v>296</v>
      </c>
      <c r="HH1007" t="s">
        <v>272</v>
      </c>
      <c r="IE1007" t="s">
        <v>2225</v>
      </c>
      <c r="IF1007">
        <v>6825</v>
      </c>
      <c r="IG1007" t="s">
        <v>2226</v>
      </c>
      <c r="IH1007" t="s">
        <v>2227</v>
      </c>
      <c r="II1007">
        <v>1993</v>
      </c>
      <c r="IJ1007" t="s">
        <v>2228</v>
      </c>
    </row>
    <row r="1008" spans="1:244" x14ac:dyDescent="0.45">
      <c r="A1008">
        <v>1282510</v>
      </c>
      <c r="B1008">
        <v>736171</v>
      </c>
      <c r="C1008">
        <v>7733020</v>
      </c>
      <c r="D1008" t="s">
        <v>2214</v>
      </c>
      <c r="F1008" t="s">
        <v>245</v>
      </c>
      <c r="G1008" t="s">
        <v>246</v>
      </c>
      <c r="N1008" t="s">
        <v>2342</v>
      </c>
      <c r="O1008" t="s">
        <v>917</v>
      </c>
      <c r="P1008" t="s">
        <v>249</v>
      </c>
      <c r="Q1008" t="s">
        <v>250</v>
      </c>
      <c r="R1008" t="s">
        <v>251</v>
      </c>
      <c r="T1008" t="s">
        <v>252</v>
      </c>
      <c r="U1008" t="s">
        <v>253</v>
      </c>
      <c r="V1008" t="s">
        <v>418</v>
      </c>
      <c r="W1008" t="s">
        <v>1585</v>
      </c>
      <c r="X1008" t="s">
        <v>2343</v>
      </c>
      <c r="Z1008" t="s">
        <v>421</v>
      </c>
      <c r="AB1008">
        <v>17</v>
      </c>
      <c r="AG1008" t="s">
        <v>267</v>
      </c>
      <c r="AL1008" t="s">
        <v>2344</v>
      </c>
      <c r="AM1008" t="s">
        <v>317</v>
      </c>
      <c r="AN1008" t="s">
        <v>259</v>
      </c>
      <c r="AO1008" t="s">
        <v>260</v>
      </c>
      <c r="AP1008">
        <v>6</v>
      </c>
      <c r="AQ1008" t="s">
        <v>261</v>
      </c>
      <c r="AS1008">
        <v>3.5</v>
      </c>
      <c r="AU1008">
        <v>3</v>
      </c>
      <c r="AW1008">
        <v>4.5999999999999996</v>
      </c>
      <c r="AX1008" t="s">
        <v>422</v>
      </c>
      <c r="BO1008" t="s">
        <v>261</v>
      </c>
      <c r="BQ1008">
        <v>3.5</v>
      </c>
      <c r="BS1008">
        <v>3</v>
      </c>
      <c r="BU1008">
        <v>4.5999999999999996</v>
      </c>
      <c r="BV1008" t="s">
        <v>263</v>
      </c>
      <c r="CM1008" t="s">
        <v>264</v>
      </c>
      <c r="CN1008" t="s">
        <v>264</v>
      </c>
      <c r="CP1008" t="s">
        <v>265</v>
      </c>
      <c r="CQ1008" t="s">
        <v>518</v>
      </c>
      <c r="DB1008">
        <v>4</v>
      </c>
      <c r="DG1008" t="s">
        <v>267</v>
      </c>
      <c r="DI1008">
        <v>96</v>
      </c>
      <c r="DN1008" t="s">
        <v>268</v>
      </c>
      <c r="DP1008" t="s">
        <v>2345</v>
      </c>
      <c r="DR1008">
        <v>71413</v>
      </c>
      <c r="DS1008">
        <v>16395</v>
      </c>
      <c r="DT1008" t="s">
        <v>2346</v>
      </c>
      <c r="EW1008" t="s">
        <v>293</v>
      </c>
      <c r="FK1008" t="s">
        <v>2347</v>
      </c>
      <c r="FM1008">
        <v>25</v>
      </c>
      <c r="FR1008" t="s">
        <v>295</v>
      </c>
      <c r="GU1008">
        <v>25</v>
      </c>
      <c r="GZ1008" t="s">
        <v>296</v>
      </c>
      <c r="HH1008" t="s">
        <v>272</v>
      </c>
      <c r="ID1008" t="s">
        <v>2348</v>
      </c>
      <c r="IE1008" t="s">
        <v>2349</v>
      </c>
      <c r="IF1008">
        <v>60111</v>
      </c>
      <c r="IG1008" t="s">
        <v>2350</v>
      </c>
      <c r="IH1008" t="s">
        <v>2351</v>
      </c>
      <c r="II1008">
        <v>2000</v>
      </c>
      <c r="IJ1008" t="s">
        <v>2352</v>
      </c>
    </row>
    <row r="1009" spans="1:244" x14ac:dyDescent="0.45">
      <c r="A1009">
        <v>1162978</v>
      </c>
      <c r="B1009">
        <v>183398</v>
      </c>
      <c r="C1009">
        <v>7733020</v>
      </c>
      <c r="D1009" t="s">
        <v>2214</v>
      </c>
      <c r="F1009" t="s">
        <v>272</v>
      </c>
      <c r="G1009" t="s">
        <v>246</v>
      </c>
      <c r="N1009" t="s">
        <v>789</v>
      </c>
      <c r="O1009" t="s">
        <v>790</v>
      </c>
      <c r="P1009" t="s">
        <v>249</v>
      </c>
      <c r="Q1009" t="s">
        <v>250</v>
      </c>
      <c r="R1009" t="s">
        <v>251</v>
      </c>
      <c r="T1009" t="s">
        <v>252</v>
      </c>
      <c r="U1009" t="s">
        <v>253</v>
      </c>
      <c r="V1009" t="s">
        <v>418</v>
      </c>
      <c r="W1009" t="s">
        <v>791</v>
      </c>
      <c r="X1009" t="s">
        <v>792</v>
      </c>
      <c r="Z1009" t="s">
        <v>649</v>
      </c>
      <c r="AL1009" t="s">
        <v>2353</v>
      </c>
      <c r="AM1009" t="s">
        <v>258</v>
      </c>
      <c r="AN1009" t="s">
        <v>259</v>
      </c>
      <c r="AO1009" t="s">
        <v>260</v>
      </c>
      <c r="AQ1009" t="s">
        <v>261</v>
      </c>
      <c r="AS1009">
        <v>2970</v>
      </c>
      <c r="AU1009">
        <v>2350</v>
      </c>
      <c r="AW1009">
        <v>3743</v>
      </c>
      <c r="AX1009" t="s">
        <v>262</v>
      </c>
      <c r="BO1009" t="s">
        <v>261</v>
      </c>
      <c r="BQ1009">
        <v>2.97</v>
      </c>
      <c r="BS1009">
        <v>2.35</v>
      </c>
      <c r="BU1009">
        <v>3.7429999999999999</v>
      </c>
      <c r="BV1009" t="s">
        <v>263</v>
      </c>
      <c r="CM1009" t="s">
        <v>264</v>
      </c>
      <c r="CN1009" t="s">
        <v>264</v>
      </c>
      <c r="CP1009" t="s">
        <v>265</v>
      </c>
      <c r="CQ1009" t="s">
        <v>518</v>
      </c>
      <c r="DB1009">
        <v>2</v>
      </c>
      <c r="DG1009" t="s">
        <v>267</v>
      </c>
      <c r="DI1009">
        <v>48</v>
      </c>
      <c r="DN1009" t="s">
        <v>268</v>
      </c>
      <c r="DR1009">
        <v>161924</v>
      </c>
      <c r="DS1009">
        <v>3045</v>
      </c>
      <c r="EW1009" t="s">
        <v>272</v>
      </c>
      <c r="FO1009">
        <v>25</v>
      </c>
      <c r="FQ1009">
        <v>26</v>
      </c>
      <c r="FR1009" t="s">
        <v>295</v>
      </c>
      <c r="FT1009">
        <v>5128</v>
      </c>
      <c r="FY1009" t="s">
        <v>572</v>
      </c>
      <c r="GA1009">
        <v>115</v>
      </c>
      <c r="GF1009" t="s">
        <v>572</v>
      </c>
      <c r="GJ1009">
        <v>5.3</v>
      </c>
      <c r="GL1009">
        <v>6.3</v>
      </c>
      <c r="GM1009" t="s">
        <v>356</v>
      </c>
      <c r="GQ1009">
        <v>7.1</v>
      </c>
      <c r="GS1009">
        <v>8.1999999999999993</v>
      </c>
      <c r="GU1009">
        <v>31</v>
      </c>
      <c r="GZ1009" t="s">
        <v>296</v>
      </c>
      <c r="HH1009" t="s">
        <v>272</v>
      </c>
      <c r="IE1009" t="s">
        <v>2216</v>
      </c>
      <c r="IF1009">
        <v>14402</v>
      </c>
      <c r="IG1009" t="s">
        <v>2217</v>
      </c>
      <c r="IH1009" t="s">
        <v>2218</v>
      </c>
      <c r="II1009">
        <v>1993</v>
      </c>
      <c r="IJ1009" t="s">
        <v>2219</v>
      </c>
    </row>
    <row r="1010" spans="1:244" x14ac:dyDescent="0.45">
      <c r="A1010">
        <v>1096445</v>
      </c>
      <c r="B1010">
        <v>130165</v>
      </c>
      <c r="C1010">
        <v>7733020</v>
      </c>
      <c r="D1010" t="s">
        <v>2214</v>
      </c>
      <c r="F1010" t="s">
        <v>245</v>
      </c>
      <c r="G1010" t="s">
        <v>246</v>
      </c>
      <c r="N1010" t="s">
        <v>2245</v>
      </c>
      <c r="O1010" t="s">
        <v>631</v>
      </c>
      <c r="P1010" t="s">
        <v>249</v>
      </c>
      <c r="Q1010" t="s">
        <v>250</v>
      </c>
      <c r="R1010" t="s">
        <v>251</v>
      </c>
      <c r="T1010" t="s">
        <v>389</v>
      </c>
      <c r="U1010" t="s">
        <v>632</v>
      </c>
      <c r="V1010" t="s">
        <v>633</v>
      </c>
      <c r="W1010" t="s">
        <v>634</v>
      </c>
      <c r="X1010" t="s">
        <v>2246</v>
      </c>
      <c r="Z1010" t="s">
        <v>315</v>
      </c>
      <c r="AL1010" t="s">
        <v>2223</v>
      </c>
      <c r="AM1010" t="s">
        <v>317</v>
      </c>
      <c r="AN1010" t="s">
        <v>259</v>
      </c>
      <c r="AO1010" t="s">
        <v>260</v>
      </c>
      <c r="AQ1010" t="s">
        <v>261</v>
      </c>
      <c r="AS1010">
        <v>320</v>
      </c>
      <c r="AU1010">
        <v>110</v>
      </c>
      <c r="AW1010">
        <v>940</v>
      </c>
      <c r="AX1010" t="s">
        <v>262</v>
      </c>
      <c r="BO1010" t="s">
        <v>261</v>
      </c>
      <c r="BQ1010">
        <v>0.32</v>
      </c>
      <c r="BS1010">
        <v>0.11</v>
      </c>
      <c r="BU1010">
        <v>0.94</v>
      </c>
      <c r="BV1010" t="s">
        <v>263</v>
      </c>
      <c r="CM1010" t="s">
        <v>264</v>
      </c>
      <c r="CN1010" t="s">
        <v>264</v>
      </c>
      <c r="CP1010" t="s">
        <v>265</v>
      </c>
      <c r="CQ1010" t="s">
        <v>518</v>
      </c>
      <c r="DB1010">
        <v>2</v>
      </c>
      <c r="DG1010" t="s">
        <v>267</v>
      </c>
      <c r="DI1010">
        <v>48</v>
      </c>
      <c r="DN1010" t="s">
        <v>268</v>
      </c>
      <c r="DS1010">
        <v>4662</v>
      </c>
      <c r="DT1010" t="s">
        <v>2224</v>
      </c>
      <c r="EW1010" t="s">
        <v>333</v>
      </c>
      <c r="FM1010">
        <v>25</v>
      </c>
      <c r="FR1010" t="s">
        <v>295</v>
      </c>
      <c r="GU1010">
        <v>33.5</v>
      </c>
      <c r="GZ1010" t="s">
        <v>296</v>
      </c>
      <c r="HH1010" t="s">
        <v>272</v>
      </c>
      <c r="IE1010" t="s">
        <v>2225</v>
      </c>
      <c r="IF1010">
        <v>6825</v>
      </c>
      <c r="IG1010" t="s">
        <v>2226</v>
      </c>
      <c r="IH1010" t="s">
        <v>2227</v>
      </c>
      <c r="II1010">
        <v>1993</v>
      </c>
      <c r="IJ1010" t="s">
        <v>2228</v>
      </c>
    </row>
    <row r="1011" spans="1:244" x14ac:dyDescent="0.45">
      <c r="A1011">
        <v>1162975</v>
      </c>
      <c r="B1011">
        <v>183395</v>
      </c>
      <c r="C1011">
        <v>7733020</v>
      </c>
      <c r="D1011" t="s">
        <v>2214</v>
      </c>
      <c r="F1011" t="s">
        <v>272</v>
      </c>
      <c r="G1011" t="s">
        <v>246</v>
      </c>
      <c r="N1011" t="s">
        <v>789</v>
      </c>
      <c r="O1011" t="s">
        <v>790</v>
      </c>
      <c r="P1011" t="s">
        <v>249</v>
      </c>
      <c r="Q1011" t="s">
        <v>250</v>
      </c>
      <c r="R1011" t="s">
        <v>251</v>
      </c>
      <c r="T1011" t="s">
        <v>252</v>
      </c>
      <c r="U1011" t="s">
        <v>253</v>
      </c>
      <c r="V1011" t="s">
        <v>418</v>
      </c>
      <c r="W1011" t="s">
        <v>791</v>
      </c>
      <c r="X1011" t="s">
        <v>792</v>
      </c>
      <c r="Z1011" t="s">
        <v>649</v>
      </c>
      <c r="AL1011" t="s">
        <v>2354</v>
      </c>
      <c r="AM1011" t="s">
        <v>258</v>
      </c>
      <c r="AN1011" t="s">
        <v>259</v>
      </c>
      <c r="AO1011" t="s">
        <v>260</v>
      </c>
      <c r="AQ1011" t="s">
        <v>261</v>
      </c>
      <c r="AS1011">
        <v>2170</v>
      </c>
      <c r="AU1011">
        <v>1664</v>
      </c>
      <c r="AW1011">
        <v>2826</v>
      </c>
      <c r="AX1011" t="s">
        <v>262</v>
      </c>
      <c r="BO1011" t="s">
        <v>261</v>
      </c>
      <c r="BQ1011">
        <v>2.17</v>
      </c>
      <c r="BS1011">
        <v>1.6639999999999999</v>
      </c>
      <c r="BU1011">
        <v>2.8260000000000001</v>
      </c>
      <c r="BV1011" t="s">
        <v>263</v>
      </c>
      <c r="CM1011" t="s">
        <v>264</v>
      </c>
      <c r="CN1011" t="s">
        <v>264</v>
      </c>
      <c r="CP1011" t="s">
        <v>265</v>
      </c>
      <c r="CQ1011" t="s">
        <v>518</v>
      </c>
      <c r="DB1011">
        <v>1</v>
      </c>
      <c r="DG1011" t="s">
        <v>267</v>
      </c>
      <c r="DI1011">
        <v>24</v>
      </c>
      <c r="DN1011" t="s">
        <v>268</v>
      </c>
      <c r="DR1011">
        <v>161924</v>
      </c>
      <c r="DS1011">
        <v>3045</v>
      </c>
      <c r="EW1011" t="s">
        <v>272</v>
      </c>
      <c r="FO1011">
        <v>26</v>
      </c>
      <c r="FQ1011">
        <v>26.5</v>
      </c>
      <c r="FR1011" t="s">
        <v>295</v>
      </c>
      <c r="FT1011">
        <v>5128</v>
      </c>
      <c r="FY1011" t="s">
        <v>572</v>
      </c>
      <c r="GA1011">
        <v>115</v>
      </c>
      <c r="GF1011" t="s">
        <v>572</v>
      </c>
      <c r="GJ1011">
        <v>5.0999999999999996</v>
      </c>
      <c r="GL1011">
        <v>6.2</v>
      </c>
      <c r="GM1011" t="s">
        <v>356</v>
      </c>
      <c r="GQ1011">
        <v>7.2</v>
      </c>
      <c r="GS1011">
        <v>8.3000000000000007</v>
      </c>
      <c r="GU1011">
        <v>32</v>
      </c>
      <c r="GZ1011" t="s">
        <v>296</v>
      </c>
      <c r="HH1011" t="s">
        <v>272</v>
      </c>
      <c r="IE1011" t="s">
        <v>2216</v>
      </c>
      <c r="IF1011">
        <v>14402</v>
      </c>
      <c r="IG1011" t="s">
        <v>2217</v>
      </c>
      <c r="IH1011" t="s">
        <v>2218</v>
      </c>
      <c r="II1011">
        <v>1993</v>
      </c>
      <c r="IJ1011" t="s">
        <v>2219</v>
      </c>
    </row>
    <row r="1012" spans="1:244" x14ac:dyDescent="0.45">
      <c r="A1012">
        <v>1273413</v>
      </c>
      <c r="B1012">
        <v>724713</v>
      </c>
      <c r="C1012">
        <v>7733020</v>
      </c>
      <c r="D1012" t="s">
        <v>2214</v>
      </c>
      <c r="E1012" t="s">
        <v>439</v>
      </c>
      <c r="F1012" t="s">
        <v>245</v>
      </c>
      <c r="G1012" t="s">
        <v>246</v>
      </c>
      <c r="N1012" t="s">
        <v>2284</v>
      </c>
      <c r="O1012" t="s">
        <v>370</v>
      </c>
      <c r="P1012" t="s">
        <v>249</v>
      </c>
      <c r="Q1012" t="s">
        <v>250</v>
      </c>
      <c r="R1012" t="s">
        <v>251</v>
      </c>
      <c r="T1012" t="s">
        <v>252</v>
      </c>
      <c r="U1012" t="s">
        <v>371</v>
      </c>
      <c r="V1012" t="s">
        <v>372</v>
      </c>
      <c r="W1012" t="s">
        <v>2285</v>
      </c>
      <c r="X1012" t="s">
        <v>2286</v>
      </c>
      <c r="AL1012" t="s">
        <v>2287</v>
      </c>
      <c r="AM1012" t="s">
        <v>317</v>
      </c>
      <c r="AN1012" t="s">
        <v>259</v>
      </c>
      <c r="AO1012" t="s">
        <v>260</v>
      </c>
      <c r="AQ1012" t="s">
        <v>261</v>
      </c>
      <c r="AS1012">
        <v>0.68</v>
      </c>
      <c r="AU1012">
        <v>0.53</v>
      </c>
      <c r="AW1012">
        <v>0.88</v>
      </c>
      <c r="AX1012" t="s">
        <v>356</v>
      </c>
      <c r="BO1012" t="s">
        <v>261</v>
      </c>
      <c r="BQ1012">
        <v>0.68</v>
      </c>
      <c r="BS1012">
        <v>0.53</v>
      </c>
      <c r="BU1012">
        <v>0.88</v>
      </c>
      <c r="BV1012" t="s">
        <v>263</v>
      </c>
      <c r="CM1012" t="s">
        <v>264</v>
      </c>
      <c r="CN1012" t="s">
        <v>264</v>
      </c>
      <c r="CP1012" t="s">
        <v>265</v>
      </c>
      <c r="CQ1012" t="s">
        <v>518</v>
      </c>
      <c r="DB1012">
        <v>4</v>
      </c>
      <c r="DG1012" t="s">
        <v>267</v>
      </c>
      <c r="DI1012">
        <v>96</v>
      </c>
      <c r="DN1012" t="s">
        <v>268</v>
      </c>
      <c r="DP1012" t="s">
        <v>2288</v>
      </c>
      <c r="DS1012">
        <v>18597</v>
      </c>
      <c r="EW1012" t="s">
        <v>293</v>
      </c>
      <c r="FA1012" t="s">
        <v>2289</v>
      </c>
      <c r="FK1012" t="s">
        <v>2355</v>
      </c>
      <c r="FM1012">
        <v>20</v>
      </c>
      <c r="FR1012" t="s">
        <v>295</v>
      </c>
      <c r="GU1012">
        <v>34</v>
      </c>
      <c r="GZ1012" t="s">
        <v>296</v>
      </c>
      <c r="HH1012" t="s">
        <v>272</v>
      </c>
      <c r="ID1012" t="s">
        <v>2356</v>
      </c>
      <c r="IE1012" t="s">
        <v>2292</v>
      </c>
      <c r="IF1012">
        <v>84096</v>
      </c>
      <c r="IG1012" t="s">
        <v>2293</v>
      </c>
      <c r="IH1012" t="s">
        <v>2294</v>
      </c>
      <c r="II1012">
        <v>1997</v>
      </c>
      <c r="IJ1012" t="s">
        <v>2295</v>
      </c>
    </row>
    <row r="1013" spans="1:244" x14ac:dyDescent="0.45">
      <c r="A1013">
        <v>1041008</v>
      </c>
      <c r="B1013">
        <v>25057</v>
      </c>
      <c r="C1013">
        <v>7733020</v>
      </c>
      <c r="D1013" t="s">
        <v>2214</v>
      </c>
      <c r="F1013" t="s">
        <v>245</v>
      </c>
      <c r="G1013" t="s">
        <v>246</v>
      </c>
      <c r="N1013" t="s">
        <v>1782</v>
      </c>
      <c r="O1013" t="s">
        <v>1783</v>
      </c>
      <c r="P1013" t="s">
        <v>249</v>
      </c>
      <c r="Q1013" t="s">
        <v>250</v>
      </c>
      <c r="R1013" t="s">
        <v>251</v>
      </c>
      <c r="T1013" t="s">
        <v>252</v>
      </c>
      <c r="U1013" t="s">
        <v>253</v>
      </c>
      <c r="V1013" t="s">
        <v>1735</v>
      </c>
      <c r="W1013" t="s">
        <v>1784</v>
      </c>
      <c r="X1013" t="s">
        <v>1785</v>
      </c>
      <c r="Z1013" t="s">
        <v>1677</v>
      </c>
      <c r="AL1013" t="s">
        <v>1786</v>
      </c>
      <c r="AM1013" t="s">
        <v>258</v>
      </c>
      <c r="AN1013" t="s">
        <v>259</v>
      </c>
      <c r="AO1013" t="s">
        <v>260</v>
      </c>
      <c r="AQ1013" t="s">
        <v>261</v>
      </c>
      <c r="AS1013">
        <v>40640</v>
      </c>
      <c r="AU1013">
        <v>33190</v>
      </c>
      <c r="AW1013">
        <v>48090</v>
      </c>
      <c r="AX1013" t="s">
        <v>262</v>
      </c>
      <c r="BO1013" t="s">
        <v>261</v>
      </c>
      <c r="BQ1013">
        <v>40.64</v>
      </c>
      <c r="BS1013">
        <v>33.19</v>
      </c>
      <c r="BU1013">
        <v>48.09</v>
      </c>
      <c r="BV1013" t="s">
        <v>263</v>
      </c>
      <c r="CM1013" t="s">
        <v>264</v>
      </c>
      <c r="CN1013" t="s">
        <v>264</v>
      </c>
      <c r="CP1013" t="s">
        <v>265</v>
      </c>
      <c r="CQ1013" t="s">
        <v>518</v>
      </c>
      <c r="DB1013">
        <v>2</v>
      </c>
      <c r="DG1013" t="s">
        <v>267</v>
      </c>
      <c r="DI1013">
        <v>48</v>
      </c>
      <c r="DN1013" t="s">
        <v>268</v>
      </c>
      <c r="DP1013" t="s">
        <v>977</v>
      </c>
      <c r="DS1013">
        <v>2838</v>
      </c>
      <c r="DT1013" t="s">
        <v>1787</v>
      </c>
      <c r="EW1013" t="s">
        <v>333</v>
      </c>
      <c r="FM1013">
        <v>29</v>
      </c>
      <c r="FR1013" t="s">
        <v>295</v>
      </c>
      <c r="GU1013">
        <v>25</v>
      </c>
      <c r="GZ1013" t="s">
        <v>296</v>
      </c>
      <c r="HH1013" t="s">
        <v>272</v>
      </c>
      <c r="IE1013" t="s">
        <v>1788</v>
      </c>
      <c r="IF1013">
        <v>2602</v>
      </c>
      <c r="IG1013" t="s">
        <v>1789</v>
      </c>
      <c r="IH1013" t="s">
        <v>1790</v>
      </c>
      <c r="II1013">
        <v>1987</v>
      </c>
      <c r="IJ1013" t="s">
        <v>1791</v>
      </c>
    </row>
    <row r="1014" spans="1:244" x14ac:dyDescent="0.45">
      <c r="A1014">
        <v>1096429</v>
      </c>
      <c r="B1014">
        <v>121125</v>
      </c>
      <c r="C1014">
        <v>7733020</v>
      </c>
      <c r="D1014" t="s">
        <v>2214</v>
      </c>
      <c r="F1014" t="s">
        <v>245</v>
      </c>
      <c r="G1014" t="s">
        <v>246</v>
      </c>
      <c r="N1014" t="s">
        <v>2220</v>
      </c>
      <c r="O1014" t="s">
        <v>631</v>
      </c>
      <c r="P1014" t="s">
        <v>249</v>
      </c>
      <c r="Q1014" t="s">
        <v>250</v>
      </c>
      <c r="R1014" t="s">
        <v>251</v>
      </c>
      <c r="T1014" t="s">
        <v>389</v>
      </c>
      <c r="U1014" t="s">
        <v>632</v>
      </c>
      <c r="V1014" t="s">
        <v>830</v>
      </c>
      <c r="W1014" t="s">
        <v>2221</v>
      </c>
      <c r="X1014" t="s">
        <v>2222</v>
      </c>
      <c r="Z1014" t="s">
        <v>315</v>
      </c>
      <c r="AL1014" t="s">
        <v>2223</v>
      </c>
      <c r="AM1014" t="s">
        <v>317</v>
      </c>
      <c r="AN1014" t="s">
        <v>259</v>
      </c>
      <c r="AO1014" t="s">
        <v>260</v>
      </c>
      <c r="AQ1014" t="s">
        <v>261</v>
      </c>
      <c r="AS1014">
        <v>4</v>
      </c>
      <c r="AU1014">
        <v>0</v>
      </c>
      <c r="AW1014">
        <v>18</v>
      </c>
      <c r="AX1014" t="s">
        <v>262</v>
      </c>
      <c r="BO1014" t="s">
        <v>261</v>
      </c>
      <c r="BQ1014">
        <v>4.0000000000000001E-3</v>
      </c>
      <c r="BS1014">
        <v>0</v>
      </c>
      <c r="BU1014">
        <v>1.7999999999999999E-2</v>
      </c>
      <c r="BV1014" t="s">
        <v>263</v>
      </c>
      <c r="CM1014" t="s">
        <v>264</v>
      </c>
      <c r="CN1014" t="s">
        <v>264</v>
      </c>
      <c r="CP1014" t="s">
        <v>265</v>
      </c>
      <c r="CQ1014" t="s">
        <v>518</v>
      </c>
      <c r="DB1014">
        <v>2</v>
      </c>
      <c r="DG1014" t="s">
        <v>267</v>
      </c>
      <c r="DI1014">
        <v>48</v>
      </c>
      <c r="DN1014" t="s">
        <v>268</v>
      </c>
      <c r="DR1014">
        <v>399051</v>
      </c>
      <c r="DS1014">
        <v>4599</v>
      </c>
      <c r="DT1014" t="s">
        <v>2224</v>
      </c>
      <c r="EW1014" t="s">
        <v>333</v>
      </c>
      <c r="FM1014">
        <v>25</v>
      </c>
      <c r="FR1014" t="s">
        <v>295</v>
      </c>
      <c r="GU1014">
        <v>23</v>
      </c>
      <c r="GZ1014" t="s">
        <v>296</v>
      </c>
      <c r="HH1014" t="s">
        <v>272</v>
      </c>
      <c r="IE1014" t="s">
        <v>2225</v>
      </c>
      <c r="IF1014">
        <v>6825</v>
      </c>
      <c r="IG1014" t="s">
        <v>2226</v>
      </c>
      <c r="IH1014" t="s">
        <v>2227</v>
      </c>
      <c r="II1014">
        <v>1993</v>
      </c>
      <c r="IJ1014" t="s">
        <v>2228</v>
      </c>
    </row>
    <row r="1015" spans="1:244" x14ac:dyDescent="0.45">
      <c r="A1015">
        <v>1096361</v>
      </c>
      <c r="B1015">
        <v>117487</v>
      </c>
      <c r="C1015">
        <v>7733020</v>
      </c>
      <c r="D1015" t="s">
        <v>2214</v>
      </c>
      <c r="F1015" t="s">
        <v>327</v>
      </c>
      <c r="G1015" t="s">
        <v>246</v>
      </c>
      <c r="N1015" t="s">
        <v>1401</v>
      </c>
      <c r="O1015" t="s">
        <v>1299</v>
      </c>
      <c r="P1015" t="s">
        <v>249</v>
      </c>
      <c r="Q1015" t="s">
        <v>250</v>
      </c>
      <c r="R1015" t="s">
        <v>251</v>
      </c>
      <c r="T1015" t="s">
        <v>252</v>
      </c>
      <c r="U1015" t="s">
        <v>371</v>
      </c>
      <c r="V1015" t="s">
        <v>372</v>
      </c>
      <c r="W1015" t="s">
        <v>1402</v>
      </c>
      <c r="X1015" t="s">
        <v>1403</v>
      </c>
      <c r="Z1015" t="s">
        <v>649</v>
      </c>
      <c r="AB1015">
        <v>3</v>
      </c>
      <c r="AG1015" t="s">
        <v>267</v>
      </c>
      <c r="AM1015" t="s">
        <v>317</v>
      </c>
      <c r="AN1015" t="s">
        <v>259</v>
      </c>
      <c r="AO1015" t="s">
        <v>260</v>
      </c>
      <c r="AQ1015" t="s">
        <v>261</v>
      </c>
      <c r="AS1015">
        <v>357</v>
      </c>
      <c r="AU1015">
        <v>319</v>
      </c>
      <c r="AW1015">
        <v>401</v>
      </c>
      <c r="AX1015" t="s">
        <v>262</v>
      </c>
      <c r="BO1015" t="s">
        <v>261</v>
      </c>
      <c r="BQ1015">
        <v>0.35699999999999998</v>
      </c>
      <c r="BS1015">
        <v>0.31900000000000001</v>
      </c>
      <c r="BU1015">
        <v>0.40100000000000002</v>
      </c>
      <c r="BV1015" t="s">
        <v>263</v>
      </c>
      <c r="CM1015" t="s">
        <v>264</v>
      </c>
      <c r="CN1015" t="s">
        <v>264</v>
      </c>
      <c r="CP1015" t="s">
        <v>265</v>
      </c>
      <c r="CQ1015" t="s">
        <v>518</v>
      </c>
      <c r="DB1015">
        <v>2</v>
      </c>
      <c r="DG1015" t="s">
        <v>267</v>
      </c>
      <c r="DI1015">
        <v>48</v>
      </c>
      <c r="DN1015" t="s">
        <v>268</v>
      </c>
      <c r="DR1015">
        <v>236552</v>
      </c>
      <c r="DS1015">
        <v>59434</v>
      </c>
      <c r="DT1015" t="s">
        <v>2234</v>
      </c>
      <c r="EW1015" t="s">
        <v>333</v>
      </c>
      <c r="FO1015">
        <v>13.5</v>
      </c>
      <c r="FQ1015">
        <v>15.5</v>
      </c>
      <c r="FR1015" t="s">
        <v>295</v>
      </c>
      <c r="GJ1015">
        <v>7.6</v>
      </c>
      <c r="GL1015">
        <v>8.1</v>
      </c>
      <c r="GM1015" t="s">
        <v>356</v>
      </c>
      <c r="GQ1015">
        <v>7.85</v>
      </c>
      <c r="GS1015">
        <v>7.9</v>
      </c>
      <c r="GW1015">
        <v>34</v>
      </c>
      <c r="GY1015">
        <v>36</v>
      </c>
      <c r="GZ1015" t="s">
        <v>296</v>
      </c>
      <c r="HH1015" t="s">
        <v>272</v>
      </c>
      <c r="IE1015" t="s">
        <v>2235</v>
      </c>
      <c r="IF1015">
        <v>6821</v>
      </c>
      <c r="IG1015" t="s">
        <v>2236</v>
      </c>
      <c r="IH1015" t="s">
        <v>2237</v>
      </c>
      <c r="II1015">
        <v>1989</v>
      </c>
      <c r="IJ1015" t="s">
        <v>2238</v>
      </c>
    </row>
    <row r="1016" spans="1:244" x14ac:dyDescent="0.45">
      <c r="A1016">
        <v>1048991</v>
      </c>
      <c r="B1016">
        <v>25174</v>
      </c>
      <c r="C1016">
        <v>7733020</v>
      </c>
      <c r="D1016" t="s">
        <v>2214</v>
      </c>
      <c r="F1016" t="s">
        <v>245</v>
      </c>
      <c r="G1016" t="s">
        <v>246</v>
      </c>
      <c r="N1016" t="s">
        <v>690</v>
      </c>
      <c r="O1016" t="s">
        <v>691</v>
      </c>
      <c r="P1016" t="s">
        <v>249</v>
      </c>
      <c r="Q1016" t="s">
        <v>250</v>
      </c>
      <c r="R1016" t="s">
        <v>251</v>
      </c>
      <c r="T1016" t="s">
        <v>252</v>
      </c>
      <c r="U1016" t="s">
        <v>253</v>
      </c>
      <c r="V1016" t="s">
        <v>418</v>
      </c>
      <c r="W1016" t="s">
        <v>419</v>
      </c>
      <c r="X1016" t="s">
        <v>692</v>
      </c>
      <c r="Z1016" t="s">
        <v>284</v>
      </c>
      <c r="AM1016" t="s">
        <v>317</v>
      </c>
      <c r="AN1016" t="s">
        <v>259</v>
      </c>
      <c r="AO1016" t="s">
        <v>260</v>
      </c>
      <c r="AQ1016" t="s">
        <v>261</v>
      </c>
      <c r="AS1016">
        <v>3100</v>
      </c>
      <c r="AX1016" t="s">
        <v>262</v>
      </c>
      <c r="BO1016" t="s">
        <v>261</v>
      </c>
      <c r="BQ1016">
        <v>3.1</v>
      </c>
      <c r="BV1016" t="s">
        <v>263</v>
      </c>
      <c r="CM1016" t="s">
        <v>264</v>
      </c>
      <c r="CN1016" t="s">
        <v>264</v>
      </c>
      <c r="CP1016" t="s">
        <v>265</v>
      </c>
      <c r="CQ1016" t="s">
        <v>518</v>
      </c>
      <c r="DB1016">
        <v>1</v>
      </c>
      <c r="DG1016" t="s">
        <v>267</v>
      </c>
      <c r="DI1016">
        <v>24</v>
      </c>
      <c r="DN1016" t="s">
        <v>268</v>
      </c>
      <c r="DR1016">
        <v>139456</v>
      </c>
      <c r="DS1016">
        <v>3044</v>
      </c>
      <c r="EW1016" t="s">
        <v>271</v>
      </c>
      <c r="HH1016" t="s">
        <v>272</v>
      </c>
      <c r="IE1016" t="s">
        <v>1743</v>
      </c>
      <c r="IF1016">
        <v>3232</v>
      </c>
      <c r="IG1016" t="s">
        <v>1744</v>
      </c>
      <c r="IH1016" t="s">
        <v>1745</v>
      </c>
      <c r="II1016">
        <v>1988</v>
      </c>
      <c r="IJ1016" t="s">
        <v>1746</v>
      </c>
    </row>
    <row r="1017" spans="1:244" x14ac:dyDescent="0.45">
      <c r="A1017">
        <v>1141315</v>
      </c>
      <c r="B1017">
        <v>121185</v>
      </c>
      <c r="C1017">
        <v>7733020</v>
      </c>
      <c r="D1017" t="s">
        <v>2214</v>
      </c>
      <c r="F1017" t="s">
        <v>245</v>
      </c>
      <c r="G1017" t="s">
        <v>246</v>
      </c>
      <c r="N1017" t="s">
        <v>1800</v>
      </c>
      <c r="O1017" t="s">
        <v>1801</v>
      </c>
      <c r="P1017" t="s">
        <v>249</v>
      </c>
      <c r="Q1017" t="s">
        <v>250</v>
      </c>
      <c r="R1017" t="s">
        <v>251</v>
      </c>
      <c r="T1017" t="s">
        <v>252</v>
      </c>
      <c r="U1017" t="s">
        <v>253</v>
      </c>
      <c r="V1017" t="s">
        <v>418</v>
      </c>
      <c r="W1017" t="s">
        <v>847</v>
      </c>
      <c r="X1017" t="s">
        <v>1802</v>
      </c>
      <c r="AL1017" t="s">
        <v>1834</v>
      </c>
      <c r="AM1017" t="s">
        <v>258</v>
      </c>
      <c r="AN1017" t="s">
        <v>259</v>
      </c>
      <c r="AO1017" t="s">
        <v>260</v>
      </c>
      <c r="AQ1017" t="s">
        <v>261</v>
      </c>
      <c r="AS1017">
        <v>1700</v>
      </c>
      <c r="AU1017">
        <v>1168.9000000000001</v>
      </c>
      <c r="AW1017">
        <v>2472.3000000000002</v>
      </c>
      <c r="AX1017" t="s">
        <v>262</v>
      </c>
      <c r="BO1017" t="s">
        <v>261</v>
      </c>
      <c r="BQ1017">
        <v>1.7</v>
      </c>
      <c r="BS1017">
        <v>1.1689000000000001</v>
      </c>
      <c r="BU1017">
        <v>2.4723000000000002</v>
      </c>
      <c r="BV1017" t="s">
        <v>263</v>
      </c>
      <c r="CM1017" t="s">
        <v>264</v>
      </c>
      <c r="CN1017" t="s">
        <v>264</v>
      </c>
      <c r="CP1017" t="s">
        <v>265</v>
      </c>
      <c r="CQ1017" t="s">
        <v>518</v>
      </c>
      <c r="DB1017">
        <v>4</v>
      </c>
      <c r="DG1017" t="s">
        <v>267</v>
      </c>
      <c r="DI1017">
        <v>96</v>
      </c>
      <c r="DN1017" t="s">
        <v>268</v>
      </c>
      <c r="DP1017" t="s">
        <v>1804</v>
      </c>
      <c r="DR1017">
        <v>1378283</v>
      </c>
      <c r="DS1017">
        <v>4579</v>
      </c>
      <c r="EW1017" t="s">
        <v>271</v>
      </c>
      <c r="FM1017">
        <v>27.5</v>
      </c>
      <c r="FR1017" t="s">
        <v>295</v>
      </c>
      <c r="GG1017" t="s">
        <v>288</v>
      </c>
      <c r="GH1017">
        <v>60</v>
      </c>
      <c r="GM1017" t="s">
        <v>900</v>
      </c>
      <c r="GU1017">
        <v>15</v>
      </c>
      <c r="GZ1017" t="s">
        <v>296</v>
      </c>
      <c r="HH1017" t="s">
        <v>272</v>
      </c>
      <c r="IE1017" t="s">
        <v>1805</v>
      </c>
      <c r="IF1017">
        <v>11853</v>
      </c>
      <c r="IG1017" t="s">
        <v>1806</v>
      </c>
      <c r="IH1017" t="s">
        <v>1807</v>
      </c>
      <c r="II1017">
        <v>1986</v>
      </c>
      <c r="IJ1017" t="s">
        <v>1808</v>
      </c>
    </row>
    <row r="1018" spans="1:244" x14ac:dyDescent="0.45">
      <c r="A1018">
        <v>1210387</v>
      </c>
      <c r="B1018">
        <v>195471</v>
      </c>
      <c r="C1018">
        <v>7733020</v>
      </c>
      <c r="D1018" t="s">
        <v>2214</v>
      </c>
      <c r="F1018" t="s">
        <v>272</v>
      </c>
      <c r="G1018" t="s">
        <v>246</v>
      </c>
      <c r="N1018" t="s">
        <v>789</v>
      </c>
      <c r="O1018" t="s">
        <v>790</v>
      </c>
      <c r="P1018" t="s">
        <v>249</v>
      </c>
      <c r="Q1018" t="s">
        <v>250</v>
      </c>
      <c r="R1018" t="s">
        <v>251</v>
      </c>
      <c r="T1018" t="s">
        <v>252</v>
      </c>
      <c r="U1018" t="s">
        <v>253</v>
      </c>
      <c r="V1018" t="s">
        <v>418</v>
      </c>
      <c r="W1018" t="s">
        <v>791</v>
      </c>
      <c r="X1018" t="s">
        <v>792</v>
      </c>
      <c r="Z1018" t="s">
        <v>284</v>
      </c>
      <c r="AM1018" t="s">
        <v>287</v>
      </c>
      <c r="AN1018" t="s">
        <v>259</v>
      </c>
      <c r="AO1018" t="s">
        <v>260</v>
      </c>
      <c r="AQ1018" t="s">
        <v>261</v>
      </c>
      <c r="AS1018">
        <v>0.05</v>
      </c>
      <c r="AU1018">
        <v>0.01</v>
      </c>
      <c r="AW1018">
        <v>0.154</v>
      </c>
      <c r="AX1018" t="s">
        <v>762</v>
      </c>
      <c r="BO1018" t="s">
        <v>261</v>
      </c>
      <c r="BQ1018">
        <v>0.05</v>
      </c>
      <c r="BS1018">
        <v>0.01</v>
      </c>
      <c r="BU1018">
        <v>0.154</v>
      </c>
      <c r="BV1018" t="s">
        <v>263</v>
      </c>
      <c r="CM1018" t="s">
        <v>264</v>
      </c>
      <c r="CN1018" t="s">
        <v>264</v>
      </c>
      <c r="CP1018" t="s">
        <v>265</v>
      </c>
      <c r="DB1018">
        <v>2</v>
      </c>
      <c r="DG1018" t="s">
        <v>267</v>
      </c>
      <c r="DI1018">
        <v>48</v>
      </c>
      <c r="DN1018" t="s">
        <v>268</v>
      </c>
      <c r="DR1018">
        <v>161924</v>
      </c>
      <c r="DS1018">
        <v>3045</v>
      </c>
      <c r="EW1018" t="s">
        <v>272</v>
      </c>
      <c r="FM1018">
        <v>24</v>
      </c>
      <c r="FR1018" t="s">
        <v>295</v>
      </c>
      <c r="GO1018">
        <v>8.1</v>
      </c>
      <c r="HH1018" t="s">
        <v>272</v>
      </c>
      <c r="IE1018" t="s">
        <v>763</v>
      </c>
      <c r="IF1018">
        <v>19318</v>
      </c>
      <c r="IG1018" t="s">
        <v>764</v>
      </c>
      <c r="IH1018" t="s">
        <v>765</v>
      </c>
      <c r="II1018">
        <v>1994</v>
      </c>
      <c r="IJ1018" t="s">
        <v>766</v>
      </c>
    </row>
    <row r="1019" spans="1:244" x14ac:dyDescent="0.45">
      <c r="A1019">
        <v>1340235</v>
      </c>
      <c r="B1019">
        <v>801240</v>
      </c>
      <c r="C1019">
        <v>7733020</v>
      </c>
      <c r="D1019" t="s">
        <v>2214</v>
      </c>
      <c r="E1019" t="s">
        <v>386</v>
      </c>
      <c r="F1019" t="s">
        <v>245</v>
      </c>
      <c r="G1019" t="s">
        <v>246</v>
      </c>
      <c r="N1019" t="s">
        <v>2332</v>
      </c>
      <c r="O1019" t="s">
        <v>2333</v>
      </c>
      <c r="P1019" t="s">
        <v>249</v>
      </c>
      <c r="Q1019" t="s">
        <v>250</v>
      </c>
      <c r="R1019" t="s">
        <v>251</v>
      </c>
      <c r="T1019" t="s">
        <v>389</v>
      </c>
      <c r="U1019" t="s">
        <v>390</v>
      </c>
      <c r="V1019" t="s">
        <v>1010</v>
      </c>
      <c r="W1019" t="s">
        <v>2334</v>
      </c>
      <c r="X1019" t="s">
        <v>2335</v>
      </c>
      <c r="Z1019" t="s">
        <v>315</v>
      </c>
      <c r="AL1019" t="s">
        <v>1113</v>
      </c>
      <c r="AM1019" t="s">
        <v>317</v>
      </c>
      <c r="AN1019" t="s">
        <v>259</v>
      </c>
      <c r="AO1019" t="s">
        <v>260</v>
      </c>
      <c r="AQ1019" t="s">
        <v>261</v>
      </c>
      <c r="AS1019">
        <v>2.7</v>
      </c>
      <c r="AU1019">
        <v>1.7</v>
      </c>
      <c r="AW1019">
        <v>4.2</v>
      </c>
      <c r="AX1019" t="s">
        <v>356</v>
      </c>
      <c r="BO1019" t="s">
        <v>261</v>
      </c>
      <c r="BQ1019">
        <v>2.7</v>
      </c>
      <c r="BS1019">
        <v>1.7</v>
      </c>
      <c r="BU1019">
        <v>4.2</v>
      </c>
      <c r="BV1019" t="s">
        <v>263</v>
      </c>
      <c r="CM1019" t="s">
        <v>264</v>
      </c>
      <c r="CN1019" t="s">
        <v>264</v>
      </c>
      <c r="CP1019" t="s">
        <v>265</v>
      </c>
      <c r="DB1019">
        <v>4</v>
      </c>
      <c r="DG1019" t="s">
        <v>267</v>
      </c>
      <c r="DI1019">
        <v>96</v>
      </c>
      <c r="DN1019" t="s">
        <v>268</v>
      </c>
      <c r="DP1019" t="s">
        <v>2336</v>
      </c>
      <c r="DS1019">
        <v>27874</v>
      </c>
      <c r="DT1019" t="s">
        <v>2337</v>
      </c>
      <c r="EW1019" t="s">
        <v>293</v>
      </c>
      <c r="FK1019" t="s">
        <v>1103</v>
      </c>
      <c r="FM1019">
        <v>21</v>
      </c>
      <c r="FR1019" t="s">
        <v>295</v>
      </c>
      <c r="GG1019" t="s">
        <v>288</v>
      </c>
      <c r="GH1019">
        <v>90</v>
      </c>
      <c r="GM1019" t="s">
        <v>900</v>
      </c>
      <c r="GO1019">
        <v>8.1999999999999993</v>
      </c>
      <c r="GU1019">
        <v>32</v>
      </c>
      <c r="GZ1019" t="s">
        <v>296</v>
      </c>
      <c r="HH1019" t="s">
        <v>272</v>
      </c>
      <c r="ID1019" t="s">
        <v>1104</v>
      </c>
      <c r="IE1019" t="s">
        <v>2338</v>
      </c>
      <c r="IF1019">
        <v>111830</v>
      </c>
      <c r="IG1019" t="s">
        <v>2339</v>
      </c>
      <c r="IH1019" t="s">
        <v>2340</v>
      </c>
      <c r="II1019">
        <v>2008</v>
      </c>
      <c r="IJ1019" t="s">
        <v>2341</v>
      </c>
    </row>
    <row r="1020" spans="1:244" x14ac:dyDescent="0.45">
      <c r="A1020">
        <v>1096443</v>
      </c>
      <c r="B1020">
        <v>130163</v>
      </c>
      <c r="C1020">
        <v>7733020</v>
      </c>
      <c r="D1020" t="s">
        <v>2214</v>
      </c>
      <c r="F1020" t="s">
        <v>245</v>
      </c>
      <c r="G1020" t="s">
        <v>246</v>
      </c>
      <c r="N1020" t="s">
        <v>2243</v>
      </c>
      <c r="O1020" t="s">
        <v>646</v>
      </c>
      <c r="P1020" t="s">
        <v>249</v>
      </c>
      <c r="Q1020" t="s">
        <v>250</v>
      </c>
      <c r="R1020" t="s">
        <v>251</v>
      </c>
      <c r="T1020" t="s">
        <v>252</v>
      </c>
      <c r="U1020" t="s">
        <v>371</v>
      </c>
      <c r="V1020" t="s">
        <v>372</v>
      </c>
      <c r="W1020" t="s">
        <v>647</v>
      </c>
      <c r="X1020" t="s">
        <v>2244</v>
      </c>
      <c r="AB1020">
        <v>3</v>
      </c>
      <c r="AG1020" t="s">
        <v>267</v>
      </c>
      <c r="AM1020" t="s">
        <v>317</v>
      </c>
      <c r="AN1020" t="s">
        <v>259</v>
      </c>
      <c r="AO1020" t="s">
        <v>260</v>
      </c>
      <c r="AQ1020" t="s">
        <v>261</v>
      </c>
      <c r="AS1020">
        <v>380</v>
      </c>
      <c r="AU1020">
        <v>360</v>
      </c>
      <c r="AW1020">
        <v>400</v>
      </c>
      <c r="AX1020" t="s">
        <v>262</v>
      </c>
      <c r="BO1020" t="s">
        <v>261</v>
      </c>
      <c r="BQ1020">
        <v>0.38</v>
      </c>
      <c r="BS1020">
        <v>0.36</v>
      </c>
      <c r="BU1020">
        <v>0.4</v>
      </c>
      <c r="BV1020" t="s">
        <v>263</v>
      </c>
      <c r="CM1020" t="s">
        <v>264</v>
      </c>
      <c r="CN1020" t="s">
        <v>264</v>
      </c>
      <c r="CP1020" t="s">
        <v>265</v>
      </c>
      <c r="CQ1020" t="s">
        <v>518</v>
      </c>
      <c r="DB1020">
        <v>4</v>
      </c>
      <c r="DG1020" t="s">
        <v>267</v>
      </c>
      <c r="DI1020">
        <v>96</v>
      </c>
      <c r="DN1020" t="s">
        <v>268</v>
      </c>
      <c r="DS1020">
        <v>4703</v>
      </c>
      <c r="DT1020" t="s">
        <v>2224</v>
      </c>
      <c r="EW1020" t="s">
        <v>333</v>
      </c>
      <c r="FM1020">
        <v>25</v>
      </c>
      <c r="FR1020" t="s">
        <v>295</v>
      </c>
      <c r="GU1020">
        <v>33.5</v>
      </c>
      <c r="GZ1020" t="s">
        <v>296</v>
      </c>
      <c r="HH1020" t="s">
        <v>272</v>
      </c>
      <c r="IE1020" t="s">
        <v>2225</v>
      </c>
      <c r="IF1020">
        <v>6825</v>
      </c>
      <c r="IG1020" t="s">
        <v>2226</v>
      </c>
      <c r="IH1020" t="s">
        <v>2227</v>
      </c>
      <c r="II1020">
        <v>1993</v>
      </c>
      <c r="IJ1020" t="s">
        <v>2228</v>
      </c>
    </row>
    <row r="1021" spans="1:244" x14ac:dyDescent="0.45">
      <c r="A1021">
        <v>1210789</v>
      </c>
      <c r="B1021">
        <v>184971</v>
      </c>
      <c r="C1021">
        <v>7733020</v>
      </c>
      <c r="D1021" t="s">
        <v>2214</v>
      </c>
      <c r="E1021" t="s">
        <v>439</v>
      </c>
      <c r="F1021" t="s">
        <v>245</v>
      </c>
      <c r="G1021" t="s">
        <v>246</v>
      </c>
      <c r="N1021" t="s">
        <v>416</v>
      </c>
      <c r="O1021" t="s">
        <v>417</v>
      </c>
      <c r="P1021" t="s">
        <v>249</v>
      </c>
      <c r="Q1021" t="s">
        <v>250</v>
      </c>
      <c r="R1021" t="s">
        <v>251</v>
      </c>
      <c r="T1021" t="s">
        <v>252</v>
      </c>
      <c r="U1021" t="s">
        <v>253</v>
      </c>
      <c r="V1021" t="s">
        <v>418</v>
      </c>
      <c r="W1021" t="s">
        <v>419</v>
      </c>
      <c r="X1021" t="s">
        <v>420</v>
      </c>
      <c r="Z1021" t="s">
        <v>649</v>
      </c>
      <c r="AL1021" t="s">
        <v>2357</v>
      </c>
      <c r="AM1021" t="s">
        <v>258</v>
      </c>
      <c r="AN1021" t="s">
        <v>259</v>
      </c>
      <c r="AO1021" t="s">
        <v>260</v>
      </c>
      <c r="AQ1021" t="s">
        <v>261</v>
      </c>
      <c r="AS1021">
        <v>1668.16</v>
      </c>
      <c r="AX1021" t="s">
        <v>262</v>
      </c>
      <c r="BO1021" t="s">
        <v>261</v>
      </c>
      <c r="BQ1021">
        <v>1.6681600000000001</v>
      </c>
      <c r="BV1021" t="s">
        <v>263</v>
      </c>
      <c r="CM1021" t="s">
        <v>264</v>
      </c>
      <c r="CN1021" t="s">
        <v>264</v>
      </c>
      <c r="CP1021" t="s">
        <v>265</v>
      </c>
      <c r="DB1021">
        <v>4</v>
      </c>
      <c r="DG1021" t="s">
        <v>267</v>
      </c>
      <c r="DI1021">
        <v>96</v>
      </c>
      <c r="DN1021" t="s">
        <v>268</v>
      </c>
      <c r="DS1021">
        <v>1009</v>
      </c>
      <c r="EW1021" t="s">
        <v>293</v>
      </c>
      <c r="FM1021">
        <v>28</v>
      </c>
      <c r="FR1021" t="s">
        <v>295</v>
      </c>
      <c r="GU1021">
        <v>20</v>
      </c>
      <c r="GZ1021" t="s">
        <v>296</v>
      </c>
      <c r="HH1021" t="s">
        <v>272</v>
      </c>
      <c r="IE1021" t="s">
        <v>2358</v>
      </c>
      <c r="IF1021">
        <v>19405</v>
      </c>
      <c r="IG1021" t="s">
        <v>2359</v>
      </c>
      <c r="IH1021" t="s">
        <v>2360</v>
      </c>
      <c r="II1021">
        <v>1995</v>
      </c>
      <c r="IJ1021" t="s">
        <v>2361</v>
      </c>
    </row>
    <row r="1022" spans="1:244" x14ac:dyDescent="0.45">
      <c r="A1022">
        <v>1096448</v>
      </c>
      <c r="B1022">
        <v>130168</v>
      </c>
      <c r="C1022">
        <v>7733020</v>
      </c>
      <c r="D1022" t="s">
        <v>2214</v>
      </c>
      <c r="F1022" t="s">
        <v>245</v>
      </c>
      <c r="G1022" t="s">
        <v>246</v>
      </c>
      <c r="N1022" t="s">
        <v>2245</v>
      </c>
      <c r="O1022" t="s">
        <v>631</v>
      </c>
      <c r="P1022" t="s">
        <v>249</v>
      </c>
      <c r="Q1022" t="s">
        <v>250</v>
      </c>
      <c r="R1022" t="s">
        <v>251</v>
      </c>
      <c r="T1022" t="s">
        <v>389</v>
      </c>
      <c r="U1022" t="s">
        <v>632</v>
      </c>
      <c r="V1022" t="s">
        <v>633</v>
      </c>
      <c r="W1022" t="s">
        <v>634</v>
      </c>
      <c r="X1022" t="s">
        <v>2246</v>
      </c>
      <c r="Z1022" t="s">
        <v>315</v>
      </c>
      <c r="AM1022" t="s">
        <v>317</v>
      </c>
      <c r="AN1022" t="s">
        <v>259</v>
      </c>
      <c r="AO1022" t="s">
        <v>260</v>
      </c>
      <c r="AQ1022" t="s">
        <v>2247</v>
      </c>
      <c r="AS1022">
        <v>700</v>
      </c>
      <c r="AU1022">
        <v>10</v>
      </c>
      <c r="AW1022">
        <v>940</v>
      </c>
      <c r="AX1022" t="s">
        <v>262</v>
      </c>
      <c r="BO1022" t="s">
        <v>2247</v>
      </c>
      <c r="BQ1022">
        <v>0.7</v>
      </c>
      <c r="BS1022">
        <v>0.01</v>
      </c>
      <c r="BU1022">
        <v>0.94</v>
      </c>
      <c r="BV1022" t="s">
        <v>263</v>
      </c>
      <c r="CM1022" t="s">
        <v>264</v>
      </c>
      <c r="CN1022" t="s">
        <v>264</v>
      </c>
      <c r="CP1022" t="s">
        <v>265</v>
      </c>
      <c r="CQ1022" t="s">
        <v>518</v>
      </c>
      <c r="DB1022">
        <v>2</v>
      </c>
      <c r="DG1022" t="s">
        <v>267</v>
      </c>
      <c r="DI1022">
        <v>48</v>
      </c>
      <c r="DN1022" t="s">
        <v>268</v>
      </c>
      <c r="DS1022">
        <v>4662</v>
      </c>
      <c r="DT1022" t="s">
        <v>2224</v>
      </c>
      <c r="EW1022" t="s">
        <v>333</v>
      </c>
      <c r="FM1022">
        <v>25</v>
      </c>
      <c r="FR1022" t="s">
        <v>295</v>
      </c>
      <c r="GU1022">
        <v>25</v>
      </c>
      <c r="GZ1022" t="s">
        <v>296</v>
      </c>
      <c r="HH1022" t="s">
        <v>272</v>
      </c>
      <c r="IE1022" t="s">
        <v>2225</v>
      </c>
      <c r="IF1022">
        <v>6825</v>
      </c>
      <c r="IG1022" t="s">
        <v>2226</v>
      </c>
      <c r="IH1022" t="s">
        <v>2227</v>
      </c>
      <c r="II1022">
        <v>1993</v>
      </c>
      <c r="IJ1022" t="s">
        <v>2228</v>
      </c>
    </row>
    <row r="1023" spans="1:244" x14ac:dyDescent="0.45">
      <c r="A1023">
        <v>1271718</v>
      </c>
      <c r="B1023">
        <v>723016</v>
      </c>
      <c r="C1023">
        <v>7733020</v>
      </c>
      <c r="D1023" t="s">
        <v>2214</v>
      </c>
      <c r="F1023" t="s">
        <v>245</v>
      </c>
      <c r="G1023" t="s">
        <v>246</v>
      </c>
      <c r="N1023" t="s">
        <v>2315</v>
      </c>
      <c r="O1023" t="s">
        <v>2316</v>
      </c>
      <c r="P1023" t="s">
        <v>249</v>
      </c>
      <c r="Q1023" t="s">
        <v>250</v>
      </c>
      <c r="R1023" t="s">
        <v>251</v>
      </c>
      <c r="T1023" t="s">
        <v>252</v>
      </c>
      <c r="U1023" t="s">
        <v>253</v>
      </c>
      <c r="V1023" t="s">
        <v>418</v>
      </c>
      <c r="W1023" t="s">
        <v>946</v>
      </c>
      <c r="X1023" t="s">
        <v>2317</v>
      </c>
      <c r="Z1023" t="s">
        <v>284</v>
      </c>
      <c r="AL1023" t="s">
        <v>2318</v>
      </c>
      <c r="AM1023" t="s">
        <v>317</v>
      </c>
      <c r="AN1023" t="s">
        <v>259</v>
      </c>
      <c r="AO1023" t="s">
        <v>260</v>
      </c>
      <c r="AP1023">
        <v>8</v>
      </c>
      <c r="AQ1023" t="s">
        <v>261</v>
      </c>
      <c r="AS1023">
        <v>1.64</v>
      </c>
      <c r="AU1023">
        <v>1.29</v>
      </c>
      <c r="AW1023">
        <v>2.1</v>
      </c>
      <c r="AX1023" t="s">
        <v>356</v>
      </c>
      <c r="BO1023" t="s">
        <v>261</v>
      </c>
      <c r="BQ1023">
        <v>1.64</v>
      </c>
      <c r="BS1023">
        <v>1.29</v>
      </c>
      <c r="BU1023">
        <v>2.1</v>
      </c>
      <c r="BV1023" t="s">
        <v>263</v>
      </c>
      <c r="CM1023" t="s">
        <v>264</v>
      </c>
      <c r="CN1023" t="s">
        <v>264</v>
      </c>
      <c r="CP1023" t="s">
        <v>265</v>
      </c>
      <c r="CQ1023" t="s">
        <v>518</v>
      </c>
      <c r="DB1023">
        <v>1</v>
      </c>
      <c r="DG1023" t="s">
        <v>267</v>
      </c>
      <c r="DI1023">
        <v>24</v>
      </c>
      <c r="DN1023" t="s">
        <v>268</v>
      </c>
      <c r="DP1023" t="s">
        <v>2240</v>
      </c>
      <c r="DR1023">
        <v>122378</v>
      </c>
      <c r="DS1023">
        <v>18497</v>
      </c>
      <c r="DT1023" t="s">
        <v>2319</v>
      </c>
      <c r="EW1023" t="s">
        <v>293</v>
      </c>
      <c r="FK1023" t="s">
        <v>2320</v>
      </c>
      <c r="FM1023">
        <v>25</v>
      </c>
      <c r="FR1023" t="s">
        <v>295</v>
      </c>
      <c r="GJ1023">
        <v>6.2</v>
      </c>
      <c r="GL1023">
        <v>6.25</v>
      </c>
      <c r="GM1023" t="s">
        <v>356</v>
      </c>
      <c r="GQ1023">
        <v>8.1999999999999993</v>
      </c>
      <c r="GS1023">
        <v>8.2200000000000006</v>
      </c>
      <c r="GU1023">
        <v>36</v>
      </c>
      <c r="GZ1023" t="s">
        <v>296</v>
      </c>
      <c r="HH1023" t="s">
        <v>272</v>
      </c>
      <c r="ID1023" t="s">
        <v>2321</v>
      </c>
      <c r="IE1023" t="s">
        <v>2322</v>
      </c>
      <c r="IF1023">
        <v>101373</v>
      </c>
      <c r="IG1023" t="s">
        <v>2323</v>
      </c>
      <c r="IH1023" t="s">
        <v>2324</v>
      </c>
      <c r="II1023">
        <v>2007</v>
      </c>
      <c r="IJ1023" t="s">
        <v>2325</v>
      </c>
    </row>
    <row r="1024" spans="1:244" x14ac:dyDescent="0.45">
      <c r="A1024">
        <v>1096370</v>
      </c>
      <c r="B1024">
        <v>117496</v>
      </c>
      <c r="C1024">
        <v>7733020</v>
      </c>
      <c r="D1024" t="s">
        <v>2214</v>
      </c>
      <c r="F1024" t="s">
        <v>327</v>
      </c>
      <c r="G1024" t="s">
        <v>246</v>
      </c>
      <c r="N1024" t="s">
        <v>1401</v>
      </c>
      <c r="O1024" t="s">
        <v>1299</v>
      </c>
      <c r="P1024" t="s">
        <v>249</v>
      </c>
      <c r="Q1024" t="s">
        <v>250</v>
      </c>
      <c r="R1024" t="s">
        <v>251</v>
      </c>
      <c r="T1024" t="s">
        <v>252</v>
      </c>
      <c r="U1024" t="s">
        <v>371</v>
      </c>
      <c r="V1024" t="s">
        <v>372</v>
      </c>
      <c r="W1024" t="s">
        <v>1402</v>
      </c>
      <c r="X1024" t="s">
        <v>1403</v>
      </c>
      <c r="Z1024" t="s">
        <v>649</v>
      </c>
      <c r="AB1024">
        <v>3</v>
      </c>
      <c r="AG1024" t="s">
        <v>267</v>
      </c>
      <c r="AM1024" t="s">
        <v>317</v>
      </c>
      <c r="AN1024" t="s">
        <v>259</v>
      </c>
      <c r="AO1024" t="s">
        <v>260</v>
      </c>
      <c r="AQ1024" t="s">
        <v>261</v>
      </c>
      <c r="AS1024">
        <v>89</v>
      </c>
      <c r="AU1024">
        <v>77</v>
      </c>
      <c r="AW1024">
        <v>101</v>
      </c>
      <c r="AX1024" t="s">
        <v>262</v>
      </c>
      <c r="BO1024" t="s">
        <v>261</v>
      </c>
      <c r="BQ1024">
        <v>8.8999999999999996E-2</v>
      </c>
      <c r="BS1024">
        <v>7.6999999999999999E-2</v>
      </c>
      <c r="BU1024">
        <v>0.10100000000000001</v>
      </c>
      <c r="BV1024" t="s">
        <v>263</v>
      </c>
      <c r="CM1024" t="s">
        <v>264</v>
      </c>
      <c r="CN1024" t="s">
        <v>264</v>
      </c>
      <c r="CP1024" t="s">
        <v>265</v>
      </c>
      <c r="CQ1024" t="s">
        <v>518</v>
      </c>
      <c r="DB1024">
        <v>4</v>
      </c>
      <c r="DG1024" t="s">
        <v>267</v>
      </c>
      <c r="DI1024">
        <v>96</v>
      </c>
      <c r="DN1024" t="s">
        <v>268</v>
      </c>
      <c r="DR1024">
        <v>236552</v>
      </c>
      <c r="DS1024">
        <v>59434</v>
      </c>
      <c r="DT1024" t="s">
        <v>2234</v>
      </c>
      <c r="EW1024" t="s">
        <v>333</v>
      </c>
      <c r="FO1024">
        <v>14</v>
      </c>
      <c r="FQ1024">
        <v>15</v>
      </c>
      <c r="FR1024" t="s">
        <v>295</v>
      </c>
      <c r="GJ1024">
        <v>6.8</v>
      </c>
      <c r="GL1024">
        <v>8.3000000000000007</v>
      </c>
      <c r="GM1024" t="s">
        <v>356</v>
      </c>
      <c r="GQ1024">
        <v>7.8</v>
      </c>
      <c r="GS1024">
        <v>7.9</v>
      </c>
      <c r="GW1024">
        <v>35</v>
      </c>
      <c r="GY1024">
        <v>38</v>
      </c>
      <c r="GZ1024" t="s">
        <v>296</v>
      </c>
      <c r="HH1024" t="s">
        <v>272</v>
      </c>
      <c r="IE1024" t="s">
        <v>2235</v>
      </c>
      <c r="IF1024">
        <v>6821</v>
      </c>
      <c r="IG1024" t="s">
        <v>2236</v>
      </c>
      <c r="IH1024" t="s">
        <v>2237</v>
      </c>
      <c r="II1024">
        <v>1989</v>
      </c>
      <c r="IJ1024" t="s">
        <v>2238</v>
      </c>
    </row>
    <row r="1025" spans="1:244" x14ac:dyDescent="0.45">
      <c r="A1025">
        <v>1162977</v>
      </c>
      <c r="B1025">
        <v>183397</v>
      </c>
      <c r="C1025">
        <v>7733020</v>
      </c>
      <c r="D1025" t="s">
        <v>2214</v>
      </c>
      <c r="F1025" t="s">
        <v>272</v>
      </c>
      <c r="G1025" t="s">
        <v>246</v>
      </c>
      <c r="N1025" t="s">
        <v>789</v>
      </c>
      <c r="O1025" t="s">
        <v>790</v>
      </c>
      <c r="P1025" t="s">
        <v>249</v>
      </c>
      <c r="Q1025" t="s">
        <v>250</v>
      </c>
      <c r="R1025" t="s">
        <v>251</v>
      </c>
      <c r="T1025" t="s">
        <v>252</v>
      </c>
      <c r="U1025" t="s">
        <v>253</v>
      </c>
      <c r="V1025" t="s">
        <v>418</v>
      </c>
      <c r="W1025" t="s">
        <v>791</v>
      </c>
      <c r="X1025" t="s">
        <v>792</v>
      </c>
      <c r="Z1025" t="s">
        <v>649</v>
      </c>
      <c r="AL1025" t="s">
        <v>2239</v>
      </c>
      <c r="AM1025" t="s">
        <v>258</v>
      </c>
      <c r="AN1025" t="s">
        <v>259</v>
      </c>
      <c r="AO1025" t="s">
        <v>260</v>
      </c>
      <c r="AQ1025" t="s">
        <v>261</v>
      </c>
      <c r="AS1025">
        <v>3580</v>
      </c>
      <c r="AU1025">
        <v>2200</v>
      </c>
      <c r="AW1025">
        <v>5823</v>
      </c>
      <c r="AX1025" t="s">
        <v>262</v>
      </c>
      <c r="BO1025" t="s">
        <v>261</v>
      </c>
      <c r="BQ1025">
        <v>3.58</v>
      </c>
      <c r="BS1025">
        <v>2.2000000000000002</v>
      </c>
      <c r="BU1025">
        <v>5.8230000000000004</v>
      </c>
      <c r="BV1025" t="s">
        <v>263</v>
      </c>
      <c r="CM1025" t="s">
        <v>264</v>
      </c>
      <c r="CN1025" t="s">
        <v>264</v>
      </c>
      <c r="CP1025" t="s">
        <v>265</v>
      </c>
      <c r="CQ1025" t="s">
        <v>518</v>
      </c>
      <c r="DB1025">
        <v>1</v>
      </c>
      <c r="DG1025" t="s">
        <v>267</v>
      </c>
      <c r="DI1025">
        <v>24</v>
      </c>
      <c r="DN1025" t="s">
        <v>268</v>
      </c>
      <c r="DR1025">
        <v>161924</v>
      </c>
      <c r="DS1025">
        <v>3045</v>
      </c>
      <c r="EW1025" t="s">
        <v>272</v>
      </c>
      <c r="FO1025">
        <v>27</v>
      </c>
      <c r="FQ1025">
        <v>27.5</v>
      </c>
      <c r="FR1025" t="s">
        <v>295</v>
      </c>
      <c r="FT1025">
        <v>5128</v>
      </c>
      <c r="FY1025" t="s">
        <v>572</v>
      </c>
      <c r="GA1025">
        <v>115</v>
      </c>
      <c r="GF1025" t="s">
        <v>572</v>
      </c>
      <c r="GJ1025">
        <v>5</v>
      </c>
      <c r="GL1025">
        <v>6.1</v>
      </c>
      <c r="GM1025" t="s">
        <v>356</v>
      </c>
      <c r="GQ1025">
        <v>8.1</v>
      </c>
      <c r="GS1025">
        <v>8.5</v>
      </c>
      <c r="GU1025">
        <v>30</v>
      </c>
      <c r="GZ1025" t="s">
        <v>296</v>
      </c>
      <c r="HH1025" t="s">
        <v>272</v>
      </c>
      <c r="IE1025" t="s">
        <v>2216</v>
      </c>
      <c r="IF1025">
        <v>14402</v>
      </c>
      <c r="IG1025" t="s">
        <v>2217</v>
      </c>
      <c r="IH1025" t="s">
        <v>2218</v>
      </c>
      <c r="II1025">
        <v>1993</v>
      </c>
      <c r="IJ1025" t="s">
        <v>2219</v>
      </c>
    </row>
    <row r="1026" spans="1:244" x14ac:dyDescent="0.45">
      <c r="A1026">
        <v>1275695</v>
      </c>
      <c r="B1026">
        <v>727022</v>
      </c>
      <c r="C1026">
        <v>7733020</v>
      </c>
      <c r="D1026" t="s">
        <v>2214</v>
      </c>
      <c r="F1026" t="s">
        <v>245</v>
      </c>
      <c r="G1026" t="s">
        <v>246</v>
      </c>
      <c r="N1026" t="s">
        <v>2362</v>
      </c>
      <c r="O1026" t="s">
        <v>2363</v>
      </c>
      <c r="P1026" t="s">
        <v>249</v>
      </c>
      <c r="Q1026" t="s">
        <v>250</v>
      </c>
      <c r="R1026" t="s">
        <v>251</v>
      </c>
      <c r="T1026" t="s">
        <v>252</v>
      </c>
      <c r="U1026" t="s">
        <v>253</v>
      </c>
      <c r="V1026" t="s">
        <v>2364</v>
      </c>
      <c r="W1026" t="s">
        <v>2365</v>
      </c>
      <c r="X1026" t="s">
        <v>2366</v>
      </c>
      <c r="AL1026" t="s">
        <v>2367</v>
      </c>
      <c r="AM1026" t="s">
        <v>258</v>
      </c>
      <c r="AN1026" t="s">
        <v>259</v>
      </c>
      <c r="AO1026" t="s">
        <v>260</v>
      </c>
      <c r="AP1026" t="s">
        <v>2368</v>
      </c>
      <c r="AQ1026" t="s">
        <v>261</v>
      </c>
      <c r="AS1026">
        <v>3.45</v>
      </c>
      <c r="AX1026" t="s">
        <v>356</v>
      </c>
      <c r="BO1026" t="s">
        <v>261</v>
      </c>
      <c r="BQ1026">
        <v>3.45</v>
      </c>
      <c r="BV1026" t="s">
        <v>263</v>
      </c>
      <c r="CM1026" t="s">
        <v>264</v>
      </c>
      <c r="CN1026" t="s">
        <v>264</v>
      </c>
      <c r="CP1026" t="s">
        <v>265</v>
      </c>
      <c r="CQ1026" t="s">
        <v>518</v>
      </c>
      <c r="DB1026">
        <v>2</v>
      </c>
      <c r="DG1026" t="s">
        <v>267</v>
      </c>
      <c r="DI1026">
        <v>48</v>
      </c>
      <c r="DN1026" t="s">
        <v>268</v>
      </c>
      <c r="DP1026" t="s">
        <v>2369</v>
      </c>
      <c r="DR1026">
        <v>373433</v>
      </c>
      <c r="DS1026">
        <v>18732</v>
      </c>
      <c r="EW1026" t="s">
        <v>293</v>
      </c>
      <c r="FK1026" t="s">
        <v>2370</v>
      </c>
      <c r="FM1026">
        <v>28</v>
      </c>
      <c r="FR1026" t="s">
        <v>295</v>
      </c>
      <c r="GH1026">
        <v>3.1</v>
      </c>
      <c r="GM1026" t="s">
        <v>356</v>
      </c>
      <c r="GO1026">
        <v>8.11</v>
      </c>
      <c r="GU1026">
        <v>38.04</v>
      </c>
      <c r="GZ1026" t="s">
        <v>296</v>
      </c>
      <c r="HH1026" t="s">
        <v>272</v>
      </c>
      <c r="ID1026" t="s">
        <v>2371</v>
      </c>
      <c r="IE1026" t="s">
        <v>2372</v>
      </c>
      <c r="IF1026">
        <v>62226</v>
      </c>
      <c r="IG1026" t="s">
        <v>2373</v>
      </c>
      <c r="IH1026" t="s">
        <v>2374</v>
      </c>
      <c r="II1026">
        <v>1999</v>
      </c>
      <c r="IJ1026" t="s">
        <v>2375</v>
      </c>
    </row>
    <row r="1027" spans="1:244" x14ac:dyDescent="0.45">
      <c r="A1027">
        <v>2095611</v>
      </c>
      <c r="B1027">
        <v>2175506</v>
      </c>
      <c r="C1027">
        <v>7733020</v>
      </c>
      <c r="D1027" t="s">
        <v>2214</v>
      </c>
      <c r="E1027" t="s">
        <v>622</v>
      </c>
      <c r="F1027" t="s">
        <v>245</v>
      </c>
      <c r="G1027" t="s">
        <v>272</v>
      </c>
      <c r="N1027" t="s">
        <v>2376</v>
      </c>
      <c r="O1027" t="s">
        <v>1164</v>
      </c>
      <c r="P1027" t="s">
        <v>249</v>
      </c>
      <c r="Q1027" t="s">
        <v>250</v>
      </c>
      <c r="R1027" t="s">
        <v>251</v>
      </c>
      <c r="T1027" t="s">
        <v>389</v>
      </c>
      <c r="U1027" t="s">
        <v>390</v>
      </c>
      <c r="V1027" t="s">
        <v>2377</v>
      </c>
      <c r="W1027" t="s">
        <v>2378</v>
      </c>
      <c r="X1027" t="s">
        <v>351</v>
      </c>
      <c r="Z1027" t="s">
        <v>315</v>
      </c>
      <c r="AJ1027" t="s">
        <v>354</v>
      </c>
      <c r="AK1027" t="s">
        <v>709</v>
      </c>
      <c r="AM1027" t="s">
        <v>317</v>
      </c>
      <c r="AN1027" t="s">
        <v>259</v>
      </c>
      <c r="AO1027" t="s">
        <v>260</v>
      </c>
      <c r="AQ1027" t="s">
        <v>261</v>
      </c>
      <c r="AS1027">
        <v>0.38</v>
      </c>
      <c r="AU1027">
        <v>0.32</v>
      </c>
      <c r="AW1027">
        <v>0.46</v>
      </c>
      <c r="AX1027" t="s">
        <v>356</v>
      </c>
      <c r="BO1027" t="s">
        <v>261</v>
      </c>
      <c r="BQ1027">
        <v>0.38</v>
      </c>
      <c r="BS1027">
        <v>0.32</v>
      </c>
      <c r="BU1027">
        <v>0.46</v>
      </c>
      <c r="BV1027" t="s">
        <v>263</v>
      </c>
      <c r="CM1027" t="s">
        <v>264</v>
      </c>
      <c r="CN1027" t="s">
        <v>264</v>
      </c>
      <c r="CP1027" t="s">
        <v>265</v>
      </c>
      <c r="CQ1027" t="s">
        <v>518</v>
      </c>
      <c r="DB1027">
        <v>4</v>
      </c>
      <c r="DG1027" t="s">
        <v>267</v>
      </c>
      <c r="DI1027">
        <v>96</v>
      </c>
      <c r="DN1027" t="s">
        <v>268</v>
      </c>
      <c r="DP1027" t="s">
        <v>2307</v>
      </c>
      <c r="DS1027">
        <v>32516</v>
      </c>
      <c r="DT1027" t="s">
        <v>2379</v>
      </c>
      <c r="DV1027">
        <v>96</v>
      </c>
      <c r="EA1027" t="s">
        <v>268</v>
      </c>
      <c r="EC1027">
        <v>4</v>
      </c>
      <c r="EH1027" t="s">
        <v>267</v>
      </c>
      <c r="EJ1027">
        <v>96</v>
      </c>
      <c r="EO1027" t="s">
        <v>268</v>
      </c>
      <c r="EQ1027">
        <v>4</v>
      </c>
      <c r="EV1027" t="s">
        <v>267</v>
      </c>
      <c r="EW1027" t="s">
        <v>293</v>
      </c>
      <c r="FA1027" t="s">
        <v>2161</v>
      </c>
      <c r="FJ1027" t="s">
        <v>2380</v>
      </c>
      <c r="FM1027">
        <v>20</v>
      </c>
      <c r="FR1027" t="s">
        <v>295</v>
      </c>
      <c r="GG1027" t="s">
        <v>288</v>
      </c>
      <c r="GH1027">
        <v>7</v>
      </c>
      <c r="GM1027" t="s">
        <v>356</v>
      </c>
      <c r="GQ1027">
        <v>8</v>
      </c>
      <c r="GS1027">
        <v>8.5</v>
      </c>
      <c r="GT1027" t="s">
        <v>288</v>
      </c>
      <c r="GU1027">
        <v>30</v>
      </c>
      <c r="GZ1027" t="s">
        <v>296</v>
      </c>
      <c r="HH1027" t="s">
        <v>272</v>
      </c>
      <c r="IE1027" t="s">
        <v>2381</v>
      </c>
      <c r="IF1027">
        <v>161986</v>
      </c>
      <c r="IG1027" t="s">
        <v>2382</v>
      </c>
      <c r="IH1027" t="s">
        <v>2383</v>
      </c>
      <c r="II1027">
        <v>2012</v>
      </c>
      <c r="IJ1027" t="s">
        <v>2384</v>
      </c>
    </row>
    <row r="1028" spans="1:244" x14ac:dyDescent="0.45">
      <c r="A1028">
        <v>2095611</v>
      </c>
      <c r="B1028">
        <v>2175507</v>
      </c>
      <c r="C1028">
        <v>7733020</v>
      </c>
      <c r="D1028" t="s">
        <v>2214</v>
      </c>
      <c r="E1028" t="s">
        <v>622</v>
      </c>
      <c r="F1028" t="s">
        <v>245</v>
      </c>
      <c r="G1028" t="s">
        <v>272</v>
      </c>
      <c r="N1028" t="s">
        <v>2376</v>
      </c>
      <c r="O1028" t="s">
        <v>1164</v>
      </c>
      <c r="P1028" t="s">
        <v>249</v>
      </c>
      <c r="Q1028" t="s">
        <v>250</v>
      </c>
      <c r="R1028" t="s">
        <v>251</v>
      </c>
      <c r="T1028" t="s">
        <v>389</v>
      </c>
      <c r="U1028" t="s">
        <v>390</v>
      </c>
      <c r="V1028" t="s">
        <v>2377</v>
      </c>
      <c r="W1028" t="s">
        <v>2378</v>
      </c>
      <c r="X1028" t="s">
        <v>351</v>
      </c>
      <c r="Z1028" t="s">
        <v>315</v>
      </c>
      <c r="AJ1028" t="s">
        <v>354</v>
      </c>
      <c r="AK1028" t="s">
        <v>709</v>
      </c>
      <c r="AM1028" t="s">
        <v>317</v>
      </c>
      <c r="AN1028" t="s">
        <v>259</v>
      </c>
      <c r="AO1028" t="s">
        <v>260</v>
      </c>
      <c r="AQ1028" t="s">
        <v>261</v>
      </c>
      <c r="AS1028">
        <v>1.1000000000000001</v>
      </c>
      <c r="AU1028">
        <v>0.81</v>
      </c>
      <c r="AW1028">
        <v>1.47</v>
      </c>
      <c r="AX1028" t="s">
        <v>356</v>
      </c>
      <c r="BO1028" t="s">
        <v>261</v>
      </c>
      <c r="BQ1028">
        <v>1.1000000000000001</v>
      </c>
      <c r="BS1028">
        <v>0.81</v>
      </c>
      <c r="BU1028">
        <v>1.47</v>
      </c>
      <c r="BV1028" t="s">
        <v>263</v>
      </c>
      <c r="CM1028" t="s">
        <v>264</v>
      </c>
      <c r="CN1028" t="s">
        <v>264</v>
      </c>
      <c r="CP1028" t="s">
        <v>265</v>
      </c>
      <c r="CQ1028" t="s">
        <v>518</v>
      </c>
      <c r="DB1028">
        <v>4</v>
      </c>
      <c r="DG1028" t="s">
        <v>267</v>
      </c>
      <c r="DI1028">
        <v>96</v>
      </c>
      <c r="DN1028" t="s">
        <v>268</v>
      </c>
      <c r="DP1028" t="s">
        <v>2307</v>
      </c>
      <c r="DS1028">
        <v>32516</v>
      </c>
      <c r="DT1028" t="s">
        <v>2379</v>
      </c>
      <c r="DV1028">
        <v>96</v>
      </c>
      <c r="EA1028" t="s">
        <v>268</v>
      </c>
      <c r="EC1028">
        <v>4</v>
      </c>
      <c r="EH1028" t="s">
        <v>267</v>
      </c>
      <c r="EJ1028">
        <v>96</v>
      </c>
      <c r="EO1028" t="s">
        <v>268</v>
      </c>
      <c r="EQ1028">
        <v>4</v>
      </c>
      <c r="EV1028" t="s">
        <v>267</v>
      </c>
      <c r="EW1028" t="s">
        <v>293</v>
      </c>
      <c r="FA1028" t="s">
        <v>2161</v>
      </c>
      <c r="FJ1028" t="s">
        <v>2385</v>
      </c>
      <c r="FM1028">
        <v>20</v>
      </c>
      <c r="FR1028" t="s">
        <v>295</v>
      </c>
      <c r="GG1028" t="s">
        <v>288</v>
      </c>
      <c r="GH1028">
        <v>7</v>
      </c>
      <c r="GM1028" t="s">
        <v>356</v>
      </c>
      <c r="GQ1028">
        <v>8</v>
      </c>
      <c r="GS1028">
        <v>8.5</v>
      </c>
      <c r="GT1028" t="s">
        <v>288</v>
      </c>
      <c r="GU1028">
        <v>30</v>
      </c>
      <c r="GZ1028" t="s">
        <v>296</v>
      </c>
      <c r="HH1028" t="s">
        <v>272</v>
      </c>
      <c r="IE1028" t="s">
        <v>2381</v>
      </c>
      <c r="IF1028">
        <v>161986</v>
      </c>
      <c r="IG1028" t="s">
        <v>2382</v>
      </c>
      <c r="IH1028" t="s">
        <v>2383</v>
      </c>
      <c r="II1028">
        <v>2012</v>
      </c>
      <c r="IJ1028" t="s">
        <v>2384</v>
      </c>
    </row>
    <row r="1029" spans="1:244" x14ac:dyDescent="0.45">
      <c r="A1029">
        <v>2095611</v>
      </c>
      <c r="B1029">
        <v>2175498</v>
      </c>
      <c r="C1029">
        <v>7733020</v>
      </c>
      <c r="D1029" t="s">
        <v>2214</v>
      </c>
      <c r="E1029" t="s">
        <v>622</v>
      </c>
      <c r="F1029" t="s">
        <v>245</v>
      </c>
      <c r="G1029" t="s">
        <v>272</v>
      </c>
      <c r="N1029" t="s">
        <v>2376</v>
      </c>
      <c r="O1029" t="s">
        <v>1164</v>
      </c>
      <c r="P1029" t="s">
        <v>249</v>
      </c>
      <c r="Q1029" t="s">
        <v>250</v>
      </c>
      <c r="R1029" t="s">
        <v>251</v>
      </c>
      <c r="T1029" t="s">
        <v>389</v>
      </c>
      <c r="U1029" t="s">
        <v>390</v>
      </c>
      <c r="V1029" t="s">
        <v>2377</v>
      </c>
      <c r="W1029" t="s">
        <v>2378</v>
      </c>
      <c r="X1029" t="s">
        <v>351</v>
      </c>
      <c r="Z1029" t="s">
        <v>315</v>
      </c>
      <c r="AJ1029" t="s">
        <v>354</v>
      </c>
      <c r="AK1029" t="s">
        <v>709</v>
      </c>
      <c r="AM1029" t="s">
        <v>317</v>
      </c>
      <c r="AN1029" t="s">
        <v>259</v>
      </c>
      <c r="AO1029" t="s">
        <v>260</v>
      </c>
      <c r="AQ1029" t="s">
        <v>261</v>
      </c>
      <c r="AS1029">
        <v>0.64</v>
      </c>
      <c r="AU1029">
        <v>0.51</v>
      </c>
      <c r="AW1029">
        <v>0.82</v>
      </c>
      <c r="AX1029" t="s">
        <v>356</v>
      </c>
      <c r="BO1029" t="s">
        <v>261</v>
      </c>
      <c r="BQ1029">
        <v>0.64</v>
      </c>
      <c r="BS1029">
        <v>0.51</v>
      </c>
      <c r="BU1029">
        <v>0.82</v>
      </c>
      <c r="BV1029" t="s">
        <v>263</v>
      </c>
      <c r="CM1029" t="s">
        <v>264</v>
      </c>
      <c r="CN1029" t="s">
        <v>264</v>
      </c>
      <c r="CP1029" t="s">
        <v>265</v>
      </c>
      <c r="CQ1029" t="s">
        <v>518</v>
      </c>
      <c r="DB1029">
        <v>4</v>
      </c>
      <c r="DG1029" t="s">
        <v>267</v>
      </c>
      <c r="DI1029">
        <v>96</v>
      </c>
      <c r="DN1029" t="s">
        <v>268</v>
      </c>
      <c r="DP1029" t="s">
        <v>2307</v>
      </c>
      <c r="DS1029">
        <v>32516</v>
      </c>
      <c r="DT1029" t="s">
        <v>2379</v>
      </c>
      <c r="DV1029">
        <v>96</v>
      </c>
      <c r="EA1029" t="s">
        <v>268</v>
      </c>
      <c r="EC1029">
        <v>4</v>
      </c>
      <c r="EH1029" t="s">
        <v>267</v>
      </c>
      <c r="EJ1029">
        <v>96</v>
      </c>
      <c r="EO1029" t="s">
        <v>268</v>
      </c>
      <c r="EQ1029">
        <v>4</v>
      </c>
      <c r="EV1029" t="s">
        <v>267</v>
      </c>
      <c r="EW1029" t="s">
        <v>293</v>
      </c>
      <c r="FA1029" t="s">
        <v>2161</v>
      </c>
      <c r="FM1029">
        <v>20</v>
      </c>
      <c r="FR1029" t="s">
        <v>295</v>
      </c>
      <c r="GG1029" t="s">
        <v>288</v>
      </c>
      <c r="GH1029">
        <v>7</v>
      </c>
      <c r="GM1029" t="s">
        <v>356</v>
      </c>
      <c r="GQ1029">
        <v>8</v>
      </c>
      <c r="GS1029">
        <v>8.5</v>
      </c>
      <c r="GT1029" t="s">
        <v>288</v>
      </c>
      <c r="GU1029">
        <v>30</v>
      </c>
      <c r="GZ1029" t="s">
        <v>296</v>
      </c>
      <c r="HH1029" t="s">
        <v>272</v>
      </c>
      <c r="IE1029" t="s">
        <v>2381</v>
      </c>
      <c r="IF1029">
        <v>161986</v>
      </c>
      <c r="IG1029" t="s">
        <v>2382</v>
      </c>
      <c r="IH1029" t="s">
        <v>2383</v>
      </c>
      <c r="II1029">
        <v>2012</v>
      </c>
      <c r="IJ1029" t="s">
        <v>2384</v>
      </c>
    </row>
    <row r="1030" spans="1:244" x14ac:dyDescent="0.45">
      <c r="A1030">
        <v>2317093</v>
      </c>
      <c r="B1030">
        <v>2796456</v>
      </c>
      <c r="C1030">
        <v>7733020</v>
      </c>
      <c r="D1030" t="s">
        <v>2214</v>
      </c>
      <c r="E1030" t="s">
        <v>439</v>
      </c>
      <c r="F1030" t="s">
        <v>245</v>
      </c>
      <c r="G1030" t="s">
        <v>272</v>
      </c>
      <c r="N1030" t="s">
        <v>1492</v>
      </c>
      <c r="O1030" t="s">
        <v>1493</v>
      </c>
      <c r="P1030" t="s">
        <v>249</v>
      </c>
      <c r="Q1030" t="s">
        <v>250</v>
      </c>
      <c r="R1030" t="s">
        <v>251</v>
      </c>
      <c r="T1030" t="s">
        <v>252</v>
      </c>
      <c r="U1030" t="s">
        <v>253</v>
      </c>
      <c r="V1030" t="s">
        <v>281</v>
      </c>
      <c r="W1030" t="s">
        <v>282</v>
      </c>
      <c r="X1030" t="s">
        <v>1494</v>
      </c>
      <c r="Z1030" t="s">
        <v>1046</v>
      </c>
      <c r="AB1030">
        <v>1</v>
      </c>
      <c r="AG1030" t="s">
        <v>598</v>
      </c>
      <c r="AJ1030" t="s">
        <v>354</v>
      </c>
      <c r="AM1030" t="s">
        <v>287</v>
      </c>
      <c r="AN1030" t="s">
        <v>259</v>
      </c>
      <c r="AO1030" t="s">
        <v>260</v>
      </c>
      <c r="AQ1030" t="s">
        <v>261</v>
      </c>
      <c r="AS1030">
        <v>456</v>
      </c>
      <c r="AX1030" t="s">
        <v>262</v>
      </c>
      <c r="BO1030" t="s">
        <v>261</v>
      </c>
      <c r="BQ1030">
        <v>0.45600000000000002</v>
      </c>
      <c r="BV1030" t="s">
        <v>263</v>
      </c>
      <c r="CM1030" t="s">
        <v>264</v>
      </c>
      <c r="CN1030" t="s">
        <v>264</v>
      </c>
      <c r="CP1030" t="s">
        <v>265</v>
      </c>
      <c r="CQ1030" t="s">
        <v>518</v>
      </c>
      <c r="DB1030">
        <v>4</v>
      </c>
      <c r="DG1030" t="s">
        <v>267</v>
      </c>
      <c r="DI1030">
        <v>96</v>
      </c>
      <c r="DN1030" t="s">
        <v>268</v>
      </c>
      <c r="DP1030" t="s">
        <v>2386</v>
      </c>
      <c r="DR1030">
        <v>29965</v>
      </c>
      <c r="DS1030">
        <v>339</v>
      </c>
      <c r="DT1030" t="s">
        <v>1771</v>
      </c>
      <c r="DV1030">
        <v>96</v>
      </c>
      <c r="EA1030" t="s">
        <v>268</v>
      </c>
      <c r="EC1030">
        <v>4</v>
      </c>
      <c r="EH1030" t="s">
        <v>267</v>
      </c>
      <c r="EJ1030">
        <v>96</v>
      </c>
      <c r="EO1030" t="s">
        <v>268</v>
      </c>
      <c r="EQ1030">
        <v>4</v>
      </c>
      <c r="EV1030" t="s">
        <v>267</v>
      </c>
      <c r="EW1030" t="s">
        <v>293</v>
      </c>
      <c r="EZ1030">
        <v>20</v>
      </c>
      <c r="FM1030">
        <v>15</v>
      </c>
      <c r="FR1030" t="s">
        <v>295</v>
      </c>
      <c r="GJ1030">
        <v>6.5</v>
      </c>
      <c r="GL1030">
        <v>8</v>
      </c>
      <c r="GM1030" t="s">
        <v>356</v>
      </c>
      <c r="GO1030">
        <v>8.1</v>
      </c>
      <c r="GU1030">
        <v>33.79</v>
      </c>
      <c r="GZ1030" t="s">
        <v>296</v>
      </c>
      <c r="HH1030" t="s">
        <v>272</v>
      </c>
      <c r="ID1030" t="s">
        <v>1772</v>
      </c>
      <c r="IE1030" t="s">
        <v>1773</v>
      </c>
      <c r="IF1030">
        <v>15497</v>
      </c>
      <c r="IG1030" t="s">
        <v>1774</v>
      </c>
      <c r="IH1030" t="s">
        <v>1775</v>
      </c>
      <c r="II1030">
        <v>1981</v>
      </c>
      <c r="IJ1030" t="s">
        <v>1776</v>
      </c>
    </row>
    <row r="1031" spans="1:244" x14ac:dyDescent="0.45">
      <c r="A1031">
        <v>1282249</v>
      </c>
      <c r="B1031">
        <v>735868</v>
      </c>
      <c r="C1031">
        <v>7733020</v>
      </c>
      <c r="D1031" t="s">
        <v>2214</v>
      </c>
      <c r="E1031" t="s">
        <v>439</v>
      </c>
      <c r="F1031" t="s">
        <v>245</v>
      </c>
      <c r="G1031" t="s">
        <v>246</v>
      </c>
      <c r="N1031" t="s">
        <v>968</v>
      </c>
      <c r="O1031" t="s">
        <v>969</v>
      </c>
      <c r="P1031" t="s">
        <v>249</v>
      </c>
      <c r="Q1031" t="s">
        <v>250</v>
      </c>
      <c r="R1031" t="s">
        <v>251</v>
      </c>
      <c r="T1031" t="s">
        <v>252</v>
      </c>
      <c r="U1031" t="s">
        <v>253</v>
      </c>
      <c r="V1031" t="s">
        <v>418</v>
      </c>
      <c r="W1031" t="s">
        <v>419</v>
      </c>
      <c r="X1031" t="s">
        <v>970</v>
      </c>
      <c r="Z1031" t="s">
        <v>649</v>
      </c>
      <c r="AL1031" t="s">
        <v>1174</v>
      </c>
      <c r="AM1031" t="s">
        <v>258</v>
      </c>
      <c r="AN1031" t="s">
        <v>259</v>
      </c>
      <c r="AO1031" t="s">
        <v>260</v>
      </c>
      <c r="AQ1031" t="s">
        <v>261</v>
      </c>
      <c r="AS1031">
        <v>0.5</v>
      </c>
      <c r="AU1031">
        <v>0.24</v>
      </c>
      <c r="AW1031">
        <v>1.1000000000000001</v>
      </c>
      <c r="AX1031" t="s">
        <v>356</v>
      </c>
      <c r="BO1031" t="s">
        <v>261</v>
      </c>
      <c r="BQ1031">
        <v>0.5</v>
      </c>
      <c r="BS1031">
        <v>0.24</v>
      </c>
      <c r="BU1031">
        <v>1.1000000000000001</v>
      </c>
      <c r="BV1031" t="s">
        <v>263</v>
      </c>
      <c r="CM1031" t="s">
        <v>264</v>
      </c>
      <c r="CN1031" t="s">
        <v>264</v>
      </c>
      <c r="CP1031" t="s">
        <v>265</v>
      </c>
      <c r="CQ1031" t="s">
        <v>518</v>
      </c>
      <c r="DB1031">
        <v>4</v>
      </c>
      <c r="DG1031" t="s">
        <v>267</v>
      </c>
      <c r="DI1031">
        <v>96</v>
      </c>
      <c r="DN1031" t="s">
        <v>268</v>
      </c>
      <c r="DP1031" t="s">
        <v>2260</v>
      </c>
      <c r="DS1031">
        <v>1010</v>
      </c>
      <c r="DT1031" t="s">
        <v>1176</v>
      </c>
      <c r="EW1031" t="s">
        <v>293</v>
      </c>
      <c r="FK1031" t="s">
        <v>2387</v>
      </c>
      <c r="FM1031">
        <v>35</v>
      </c>
      <c r="FR1031" t="s">
        <v>295</v>
      </c>
      <c r="GG1031" t="s">
        <v>288</v>
      </c>
      <c r="GH1031">
        <v>90</v>
      </c>
      <c r="GM1031" t="s">
        <v>900</v>
      </c>
      <c r="GO1031">
        <v>8</v>
      </c>
      <c r="GU1031">
        <v>20</v>
      </c>
      <c r="GZ1031" t="s">
        <v>296</v>
      </c>
      <c r="HH1031" t="s">
        <v>272</v>
      </c>
      <c r="ID1031" t="s">
        <v>2388</v>
      </c>
      <c r="IE1031" t="s">
        <v>1179</v>
      </c>
      <c r="IF1031">
        <v>4973</v>
      </c>
      <c r="IG1031" t="s">
        <v>1180</v>
      </c>
      <c r="IH1031" t="s">
        <v>1181</v>
      </c>
      <c r="II1031">
        <v>1982</v>
      </c>
      <c r="IJ1031" t="s">
        <v>1182</v>
      </c>
    </row>
    <row r="1032" spans="1:244" x14ac:dyDescent="0.45">
      <c r="A1032">
        <v>1151165</v>
      </c>
      <c r="B1032">
        <v>104872</v>
      </c>
      <c r="C1032">
        <v>7733020</v>
      </c>
      <c r="D1032" t="s">
        <v>2214</v>
      </c>
      <c r="F1032" t="s">
        <v>245</v>
      </c>
      <c r="G1032" t="s">
        <v>246</v>
      </c>
      <c r="N1032" t="s">
        <v>247</v>
      </c>
      <c r="O1032" t="s">
        <v>248</v>
      </c>
      <c r="P1032" t="s">
        <v>249</v>
      </c>
      <c r="Q1032" t="s">
        <v>250</v>
      </c>
      <c r="R1032" t="s">
        <v>251</v>
      </c>
      <c r="T1032" t="s">
        <v>252</v>
      </c>
      <c r="U1032" t="s">
        <v>253</v>
      </c>
      <c r="V1032" t="s">
        <v>254</v>
      </c>
      <c r="W1032" t="s">
        <v>255</v>
      </c>
      <c r="X1032" t="s">
        <v>256</v>
      </c>
      <c r="Z1032" t="s">
        <v>1057</v>
      </c>
      <c r="AL1032" t="s">
        <v>1777</v>
      </c>
      <c r="AM1032" t="s">
        <v>317</v>
      </c>
      <c r="AN1032" t="s">
        <v>259</v>
      </c>
      <c r="AO1032" t="s">
        <v>260</v>
      </c>
      <c r="AQ1032" t="s">
        <v>261</v>
      </c>
      <c r="AS1032">
        <v>741300</v>
      </c>
      <c r="AX1032" t="s">
        <v>262</v>
      </c>
      <c r="BO1032" t="s">
        <v>261</v>
      </c>
      <c r="BQ1032">
        <v>741.3</v>
      </c>
      <c r="BV1032" t="s">
        <v>263</v>
      </c>
      <c r="CM1032" t="s">
        <v>264</v>
      </c>
      <c r="CN1032" t="s">
        <v>264</v>
      </c>
      <c r="CP1032" t="s">
        <v>265</v>
      </c>
      <c r="DB1032">
        <v>1</v>
      </c>
      <c r="DG1032" t="s">
        <v>267</v>
      </c>
      <c r="DI1032">
        <v>24</v>
      </c>
      <c r="DN1032" t="s">
        <v>268</v>
      </c>
      <c r="DR1032">
        <v>6761</v>
      </c>
      <c r="DS1032">
        <v>2461</v>
      </c>
      <c r="EW1032" t="s">
        <v>293</v>
      </c>
      <c r="HH1032" t="s">
        <v>272</v>
      </c>
      <c r="IE1032" t="s">
        <v>1778</v>
      </c>
      <c r="IF1032">
        <v>12895</v>
      </c>
      <c r="IG1032" t="s">
        <v>1779</v>
      </c>
      <c r="IH1032" t="s">
        <v>1780</v>
      </c>
      <c r="II1032">
        <v>1986</v>
      </c>
      <c r="IJ1032" t="s">
        <v>1781</v>
      </c>
    </row>
    <row r="1033" spans="1:244" x14ac:dyDescent="0.45">
      <c r="A1033">
        <v>1162973</v>
      </c>
      <c r="B1033">
        <v>183393</v>
      </c>
      <c r="C1033">
        <v>7733020</v>
      </c>
      <c r="D1033" t="s">
        <v>2214</v>
      </c>
      <c r="F1033" t="s">
        <v>272</v>
      </c>
      <c r="G1033" t="s">
        <v>246</v>
      </c>
      <c r="N1033" t="s">
        <v>789</v>
      </c>
      <c r="O1033" t="s">
        <v>790</v>
      </c>
      <c r="P1033" t="s">
        <v>249</v>
      </c>
      <c r="Q1033" t="s">
        <v>250</v>
      </c>
      <c r="R1033" t="s">
        <v>251</v>
      </c>
      <c r="T1033" t="s">
        <v>252</v>
      </c>
      <c r="U1033" t="s">
        <v>253</v>
      </c>
      <c r="V1033" t="s">
        <v>418</v>
      </c>
      <c r="W1033" t="s">
        <v>791</v>
      </c>
      <c r="X1033" t="s">
        <v>792</v>
      </c>
      <c r="Z1033" t="s">
        <v>649</v>
      </c>
      <c r="AL1033" t="s">
        <v>2353</v>
      </c>
      <c r="AM1033" t="s">
        <v>258</v>
      </c>
      <c r="AN1033" t="s">
        <v>259</v>
      </c>
      <c r="AO1033" t="s">
        <v>260</v>
      </c>
      <c r="AQ1033" t="s">
        <v>261</v>
      </c>
      <c r="AS1033">
        <v>7850</v>
      </c>
      <c r="AU1033">
        <v>4398</v>
      </c>
      <c r="AW1033">
        <v>14012</v>
      </c>
      <c r="AX1033" t="s">
        <v>262</v>
      </c>
      <c r="BO1033" t="s">
        <v>261</v>
      </c>
      <c r="BQ1033">
        <v>7.85</v>
      </c>
      <c r="BS1033">
        <v>4.3979999999999997</v>
      </c>
      <c r="BU1033">
        <v>14.012</v>
      </c>
      <c r="BV1033" t="s">
        <v>263</v>
      </c>
      <c r="CM1033" t="s">
        <v>264</v>
      </c>
      <c r="CN1033" t="s">
        <v>264</v>
      </c>
      <c r="CP1033" t="s">
        <v>265</v>
      </c>
      <c r="CQ1033" t="s">
        <v>518</v>
      </c>
      <c r="DB1033">
        <v>1</v>
      </c>
      <c r="DG1033" t="s">
        <v>267</v>
      </c>
      <c r="DI1033">
        <v>24</v>
      </c>
      <c r="DN1033" t="s">
        <v>268</v>
      </c>
      <c r="DR1033">
        <v>161924</v>
      </c>
      <c r="DS1033">
        <v>3045</v>
      </c>
      <c r="EW1033" t="s">
        <v>272</v>
      </c>
      <c r="FO1033">
        <v>25</v>
      </c>
      <c r="FQ1033">
        <v>26</v>
      </c>
      <c r="FR1033" t="s">
        <v>295</v>
      </c>
      <c r="FT1033">
        <v>5128</v>
      </c>
      <c r="FY1033" t="s">
        <v>572</v>
      </c>
      <c r="GA1033">
        <v>115</v>
      </c>
      <c r="GF1033" t="s">
        <v>572</v>
      </c>
      <c r="GJ1033">
        <v>5.3</v>
      </c>
      <c r="GL1033">
        <v>6.3</v>
      </c>
      <c r="GM1033" t="s">
        <v>356</v>
      </c>
      <c r="GQ1033">
        <v>7.1</v>
      </c>
      <c r="GS1033">
        <v>8.1999999999999993</v>
      </c>
      <c r="GU1033">
        <v>32</v>
      </c>
      <c r="GZ1033" t="s">
        <v>296</v>
      </c>
      <c r="HH1033" t="s">
        <v>272</v>
      </c>
      <c r="IE1033" t="s">
        <v>2216</v>
      </c>
      <c r="IF1033">
        <v>14402</v>
      </c>
      <c r="IG1033" t="s">
        <v>2217</v>
      </c>
      <c r="IH1033" t="s">
        <v>2218</v>
      </c>
      <c r="II1033">
        <v>1993</v>
      </c>
      <c r="IJ1033" t="s">
        <v>2219</v>
      </c>
    </row>
    <row r="1034" spans="1:244" x14ac:dyDescent="0.45">
      <c r="A1034">
        <v>1209051</v>
      </c>
      <c r="B1034">
        <v>199114</v>
      </c>
      <c r="C1034">
        <v>7733020</v>
      </c>
      <c r="D1034" t="s">
        <v>2214</v>
      </c>
      <c r="F1034" t="s">
        <v>245</v>
      </c>
      <c r="G1034" t="s">
        <v>246</v>
      </c>
      <c r="N1034" t="s">
        <v>1401</v>
      </c>
      <c r="O1034" t="s">
        <v>1299</v>
      </c>
      <c r="P1034" t="s">
        <v>249</v>
      </c>
      <c r="Q1034" t="s">
        <v>250</v>
      </c>
      <c r="R1034" t="s">
        <v>251</v>
      </c>
      <c r="T1034" t="s">
        <v>252</v>
      </c>
      <c r="U1034" t="s">
        <v>371</v>
      </c>
      <c r="V1034" t="s">
        <v>372</v>
      </c>
      <c r="W1034" t="s">
        <v>1402</v>
      </c>
      <c r="X1034" t="s">
        <v>1403</v>
      </c>
      <c r="Z1034" t="s">
        <v>649</v>
      </c>
      <c r="AB1034">
        <v>3</v>
      </c>
      <c r="AG1034" t="s">
        <v>267</v>
      </c>
      <c r="AM1034" t="s">
        <v>258</v>
      </c>
      <c r="AN1034" t="s">
        <v>259</v>
      </c>
      <c r="AO1034" t="s">
        <v>260</v>
      </c>
      <c r="AQ1034" t="s">
        <v>261</v>
      </c>
      <c r="AS1034">
        <v>73.2</v>
      </c>
      <c r="AX1034" t="s">
        <v>262</v>
      </c>
      <c r="BO1034" t="s">
        <v>261</v>
      </c>
      <c r="BQ1034">
        <v>7.3200000000000001E-2</v>
      </c>
      <c r="BV1034" t="s">
        <v>263</v>
      </c>
      <c r="CM1034" t="s">
        <v>264</v>
      </c>
      <c r="CN1034" t="s">
        <v>264</v>
      </c>
      <c r="CP1034" t="s">
        <v>265</v>
      </c>
      <c r="CQ1034" t="s">
        <v>518</v>
      </c>
      <c r="DB1034">
        <v>4</v>
      </c>
      <c r="DG1034" t="s">
        <v>267</v>
      </c>
      <c r="DI1034">
        <v>96</v>
      </c>
      <c r="DN1034" t="s">
        <v>268</v>
      </c>
      <c r="DR1034">
        <v>236552</v>
      </c>
      <c r="DS1034">
        <v>59434</v>
      </c>
      <c r="EW1034" t="s">
        <v>293</v>
      </c>
      <c r="FA1034" t="s">
        <v>2259</v>
      </c>
      <c r="FO1034">
        <v>13</v>
      </c>
      <c r="FQ1034">
        <v>16</v>
      </c>
      <c r="FR1034" t="s">
        <v>295</v>
      </c>
      <c r="GJ1034">
        <v>7.03</v>
      </c>
      <c r="GL1034">
        <v>7.85</v>
      </c>
      <c r="GM1034" t="s">
        <v>356</v>
      </c>
      <c r="GQ1034">
        <v>7.75</v>
      </c>
      <c r="GS1034">
        <v>7.9</v>
      </c>
      <c r="GW1034">
        <v>34</v>
      </c>
      <c r="GY1034">
        <v>36</v>
      </c>
      <c r="GZ1034" t="s">
        <v>296</v>
      </c>
      <c r="HH1034" t="s">
        <v>272</v>
      </c>
      <c r="IE1034" t="s">
        <v>1497</v>
      </c>
      <c r="IF1034">
        <v>19130</v>
      </c>
      <c r="IG1034" t="s">
        <v>1498</v>
      </c>
      <c r="IH1034" t="s">
        <v>1499</v>
      </c>
      <c r="II1034">
        <v>1989</v>
      </c>
      <c r="IJ1034" t="s">
        <v>1500</v>
      </c>
    </row>
    <row r="1035" spans="1:244" x14ac:dyDescent="0.45">
      <c r="A1035">
        <v>1246415</v>
      </c>
      <c r="B1035">
        <v>239765</v>
      </c>
      <c r="C1035">
        <v>7733020</v>
      </c>
      <c r="D1035" t="s">
        <v>2214</v>
      </c>
      <c r="F1035" t="s">
        <v>327</v>
      </c>
      <c r="G1035" t="s">
        <v>246</v>
      </c>
      <c r="N1035" t="s">
        <v>1242</v>
      </c>
      <c r="O1035" t="s">
        <v>1243</v>
      </c>
      <c r="P1035" t="s">
        <v>249</v>
      </c>
      <c r="Q1035" t="s">
        <v>250</v>
      </c>
      <c r="R1035" t="s">
        <v>251</v>
      </c>
      <c r="T1035" t="s">
        <v>252</v>
      </c>
      <c r="U1035" t="s">
        <v>1244</v>
      </c>
      <c r="V1035" t="s">
        <v>1245</v>
      </c>
      <c r="W1035" t="s">
        <v>1246</v>
      </c>
      <c r="X1035" t="s">
        <v>1247</v>
      </c>
      <c r="Z1035" t="s">
        <v>315</v>
      </c>
      <c r="AJ1035" t="s">
        <v>285</v>
      </c>
      <c r="AM1035" t="s">
        <v>258</v>
      </c>
      <c r="AN1035" t="s">
        <v>259</v>
      </c>
      <c r="AO1035" t="s">
        <v>260</v>
      </c>
      <c r="AP1035">
        <v>9</v>
      </c>
      <c r="AQ1035" t="s">
        <v>504</v>
      </c>
      <c r="AS1035">
        <v>3.1440000000000001</v>
      </c>
      <c r="AX1035" t="s">
        <v>356</v>
      </c>
      <c r="BO1035" t="s">
        <v>504</v>
      </c>
      <c r="BQ1035">
        <v>3.1440000000000001</v>
      </c>
      <c r="BV1035" t="s">
        <v>263</v>
      </c>
      <c r="CM1035" t="s">
        <v>264</v>
      </c>
      <c r="CN1035" t="s">
        <v>264</v>
      </c>
      <c r="CP1035" t="s">
        <v>265</v>
      </c>
      <c r="CQ1035" t="s">
        <v>518</v>
      </c>
      <c r="DB1035">
        <v>3.5</v>
      </c>
      <c r="DG1035" t="s">
        <v>267</v>
      </c>
      <c r="DI1035">
        <v>84</v>
      </c>
      <c r="DN1035" t="s">
        <v>268</v>
      </c>
      <c r="DR1035">
        <v>82763</v>
      </c>
      <c r="DS1035">
        <v>1070</v>
      </c>
      <c r="EW1035" t="s">
        <v>293</v>
      </c>
      <c r="FA1035" t="s">
        <v>1381</v>
      </c>
      <c r="FK1035" t="s">
        <v>2389</v>
      </c>
      <c r="HH1035" t="s">
        <v>272</v>
      </c>
      <c r="ID1035" t="s">
        <v>2390</v>
      </c>
      <c r="IE1035" t="s">
        <v>2328</v>
      </c>
      <c r="IF1035">
        <v>84114</v>
      </c>
      <c r="IG1035" t="s">
        <v>2329</v>
      </c>
      <c r="IH1035" t="s">
        <v>2330</v>
      </c>
      <c r="II1035">
        <v>1997</v>
      </c>
      <c r="IJ1035" t="s">
        <v>2331</v>
      </c>
    </row>
    <row r="1036" spans="1:244" x14ac:dyDescent="0.45">
      <c r="A1036">
        <v>1275769</v>
      </c>
      <c r="B1036">
        <v>727096</v>
      </c>
      <c r="C1036">
        <v>7733020</v>
      </c>
      <c r="D1036" t="s">
        <v>2214</v>
      </c>
      <c r="F1036" t="s">
        <v>245</v>
      </c>
      <c r="G1036" t="s">
        <v>246</v>
      </c>
      <c r="N1036" t="s">
        <v>2391</v>
      </c>
      <c r="O1036" t="s">
        <v>2392</v>
      </c>
      <c r="P1036" t="s">
        <v>249</v>
      </c>
      <c r="Q1036" t="s">
        <v>250</v>
      </c>
      <c r="R1036" t="s">
        <v>251</v>
      </c>
      <c r="T1036" t="s">
        <v>252</v>
      </c>
      <c r="U1036" t="s">
        <v>499</v>
      </c>
      <c r="V1036" t="s">
        <v>2393</v>
      </c>
      <c r="W1036" t="s">
        <v>2394</v>
      </c>
      <c r="X1036" t="s">
        <v>2395</v>
      </c>
      <c r="AM1036" t="s">
        <v>317</v>
      </c>
      <c r="AN1036" t="s">
        <v>259</v>
      </c>
      <c r="AO1036" t="s">
        <v>260</v>
      </c>
      <c r="AP1036">
        <v>6</v>
      </c>
      <c r="AQ1036" t="s">
        <v>261</v>
      </c>
      <c r="AS1036">
        <v>0.79</v>
      </c>
      <c r="AU1036">
        <v>0.56000000000000005</v>
      </c>
      <c r="AW1036">
        <v>1.1200000000000001</v>
      </c>
      <c r="AX1036" t="s">
        <v>356</v>
      </c>
      <c r="BO1036" t="s">
        <v>261</v>
      </c>
      <c r="BQ1036">
        <v>0.79</v>
      </c>
      <c r="BS1036">
        <v>0.56000000000000005</v>
      </c>
      <c r="BU1036">
        <v>1.1200000000000001</v>
      </c>
      <c r="BV1036" t="s">
        <v>263</v>
      </c>
      <c r="CM1036" t="s">
        <v>264</v>
      </c>
      <c r="CN1036" t="s">
        <v>264</v>
      </c>
      <c r="CP1036" t="s">
        <v>265</v>
      </c>
      <c r="CQ1036" t="s">
        <v>518</v>
      </c>
      <c r="DB1036">
        <v>2</v>
      </c>
      <c r="DG1036" t="s">
        <v>267</v>
      </c>
      <c r="DI1036">
        <v>48</v>
      </c>
      <c r="DN1036" t="s">
        <v>268</v>
      </c>
      <c r="DP1036" t="s">
        <v>2396</v>
      </c>
      <c r="DS1036">
        <v>18751</v>
      </c>
      <c r="DT1036" t="s">
        <v>2397</v>
      </c>
      <c r="EW1036" t="s">
        <v>293</v>
      </c>
      <c r="FK1036" t="s">
        <v>2398</v>
      </c>
      <c r="FM1036">
        <v>25</v>
      </c>
      <c r="FR1036" t="s">
        <v>295</v>
      </c>
      <c r="GU1036">
        <v>34</v>
      </c>
      <c r="GZ1036" t="s">
        <v>296</v>
      </c>
      <c r="HH1036" t="s">
        <v>272</v>
      </c>
      <c r="ID1036" t="s">
        <v>2399</v>
      </c>
      <c r="IE1036" t="s">
        <v>2400</v>
      </c>
      <c r="IF1036">
        <v>102148</v>
      </c>
      <c r="IG1036" t="s">
        <v>2401</v>
      </c>
      <c r="IH1036" t="s">
        <v>2402</v>
      </c>
      <c r="II1036">
        <v>2007</v>
      </c>
      <c r="IJ1036" t="s">
        <v>2403</v>
      </c>
    </row>
    <row r="1037" spans="1:244" x14ac:dyDescent="0.45">
      <c r="A1037">
        <v>1096426</v>
      </c>
      <c r="B1037">
        <v>121122</v>
      </c>
      <c r="C1037">
        <v>7733020</v>
      </c>
      <c r="D1037" t="s">
        <v>2214</v>
      </c>
      <c r="F1037" t="s">
        <v>245</v>
      </c>
      <c r="G1037" t="s">
        <v>246</v>
      </c>
      <c r="N1037" t="s">
        <v>2220</v>
      </c>
      <c r="O1037" t="s">
        <v>631</v>
      </c>
      <c r="P1037" t="s">
        <v>249</v>
      </c>
      <c r="Q1037" t="s">
        <v>250</v>
      </c>
      <c r="R1037" t="s">
        <v>251</v>
      </c>
      <c r="T1037" t="s">
        <v>389</v>
      </c>
      <c r="U1037" t="s">
        <v>632</v>
      </c>
      <c r="V1037" t="s">
        <v>830</v>
      </c>
      <c r="W1037" t="s">
        <v>2221</v>
      </c>
      <c r="X1037" t="s">
        <v>2222</v>
      </c>
      <c r="Z1037" t="s">
        <v>315</v>
      </c>
      <c r="AL1037" t="s">
        <v>2223</v>
      </c>
      <c r="AM1037" t="s">
        <v>317</v>
      </c>
      <c r="AN1037" t="s">
        <v>259</v>
      </c>
      <c r="AO1037" t="s">
        <v>260</v>
      </c>
      <c r="AQ1037" t="s">
        <v>2247</v>
      </c>
      <c r="AS1037">
        <v>40</v>
      </c>
      <c r="AU1037">
        <v>20</v>
      </c>
      <c r="AW1037">
        <v>80</v>
      </c>
      <c r="AX1037" t="s">
        <v>262</v>
      </c>
      <c r="BO1037" t="s">
        <v>2247</v>
      </c>
      <c r="BQ1037">
        <v>0.04</v>
      </c>
      <c r="BS1037">
        <v>0.02</v>
      </c>
      <c r="BU1037">
        <v>0.08</v>
      </c>
      <c r="BV1037" t="s">
        <v>263</v>
      </c>
      <c r="CM1037" t="s">
        <v>264</v>
      </c>
      <c r="CN1037" t="s">
        <v>264</v>
      </c>
      <c r="CP1037" t="s">
        <v>265</v>
      </c>
      <c r="CQ1037" t="s">
        <v>518</v>
      </c>
      <c r="DB1037">
        <v>2</v>
      </c>
      <c r="DG1037" t="s">
        <v>267</v>
      </c>
      <c r="DI1037">
        <v>48</v>
      </c>
      <c r="DN1037" t="s">
        <v>268</v>
      </c>
      <c r="DR1037">
        <v>399051</v>
      </c>
      <c r="DS1037">
        <v>4599</v>
      </c>
      <c r="DT1037" t="s">
        <v>2224</v>
      </c>
      <c r="EW1037" t="s">
        <v>333</v>
      </c>
      <c r="FM1037">
        <v>25</v>
      </c>
      <c r="FR1037" t="s">
        <v>295</v>
      </c>
      <c r="GU1037">
        <v>33.5</v>
      </c>
      <c r="GZ1037" t="s">
        <v>296</v>
      </c>
      <c r="HH1037" t="s">
        <v>272</v>
      </c>
      <c r="IE1037" t="s">
        <v>2225</v>
      </c>
      <c r="IF1037">
        <v>6825</v>
      </c>
      <c r="IG1037" t="s">
        <v>2226</v>
      </c>
      <c r="IH1037" t="s">
        <v>2227</v>
      </c>
      <c r="II1037">
        <v>1993</v>
      </c>
      <c r="IJ1037" t="s">
        <v>2228</v>
      </c>
    </row>
    <row r="1038" spans="1:244" x14ac:dyDescent="0.45">
      <c r="A1038">
        <v>1153354</v>
      </c>
      <c r="B1038">
        <v>160869</v>
      </c>
      <c r="C1038">
        <v>7733020</v>
      </c>
      <c r="D1038" t="s">
        <v>2214</v>
      </c>
      <c r="F1038" t="s">
        <v>245</v>
      </c>
      <c r="G1038" t="s">
        <v>246</v>
      </c>
      <c r="N1038" t="s">
        <v>1672</v>
      </c>
      <c r="O1038" t="s">
        <v>1673</v>
      </c>
      <c r="P1038" t="s">
        <v>249</v>
      </c>
      <c r="Q1038" t="s">
        <v>250</v>
      </c>
      <c r="R1038" t="s">
        <v>251</v>
      </c>
      <c r="T1038" t="s">
        <v>252</v>
      </c>
      <c r="U1038" t="s">
        <v>253</v>
      </c>
      <c r="V1038" t="s">
        <v>1674</v>
      </c>
      <c r="W1038" t="s">
        <v>1675</v>
      </c>
      <c r="X1038" t="s">
        <v>1676</v>
      </c>
      <c r="Z1038" t="s">
        <v>1677</v>
      </c>
      <c r="AL1038" t="s">
        <v>1678</v>
      </c>
      <c r="AM1038" t="s">
        <v>287</v>
      </c>
      <c r="AN1038" t="s">
        <v>259</v>
      </c>
      <c r="AO1038" t="s">
        <v>260</v>
      </c>
      <c r="AQ1038" t="s">
        <v>261</v>
      </c>
      <c r="AS1038">
        <v>139400</v>
      </c>
      <c r="AX1038" t="s">
        <v>262</v>
      </c>
      <c r="BO1038" t="s">
        <v>261</v>
      </c>
      <c r="BQ1038">
        <v>139.4</v>
      </c>
      <c r="BV1038" t="s">
        <v>263</v>
      </c>
      <c r="CM1038" t="s">
        <v>264</v>
      </c>
      <c r="CN1038" t="s">
        <v>264</v>
      </c>
      <c r="CP1038" t="s">
        <v>265</v>
      </c>
      <c r="DB1038">
        <v>4</v>
      </c>
      <c r="DG1038" t="s">
        <v>267</v>
      </c>
      <c r="DI1038">
        <v>96</v>
      </c>
      <c r="DN1038" t="s">
        <v>268</v>
      </c>
      <c r="DR1038">
        <v>1460405</v>
      </c>
      <c r="DS1038">
        <v>5936</v>
      </c>
      <c r="EW1038" t="s">
        <v>293</v>
      </c>
      <c r="FK1038" t="s">
        <v>1679</v>
      </c>
      <c r="HH1038" t="s">
        <v>272</v>
      </c>
      <c r="ID1038" t="s">
        <v>1680</v>
      </c>
      <c r="IE1038" t="s">
        <v>1681</v>
      </c>
      <c r="IF1038">
        <v>13233</v>
      </c>
      <c r="IG1038" t="s">
        <v>1682</v>
      </c>
      <c r="IH1038" t="s">
        <v>1683</v>
      </c>
      <c r="II1038">
        <v>1988</v>
      </c>
      <c r="IJ1038" t="s">
        <v>1684</v>
      </c>
    </row>
    <row r="1039" spans="1:244" x14ac:dyDescent="0.45">
      <c r="A1039">
        <v>1271217</v>
      </c>
      <c r="B1039">
        <v>722515</v>
      </c>
      <c r="C1039">
        <v>7733020</v>
      </c>
      <c r="D1039" t="s">
        <v>2214</v>
      </c>
      <c r="E1039" t="s">
        <v>415</v>
      </c>
      <c r="F1039" t="s">
        <v>245</v>
      </c>
      <c r="G1039" t="s">
        <v>246</v>
      </c>
      <c r="N1039" t="s">
        <v>1782</v>
      </c>
      <c r="O1039" t="s">
        <v>1783</v>
      </c>
      <c r="P1039" t="s">
        <v>249</v>
      </c>
      <c r="Q1039" t="s">
        <v>250</v>
      </c>
      <c r="R1039" t="s">
        <v>251</v>
      </c>
      <c r="T1039" t="s">
        <v>252</v>
      </c>
      <c r="U1039" t="s">
        <v>253</v>
      </c>
      <c r="V1039" t="s">
        <v>1735</v>
      </c>
      <c r="W1039" t="s">
        <v>1784</v>
      </c>
      <c r="X1039" t="s">
        <v>1785</v>
      </c>
      <c r="AL1039" t="s">
        <v>1809</v>
      </c>
      <c r="AM1039" t="s">
        <v>258</v>
      </c>
      <c r="AN1039" t="s">
        <v>259</v>
      </c>
      <c r="AO1039" t="s">
        <v>260</v>
      </c>
      <c r="AP1039">
        <v>7</v>
      </c>
      <c r="AQ1039" t="s">
        <v>261</v>
      </c>
      <c r="AS1039">
        <v>1069.08</v>
      </c>
      <c r="AU1039">
        <v>846.69</v>
      </c>
      <c r="AW1039">
        <v>1349.82</v>
      </c>
      <c r="AX1039" t="s">
        <v>422</v>
      </c>
      <c r="BO1039" t="s">
        <v>261</v>
      </c>
      <c r="BQ1039">
        <v>1069.08</v>
      </c>
      <c r="BS1039">
        <v>846.69</v>
      </c>
      <c r="BU1039">
        <v>1349.82</v>
      </c>
      <c r="BV1039" t="s">
        <v>263</v>
      </c>
      <c r="CM1039" t="s">
        <v>264</v>
      </c>
      <c r="CN1039" t="s">
        <v>264</v>
      </c>
      <c r="CP1039" t="s">
        <v>265</v>
      </c>
      <c r="CQ1039" t="s">
        <v>518</v>
      </c>
      <c r="DB1039">
        <v>2</v>
      </c>
      <c r="DG1039" t="s">
        <v>267</v>
      </c>
      <c r="DI1039">
        <v>48</v>
      </c>
      <c r="DN1039" t="s">
        <v>268</v>
      </c>
      <c r="DP1039" t="s">
        <v>2404</v>
      </c>
      <c r="DS1039">
        <v>2838</v>
      </c>
      <c r="EW1039" t="s">
        <v>293</v>
      </c>
      <c r="FK1039" t="s">
        <v>2405</v>
      </c>
      <c r="FM1039">
        <v>29</v>
      </c>
      <c r="FR1039" t="s">
        <v>295</v>
      </c>
      <c r="GO1039">
        <v>8</v>
      </c>
      <c r="GU1039">
        <v>15</v>
      </c>
      <c r="GZ1039" t="s">
        <v>296</v>
      </c>
      <c r="HH1039" t="s">
        <v>272</v>
      </c>
      <c r="ID1039" t="s">
        <v>2406</v>
      </c>
      <c r="IE1039" t="s">
        <v>1812</v>
      </c>
      <c r="IF1039">
        <v>16623</v>
      </c>
      <c r="IG1039" t="s">
        <v>1813</v>
      </c>
      <c r="IH1039" t="s">
        <v>1814</v>
      </c>
      <c r="II1039">
        <v>1987</v>
      </c>
      <c r="IJ1039" t="s">
        <v>1815</v>
      </c>
    </row>
    <row r="1040" spans="1:244" x14ac:dyDescent="0.45">
      <c r="A1040">
        <v>1271720</v>
      </c>
      <c r="B1040">
        <v>723018</v>
      </c>
      <c r="C1040">
        <v>7733020</v>
      </c>
      <c r="D1040" t="s">
        <v>2214</v>
      </c>
      <c r="F1040" t="s">
        <v>245</v>
      </c>
      <c r="G1040" t="s">
        <v>246</v>
      </c>
      <c r="N1040" t="s">
        <v>2315</v>
      </c>
      <c r="O1040" t="s">
        <v>2316</v>
      </c>
      <c r="P1040" t="s">
        <v>249</v>
      </c>
      <c r="Q1040" t="s">
        <v>250</v>
      </c>
      <c r="R1040" t="s">
        <v>251</v>
      </c>
      <c r="T1040" t="s">
        <v>252</v>
      </c>
      <c r="U1040" t="s">
        <v>253</v>
      </c>
      <c r="V1040" t="s">
        <v>418</v>
      </c>
      <c r="W1040" t="s">
        <v>946</v>
      </c>
      <c r="X1040" t="s">
        <v>2317</v>
      </c>
      <c r="Z1040" t="s">
        <v>284</v>
      </c>
      <c r="AL1040" t="s">
        <v>2318</v>
      </c>
      <c r="AM1040" t="s">
        <v>317</v>
      </c>
      <c r="AN1040" t="s">
        <v>259</v>
      </c>
      <c r="AO1040" t="s">
        <v>260</v>
      </c>
      <c r="AP1040">
        <v>8</v>
      </c>
      <c r="AQ1040" t="s">
        <v>261</v>
      </c>
      <c r="AS1040">
        <v>1.22</v>
      </c>
      <c r="AU1040">
        <v>0.82</v>
      </c>
      <c r="AW1040">
        <v>1.8</v>
      </c>
      <c r="AX1040" t="s">
        <v>356</v>
      </c>
      <c r="BO1040" t="s">
        <v>261</v>
      </c>
      <c r="BQ1040">
        <v>1.22</v>
      </c>
      <c r="BS1040">
        <v>0.82</v>
      </c>
      <c r="BU1040">
        <v>1.8</v>
      </c>
      <c r="BV1040" t="s">
        <v>263</v>
      </c>
      <c r="CM1040" t="s">
        <v>264</v>
      </c>
      <c r="CN1040" t="s">
        <v>264</v>
      </c>
      <c r="CP1040" t="s">
        <v>265</v>
      </c>
      <c r="CQ1040" t="s">
        <v>518</v>
      </c>
      <c r="DB1040">
        <v>2</v>
      </c>
      <c r="DG1040" t="s">
        <v>267</v>
      </c>
      <c r="DI1040">
        <v>48</v>
      </c>
      <c r="DN1040" t="s">
        <v>268</v>
      </c>
      <c r="DP1040" t="s">
        <v>2240</v>
      </c>
      <c r="DR1040">
        <v>122378</v>
      </c>
      <c r="DS1040">
        <v>18497</v>
      </c>
      <c r="DT1040" t="s">
        <v>2319</v>
      </c>
      <c r="EW1040" t="s">
        <v>293</v>
      </c>
      <c r="FK1040" t="s">
        <v>2320</v>
      </c>
      <c r="FM1040">
        <v>25</v>
      </c>
      <c r="FR1040" t="s">
        <v>295</v>
      </c>
      <c r="GJ1040">
        <v>6.2</v>
      </c>
      <c r="GL1040">
        <v>6.25</v>
      </c>
      <c r="GM1040" t="s">
        <v>356</v>
      </c>
      <c r="GQ1040">
        <v>8.1999999999999993</v>
      </c>
      <c r="GS1040">
        <v>8.2200000000000006</v>
      </c>
      <c r="GU1040">
        <v>36</v>
      </c>
      <c r="GZ1040" t="s">
        <v>296</v>
      </c>
      <c r="HH1040" t="s">
        <v>272</v>
      </c>
      <c r="ID1040" t="s">
        <v>2321</v>
      </c>
      <c r="IE1040" t="s">
        <v>2322</v>
      </c>
      <c r="IF1040">
        <v>101373</v>
      </c>
      <c r="IG1040" t="s">
        <v>2323</v>
      </c>
      <c r="IH1040" t="s">
        <v>2324</v>
      </c>
      <c r="II1040">
        <v>2007</v>
      </c>
      <c r="IJ1040" t="s">
        <v>2325</v>
      </c>
    </row>
    <row r="1041" spans="1:244" x14ac:dyDescent="0.45">
      <c r="A1041">
        <v>1041009</v>
      </c>
      <c r="B1041">
        <v>25058</v>
      </c>
      <c r="C1041">
        <v>7733020</v>
      </c>
      <c r="D1041" t="s">
        <v>2214</v>
      </c>
      <c r="F1041" t="s">
        <v>245</v>
      </c>
      <c r="G1041" t="s">
        <v>246</v>
      </c>
      <c r="N1041" t="s">
        <v>1837</v>
      </c>
      <c r="O1041" t="s">
        <v>1783</v>
      </c>
      <c r="P1041" t="s">
        <v>249</v>
      </c>
      <c r="Q1041" t="s">
        <v>250</v>
      </c>
      <c r="R1041" t="s">
        <v>251</v>
      </c>
      <c r="T1041" t="s">
        <v>252</v>
      </c>
      <c r="U1041" t="s">
        <v>253</v>
      </c>
      <c r="V1041" t="s">
        <v>1735</v>
      </c>
      <c r="W1041" t="s">
        <v>1784</v>
      </c>
      <c r="X1041" t="s">
        <v>1838</v>
      </c>
      <c r="Z1041" t="s">
        <v>1677</v>
      </c>
      <c r="AL1041" t="s">
        <v>1786</v>
      </c>
      <c r="AM1041" t="s">
        <v>258</v>
      </c>
      <c r="AN1041" t="s">
        <v>259</v>
      </c>
      <c r="AO1041" t="s">
        <v>260</v>
      </c>
      <c r="AQ1041" t="s">
        <v>261</v>
      </c>
      <c r="AS1041">
        <v>39050</v>
      </c>
      <c r="AX1041" t="s">
        <v>262</v>
      </c>
      <c r="BO1041" t="s">
        <v>261</v>
      </c>
      <c r="BQ1041">
        <v>39.049999999999997</v>
      </c>
      <c r="BV1041" t="s">
        <v>263</v>
      </c>
      <c r="CM1041" t="s">
        <v>264</v>
      </c>
      <c r="CN1041" t="s">
        <v>264</v>
      </c>
      <c r="CP1041" t="s">
        <v>265</v>
      </c>
      <c r="CQ1041" t="s">
        <v>518</v>
      </c>
      <c r="DB1041">
        <v>4</v>
      </c>
      <c r="DG1041" t="s">
        <v>267</v>
      </c>
      <c r="DI1041">
        <v>96</v>
      </c>
      <c r="DN1041" t="s">
        <v>268</v>
      </c>
      <c r="DP1041" t="s">
        <v>977</v>
      </c>
      <c r="DS1041">
        <v>2899</v>
      </c>
      <c r="DT1041" t="s">
        <v>1787</v>
      </c>
      <c r="EW1041" t="s">
        <v>333</v>
      </c>
      <c r="FM1041">
        <v>29</v>
      </c>
      <c r="FR1041" t="s">
        <v>295</v>
      </c>
      <c r="GU1041">
        <v>25</v>
      </c>
      <c r="GZ1041" t="s">
        <v>296</v>
      </c>
      <c r="HH1041" t="s">
        <v>272</v>
      </c>
      <c r="IE1041" t="s">
        <v>1788</v>
      </c>
      <c r="IF1041">
        <v>2602</v>
      </c>
      <c r="IG1041" t="s">
        <v>1789</v>
      </c>
      <c r="IH1041" t="s">
        <v>1790</v>
      </c>
      <c r="II1041">
        <v>1987</v>
      </c>
      <c r="IJ1041" t="s">
        <v>1791</v>
      </c>
    </row>
    <row r="1042" spans="1:244" x14ac:dyDescent="0.45">
      <c r="A1042">
        <v>1271724</v>
      </c>
      <c r="B1042">
        <v>723022</v>
      </c>
      <c r="C1042">
        <v>7733020</v>
      </c>
      <c r="D1042" t="s">
        <v>2214</v>
      </c>
      <c r="F1042" t="s">
        <v>245</v>
      </c>
      <c r="G1042" t="s">
        <v>246</v>
      </c>
      <c r="N1042" t="s">
        <v>2315</v>
      </c>
      <c r="O1042" t="s">
        <v>2316</v>
      </c>
      <c r="P1042" t="s">
        <v>249</v>
      </c>
      <c r="Q1042" t="s">
        <v>250</v>
      </c>
      <c r="R1042" t="s">
        <v>251</v>
      </c>
      <c r="T1042" t="s">
        <v>252</v>
      </c>
      <c r="U1042" t="s">
        <v>253</v>
      </c>
      <c r="V1042" t="s">
        <v>418</v>
      </c>
      <c r="W1042" t="s">
        <v>946</v>
      </c>
      <c r="X1042" t="s">
        <v>2317</v>
      </c>
      <c r="Z1042" t="s">
        <v>284</v>
      </c>
      <c r="AL1042" t="s">
        <v>2318</v>
      </c>
      <c r="AM1042" t="s">
        <v>317</v>
      </c>
      <c r="AN1042" t="s">
        <v>259</v>
      </c>
      <c r="AO1042" t="s">
        <v>260</v>
      </c>
      <c r="AP1042">
        <v>8</v>
      </c>
      <c r="AQ1042" t="s">
        <v>261</v>
      </c>
      <c r="AS1042">
        <v>0.31</v>
      </c>
      <c r="AU1042">
        <v>0.12</v>
      </c>
      <c r="AW1042">
        <v>0.85</v>
      </c>
      <c r="AX1042" t="s">
        <v>356</v>
      </c>
      <c r="BO1042" t="s">
        <v>261</v>
      </c>
      <c r="BQ1042">
        <v>0.31</v>
      </c>
      <c r="BS1042">
        <v>0.12</v>
      </c>
      <c r="BU1042">
        <v>0.85</v>
      </c>
      <c r="BV1042" t="s">
        <v>263</v>
      </c>
      <c r="CM1042" t="s">
        <v>264</v>
      </c>
      <c r="CN1042" t="s">
        <v>264</v>
      </c>
      <c r="CP1042" t="s">
        <v>265</v>
      </c>
      <c r="CQ1042" t="s">
        <v>518</v>
      </c>
      <c r="DB1042">
        <v>4</v>
      </c>
      <c r="DG1042" t="s">
        <v>267</v>
      </c>
      <c r="DI1042">
        <v>96</v>
      </c>
      <c r="DN1042" t="s">
        <v>268</v>
      </c>
      <c r="DP1042" t="s">
        <v>2240</v>
      </c>
      <c r="DR1042">
        <v>122378</v>
      </c>
      <c r="DS1042">
        <v>18497</v>
      </c>
      <c r="DT1042" t="s">
        <v>2319</v>
      </c>
      <c r="EW1042" t="s">
        <v>293</v>
      </c>
      <c r="FK1042" t="s">
        <v>2320</v>
      </c>
      <c r="FM1042">
        <v>25</v>
      </c>
      <c r="FR1042" t="s">
        <v>295</v>
      </c>
      <c r="GJ1042">
        <v>6.2</v>
      </c>
      <c r="GL1042">
        <v>6.25</v>
      </c>
      <c r="GM1042" t="s">
        <v>356</v>
      </c>
      <c r="GQ1042">
        <v>8.1999999999999993</v>
      </c>
      <c r="GS1042">
        <v>8.2200000000000006</v>
      </c>
      <c r="GU1042">
        <v>36</v>
      </c>
      <c r="GZ1042" t="s">
        <v>296</v>
      </c>
      <c r="HH1042" t="s">
        <v>272</v>
      </c>
      <c r="ID1042" t="s">
        <v>2321</v>
      </c>
      <c r="IE1042" t="s">
        <v>2322</v>
      </c>
      <c r="IF1042">
        <v>101373</v>
      </c>
      <c r="IG1042" t="s">
        <v>2323</v>
      </c>
      <c r="IH1042" t="s">
        <v>2324</v>
      </c>
      <c r="II1042">
        <v>2007</v>
      </c>
      <c r="IJ1042" t="s">
        <v>2325</v>
      </c>
    </row>
    <row r="1043" spans="1:244" x14ac:dyDescent="0.45">
      <c r="A1043">
        <v>1162979</v>
      </c>
      <c r="B1043">
        <v>183399</v>
      </c>
      <c r="C1043">
        <v>7733020</v>
      </c>
      <c r="D1043" t="s">
        <v>2214</v>
      </c>
      <c r="F1043" t="s">
        <v>272</v>
      </c>
      <c r="G1043" t="s">
        <v>246</v>
      </c>
      <c r="N1043" t="s">
        <v>789</v>
      </c>
      <c r="O1043" t="s">
        <v>790</v>
      </c>
      <c r="P1043" t="s">
        <v>249</v>
      </c>
      <c r="Q1043" t="s">
        <v>250</v>
      </c>
      <c r="R1043" t="s">
        <v>251</v>
      </c>
      <c r="T1043" t="s">
        <v>252</v>
      </c>
      <c r="U1043" t="s">
        <v>253</v>
      </c>
      <c r="V1043" t="s">
        <v>418</v>
      </c>
      <c r="W1043" t="s">
        <v>791</v>
      </c>
      <c r="X1043" t="s">
        <v>792</v>
      </c>
      <c r="Z1043" t="s">
        <v>649</v>
      </c>
      <c r="AL1043" t="s">
        <v>2407</v>
      </c>
      <c r="AM1043" t="s">
        <v>258</v>
      </c>
      <c r="AN1043" t="s">
        <v>259</v>
      </c>
      <c r="AO1043" t="s">
        <v>260</v>
      </c>
      <c r="AQ1043" t="s">
        <v>261</v>
      </c>
      <c r="AS1043">
        <v>2380</v>
      </c>
      <c r="AU1043">
        <v>1751</v>
      </c>
      <c r="AW1043">
        <v>3231</v>
      </c>
      <c r="AX1043" t="s">
        <v>262</v>
      </c>
      <c r="BO1043" t="s">
        <v>261</v>
      </c>
      <c r="BQ1043">
        <v>2.38</v>
      </c>
      <c r="BS1043">
        <v>1.7509999999999999</v>
      </c>
      <c r="BU1043">
        <v>3.2309999999999999</v>
      </c>
      <c r="BV1043" t="s">
        <v>263</v>
      </c>
      <c r="CM1043" t="s">
        <v>264</v>
      </c>
      <c r="CN1043" t="s">
        <v>264</v>
      </c>
      <c r="CP1043" t="s">
        <v>265</v>
      </c>
      <c r="CQ1043" t="s">
        <v>518</v>
      </c>
      <c r="DB1043">
        <v>2</v>
      </c>
      <c r="DG1043" t="s">
        <v>267</v>
      </c>
      <c r="DI1043">
        <v>48</v>
      </c>
      <c r="DN1043" t="s">
        <v>268</v>
      </c>
      <c r="DR1043">
        <v>161924</v>
      </c>
      <c r="DS1043">
        <v>3045</v>
      </c>
      <c r="EW1043" t="s">
        <v>272</v>
      </c>
      <c r="FO1043">
        <v>25</v>
      </c>
      <c r="FQ1043">
        <v>26</v>
      </c>
      <c r="FR1043" t="s">
        <v>295</v>
      </c>
      <c r="FT1043">
        <v>5128</v>
      </c>
      <c r="FY1043" t="s">
        <v>572</v>
      </c>
      <c r="GA1043">
        <v>115</v>
      </c>
      <c r="GF1043" t="s">
        <v>572</v>
      </c>
      <c r="GJ1043">
        <v>5.5</v>
      </c>
      <c r="GL1043">
        <v>6.4</v>
      </c>
      <c r="GM1043" t="s">
        <v>356</v>
      </c>
      <c r="GQ1043">
        <v>7.9</v>
      </c>
      <c r="GS1043">
        <v>8.5</v>
      </c>
      <c r="GU1043">
        <v>31</v>
      </c>
      <c r="GZ1043" t="s">
        <v>296</v>
      </c>
      <c r="HH1043" t="s">
        <v>272</v>
      </c>
      <c r="IE1043" t="s">
        <v>2216</v>
      </c>
      <c r="IF1043">
        <v>14402</v>
      </c>
      <c r="IG1043" t="s">
        <v>2217</v>
      </c>
      <c r="IH1043" t="s">
        <v>2218</v>
      </c>
      <c r="II1043">
        <v>1993</v>
      </c>
      <c r="IJ1043" t="s">
        <v>2219</v>
      </c>
    </row>
    <row r="1044" spans="1:244" x14ac:dyDescent="0.45">
      <c r="A1044">
        <v>1141310</v>
      </c>
      <c r="B1044">
        <v>121180</v>
      </c>
      <c r="C1044">
        <v>7733020</v>
      </c>
      <c r="D1044" t="s">
        <v>2214</v>
      </c>
      <c r="F1044" t="s">
        <v>245</v>
      </c>
      <c r="G1044" t="s">
        <v>246</v>
      </c>
      <c r="N1044" t="s">
        <v>1800</v>
      </c>
      <c r="O1044" t="s">
        <v>1801</v>
      </c>
      <c r="P1044" t="s">
        <v>249</v>
      </c>
      <c r="Q1044" t="s">
        <v>250</v>
      </c>
      <c r="R1044" t="s">
        <v>251</v>
      </c>
      <c r="T1044" t="s">
        <v>252</v>
      </c>
      <c r="U1044" t="s">
        <v>253</v>
      </c>
      <c r="V1044" t="s">
        <v>418</v>
      </c>
      <c r="W1044" t="s">
        <v>847</v>
      </c>
      <c r="X1044" t="s">
        <v>1802</v>
      </c>
      <c r="Z1044" t="s">
        <v>649</v>
      </c>
      <c r="AL1044" t="s">
        <v>1803</v>
      </c>
      <c r="AM1044" t="s">
        <v>258</v>
      </c>
      <c r="AN1044" t="s">
        <v>259</v>
      </c>
      <c r="AO1044" t="s">
        <v>260</v>
      </c>
      <c r="AQ1044" t="s">
        <v>261</v>
      </c>
      <c r="AS1044">
        <v>1600</v>
      </c>
      <c r="AU1044">
        <v>1027.7</v>
      </c>
      <c r="AW1044">
        <v>2491</v>
      </c>
      <c r="AX1044" t="s">
        <v>262</v>
      </c>
      <c r="BO1044" t="s">
        <v>261</v>
      </c>
      <c r="BQ1044">
        <v>1.6</v>
      </c>
      <c r="BS1044">
        <v>1.0277000000000001</v>
      </c>
      <c r="BU1044">
        <v>2.4910000000000001</v>
      </c>
      <c r="BV1044" t="s">
        <v>263</v>
      </c>
      <c r="CM1044" t="s">
        <v>264</v>
      </c>
      <c r="CN1044" t="s">
        <v>264</v>
      </c>
      <c r="CP1044" t="s">
        <v>265</v>
      </c>
      <c r="CQ1044" t="s">
        <v>518</v>
      </c>
      <c r="DB1044">
        <v>2</v>
      </c>
      <c r="DG1044" t="s">
        <v>267</v>
      </c>
      <c r="DI1044">
        <v>48</v>
      </c>
      <c r="DN1044" t="s">
        <v>268</v>
      </c>
      <c r="DP1044" t="s">
        <v>1804</v>
      </c>
      <c r="DR1044">
        <v>1378283</v>
      </c>
      <c r="DS1044">
        <v>4579</v>
      </c>
      <c r="EW1044" t="s">
        <v>271</v>
      </c>
      <c r="FM1044">
        <v>27.5</v>
      </c>
      <c r="FR1044" t="s">
        <v>295</v>
      </c>
      <c r="GG1044" t="s">
        <v>288</v>
      </c>
      <c r="GH1044">
        <v>60</v>
      </c>
      <c r="GM1044" t="s">
        <v>900</v>
      </c>
      <c r="GU1044">
        <v>15</v>
      </c>
      <c r="GZ1044" t="s">
        <v>296</v>
      </c>
      <c r="HH1044" t="s">
        <v>272</v>
      </c>
      <c r="IE1044" t="s">
        <v>1805</v>
      </c>
      <c r="IF1044">
        <v>11853</v>
      </c>
      <c r="IG1044" t="s">
        <v>1806</v>
      </c>
      <c r="IH1044" t="s">
        <v>1807</v>
      </c>
      <c r="II1044">
        <v>1986</v>
      </c>
      <c r="IJ1044" t="s">
        <v>1808</v>
      </c>
    </row>
    <row r="1045" spans="1:244" x14ac:dyDescent="0.45">
      <c r="A1045">
        <v>2304925</v>
      </c>
      <c r="B1045">
        <v>2729136</v>
      </c>
      <c r="C1045">
        <v>7733020</v>
      </c>
      <c r="D1045" t="s">
        <v>2214</v>
      </c>
      <c r="F1045" t="s">
        <v>245</v>
      </c>
      <c r="G1045" t="s">
        <v>557</v>
      </c>
      <c r="H1045" t="s">
        <v>278</v>
      </c>
      <c r="I1045">
        <v>99</v>
      </c>
      <c r="N1045" t="s">
        <v>2408</v>
      </c>
      <c r="O1045" t="s">
        <v>498</v>
      </c>
      <c r="P1045" t="s">
        <v>249</v>
      </c>
      <c r="Q1045" t="s">
        <v>250</v>
      </c>
      <c r="R1045" t="s">
        <v>251</v>
      </c>
      <c r="T1045" t="s">
        <v>252</v>
      </c>
      <c r="U1045" t="s">
        <v>499</v>
      </c>
      <c r="V1045" t="s">
        <v>1373</v>
      </c>
      <c r="W1045" t="s">
        <v>2409</v>
      </c>
      <c r="X1045" t="s">
        <v>2410</v>
      </c>
      <c r="Z1045" t="s">
        <v>1025</v>
      </c>
      <c r="AA1045" t="s">
        <v>352</v>
      </c>
      <c r="AB1045">
        <v>7</v>
      </c>
      <c r="AG1045" t="s">
        <v>267</v>
      </c>
      <c r="AJ1045" t="s">
        <v>354</v>
      </c>
      <c r="AM1045" t="s">
        <v>287</v>
      </c>
      <c r="AN1045" t="s">
        <v>259</v>
      </c>
      <c r="AO1045" t="s">
        <v>260</v>
      </c>
      <c r="AQ1045" t="s">
        <v>261</v>
      </c>
      <c r="AT1045" t="s">
        <v>288</v>
      </c>
      <c r="AU1045">
        <v>1</v>
      </c>
      <c r="AV1045" t="s">
        <v>289</v>
      </c>
      <c r="AW1045">
        <v>2</v>
      </c>
      <c r="AX1045" t="s">
        <v>356</v>
      </c>
      <c r="BO1045" t="s">
        <v>261</v>
      </c>
      <c r="BR1045" t="s">
        <v>288</v>
      </c>
      <c r="BS1045">
        <v>1</v>
      </c>
      <c r="BT1045" t="s">
        <v>289</v>
      </c>
      <c r="BU1045">
        <v>2</v>
      </c>
      <c r="BV1045" t="s">
        <v>263</v>
      </c>
      <c r="CM1045" t="s">
        <v>264</v>
      </c>
      <c r="CN1045" t="s">
        <v>264</v>
      </c>
      <c r="CP1045" t="s">
        <v>265</v>
      </c>
      <c r="CQ1045" t="s">
        <v>518</v>
      </c>
      <c r="DB1045">
        <v>4</v>
      </c>
      <c r="DG1045" t="s">
        <v>267</v>
      </c>
      <c r="DI1045">
        <v>96</v>
      </c>
      <c r="DN1045" t="s">
        <v>268</v>
      </c>
      <c r="DP1045" t="s">
        <v>2411</v>
      </c>
      <c r="DR1045">
        <v>317513</v>
      </c>
      <c r="DS1045">
        <v>145</v>
      </c>
      <c r="DT1045" t="s">
        <v>2412</v>
      </c>
      <c r="DV1045">
        <v>96</v>
      </c>
      <c r="EA1045" t="s">
        <v>268</v>
      </c>
      <c r="EC1045">
        <v>4</v>
      </c>
      <c r="EH1045" t="s">
        <v>267</v>
      </c>
      <c r="EJ1045">
        <v>96</v>
      </c>
      <c r="EO1045" t="s">
        <v>268</v>
      </c>
      <c r="EQ1045">
        <v>4</v>
      </c>
      <c r="EV1045" t="s">
        <v>267</v>
      </c>
      <c r="EW1045" t="s">
        <v>272</v>
      </c>
      <c r="EY1045" t="s">
        <v>377</v>
      </c>
      <c r="FA1045" t="s">
        <v>2413</v>
      </c>
      <c r="FK1045" t="s">
        <v>899</v>
      </c>
      <c r="FM1045">
        <v>24</v>
      </c>
      <c r="FR1045" t="s">
        <v>295</v>
      </c>
      <c r="GH1045">
        <v>6</v>
      </c>
      <c r="GM1045" t="s">
        <v>356</v>
      </c>
      <c r="GO1045">
        <v>8</v>
      </c>
      <c r="GU1045">
        <v>30</v>
      </c>
      <c r="GZ1045" t="s">
        <v>296</v>
      </c>
      <c r="HH1045" t="s">
        <v>272</v>
      </c>
      <c r="ID1045" t="s">
        <v>2414</v>
      </c>
      <c r="IE1045" t="s">
        <v>2415</v>
      </c>
      <c r="IF1045">
        <v>191258</v>
      </c>
      <c r="IG1045" t="s">
        <v>2416</v>
      </c>
      <c r="IH1045" t="s">
        <v>2417</v>
      </c>
      <c r="II1045">
        <v>2023</v>
      </c>
      <c r="IJ1045" t="s">
        <v>2418</v>
      </c>
    </row>
    <row r="1046" spans="1:244" x14ac:dyDescent="0.45">
      <c r="A1046">
        <v>1162976</v>
      </c>
      <c r="B1046">
        <v>183396</v>
      </c>
      <c r="C1046">
        <v>7733020</v>
      </c>
      <c r="D1046" t="s">
        <v>2214</v>
      </c>
      <c r="F1046" t="s">
        <v>272</v>
      </c>
      <c r="G1046" t="s">
        <v>246</v>
      </c>
      <c r="N1046" t="s">
        <v>789</v>
      </c>
      <c r="O1046" t="s">
        <v>790</v>
      </c>
      <c r="P1046" t="s">
        <v>249</v>
      </c>
      <c r="Q1046" t="s">
        <v>250</v>
      </c>
      <c r="R1046" t="s">
        <v>251</v>
      </c>
      <c r="T1046" t="s">
        <v>252</v>
      </c>
      <c r="U1046" t="s">
        <v>253</v>
      </c>
      <c r="V1046" t="s">
        <v>418</v>
      </c>
      <c r="W1046" t="s">
        <v>791</v>
      </c>
      <c r="X1046" t="s">
        <v>792</v>
      </c>
      <c r="Z1046" t="s">
        <v>649</v>
      </c>
      <c r="AL1046" t="s">
        <v>2215</v>
      </c>
      <c r="AM1046" t="s">
        <v>258</v>
      </c>
      <c r="AN1046" t="s">
        <v>259</v>
      </c>
      <c r="AO1046" t="s">
        <v>260</v>
      </c>
      <c r="AQ1046" t="s">
        <v>261</v>
      </c>
      <c r="AS1046">
        <v>2660</v>
      </c>
      <c r="AU1046">
        <v>1900</v>
      </c>
      <c r="AW1046">
        <v>3726</v>
      </c>
      <c r="AX1046" t="s">
        <v>262</v>
      </c>
      <c r="BO1046" t="s">
        <v>261</v>
      </c>
      <c r="BQ1046">
        <v>2.66</v>
      </c>
      <c r="BS1046">
        <v>1.9</v>
      </c>
      <c r="BU1046">
        <v>3.726</v>
      </c>
      <c r="BV1046" t="s">
        <v>263</v>
      </c>
      <c r="CM1046" t="s">
        <v>264</v>
      </c>
      <c r="CN1046" t="s">
        <v>264</v>
      </c>
      <c r="CP1046" t="s">
        <v>265</v>
      </c>
      <c r="CQ1046" t="s">
        <v>518</v>
      </c>
      <c r="DB1046">
        <v>1</v>
      </c>
      <c r="DG1046" t="s">
        <v>267</v>
      </c>
      <c r="DI1046">
        <v>24</v>
      </c>
      <c r="DN1046" t="s">
        <v>268</v>
      </c>
      <c r="DR1046">
        <v>161924</v>
      </c>
      <c r="DS1046">
        <v>3045</v>
      </c>
      <c r="EW1046" t="s">
        <v>272</v>
      </c>
      <c r="FO1046">
        <v>26</v>
      </c>
      <c r="FQ1046">
        <v>26.5</v>
      </c>
      <c r="FR1046" t="s">
        <v>295</v>
      </c>
      <c r="FT1046">
        <v>5128</v>
      </c>
      <c r="FY1046" t="s">
        <v>572</v>
      </c>
      <c r="GA1046">
        <v>115</v>
      </c>
      <c r="GF1046" t="s">
        <v>572</v>
      </c>
      <c r="GJ1046">
        <v>5.2</v>
      </c>
      <c r="GL1046">
        <v>6.4</v>
      </c>
      <c r="GM1046" t="s">
        <v>356</v>
      </c>
      <c r="GQ1046">
        <v>7.2</v>
      </c>
      <c r="GS1046">
        <v>7.9</v>
      </c>
      <c r="GU1046">
        <v>30</v>
      </c>
      <c r="GZ1046" t="s">
        <v>296</v>
      </c>
      <c r="HH1046" t="s">
        <v>272</v>
      </c>
      <c r="IE1046" t="s">
        <v>2216</v>
      </c>
      <c r="IF1046">
        <v>14402</v>
      </c>
      <c r="IG1046" t="s">
        <v>2217</v>
      </c>
      <c r="IH1046" t="s">
        <v>2218</v>
      </c>
      <c r="II1046">
        <v>1993</v>
      </c>
      <c r="IJ1046" t="s">
        <v>2219</v>
      </c>
    </row>
    <row r="1047" spans="1:244" x14ac:dyDescent="0.45">
      <c r="A1047">
        <v>1162983</v>
      </c>
      <c r="B1047">
        <v>183403</v>
      </c>
      <c r="C1047">
        <v>7733020</v>
      </c>
      <c r="D1047" t="s">
        <v>2214</v>
      </c>
      <c r="F1047" t="s">
        <v>272</v>
      </c>
      <c r="G1047" t="s">
        <v>246</v>
      </c>
      <c r="N1047" t="s">
        <v>789</v>
      </c>
      <c r="O1047" t="s">
        <v>790</v>
      </c>
      <c r="P1047" t="s">
        <v>249</v>
      </c>
      <c r="Q1047" t="s">
        <v>250</v>
      </c>
      <c r="R1047" t="s">
        <v>251</v>
      </c>
      <c r="T1047" t="s">
        <v>252</v>
      </c>
      <c r="U1047" t="s">
        <v>253</v>
      </c>
      <c r="V1047" t="s">
        <v>418</v>
      </c>
      <c r="W1047" t="s">
        <v>791</v>
      </c>
      <c r="X1047" t="s">
        <v>792</v>
      </c>
      <c r="Z1047" t="s">
        <v>649</v>
      </c>
      <c r="AL1047" t="s">
        <v>2353</v>
      </c>
      <c r="AM1047" t="s">
        <v>258</v>
      </c>
      <c r="AN1047" t="s">
        <v>259</v>
      </c>
      <c r="AO1047" t="s">
        <v>260</v>
      </c>
      <c r="AQ1047" t="s">
        <v>261</v>
      </c>
      <c r="AS1047">
        <v>1430</v>
      </c>
      <c r="AU1047">
        <v>1197</v>
      </c>
      <c r="AW1047">
        <v>1701</v>
      </c>
      <c r="AX1047" t="s">
        <v>262</v>
      </c>
      <c r="BO1047" t="s">
        <v>261</v>
      </c>
      <c r="BQ1047">
        <v>1.43</v>
      </c>
      <c r="BS1047">
        <v>1.1970000000000001</v>
      </c>
      <c r="BU1047">
        <v>1.7010000000000001</v>
      </c>
      <c r="BV1047" t="s">
        <v>263</v>
      </c>
      <c r="CM1047" t="s">
        <v>264</v>
      </c>
      <c r="CN1047" t="s">
        <v>264</v>
      </c>
      <c r="CP1047" t="s">
        <v>265</v>
      </c>
      <c r="CQ1047" t="s">
        <v>518</v>
      </c>
      <c r="DB1047">
        <v>3</v>
      </c>
      <c r="DG1047" t="s">
        <v>267</v>
      </c>
      <c r="DI1047">
        <v>72</v>
      </c>
      <c r="DN1047" t="s">
        <v>268</v>
      </c>
      <c r="DR1047">
        <v>161924</v>
      </c>
      <c r="DS1047">
        <v>3045</v>
      </c>
      <c r="EW1047" t="s">
        <v>272</v>
      </c>
      <c r="FO1047">
        <v>25</v>
      </c>
      <c r="FQ1047">
        <v>26</v>
      </c>
      <c r="FR1047" t="s">
        <v>295</v>
      </c>
      <c r="FT1047">
        <v>5128</v>
      </c>
      <c r="FY1047" t="s">
        <v>572</v>
      </c>
      <c r="GA1047">
        <v>115</v>
      </c>
      <c r="GF1047" t="s">
        <v>572</v>
      </c>
      <c r="GJ1047">
        <v>5.3</v>
      </c>
      <c r="GL1047">
        <v>6.3</v>
      </c>
      <c r="GM1047" t="s">
        <v>356</v>
      </c>
      <c r="GQ1047">
        <v>7.1</v>
      </c>
      <c r="GS1047">
        <v>8.1999999999999993</v>
      </c>
      <c r="GU1047">
        <v>32</v>
      </c>
      <c r="GZ1047" t="s">
        <v>296</v>
      </c>
      <c r="HH1047" t="s">
        <v>272</v>
      </c>
      <c r="IE1047" t="s">
        <v>2216</v>
      </c>
      <c r="IF1047">
        <v>14402</v>
      </c>
      <c r="IG1047" t="s">
        <v>2217</v>
      </c>
      <c r="IH1047" t="s">
        <v>2218</v>
      </c>
      <c r="II1047">
        <v>1993</v>
      </c>
      <c r="IJ1047" t="s">
        <v>2219</v>
      </c>
    </row>
    <row r="1048" spans="1:244" x14ac:dyDescent="0.45">
      <c r="A1048">
        <v>1096450</v>
      </c>
      <c r="B1048">
        <v>130170</v>
      </c>
      <c r="C1048">
        <v>7733020</v>
      </c>
      <c r="D1048" t="s">
        <v>2214</v>
      </c>
      <c r="F1048" t="s">
        <v>245</v>
      </c>
      <c r="G1048" t="s">
        <v>246</v>
      </c>
      <c r="N1048" t="s">
        <v>2245</v>
      </c>
      <c r="O1048" t="s">
        <v>631</v>
      </c>
      <c r="P1048" t="s">
        <v>249</v>
      </c>
      <c r="Q1048" t="s">
        <v>250</v>
      </c>
      <c r="R1048" t="s">
        <v>251</v>
      </c>
      <c r="T1048" t="s">
        <v>389</v>
      </c>
      <c r="U1048" t="s">
        <v>632</v>
      </c>
      <c r="V1048" t="s">
        <v>633</v>
      </c>
      <c r="W1048" t="s">
        <v>634</v>
      </c>
      <c r="X1048" t="s">
        <v>2246</v>
      </c>
      <c r="Z1048" t="s">
        <v>315</v>
      </c>
      <c r="AM1048" t="s">
        <v>317</v>
      </c>
      <c r="AN1048" t="s">
        <v>259</v>
      </c>
      <c r="AO1048" t="s">
        <v>260</v>
      </c>
      <c r="AQ1048" t="s">
        <v>2247</v>
      </c>
      <c r="AS1048">
        <v>890</v>
      </c>
      <c r="AU1048">
        <v>600</v>
      </c>
      <c r="AW1048">
        <v>1020</v>
      </c>
      <c r="AX1048" t="s">
        <v>262</v>
      </c>
      <c r="BO1048" t="s">
        <v>2247</v>
      </c>
      <c r="BQ1048">
        <v>0.89</v>
      </c>
      <c r="BS1048">
        <v>0.6</v>
      </c>
      <c r="BU1048">
        <v>1.02</v>
      </c>
      <c r="BV1048" t="s">
        <v>263</v>
      </c>
      <c r="CM1048" t="s">
        <v>264</v>
      </c>
      <c r="CN1048" t="s">
        <v>264</v>
      </c>
      <c r="CP1048" t="s">
        <v>265</v>
      </c>
      <c r="CQ1048" t="s">
        <v>518</v>
      </c>
      <c r="DB1048">
        <v>2</v>
      </c>
      <c r="DG1048" t="s">
        <v>267</v>
      </c>
      <c r="DI1048">
        <v>48</v>
      </c>
      <c r="DN1048" t="s">
        <v>268</v>
      </c>
      <c r="DS1048">
        <v>4662</v>
      </c>
      <c r="DT1048" t="s">
        <v>2224</v>
      </c>
      <c r="EW1048" t="s">
        <v>333</v>
      </c>
      <c r="FM1048">
        <v>25</v>
      </c>
      <c r="FR1048" t="s">
        <v>295</v>
      </c>
      <c r="GU1048">
        <v>32</v>
      </c>
      <c r="GZ1048" t="s">
        <v>296</v>
      </c>
      <c r="HH1048" t="s">
        <v>272</v>
      </c>
      <c r="IE1048" t="s">
        <v>2225</v>
      </c>
      <c r="IF1048">
        <v>6825</v>
      </c>
      <c r="IG1048" t="s">
        <v>2226</v>
      </c>
      <c r="IH1048" t="s">
        <v>2227</v>
      </c>
      <c r="II1048">
        <v>1993</v>
      </c>
      <c r="IJ1048" t="s">
        <v>2228</v>
      </c>
    </row>
    <row r="1049" spans="1:244" x14ac:dyDescent="0.45">
      <c r="A1049">
        <v>1246408</v>
      </c>
      <c r="B1049">
        <v>239758</v>
      </c>
      <c r="C1049">
        <v>7733020</v>
      </c>
      <c r="D1049" t="s">
        <v>2214</v>
      </c>
      <c r="F1049" t="s">
        <v>327</v>
      </c>
      <c r="G1049" t="s">
        <v>246</v>
      </c>
      <c r="N1049" t="s">
        <v>2419</v>
      </c>
      <c r="O1049" t="s">
        <v>2420</v>
      </c>
      <c r="P1049" t="s">
        <v>249</v>
      </c>
      <c r="Q1049" t="s">
        <v>250</v>
      </c>
      <c r="R1049" t="s">
        <v>251</v>
      </c>
      <c r="T1049" t="s">
        <v>252</v>
      </c>
      <c r="U1049" t="s">
        <v>1244</v>
      </c>
      <c r="V1049" t="s">
        <v>2421</v>
      </c>
      <c r="W1049" t="s">
        <v>2422</v>
      </c>
      <c r="X1049" t="s">
        <v>2423</v>
      </c>
      <c r="Z1049" t="s">
        <v>315</v>
      </c>
      <c r="AJ1049" t="s">
        <v>285</v>
      </c>
      <c r="AM1049" t="s">
        <v>258</v>
      </c>
      <c r="AN1049" t="s">
        <v>259</v>
      </c>
      <c r="AO1049" t="s">
        <v>260</v>
      </c>
      <c r="AP1049">
        <v>13</v>
      </c>
      <c r="AQ1049" t="s">
        <v>504</v>
      </c>
      <c r="AS1049">
        <v>32.5</v>
      </c>
      <c r="AX1049" t="s">
        <v>356</v>
      </c>
      <c r="BO1049" t="s">
        <v>504</v>
      </c>
      <c r="BQ1049">
        <v>32.5</v>
      </c>
      <c r="BV1049" t="s">
        <v>263</v>
      </c>
      <c r="CM1049" t="s">
        <v>264</v>
      </c>
      <c r="CN1049" t="s">
        <v>264</v>
      </c>
      <c r="CP1049" t="s">
        <v>265</v>
      </c>
      <c r="CQ1049" t="s">
        <v>518</v>
      </c>
      <c r="DB1049">
        <v>4</v>
      </c>
      <c r="DG1049" t="s">
        <v>267</v>
      </c>
      <c r="DI1049">
        <v>96</v>
      </c>
      <c r="DN1049" t="s">
        <v>268</v>
      </c>
      <c r="DS1049">
        <v>17323</v>
      </c>
      <c r="EW1049" t="s">
        <v>293</v>
      </c>
      <c r="FA1049" t="s">
        <v>1381</v>
      </c>
      <c r="FK1049" t="s">
        <v>2424</v>
      </c>
      <c r="HH1049" t="s">
        <v>272</v>
      </c>
      <c r="ID1049" t="s">
        <v>2425</v>
      </c>
      <c r="IE1049" t="s">
        <v>2328</v>
      </c>
      <c r="IF1049">
        <v>84114</v>
      </c>
      <c r="IG1049" t="s">
        <v>2329</v>
      </c>
      <c r="IH1049" t="s">
        <v>2330</v>
      </c>
      <c r="II1049">
        <v>1997</v>
      </c>
      <c r="IJ1049" t="s">
        <v>2331</v>
      </c>
    </row>
    <row r="1050" spans="1:244" x14ac:dyDescent="0.45">
      <c r="A1050">
        <v>1096440</v>
      </c>
      <c r="B1050">
        <v>130160</v>
      </c>
      <c r="C1050">
        <v>7733020</v>
      </c>
      <c r="D1050" t="s">
        <v>2214</v>
      </c>
      <c r="F1050" t="s">
        <v>245</v>
      </c>
      <c r="G1050" t="s">
        <v>246</v>
      </c>
      <c r="N1050" t="s">
        <v>2243</v>
      </c>
      <c r="O1050" t="s">
        <v>646</v>
      </c>
      <c r="P1050" t="s">
        <v>249</v>
      </c>
      <c r="Q1050" t="s">
        <v>250</v>
      </c>
      <c r="R1050" t="s">
        <v>251</v>
      </c>
      <c r="T1050" t="s">
        <v>252</v>
      </c>
      <c r="U1050" t="s">
        <v>371</v>
      </c>
      <c r="V1050" t="s">
        <v>372</v>
      </c>
      <c r="W1050" t="s">
        <v>647</v>
      </c>
      <c r="X1050" t="s">
        <v>2244</v>
      </c>
      <c r="AB1050">
        <v>1</v>
      </c>
      <c r="AG1050" t="s">
        <v>267</v>
      </c>
      <c r="AM1050" t="s">
        <v>317</v>
      </c>
      <c r="AN1050" t="s">
        <v>259</v>
      </c>
      <c r="AO1050" t="s">
        <v>260</v>
      </c>
      <c r="AQ1050" t="s">
        <v>261</v>
      </c>
      <c r="AS1050">
        <v>340</v>
      </c>
      <c r="AU1050">
        <v>300</v>
      </c>
      <c r="AW1050">
        <v>400</v>
      </c>
      <c r="AX1050" t="s">
        <v>262</v>
      </c>
      <c r="BO1050" t="s">
        <v>261</v>
      </c>
      <c r="BQ1050">
        <v>0.34</v>
      </c>
      <c r="BS1050">
        <v>0.3</v>
      </c>
      <c r="BU1050">
        <v>0.4</v>
      </c>
      <c r="BV1050" t="s">
        <v>263</v>
      </c>
      <c r="CM1050" t="s">
        <v>264</v>
      </c>
      <c r="CN1050" t="s">
        <v>264</v>
      </c>
      <c r="CP1050" t="s">
        <v>265</v>
      </c>
      <c r="CQ1050" t="s">
        <v>518</v>
      </c>
      <c r="DB1050">
        <v>4</v>
      </c>
      <c r="DG1050" t="s">
        <v>267</v>
      </c>
      <c r="DI1050">
        <v>96</v>
      </c>
      <c r="DN1050" t="s">
        <v>268</v>
      </c>
      <c r="DS1050">
        <v>4703</v>
      </c>
      <c r="DT1050" t="s">
        <v>2224</v>
      </c>
      <c r="EW1050" t="s">
        <v>333</v>
      </c>
      <c r="FM1050">
        <v>25</v>
      </c>
      <c r="FR1050" t="s">
        <v>295</v>
      </c>
      <c r="GU1050">
        <v>33.5</v>
      </c>
      <c r="GZ1050" t="s">
        <v>296</v>
      </c>
      <c r="HH1050" t="s">
        <v>272</v>
      </c>
      <c r="IE1050" t="s">
        <v>2225</v>
      </c>
      <c r="IF1050">
        <v>6825</v>
      </c>
      <c r="IG1050" t="s">
        <v>2226</v>
      </c>
      <c r="IH1050" t="s">
        <v>2227</v>
      </c>
      <c r="II1050">
        <v>1993</v>
      </c>
      <c r="IJ1050" t="s">
        <v>2228</v>
      </c>
    </row>
    <row r="1051" spans="1:244" x14ac:dyDescent="0.45">
      <c r="A1051">
        <v>1096439</v>
      </c>
      <c r="B1051">
        <v>130159</v>
      </c>
      <c r="C1051">
        <v>7733020</v>
      </c>
      <c r="D1051" t="s">
        <v>2214</v>
      </c>
      <c r="F1051" t="s">
        <v>245</v>
      </c>
      <c r="G1051" t="s">
        <v>246</v>
      </c>
      <c r="N1051" t="s">
        <v>2243</v>
      </c>
      <c r="O1051" t="s">
        <v>646</v>
      </c>
      <c r="P1051" t="s">
        <v>249</v>
      </c>
      <c r="Q1051" t="s">
        <v>250</v>
      </c>
      <c r="R1051" t="s">
        <v>251</v>
      </c>
      <c r="T1051" t="s">
        <v>252</v>
      </c>
      <c r="U1051" t="s">
        <v>371</v>
      </c>
      <c r="V1051" t="s">
        <v>372</v>
      </c>
      <c r="W1051" t="s">
        <v>647</v>
      </c>
      <c r="X1051" t="s">
        <v>2244</v>
      </c>
      <c r="AB1051">
        <v>1</v>
      </c>
      <c r="AG1051" t="s">
        <v>267</v>
      </c>
      <c r="AM1051" t="s">
        <v>317</v>
      </c>
      <c r="AN1051" t="s">
        <v>259</v>
      </c>
      <c r="AO1051" t="s">
        <v>260</v>
      </c>
      <c r="AQ1051" t="s">
        <v>261</v>
      </c>
      <c r="AS1051">
        <v>350</v>
      </c>
      <c r="AU1051">
        <v>320</v>
      </c>
      <c r="AW1051">
        <v>380</v>
      </c>
      <c r="AX1051" t="s">
        <v>262</v>
      </c>
      <c r="BO1051" t="s">
        <v>261</v>
      </c>
      <c r="BQ1051">
        <v>0.35</v>
      </c>
      <c r="BS1051">
        <v>0.32</v>
      </c>
      <c r="BU1051">
        <v>0.38</v>
      </c>
      <c r="BV1051" t="s">
        <v>263</v>
      </c>
      <c r="CM1051" t="s">
        <v>264</v>
      </c>
      <c r="CN1051" t="s">
        <v>264</v>
      </c>
      <c r="CP1051" t="s">
        <v>265</v>
      </c>
      <c r="CQ1051" t="s">
        <v>518</v>
      </c>
      <c r="DB1051">
        <v>4</v>
      </c>
      <c r="DG1051" t="s">
        <v>267</v>
      </c>
      <c r="DI1051">
        <v>96</v>
      </c>
      <c r="DN1051" t="s">
        <v>268</v>
      </c>
      <c r="DS1051">
        <v>4703</v>
      </c>
      <c r="DT1051" t="s">
        <v>2224</v>
      </c>
      <c r="EW1051" t="s">
        <v>333</v>
      </c>
      <c r="FM1051">
        <v>25</v>
      </c>
      <c r="FR1051" t="s">
        <v>295</v>
      </c>
      <c r="GU1051">
        <v>33.5</v>
      </c>
      <c r="GZ1051" t="s">
        <v>296</v>
      </c>
      <c r="HH1051" t="s">
        <v>272</v>
      </c>
      <c r="IE1051" t="s">
        <v>2225</v>
      </c>
      <c r="IF1051">
        <v>6825</v>
      </c>
      <c r="IG1051" t="s">
        <v>2226</v>
      </c>
      <c r="IH1051" t="s">
        <v>2227</v>
      </c>
      <c r="II1051">
        <v>1993</v>
      </c>
      <c r="IJ1051" t="s">
        <v>2228</v>
      </c>
    </row>
    <row r="1052" spans="1:244" x14ac:dyDescent="0.45">
      <c r="A1052">
        <v>1033118</v>
      </c>
      <c r="B1052">
        <v>107268</v>
      </c>
      <c r="C1052">
        <v>7733020</v>
      </c>
      <c r="D1052" t="s">
        <v>2214</v>
      </c>
      <c r="F1052" t="s">
        <v>245</v>
      </c>
      <c r="G1052" t="s">
        <v>246</v>
      </c>
      <c r="N1052" t="s">
        <v>471</v>
      </c>
      <c r="O1052" t="s">
        <v>388</v>
      </c>
      <c r="P1052" t="s">
        <v>249</v>
      </c>
      <c r="Q1052" t="s">
        <v>250</v>
      </c>
      <c r="R1052" t="s">
        <v>251</v>
      </c>
      <c r="T1052" t="s">
        <v>389</v>
      </c>
      <c r="U1052" t="s">
        <v>390</v>
      </c>
      <c r="V1052" t="s">
        <v>472</v>
      </c>
      <c r="W1052" t="s">
        <v>473</v>
      </c>
      <c r="X1052" t="s">
        <v>474</v>
      </c>
      <c r="Z1052" t="s">
        <v>2426</v>
      </c>
      <c r="AM1052" t="s">
        <v>317</v>
      </c>
      <c r="AN1052" t="s">
        <v>259</v>
      </c>
      <c r="AO1052" t="s">
        <v>260</v>
      </c>
      <c r="AQ1052" t="s">
        <v>261</v>
      </c>
      <c r="AS1052">
        <v>421</v>
      </c>
      <c r="AX1052" t="s">
        <v>262</v>
      </c>
      <c r="BO1052" t="s">
        <v>261</v>
      </c>
      <c r="BQ1052">
        <v>0.42099999999999999</v>
      </c>
      <c r="BV1052" t="s">
        <v>263</v>
      </c>
      <c r="CM1052" t="s">
        <v>264</v>
      </c>
      <c r="CN1052" t="s">
        <v>264</v>
      </c>
      <c r="CP1052" t="s">
        <v>265</v>
      </c>
      <c r="CQ1052" t="s">
        <v>518</v>
      </c>
      <c r="DB1052">
        <v>2</v>
      </c>
      <c r="DG1052" t="s">
        <v>267</v>
      </c>
      <c r="DI1052">
        <v>48</v>
      </c>
      <c r="DN1052" t="s">
        <v>268</v>
      </c>
      <c r="DR1052">
        <v>2056173</v>
      </c>
      <c r="DS1052">
        <v>1053</v>
      </c>
      <c r="DT1052" t="s">
        <v>2297</v>
      </c>
      <c r="EW1052" t="s">
        <v>333</v>
      </c>
      <c r="FM1052">
        <v>18</v>
      </c>
      <c r="FR1052" t="s">
        <v>295</v>
      </c>
      <c r="HH1052" t="s">
        <v>272</v>
      </c>
      <c r="IE1052" t="s">
        <v>2299</v>
      </c>
      <c r="IF1052">
        <v>2084</v>
      </c>
      <c r="IG1052" t="s">
        <v>2300</v>
      </c>
      <c r="IH1052" t="s">
        <v>2301</v>
      </c>
      <c r="II1052">
        <v>1989</v>
      </c>
      <c r="IJ1052" t="s">
        <v>2302</v>
      </c>
    </row>
    <row r="1053" spans="1:244" x14ac:dyDescent="0.45">
      <c r="A1053">
        <v>1282250</v>
      </c>
      <c r="B1053">
        <v>735869</v>
      </c>
      <c r="C1053">
        <v>7733020</v>
      </c>
      <c r="D1053" t="s">
        <v>2214</v>
      </c>
      <c r="E1053" t="s">
        <v>439</v>
      </c>
      <c r="F1053" t="s">
        <v>245</v>
      </c>
      <c r="G1053" t="s">
        <v>246</v>
      </c>
      <c r="N1053" t="s">
        <v>968</v>
      </c>
      <c r="O1053" t="s">
        <v>969</v>
      </c>
      <c r="P1053" t="s">
        <v>249</v>
      </c>
      <c r="Q1053" t="s">
        <v>250</v>
      </c>
      <c r="R1053" t="s">
        <v>251</v>
      </c>
      <c r="T1053" t="s">
        <v>252</v>
      </c>
      <c r="U1053" t="s">
        <v>253</v>
      </c>
      <c r="V1053" t="s">
        <v>418</v>
      </c>
      <c r="W1053" t="s">
        <v>419</v>
      </c>
      <c r="X1053" t="s">
        <v>970</v>
      </c>
      <c r="Z1053" t="s">
        <v>649</v>
      </c>
      <c r="AL1053" t="s">
        <v>1174</v>
      </c>
      <c r="AM1053" t="s">
        <v>258</v>
      </c>
      <c r="AN1053" t="s">
        <v>259</v>
      </c>
      <c r="AO1053" t="s">
        <v>260</v>
      </c>
      <c r="AQ1053" t="s">
        <v>261</v>
      </c>
      <c r="AS1053">
        <v>4.8</v>
      </c>
      <c r="AU1053">
        <v>2.2000000000000002</v>
      </c>
      <c r="AW1053">
        <v>10.7</v>
      </c>
      <c r="AX1053" t="s">
        <v>356</v>
      </c>
      <c r="BO1053" t="s">
        <v>261</v>
      </c>
      <c r="BQ1053">
        <v>4.8</v>
      </c>
      <c r="BS1053">
        <v>2.2000000000000002</v>
      </c>
      <c r="BU1053">
        <v>10.7</v>
      </c>
      <c r="BV1053" t="s">
        <v>263</v>
      </c>
      <c r="CM1053" t="s">
        <v>264</v>
      </c>
      <c r="CN1053" t="s">
        <v>264</v>
      </c>
      <c r="CP1053" t="s">
        <v>265</v>
      </c>
      <c r="CQ1053" t="s">
        <v>518</v>
      </c>
      <c r="DB1053">
        <v>4</v>
      </c>
      <c r="DG1053" t="s">
        <v>267</v>
      </c>
      <c r="DI1053">
        <v>96</v>
      </c>
      <c r="DN1053" t="s">
        <v>268</v>
      </c>
      <c r="DP1053" t="s">
        <v>2260</v>
      </c>
      <c r="DS1053">
        <v>1010</v>
      </c>
      <c r="DT1053" t="s">
        <v>1176</v>
      </c>
      <c r="EW1053" t="s">
        <v>293</v>
      </c>
      <c r="FK1053" t="s">
        <v>2427</v>
      </c>
      <c r="FM1053">
        <v>20</v>
      </c>
      <c r="FR1053" t="s">
        <v>295</v>
      </c>
      <c r="GG1053" t="s">
        <v>288</v>
      </c>
      <c r="GH1053">
        <v>90</v>
      </c>
      <c r="GM1053" t="s">
        <v>900</v>
      </c>
      <c r="GO1053">
        <v>8</v>
      </c>
      <c r="GU1053">
        <v>20</v>
      </c>
      <c r="GZ1053" t="s">
        <v>296</v>
      </c>
      <c r="HH1053" t="s">
        <v>272</v>
      </c>
      <c r="ID1053" t="s">
        <v>2428</v>
      </c>
      <c r="IE1053" t="s">
        <v>1179</v>
      </c>
      <c r="IF1053">
        <v>4973</v>
      </c>
      <c r="IG1053" t="s">
        <v>1180</v>
      </c>
      <c r="IH1053" t="s">
        <v>1181</v>
      </c>
      <c r="II1053">
        <v>1982</v>
      </c>
      <c r="IJ1053" t="s">
        <v>1182</v>
      </c>
    </row>
    <row r="1054" spans="1:244" x14ac:dyDescent="0.45">
      <c r="A1054">
        <v>1096425</v>
      </c>
      <c r="B1054">
        <v>121121</v>
      </c>
      <c r="C1054">
        <v>7733020</v>
      </c>
      <c r="D1054" t="s">
        <v>2214</v>
      </c>
      <c r="F1054" t="s">
        <v>245</v>
      </c>
      <c r="G1054" t="s">
        <v>246</v>
      </c>
      <c r="N1054" t="s">
        <v>2220</v>
      </c>
      <c r="O1054" t="s">
        <v>631</v>
      </c>
      <c r="P1054" t="s">
        <v>249</v>
      </c>
      <c r="Q1054" t="s">
        <v>250</v>
      </c>
      <c r="R1054" t="s">
        <v>251</v>
      </c>
      <c r="T1054" t="s">
        <v>389</v>
      </c>
      <c r="U1054" t="s">
        <v>632</v>
      </c>
      <c r="V1054" t="s">
        <v>830</v>
      </c>
      <c r="W1054" t="s">
        <v>2221</v>
      </c>
      <c r="X1054" t="s">
        <v>2222</v>
      </c>
      <c r="Z1054" t="s">
        <v>315</v>
      </c>
      <c r="AL1054" t="s">
        <v>2223</v>
      </c>
      <c r="AM1054" t="s">
        <v>317</v>
      </c>
      <c r="AN1054" t="s">
        <v>259</v>
      </c>
      <c r="AO1054" t="s">
        <v>260</v>
      </c>
      <c r="AQ1054" t="s">
        <v>2247</v>
      </c>
      <c r="AS1054">
        <v>31</v>
      </c>
      <c r="AU1054">
        <v>10</v>
      </c>
      <c r="AW1054">
        <v>46</v>
      </c>
      <c r="AX1054" t="s">
        <v>262</v>
      </c>
      <c r="BO1054" t="s">
        <v>2247</v>
      </c>
      <c r="BQ1054">
        <v>3.1E-2</v>
      </c>
      <c r="BS1054">
        <v>0.01</v>
      </c>
      <c r="BU1054">
        <v>4.5999999999999999E-2</v>
      </c>
      <c r="BV1054" t="s">
        <v>263</v>
      </c>
      <c r="CM1054" t="s">
        <v>264</v>
      </c>
      <c r="CN1054" t="s">
        <v>264</v>
      </c>
      <c r="CP1054" t="s">
        <v>265</v>
      </c>
      <c r="CQ1054" t="s">
        <v>518</v>
      </c>
      <c r="DB1054">
        <v>2</v>
      </c>
      <c r="DG1054" t="s">
        <v>267</v>
      </c>
      <c r="DI1054">
        <v>48</v>
      </c>
      <c r="DN1054" t="s">
        <v>268</v>
      </c>
      <c r="DR1054">
        <v>399051</v>
      </c>
      <c r="DS1054">
        <v>4599</v>
      </c>
      <c r="DT1054" t="s">
        <v>2224</v>
      </c>
      <c r="EW1054" t="s">
        <v>333</v>
      </c>
      <c r="FM1054">
        <v>25</v>
      </c>
      <c r="FR1054" t="s">
        <v>295</v>
      </c>
      <c r="GU1054">
        <v>33.5</v>
      </c>
      <c r="GZ1054" t="s">
        <v>296</v>
      </c>
      <c r="HH1054" t="s">
        <v>272</v>
      </c>
      <c r="IE1054" t="s">
        <v>2225</v>
      </c>
      <c r="IF1054">
        <v>6825</v>
      </c>
      <c r="IG1054" t="s">
        <v>2226</v>
      </c>
      <c r="IH1054" t="s">
        <v>2227</v>
      </c>
      <c r="II1054">
        <v>1993</v>
      </c>
      <c r="IJ1054" t="s">
        <v>2228</v>
      </c>
    </row>
    <row r="1055" spans="1:244" x14ac:dyDescent="0.45">
      <c r="A1055">
        <v>1282500</v>
      </c>
      <c r="B1055">
        <v>736160</v>
      </c>
      <c r="C1055">
        <v>7733020</v>
      </c>
      <c r="D1055" t="s">
        <v>2214</v>
      </c>
      <c r="F1055" t="s">
        <v>245</v>
      </c>
      <c r="G1055" t="s">
        <v>246</v>
      </c>
      <c r="N1055" t="s">
        <v>416</v>
      </c>
      <c r="O1055" t="s">
        <v>417</v>
      </c>
      <c r="P1055" t="s">
        <v>249</v>
      </c>
      <c r="Q1055" t="s">
        <v>250</v>
      </c>
      <c r="R1055" t="s">
        <v>251</v>
      </c>
      <c r="T1055" t="s">
        <v>252</v>
      </c>
      <c r="U1055" t="s">
        <v>253</v>
      </c>
      <c r="V1055" t="s">
        <v>418</v>
      </c>
      <c r="W1055" t="s">
        <v>419</v>
      </c>
      <c r="X1055" t="s">
        <v>420</v>
      </c>
      <c r="Z1055" t="s">
        <v>421</v>
      </c>
      <c r="AL1055" t="s">
        <v>431</v>
      </c>
      <c r="AM1055" t="s">
        <v>258</v>
      </c>
      <c r="AN1055" t="s">
        <v>259</v>
      </c>
      <c r="AO1055" t="s">
        <v>260</v>
      </c>
      <c r="AP1055">
        <v>5</v>
      </c>
      <c r="AQ1055" t="s">
        <v>261</v>
      </c>
      <c r="AS1055">
        <v>6.2230999999999996</v>
      </c>
      <c r="AU1055">
        <v>3.9620000000000002</v>
      </c>
      <c r="AW1055">
        <v>9.8021999999999991</v>
      </c>
      <c r="AX1055" t="s">
        <v>356</v>
      </c>
      <c r="BO1055" t="s">
        <v>261</v>
      </c>
      <c r="BQ1055">
        <v>6.2230999999999996</v>
      </c>
      <c r="BS1055">
        <v>3.9620000000000002</v>
      </c>
      <c r="BU1055">
        <v>9.8021999999999991</v>
      </c>
      <c r="BV1055" t="s">
        <v>263</v>
      </c>
      <c r="CM1055" t="s">
        <v>264</v>
      </c>
      <c r="CN1055" t="s">
        <v>264</v>
      </c>
      <c r="CP1055" t="s">
        <v>265</v>
      </c>
      <c r="CQ1055" t="s">
        <v>518</v>
      </c>
      <c r="DB1055">
        <v>4</v>
      </c>
      <c r="DG1055" t="s">
        <v>267</v>
      </c>
      <c r="DI1055">
        <v>96</v>
      </c>
      <c r="DN1055" t="s">
        <v>268</v>
      </c>
      <c r="DP1055" t="s">
        <v>2429</v>
      </c>
      <c r="DS1055">
        <v>1009</v>
      </c>
      <c r="EW1055" t="s">
        <v>293</v>
      </c>
      <c r="FK1055" t="s">
        <v>2430</v>
      </c>
      <c r="FM1055">
        <v>29</v>
      </c>
      <c r="FR1055" t="s">
        <v>295</v>
      </c>
      <c r="GU1055">
        <v>20</v>
      </c>
      <c r="GZ1055" t="s">
        <v>296</v>
      </c>
      <c r="HH1055" t="s">
        <v>272</v>
      </c>
      <c r="ID1055" t="s">
        <v>2431</v>
      </c>
      <c r="IE1055" t="s">
        <v>435</v>
      </c>
      <c r="IF1055">
        <v>59783</v>
      </c>
      <c r="IG1055" t="s">
        <v>436</v>
      </c>
      <c r="IH1055" t="s">
        <v>437</v>
      </c>
      <c r="II1055">
        <v>2000</v>
      </c>
      <c r="IJ1055" t="s">
        <v>438</v>
      </c>
    </row>
    <row r="1056" spans="1:244" x14ac:dyDescent="0.45">
      <c r="A1056">
        <v>1141312</v>
      </c>
      <c r="B1056">
        <v>121182</v>
      </c>
      <c r="C1056">
        <v>7733020</v>
      </c>
      <c r="D1056" t="s">
        <v>2214</v>
      </c>
      <c r="F1056" t="s">
        <v>245</v>
      </c>
      <c r="G1056" t="s">
        <v>246</v>
      </c>
      <c r="N1056" t="s">
        <v>1800</v>
      </c>
      <c r="O1056" t="s">
        <v>1801</v>
      </c>
      <c r="P1056" t="s">
        <v>249</v>
      </c>
      <c r="Q1056" t="s">
        <v>250</v>
      </c>
      <c r="R1056" t="s">
        <v>251</v>
      </c>
      <c r="T1056" t="s">
        <v>252</v>
      </c>
      <c r="U1056" t="s">
        <v>253</v>
      </c>
      <c r="V1056" t="s">
        <v>418</v>
      </c>
      <c r="W1056" t="s">
        <v>847</v>
      </c>
      <c r="X1056" t="s">
        <v>1802</v>
      </c>
      <c r="Z1056" t="s">
        <v>649</v>
      </c>
      <c r="AL1056" t="s">
        <v>1803</v>
      </c>
      <c r="AM1056" t="s">
        <v>258</v>
      </c>
      <c r="AN1056" t="s">
        <v>259</v>
      </c>
      <c r="AO1056" t="s">
        <v>260</v>
      </c>
      <c r="AQ1056" t="s">
        <v>261</v>
      </c>
      <c r="AS1056">
        <v>600</v>
      </c>
      <c r="AU1056">
        <v>410.3</v>
      </c>
      <c r="AW1056">
        <v>876.9</v>
      </c>
      <c r="AX1056" t="s">
        <v>262</v>
      </c>
      <c r="BO1056" t="s">
        <v>261</v>
      </c>
      <c r="BQ1056">
        <v>0.6</v>
      </c>
      <c r="BS1056">
        <v>0.4103</v>
      </c>
      <c r="BU1056">
        <v>0.87690000000000001</v>
      </c>
      <c r="BV1056" t="s">
        <v>263</v>
      </c>
      <c r="CM1056" t="s">
        <v>264</v>
      </c>
      <c r="CN1056" t="s">
        <v>264</v>
      </c>
      <c r="CP1056" t="s">
        <v>265</v>
      </c>
      <c r="CQ1056" t="s">
        <v>518</v>
      </c>
      <c r="DB1056">
        <v>4</v>
      </c>
      <c r="DG1056" t="s">
        <v>267</v>
      </c>
      <c r="DI1056">
        <v>96</v>
      </c>
      <c r="DN1056" t="s">
        <v>268</v>
      </c>
      <c r="DP1056" t="s">
        <v>1804</v>
      </c>
      <c r="DR1056">
        <v>1378283</v>
      </c>
      <c r="DS1056">
        <v>4579</v>
      </c>
      <c r="EW1056" t="s">
        <v>271</v>
      </c>
      <c r="FM1056">
        <v>27.5</v>
      </c>
      <c r="FR1056" t="s">
        <v>295</v>
      </c>
      <c r="GG1056" t="s">
        <v>288</v>
      </c>
      <c r="GH1056">
        <v>60</v>
      </c>
      <c r="GM1056" t="s">
        <v>900</v>
      </c>
      <c r="GU1056">
        <v>15</v>
      </c>
      <c r="GZ1056" t="s">
        <v>296</v>
      </c>
      <c r="HH1056" t="s">
        <v>272</v>
      </c>
      <c r="IE1056" t="s">
        <v>1805</v>
      </c>
      <c r="IF1056">
        <v>11853</v>
      </c>
      <c r="IG1056" t="s">
        <v>1806</v>
      </c>
      <c r="IH1056" t="s">
        <v>1807</v>
      </c>
      <c r="II1056">
        <v>1986</v>
      </c>
      <c r="IJ1056" t="s">
        <v>1808</v>
      </c>
    </row>
    <row r="1057" spans="1:244" x14ac:dyDescent="0.45">
      <c r="A1057">
        <v>1162980</v>
      </c>
      <c r="B1057">
        <v>183400</v>
      </c>
      <c r="C1057">
        <v>7733020</v>
      </c>
      <c r="D1057" t="s">
        <v>2214</v>
      </c>
      <c r="F1057" t="s">
        <v>272</v>
      </c>
      <c r="G1057" t="s">
        <v>246</v>
      </c>
      <c r="N1057" t="s">
        <v>789</v>
      </c>
      <c r="O1057" t="s">
        <v>790</v>
      </c>
      <c r="P1057" t="s">
        <v>249</v>
      </c>
      <c r="Q1057" t="s">
        <v>250</v>
      </c>
      <c r="R1057" t="s">
        <v>251</v>
      </c>
      <c r="T1057" t="s">
        <v>252</v>
      </c>
      <c r="U1057" t="s">
        <v>253</v>
      </c>
      <c r="V1057" t="s">
        <v>418</v>
      </c>
      <c r="W1057" t="s">
        <v>791</v>
      </c>
      <c r="X1057" t="s">
        <v>792</v>
      </c>
      <c r="Z1057" t="s">
        <v>649</v>
      </c>
      <c r="AL1057" t="s">
        <v>2354</v>
      </c>
      <c r="AM1057" t="s">
        <v>258</v>
      </c>
      <c r="AN1057" t="s">
        <v>259</v>
      </c>
      <c r="AO1057" t="s">
        <v>260</v>
      </c>
      <c r="AQ1057" t="s">
        <v>261</v>
      </c>
      <c r="AS1057">
        <v>1820</v>
      </c>
      <c r="AU1057">
        <v>1342</v>
      </c>
      <c r="AW1057">
        <v>2460</v>
      </c>
      <c r="AX1057" t="s">
        <v>262</v>
      </c>
      <c r="BO1057" t="s">
        <v>261</v>
      </c>
      <c r="BQ1057">
        <v>1.82</v>
      </c>
      <c r="BS1057">
        <v>1.3420000000000001</v>
      </c>
      <c r="BU1057">
        <v>2.46</v>
      </c>
      <c r="BV1057" t="s">
        <v>263</v>
      </c>
      <c r="CM1057" t="s">
        <v>264</v>
      </c>
      <c r="CN1057" t="s">
        <v>264</v>
      </c>
      <c r="CP1057" t="s">
        <v>265</v>
      </c>
      <c r="CQ1057" t="s">
        <v>518</v>
      </c>
      <c r="DB1057">
        <v>2</v>
      </c>
      <c r="DG1057" t="s">
        <v>267</v>
      </c>
      <c r="DI1057">
        <v>48</v>
      </c>
      <c r="DN1057" t="s">
        <v>268</v>
      </c>
      <c r="DR1057">
        <v>161924</v>
      </c>
      <c r="DS1057">
        <v>3045</v>
      </c>
      <c r="EW1057" t="s">
        <v>272</v>
      </c>
      <c r="FO1057">
        <v>26</v>
      </c>
      <c r="FQ1057">
        <v>26.5</v>
      </c>
      <c r="FR1057" t="s">
        <v>295</v>
      </c>
      <c r="FT1057">
        <v>5128</v>
      </c>
      <c r="FY1057" t="s">
        <v>572</v>
      </c>
      <c r="GA1057">
        <v>115</v>
      </c>
      <c r="GF1057" t="s">
        <v>572</v>
      </c>
      <c r="GJ1057">
        <v>5.0999999999999996</v>
      </c>
      <c r="GL1057">
        <v>6.2</v>
      </c>
      <c r="GM1057" t="s">
        <v>356</v>
      </c>
      <c r="GQ1057">
        <v>7.2</v>
      </c>
      <c r="GS1057">
        <v>8.3000000000000007</v>
      </c>
      <c r="GU1057">
        <v>32</v>
      </c>
      <c r="GZ1057" t="s">
        <v>296</v>
      </c>
      <c r="HH1057" t="s">
        <v>272</v>
      </c>
      <c r="IE1057" t="s">
        <v>2216</v>
      </c>
      <c r="IF1057">
        <v>14402</v>
      </c>
      <c r="IG1057" t="s">
        <v>2217</v>
      </c>
      <c r="IH1057" t="s">
        <v>2218</v>
      </c>
      <c r="II1057">
        <v>1993</v>
      </c>
      <c r="IJ1057" t="s">
        <v>2219</v>
      </c>
    </row>
    <row r="1058" spans="1:244" x14ac:dyDescent="0.45">
      <c r="A1058">
        <v>1275696</v>
      </c>
      <c r="B1058">
        <v>727023</v>
      </c>
      <c r="C1058">
        <v>7733020</v>
      </c>
      <c r="D1058" t="s">
        <v>2214</v>
      </c>
      <c r="F1058" t="s">
        <v>245</v>
      </c>
      <c r="G1058" t="s">
        <v>246</v>
      </c>
      <c r="N1058" t="s">
        <v>2362</v>
      </c>
      <c r="O1058" t="s">
        <v>2363</v>
      </c>
      <c r="P1058" t="s">
        <v>249</v>
      </c>
      <c r="Q1058" t="s">
        <v>250</v>
      </c>
      <c r="R1058" t="s">
        <v>251</v>
      </c>
      <c r="T1058" t="s">
        <v>252</v>
      </c>
      <c r="U1058" t="s">
        <v>253</v>
      </c>
      <c r="V1058" t="s">
        <v>2364</v>
      </c>
      <c r="W1058" t="s">
        <v>2365</v>
      </c>
      <c r="X1058" t="s">
        <v>2366</v>
      </c>
      <c r="AL1058" t="s">
        <v>2367</v>
      </c>
      <c r="AM1058" t="s">
        <v>258</v>
      </c>
      <c r="AN1058" t="s">
        <v>259</v>
      </c>
      <c r="AO1058" t="s">
        <v>260</v>
      </c>
      <c r="AP1058" t="s">
        <v>2368</v>
      </c>
      <c r="AQ1058" t="s">
        <v>261</v>
      </c>
      <c r="AS1058">
        <v>2.21</v>
      </c>
      <c r="AX1058" t="s">
        <v>356</v>
      </c>
      <c r="BO1058" t="s">
        <v>261</v>
      </c>
      <c r="BQ1058">
        <v>2.21</v>
      </c>
      <c r="BV1058" t="s">
        <v>263</v>
      </c>
      <c r="CM1058" t="s">
        <v>264</v>
      </c>
      <c r="CN1058" t="s">
        <v>264</v>
      </c>
      <c r="CP1058" t="s">
        <v>265</v>
      </c>
      <c r="CQ1058" t="s">
        <v>518</v>
      </c>
      <c r="DB1058">
        <v>4</v>
      </c>
      <c r="DG1058" t="s">
        <v>267</v>
      </c>
      <c r="DI1058">
        <v>96</v>
      </c>
      <c r="DN1058" t="s">
        <v>268</v>
      </c>
      <c r="DP1058" t="s">
        <v>2369</v>
      </c>
      <c r="DR1058">
        <v>373433</v>
      </c>
      <c r="DS1058">
        <v>18732</v>
      </c>
      <c r="EW1058" t="s">
        <v>293</v>
      </c>
      <c r="FK1058" t="s">
        <v>2370</v>
      </c>
      <c r="FM1058">
        <v>28</v>
      </c>
      <c r="FR1058" t="s">
        <v>295</v>
      </c>
      <c r="GH1058">
        <v>3.1</v>
      </c>
      <c r="GM1058" t="s">
        <v>356</v>
      </c>
      <c r="GO1058">
        <v>8.11</v>
      </c>
      <c r="GU1058">
        <v>38.04</v>
      </c>
      <c r="GZ1058" t="s">
        <v>296</v>
      </c>
      <c r="HH1058" t="s">
        <v>272</v>
      </c>
      <c r="ID1058" t="s">
        <v>2371</v>
      </c>
      <c r="IE1058" t="s">
        <v>2372</v>
      </c>
      <c r="IF1058">
        <v>62226</v>
      </c>
      <c r="IG1058" t="s">
        <v>2373</v>
      </c>
      <c r="IH1058" t="s">
        <v>2374</v>
      </c>
      <c r="II1058">
        <v>1999</v>
      </c>
      <c r="IJ1058" t="s">
        <v>2375</v>
      </c>
    </row>
    <row r="1059" spans="1:244" x14ac:dyDescent="0.45">
      <c r="A1059">
        <v>1141311</v>
      </c>
      <c r="B1059">
        <v>121181</v>
      </c>
      <c r="C1059">
        <v>7733020</v>
      </c>
      <c r="D1059" t="s">
        <v>2214</v>
      </c>
      <c r="F1059" t="s">
        <v>245</v>
      </c>
      <c r="G1059" t="s">
        <v>246</v>
      </c>
      <c r="N1059" t="s">
        <v>1800</v>
      </c>
      <c r="O1059" t="s">
        <v>1801</v>
      </c>
      <c r="P1059" t="s">
        <v>249</v>
      </c>
      <c r="Q1059" t="s">
        <v>250</v>
      </c>
      <c r="R1059" t="s">
        <v>251</v>
      </c>
      <c r="T1059" t="s">
        <v>252</v>
      </c>
      <c r="U1059" t="s">
        <v>253</v>
      </c>
      <c r="V1059" t="s">
        <v>418</v>
      </c>
      <c r="W1059" t="s">
        <v>847</v>
      </c>
      <c r="X1059" t="s">
        <v>1802</v>
      </c>
      <c r="Z1059" t="s">
        <v>649</v>
      </c>
      <c r="AL1059" t="s">
        <v>1803</v>
      </c>
      <c r="AM1059" t="s">
        <v>258</v>
      </c>
      <c r="AN1059" t="s">
        <v>259</v>
      </c>
      <c r="AO1059" t="s">
        <v>260</v>
      </c>
      <c r="AQ1059" t="s">
        <v>261</v>
      </c>
      <c r="AS1059">
        <v>1000</v>
      </c>
      <c r="AU1059">
        <v>633.1</v>
      </c>
      <c r="AW1059">
        <v>1579.6</v>
      </c>
      <c r="AX1059" t="s">
        <v>262</v>
      </c>
      <c r="BO1059" t="s">
        <v>261</v>
      </c>
      <c r="BQ1059">
        <v>1</v>
      </c>
      <c r="BS1059">
        <v>0.6331</v>
      </c>
      <c r="BU1059">
        <v>1.5795999999999999</v>
      </c>
      <c r="BV1059" t="s">
        <v>263</v>
      </c>
      <c r="CM1059" t="s">
        <v>264</v>
      </c>
      <c r="CN1059" t="s">
        <v>264</v>
      </c>
      <c r="CP1059" t="s">
        <v>265</v>
      </c>
      <c r="CQ1059" t="s">
        <v>518</v>
      </c>
      <c r="DB1059">
        <v>3</v>
      </c>
      <c r="DG1059" t="s">
        <v>267</v>
      </c>
      <c r="DI1059">
        <v>72</v>
      </c>
      <c r="DN1059" t="s">
        <v>268</v>
      </c>
      <c r="DP1059" t="s">
        <v>1804</v>
      </c>
      <c r="DR1059">
        <v>1378283</v>
      </c>
      <c r="DS1059">
        <v>4579</v>
      </c>
      <c r="EW1059" t="s">
        <v>271</v>
      </c>
      <c r="FM1059">
        <v>27.5</v>
      </c>
      <c r="FR1059" t="s">
        <v>295</v>
      </c>
      <c r="GG1059" t="s">
        <v>288</v>
      </c>
      <c r="GH1059">
        <v>60</v>
      </c>
      <c r="GM1059" t="s">
        <v>900</v>
      </c>
      <c r="GU1059">
        <v>15</v>
      </c>
      <c r="GZ1059" t="s">
        <v>296</v>
      </c>
      <c r="HH1059" t="s">
        <v>272</v>
      </c>
      <c r="IE1059" t="s">
        <v>1805</v>
      </c>
      <c r="IF1059">
        <v>11853</v>
      </c>
      <c r="IG1059" t="s">
        <v>1806</v>
      </c>
      <c r="IH1059" t="s">
        <v>1807</v>
      </c>
      <c r="II1059">
        <v>1986</v>
      </c>
      <c r="IJ1059" t="s">
        <v>1808</v>
      </c>
    </row>
    <row r="1060" spans="1:244" x14ac:dyDescent="0.45">
      <c r="A1060">
        <v>1209059</v>
      </c>
      <c r="B1060">
        <v>199122</v>
      </c>
      <c r="C1060">
        <v>7733020</v>
      </c>
      <c r="D1060" t="s">
        <v>2214</v>
      </c>
      <c r="F1060" t="s">
        <v>245</v>
      </c>
      <c r="G1060" t="s">
        <v>246</v>
      </c>
      <c r="N1060" t="s">
        <v>1401</v>
      </c>
      <c r="O1060" t="s">
        <v>1299</v>
      </c>
      <c r="P1060" t="s">
        <v>249</v>
      </c>
      <c r="Q1060" t="s">
        <v>250</v>
      </c>
      <c r="R1060" t="s">
        <v>251</v>
      </c>
      <c r="T1060" t="s">
        <v>252</v>
      </c>
      <c r="U1060" t="s">
        <v>371</v>
      </c>
      <c r="V1060" t="s">
        <v>372</v>
      </c>
      <c r="W1060" t="s">
        <v>1402</v>
      </c>
      <c r="X1060" t="s">
        <v>1403</v>
      </c>
      <c r="Z1060" t="s">
        <v>649</v>
      </c>
      <c r="AB1060">
        <v>3</v>
      </c>
      <c r="AG1060" t="s">
        <v>267</v>
      </c>
      <c r="AM1060" t="s">
        <v>258</v>
      </c>
      <c r="AN1060" t="s">
        <v>259</v>
      </c>
      <c r="AO1060" t="s">
        <v>260</v>
      </c>
      <c r="AQ1060" t="s">
        <v>261</v>
      </c>
      <c r="AS1060">
        <v>88.4</v>
      </c>
      <c r="AX1060" t="s">
        <v>262</v>
      </c>
      <c r="BO1060" t="s">
        <v>261</v>
      </c>
      <c r="BQ1060">
        <v>8.8400000000000006E-2</v>
      </c>
      <c r="BV1060" t="s">
        <v>263</v>
      </c>
      <c r="CM1060" t="s">
        <v>264</v>
      </c>
      <c r="CN1060" t="s">
        <v>264</v>
      </c>
      <c r="CP1060" t="s">
        <v>265</v>
      </c>
      <c r="CQ1060" t="s">
        <v>518</v>
      </c>
      <c r="DB1060">
        <v>4</v>
      </c>
      <c r="DG1060" t="s">
        <v>267</v>
      </c>
      <c r="DI1060">
        <v>96</v>
      </c>
      <c r="DN1060" t="s">
        <v>268</v>
      </c>
      <c r="DR1060">
        <v>236552</v>
      </c>
      <c r="DS1060">
        <v>59434</v>
      </c>
      <c r="EW1060" t="s">
        <v>293</v>
      </c>
      <c r="FA1060" t="s">
        <v>2432</v>
      </c>
      <c r="FO1060">
        <v>14</v>
      </c>
      <c r="FQ1060">
        <v>15</v>
      </c>
      <c r="FR1060" t="s">
        <v>295</v>
      </c>
      <c r="GJ1060">
        <v>6.73</v>
      </c>
      <c r="GL1060">
        <v>8.15</v>
      </c>
      <c r="GM1060" t="s">
        <v>356</v>
      </c>
      <c r="GQ1060">
        <v>7.7</v>
      </c>
      <c r="GS1060">
        <v>7.9</v>
      </c>
      <c r="GW1060">
        <v>35</v>
      </c>
      <c r="GY1060">
        <v>38</v>
      </c>
      <c r="GZ1060" t="s">
        <v>296</v>
      </c>
      <c r="HH1060" t="s">
        <v>272</v>
      </c>
      <c r="IE1060" t="s">
        <v>1497</v>
      </c>
      <c r="IF1060">
        <v>19130</v>
      </c>
      <c r="IG1060" t="s">
        <v>1498</v>
      </c>
      <c r="IH1060" t="s">
        <v>1499</v>
      </c>
      <c r="II1060">
        <v>1989</v>
      </c>
      <c r="IJ1060" t="s">
        <v>1500</v>
      </c>
    </row>
    <row r="1061" spans="1:244" x14ac:dyDescent="0.45">
      <c r="A1061">
        <v>2101667</v>
      </c>
      <c r="B1061">
        <v>2186592</v>
      </c>
      <c r="C1061">
        <v>7733020</v>
      </c>
      <c r="D1061" t="s">
        <v>2214</v>
      </c>
      <c r="F1061" t="s">
        <v>245</v>
      </c>
      <c r="G1061" t="s">
        <v>272</v>
      </c>
      <c r="N1061" t="s">
        <v>497</v>
      </c>
      <c r="O1061" t="s">
        <v>498</v>
      </c>
      <c r="P1061" t="s">
        <v>249</v>
      </c>
      <c r="Q1061" t="s">
        <v>250</v>
      </c>
      <c r="R1061" t="s">
        <v>251</v>
      </c>
      <c r="T1061" t="s">
        <v>252</v>
      </c>
      <c r="U1061" t="s">
        <v>499</v>
      </c>
      <c r="V1061" t="s">
        <v>500</v>
      </c>
      <c r="W1061" t="s">
        <v>501</v>
      </c>
      <c r="X1061" t="s">
        <v>502</v>
      </c>
      <c r="AJ1061" t="s">
        <v>354</v>
      </c>
      <c r="AL1061" t="s">
        <v>503</v>
      </c>
      <c r="AM1061" t="s">
        <v>258</v>
      </c>
      <c r="AN1061" t="s">
        <v>259</v>
      </c>
      <c r="AO1061" t="s">
        <v>260</v>
      </c>
      <c r="AQ1061" t="s">
        <v>504</v>
      </c>
      <c r="AS1061">
        <v>0.8</v>
      </c>
      <c r="AU1061">
        <v>0.59</v>
      </c>
      <c r="AW1061">
        <v>1.5</v>
      </c>
      <c r="AX1061" t="s">
        <v>356</v>
      </c>
      <c r="BO1061" t="s">
        <v>504</v>
      </c>
      <c r="BQ1061">
        <v>0.8</v>
      </c>
      <c r="BS1061">
        <v>0.59</v>
      </c>
      <c r="BU1061">
        <v>1.5</v>
      </c>
      <c r="BV1061" t="s">
        <v>263</v>
      </c>
      <c r="CM1061" t="s">
        <v>264</v>
      </c>
      <c r="CN1061" t="s">
        <v>264</v>
      </c>
      <c r="CP1061" t="s">
        <v>265</v>
      </c>
      <c r="CQ1061" t="s">
        <v>518</v>
      </c>
      <c r="DB1061">
        <v>4</v>
      </c>
      <c r="DG1061" t="s">
        <v>267</v>
      </c>
      <c r="DI1061">
        <v>96</v>
      </c>
      <c r="DN1061" t="s">
        <v>268</v>
      </c>
      <c r="DP1061" t="s">
        <v>2307</v>
      </c>
      <c r="DR1061">
        <v>1400849</v>
      </c>
      <c r="DS1061">
        <v>4389</v>
      </c>
      <c r="DT1061" t="s">
        <v>506</v>
      </c>
      <c r="DV1061">
        <v>96</v>
      </c>
      <c r="EA1061" t="s">
        <v>268</v>
      </c>
      <c r="EC1061">
        <v>4</v>
      </c>
      <c r="EH1061" t="s">
        <v>267</v>
      </c>
      <c r="EJ1061">
        <v>96</v>
      </c>
      <c r="EO1061" t="s">
        <v>268</v>
      </c>
      <c r="EQ1061">
        <v>4</v>
      </c>
      <c r="EV1061" t="s">
        <v>267</v>
      </c>
      <c r="EW1061" t="s">
        <v>272</v>
      </c>
      <c r="EY1061" t="s">
        <v>377</v>
      </c>
      <c r="FA1061" t="s">
        <v>397</v>
      </c>
      <c r="FM1061">
        <v>25</v>
      </c>
      <c r="FR1061" t="s">
        <v>295</v>
      </c>
      <c r="HH1061" t="s">
        <v>272</v>
      </c>
      <c r="ID1061" t="s">
        <v>507</v>
      </c>
      <c r="IE1061" t="s">
        <v>508</v>
      </c>
      <c r="IF1061">
        <v>150008</v>
      </c>
      <c r="IG1061" t="s">
        <v>509</v>
      </c>
      <c r="IH1061" t="s">
        <v>510</v>
      </c>
      <c r="II1061">
        <v>2010</v>
      </c>
      <c r="IJ1061" t="s">
        <v>511</v>
      </c>
    </row>
    <row r="1062" spans="1:244" x14ac:dyDescent="0.45">
      <c r="A1062">
        <v>1278927</v>
      </c>
      <c r="B1062">
        <v>732222</v>
      </c>
      <c r="C1062">
        <v>7733020</v>
      </c>
      <c r="D1062" t="s">
        <v>2214</v>
      </c>
      <c r="F1062" t="s">
        <v>245</v>
      </c>
      <c r="G1062" t="s">
        <v>246</v>
      </c>
      <c r="N1062" t="s">
        <v>535</v>
      </c>
      <c r="O1062" t="s">
        <v>536</v>
      </c>
      <c r="P1062" t="s">
        <v>249</v>
      </c>
      <c r="Q1062" t="s">
        <v>250</v>
      </c>
      <c r="R1062" t="s">
        <v>251</v>
      </c>
      <c r="T1062" t="s">
        <v>252</v>
      </c>
      <c r="U1062" t="s">
        <v>253</v>
      </c>
      <c r="V1062" t="s">
        <v>304</v>
      </c>
      <c r="W1062" t="s">
        <v>305</v>
      </c>
      <c r="X1062" t="s">
        <v>537</v>
      </c>
      <c r="AL1062" t="s">
        <v>2433</v>
      </c>
      <c r="AM1062" t="s">
        <v>317</v>
      </c>
      <c r="AN1062" t="s">
        <v>259</v>
      </c>
      <c r="AO1062" t="s">
        <v>260</v>
      </c>
      <c r="AP1062">
        <v>6</v>
      </c>
      <c r="AQ1062" t="s">
        <v>261</v>
      </c>
      <c r="AS1062">
        <v>16</v>
      </c>
      <c r="AX1062" t="s">
        <v>356</v>
      </c>
      <c r="BO1062" t="s">
        <v>261</v>
      </c>
      <c r="BQ1062">
        <v>16</v>
      </c>
      <c r="BV1062" t="s">
        <v>263</v>
      </c>
      <c r="CM1062" t="s">
        <v>264</v>
      </c>
      <c r="CN1062" t="s">
        <v>264</v>
      </c>
      <c r="CP1062" t="s">
        <v>265</v>
      </c>
      <c r="CQ1062" t="s">
        <v>518</v>
      </c>
      <c r="DB1062">
        <v>2</v>
      </c>
      <c r="DG1062" t="s">
        <v>267</v>
      </c>
      <c r="DI1062">
        <v>48</v>
      </c>
      <c r="DN1062" t="s">
        <v>268</v>
      </c>
      <c r="DP1062" t="s">
        <v>2429</v>
      </c>
      <c r="DR1062">
        <v>661414</v>
      </c>
      <c r="DS1062">
        <v>16591</v>
      </c>
      <c r="EW1062" t="s">
        <v>293</v>
      </c>
      <c r="FK1062" t="s">
        <v>2434</v>
      </c>
      <c r="FO1062">
        <v>25.8</v>
      </c>
      <c r="FQ1062">
        <v>27</v>
      </c>
      <c r="FR1062" t="s">
        <v>295</v>
      </c>
      <c r="GG1062" t="s">
        <v>288</v>
      </c>
      <c r="GH1062">
        <v>4</v>
      </c>
      <c r="GM1062" t="s">
        <v>422</v>
      </c>
      <c r="GQ1062">
        <v>7.95</v>
      </c>
      <c r="GS1062">
        <v>8</v>
      </c>
      <c r="GU1062">
        <v>36</v>
      </c>
      <c r="GZ1062" t="s">
        <v>296</v>
      </c>
      <c r="HH1062" t="s">
        <v>272</v>
      </c>
      <c r="ID1062" t="s">
        <v>2435</v>
      </c>
      <c r="IE1062" t="s">
        <v>542</v>
      </c>
      <c r="IF1062">
        <v>48249</v>
      </c>
      <c r="IG1062" t="s">
        <v>543</v>
      </c>
      <c r="IH1062" t="s">
        <v>544</v>
      </c>
      <c r="II1062">
        <v>1980</v>
      </c>
      <c r="IJ1062" t="s">
        <v>545</v>
      </c>
    </row>
    <row r="1063" spans="1:244" x14ac:dyDescent="0.45">
      <c r="A1063">
        <v>1153353</v>
      </c>
      <c r="B1063">
        <v>160868</v>
      </c>
      <c r="C1063">
        <v>7733020</v>
      </c>
      <c r="D1063" t="s">
        <v>2214</v>
      </c>
      <c r="F1063" t="s">
        <v>245</v>
      </c>
      <c r="G1063" t="s">
        <v>246</v>
      </c>
      <c r="N1063" t="s">
        <v>1672</v>
      </c>
      <c r="O1063" t="s">
        <v>1673</v>
      </c>
      <c r="P1063" t="s">
        <v>249</v>
      </c>
      <c r="Q1063" t="s">
        <v>250</v>
      </c>
      <c r="R1063" t="s">
        <v>251</v>
      </c>
      <c r="T1063" t="s">
        <v>252</v>
      </c>
      <c r="U1063" t="s">
        <v>253</v>
      </c>
      <c r="V1063" t="s">
        <v>1674</v>
      </c>
      <c r="W1063" t="s">
        <v>1675</v>
      </c>
      <c r="X1063" t="s">
        <v>1676</v>
      </c>
      <c r="Z1063" t="s">
        <v>1677</v>
      </c>
      <c r="AL1063" t="s">
        <v>1678</v>
      </c>
      <c r="AM1063" t="s">
        <v>287</v>
      </c>
      <c r="AN1063" t="s">
        <v>259</v>
      </c>
      <c r="AO1063" t="s">
        <v>260</v>
      </c>
      <c r="AQ1063" t="s">
        <v>261</v>
      </c>
      <c r="AS1063">
        <v>152600</v>
      </c>
      <c r="AX1063" t="s">
        <v>262</v>
      </c>
      <c r="BO1063" t="s">
        <v>261</v>
      </c>
      <c r="BQ1063">
        <v>152.6</v>
      </c>
      <c r="BV1063" t="s">
        <v>263</v>
      </c>
      <c r="CM1063" t="s">
        <v>264</v>
      </c>
      <c r="CN1063" t="s">
        <v>264</v>
      </c>
      <c r="CP1063" t="s">
        <v>265</v>
      </c>
      <c r="DB1063">
        <v>3</v>
      </c>
      <c r="DG1063" t="s">
        <v>267</v>
      </c>
      <c r="DI1063">
        <v>72</v>
      </c>
      <c r="DN1063" t="s">
        <v>268</v>
      </c>
      <c r="DR1063">
        <v>1460405</v>
      </c>
      <c r="DS1063">
        <v>5936</v>
      </c>
      <c r="EW1063" t="s">
        <v>293</v>
      </c>
      <c r="FK1063" t="s">
        <v>1679</v>
      </c>
      <c r="HH1063" t="s">
        <v>272</v>
      </c>
      <c r="ID1063" t="s">
        <v>1680</v>
      </c>
      <c r="IE1063" t="s">
        <v>1681</v>
      </c>
      <c r="IF1063">
        <v>13233</v>
      </c>
      <c r="IG1063" t="s">
        <v>1682</v>
      </c>
      <c r="IH1063" t="s">
        <v>1683</v>
      </c>
      <c r="II1063">
        <v>1988</v>
      </c>
      <c r="IJ1063" t="s">
        <v>1684</v>
      </c>
    </row>
    <row r="1064" spans="1:244" x14ac:dyDescent="0.45">
      <c r="A1064">
        <v>1096449</v>
      </c>
      <c r="B1064">
        <v>130169</v>
      </c>
      <c r="C1064">
        <v>7733020</v>
      </c>
      <c r="D1064" t="s">
        <v>2214</v>
      </c>
      <c r="F1064" t="s">
        <v>245</v>
      </c>
      <c r="G1064" t="s">
        <v>246</v>
      </c>
      <c r="N1064" t="s">
        <v>2245</v>
      </c>
      <c r="O1064" t="s">
        <v>631</v>
      </c>
      <c r="P1064" t="s">
        <v>249</v>
      </c>
      <c r="Q1064" t="s">
        <v>250</v>
      </c>
      <c r="R1064" t="s">
        <v>251</v>
      </c>
      <c r="T1064" t="s">
        <v>389</v>
      </c>
      <c r="U1064" t="s">
        <v>632</v>
      </c>
      <c r="V1064" t="s">
        <v>633</v>
      </c>
      <c r="W1064" t="s">
        <v>634</v>
      </c>
      <c r="X1064" t="s">
        <v>2246</v>
      </c>
      <c r="Z1064" t="s">
        <v>315</v>
      </c>
      <c r="AM1064" t="s">
        <v>317</v>
      </c>
      <c r="AN1064" t="s">
        <v>259</v>
      </c>
      <c r="AO1064" t="s">
        <v>260</v>
      </c>
      <c r="AQ1064" t="s">
        <v>2247</v>
      </c>
      <c r="AS1064">
        <v>550</v>
      </c>
      <c r="AU1064">
        <v>0</v>
      </c>
      <c r="AW1064">
        <v>860</v>
      </c>
      <c r="AX1064" t="s">
        <v>262</v>
      </c>
      <c r="BO1064" t="s">
        <v>2247</v>
      </c>
      <c r="BQ1064">
        <v>0.55000000000000004</v>
      </c>
      <c r="BS1064">
        <v>0</v>
      </c>
      <c r="BU1064">
        <v>0.86</v>
      </c>
      <c r="BV1064" t="s">
        <v>263</v>
      </c>
      <c r="CM1064" t="s">
        <v>264</v>
      </c>
      <c r="CN1064" t="s">
        <v>264</v>
      </c>
      <c r="CP1064" t="s">
        <v>265</v>
      </c>
      <c r="CQ1064" t="s">
        <v>518</v>
      </c>
      <c r="DB1064">
        <v>2</v>
      </c>
      <c r="DG1064" t="s">
        <v>267</v>
      </c>
      <c r="DI1064">
        <v>48</v>
      </c>
      <c r="DN1064" t="s">
        <v>268</v>
      </c>
      <c r="DS1064">
        <v>4662</v>
      </c>
      <c r="DT1064" t="s">
        <v>2224</v>
      </c>
      <c r="EW1064" t="s">
        <v>333</v>
      </c>
      <c r="FM1064">
        <v>25</v>
      </c>
      <c r="FR1064" t="s">
        <v>295</v>
      </c>
      <c r="GU1064">
        <v>28</v>
      </c>
      <c r="GZ1064" t="s">
        <v>296</v>
      </c>
      <c r="HH1064" t="s">
        <v>272</v>
      </c>
      <c r="IE1064" t="s">
        <v>2225</v>
      </c>
      <c r="IF1064">
        <v>6825</v>
      </c>
      <c r="IG1064" t="s">
        <v>2226</v>
      </c>
      <c r="IH1064" t="s">
        <v>2227</v>
      </c>
      <c r="II1064">
        <v>1993</v>
      </c>
      <c r="IJ1064" t="s">
        <v>2228</v>
      </c>
    </row>
    <row r="1065" spans="1:244" x14ac:dyDescent="0.45">
      <c r="A1065">
        <v>1162984</v>
      </c>
      <c r="B1065">
        <v>183404</v>
      </c>
      <c r="C1065">
        <v>7733020</v>
      </c>
      <c r="D1065" t="s">
        <v>2214</v>
      </c>
      <c r="F1065" t="s">
        <v>272</v>
      </c>
      <c r="G1065" t="s">
        <v>246</v>
      </c>
      <c r="N1065" t="s">
        <v>789</v>
      </c>
      <c r="O1065" t="s">
        <v>790</v>
      </c>
      <c r="P1065" t="s">
        <v>249</v>
      </c>
      <c r="Q1065" t="s">
        <v>250</v>
      </c>
      <c r="R1065" t="s">
        <v>251</v>
      </c>
      <c r="T1065" t="s">
        <v>252</v>
      </c>
      <c r="U1065" t="s">
        <v>253</v>
      </c>
      <c r="V1065" t="s">
        <v>418</v>
      </c>
      <c r="W1065" t="s">
        <v>791</v>
      </c>
      <c r="X1065" t="s">
        <v>792</v>
      </c>
      <c r="Z1065" t="s">
        <v>649</v>
      </c>
      <c r="AL1065" t="s">
        <v>2407</v>
      </c>
      <c r="AM1065" t="s">
        <v>258</v>
      </c>
      <c r="AN1065" t="s">
        <v>259</v>
      </c>
      <c r="AO1065" t="s">
        <v>260</v>
      </c>
      <c r="AQ1065" t="s">
        <v>261</v>
      </c>
      <c r="AS1065">
        <v>1340</v>
      </c>
      <c r="AU1065">
        <v>927</v>
      </c>
      <c r="AW1065">
        <v>1941</v>
      </c>
      <c r="AX1065" t="s">
        <v>262</v>
      </c>
      <c r="BO1065" t="s">
        <v>261</v>
      </c>
      <c r="BQ1065">
        <v>1.34</v>
      </c>
      <c r="BS1065">
        <v>0.92700000000000005</v>
      </c>
      <c r="BU1065">
        <v>1.9410000000000001</v>
      </c>
      <c r="BV1065" t="s">
        <v>263</v>
      </c>
      <c r="CM1065" t="s">
        <v>264</v>
      </c>
      <c r="CN1065" t="s">
        <v>264</v>
      </c>
      <c r="CP1065" t="s">
        <v>265</v>
      </c>
      <c r="CQ1065" t="s">
        <v>518</v>
      </c>
      <c r="DB1065">
        <v>3</v>
      </c>
      <c r="DG1065" t="s">
        <v>267</v>
      </c>
      <c r="DI1065">
        <v>72</v>
      </c>
      <c r="DN1065" t="s">
        <v>268</v>
      </c>
      <c r="DR1065">
        <v>161924</v>
      </c>
      <c r="DS1065">
        <v>3045</v>
      </c>
      <c r="EW1065" t="s">
        <v>272</v>
      </c>
      <c r="FO1065">
        <v>25</v>
      </c>
      <c r="FQ1065">
        <v>26</v>
      </c>
      <c r="FR1065" t="s">
        <v>295</v>
      </c>
      <c r="FT1065">
        <v>5128</v>
      </c>
      <c r="FY1065" t="s">
        <v>572</v>
      </c>
      <c r="GA1065">
        <v>115</v>
      </c>
      <c r="GF1065" t="s">
        <v>572</v>
      </c>
      <c r="GJ1065">
        <v>5.5</v>
      </c>
      <c r="GL1065">
        <v>6.4</v>
      </c>
      <c r="GM1065" t="s">
        <v>356</v>
      </c>
      <c r="GQ1065">
        <v>7.9</v>
      </c>
      <c r="GS1065">
        <v>8.5</v>
      </c>
      <c r="GU1065">
        <v>32</v>
      </c>
      <c r="GZ1065" t="s">
        <v>296</v>
      </c>
      <c r="HH1065" t="s">
        <v>272</v>
      </c>
      <c r="IE1065" t="s">
        <v>2216</v>
      </c>
      <c r="IF1065">
        <v>14402</v>
      </c>
      <c r="IG1065" t="s">
        <v>2217</v>
      </c>
      <c r="IH1065" t="s">
        <v>2218</v>
      </c>
      <c r="II1065">
        <v>1993</v>
      </c>
      <c r="IJ1065" t="s">
        <v>2219</v>
      </c>
    </row>
    <row r="1066" spans="1:244" x14ac:dyDescent="0.45">
      <c r="A1066">
        <v>1226929</v>
      </c>
      <c r="B1066">
        <v>216559</v>
      </c>
      <c r="C1066">
        <v>7733020</v>
      </c>
      <c r="D1066" t="s">
        <v>2214</v>
      </c>
      <c r="E1066" t="s">
        <v>622</v>
      </c>
      <c r="F1066" t="s">
        <v>245</v>
      </c>
      <c r="G1066" t="s">
        <v>246</v>
      </c>
      <c r="N1066" t="s">
        <v>247</v>
      </c>
      <c r="O1066" t="s">
        <v>248</v>
      </c>
      <c r="P1066" t="s">
        <v>249</v>
      </c>
      <c r="Q1066" t="s">
        <v>250</v>
      </c>
      <c r="R1066" t="s">
        <v>251</v>
      </c>
      <c r="T1066" t="s">
        <v>252</v>
      </c>
      <c r="U1066" t="s">
        <v>253</v>
      </c>
      <c r="V1066" t="s">
        <v>254</v>
      </c>
      <c r="W1066" t="s">
        <v>255</v>
      </c>
      <c r="X1066" t="s">
        <v>256</v>
      </c>
      <c r="AL1066" t="s">
        <v>1765</v>
      </c>
      <c r="AM1066" t="s">
        <v>258</v>
      </c>
      <c r="AN1066" t="s">
        <v>259</v>
      </c>
      <c r="AO1066" t="s">
        <v>260</v>
      </c>
      <c r="AQ1066" t="s">
        <v>261</v>
      </c>
      <c r="AS1066">
        <v>32</v>
      </c>
      <c r="AX1066" t="s">
        <v>422</v>
      </c>
      <c r="BO1066" t="s">
        <v>261</v>
      </c>
      <c r="BQ1066">
        <v>32</v>
      </c>
      <c r="BV1066" t="s">
        <v>263</v>
      </c>
      <c r="CM1066" t="s">
        <v>264</v>
      </c>
      <c r="CN1066" t="s">
        <v>264</v>
      </c>
      <c r="CP1066" t="s">
        <v>265</v>
      </c>
      <c r="DB1066">
        <v>4</v>
      </c>
      <c r="DG1066" t="s">
        <v>267</v>
      </c>
      <c r="DI1066">
        <v>96</v>
      </c>
      <c r="DN1066" t="s">
        <v>268</v>
      </c>
      <c r="DR1066">
        <v>6761</v>
      </c>
      <c r="DS1066">
        <v>2461</v>
      </c>
      <c r="EW1066" t="s">
        <v>272</v>
      </c>
      <c r="GH1066">
        <v>4.41</v>
      </c>
      <c r="GM1066" t="s">
        <v>1766</v>
      </c>
      <c r="GO1066">
        <v>7.5</v>
      </c>
      <c r="GU1066">
        <v>27</v>
      </c>
      <c r="GZ1066" t="s">
        <v>296</v>
      </c>
      <c r="HH1066" t="s">
        <v>272</v>
      </c>
      <c r="IE1066" t="s">
        <v>782</v>
      </c>
      <c r="IF1066">
        <v>52573</v>
      </c>
      <c r="IG1066" t="s">
        <v>1767</v>
      </c>
      <c r="IH1066" t="s">
        <v>1768</v>
      </c>
      <c r="II1066">
        <v>1999</v>
      </c>
      <c r="IJ1066" t="s">
        <v>1769</v>
      </c>
    </row>
    <row r="1067" spans="1:244" x14ac:dyDescent="0.45">
      <c r="A1067">
        <v>1096369</v>
      </c>
      <c r="B1067">
        <v>117495</v>
      </c>
      <c r="C1067">
        <v>7733020</v>
      </c>
      <c r="D1067" t="s">
        <v>2214</v>
      </c>
      <c r="F1067" t="s">
        <v>327</v>
      </c>
      <c r="G1067" t="s">
        <v>246</v>
      </c>
      <c r="N1067" t="s">
        <v>1401</v>
      </c>
      <c r="O1067" t="s">
        <v>1299</v>
      </c>
      <c r="P1067" t="s">
        <v>249</v>
      </c>
      <c r="Q1067" t="s">
        <v>250</v>
      </c>
      <c r="R1067" t="s">
        <v>251</v>
      </c>
      <c r="T1067" t="s">
        <v>252</v>
      </c>
      <c r="U1067" t="s">
        <v>371</v>
      </c>
      <c r="V1067" t="s">
        <v>372</v>
      </c>
      <c r="W1067" t="s">
        <v>1402</v>
      </c>
      <c r="X1067" t="s">
        <v>1403</v>
      </c>
      <c r="Z1067" t="s">
        <v>649</v>
      </c>
      <c r="AB1067">
        <v>3</v>
      </c>
      <c r="AG1067" t="s">
        <v>267</v>
      </c>
      <c r="AM1067" t="s">
        <v>317</v>
      </c>
      <c r="AN1067" t="s">
        <v>259</v>
      </c>
      <c r="AO1067" t="s">
        <v>260</v>
      </c>
      <c r="AQ1067" t="s">
        <v>261</v>
      </c>
      <c r="AS1067">
        <v>88</v>
      </c>
      <c r="AU1067">
        <v>77</v>
      </c>
      <c r="AW1067">
        <v>101</v>
      </c>
      <c r="AX1067" t="s">
        <v>262</v>
      </c>
      <c r="BO1067" t="s">
        <v>261</v>
      </c>
      <c r="BQ1067">
        <v>8.7999999999999995E-2</v>
      </c>
      <c r="BS1067">
        <v>7.6999999999999999E-2</v>
      </c>
      <c r="BU1067">
        <v>0.10100000000000001</v>
      </c>
      <c r="BV1067" t="s">
        <v>263</v>
      </c>
      <c r="CM1067" t="s">
        <v>264</v>
      </c>
      <c r="CN1067" t="s">
        <v>264</v>
      </c>
      <c r="CP1067" t="s">
        <v>265</v>
      </c>
      <c r="CQ1067" t="s">
        <v>518</v>
      </c>
      <c r="DB1067">
        <v>4</v>
      </c>
      <c r="DG1067" t="s">
        <v>267</v>
      </c>
      <c r="DI1067">
        <v>96</v>
      </c>
      <c r="DN1067" t="s">
        <v>268</v>
      </c>
      <c r="DR1067">
        <v>236552</v>
      </c>
      <c r="DS1067">
        <v>59434</v>
      </c>
      <c r="DT1067" t="s">
        <v>2234</v>
      </c>
      <c r="EW1067" t="s">
        <v>333</v>
      </c>
      <c r="FO1067">
        <v>12.9</v>
      </c>
      <c r="FQ1067">
        <v>14.3</v>
      </c>
      <c r="FR1067" t="s">
        <v>295</v>
      </c>
      <c r="GJ1067">
        <v>7.6</v>
      </c>
      <c r="GL1067">
        <v>7.9</v>
      </c>
      <c r="GM1067" t="s">
        <v>356</v>
      </c>
      <c r="GQ1067">
        <v>7.5</v>
      </c>
      <c r="GS1067">
        <v>7.75</v>
      </c>
      <c r="GW1067">
        <v>34</v>
      </c>
      <c r="GY1067">
        <v>36</v>
      </c>
      <c r="GZ1067" t="s">
        <v>296</v>
      </c>
      <c r="HH1067" t="s">
        <v>272</v>
      </c>
      <c r="IE1067" t="s">
        <v>2235</v>
      </c>
      <c r="IF1067">
        <v>6821</v>
      </c>
      <c r="IG1067" t="s">
        <v>2236</v>
      </c>
      <c r="IH1067" t="s">
        <v>2237</v>
      </c>
      <c r="II1067">
        <v>1989</v>
      </c>
      <c r="IJ1067" t="s">
        <v>2238</v>
      </c>
    </row>
    <row r="1068" spans="1:244" x14ac:dyDescent="0.45">
      <c r="A1068">
        <v>1096446</v>
      </c>
      <c r="B1068">
        <v>130166</v>
      </c>
      <c r="C1068">
        <v>7733020</v>
      </c>
      <c r="D1068" t="s">
        <v>2214</v>
      </c>
      <c r="F1068" t="s">
        <v>245</v>
      </c>
      <c r="G1068" t="s">
        <v>246</v>
      </c>
      <c r="N1068" t="s">
        <v>2245</v>
      </c>
      <c r="O1068" t="s">
        <v>631</v>
      </c>
      <c r="P1068" t="s">
        <v>249</v>
      </c>
      <c r="Q1068" t="s">
        <v>250</v>
      </c>
      <c r="R1068" t="s">
        <v>251</v>
      </c>
      <c r="T1068" t="s">
        <v>389</v>
      </c>
      <c r="U1068" t="s">
        <v>632</v>
      </c>
      <c r="V1068" t="s">
        <v>633</v>
      </c>
      <c r="W1068" t="s">
        <v>634</v>
      </c>
      <c r="X1068" t="s">
        <v>2246</v>
      </c>
      <c r="Z1068" t="s">
        <v>315</v>
      </c>
      <c r="AL1068" t="s">
        <v>2223</v>
      </c>
      <c r="AM1068" t="s">
        <v>317</v>
      </c>
      <c r="AN1068" t="s">
        <v>259</v>
      </c>
      <c r="AO1068" t="s">
        <v>260</v>
      </c>
      <c r="AQ1068" t="s">
        <v>261</v>
      </c>
      <c r="AS1068">
        <v>420</v>
      </c>
      <c r="AU1068">
        <v>310</v>
      </c>
      <c r="AW1068">
        <v>560</v>
      </c>
      <c r="AX1068" t="s">
        <v>262</v>
      </c>
      <c r="BO1068" t="s">
        <v>261</v>
      </c>
      <c r="BQ1068">
        <v>0.42</v>
      </c>
      <c r="BS1068">
        <v>0.31</v>
      </c>
      <c r="BU1068">
        <v>0.56000000000000005</v>
      </c>
      <c r="BV1068" t="s">
        <v>263</v>
      </c>
      <c r="CM1068" t="s">
        <v>264</v>
      </c>
      <c r="CN1068" t="s">
        <v>264</v>
      </c>
      <c r="CP1068" t="s">
        <v>265</v>
      </c>
      <c r="CQ1068" t="s">
        <v>518</v>
      </c>
      <c r="DB1068">
        <v>2</v>
      </c>
      <c r="DG1068" t="s">
        <v>267</v>
      </c>
      <c r="DI1068">
        <v>48</v>
      </c>
      <c r="DN1068" t="s">
        <v>268</v>
      </c>
      <c r="DS1068">
        <v>4662</v>
      </c>
      <c r="DT1068" t="s">
        <v>2224</v>
      </c>
      <c r="EW1068" t="s">
        <v>333</v>
      </c>
      <c r="FM1068">
        <v>25</v>
      </c>
      <c r="FR1068" t="s">
        <v>295</v>
      </c>
      <c r="GU1068">
        <v>33.5</v>
      </c>
      <c r="GZ1068" t="s">
        <v>296</v>
      </c>
      <c r="HH1068" t="s">
        <v>272</v>
      </c>
      <c r="IE1068" t="s">
        <v>2225</v>
      </c>
      <c r="IF1068">
        <v>6825</v>
      </c>
      <c r="IG1068" t="s">
        <v>2226</v>
      </c>
      <c r="IH1068" t="s">
        <v>2227</v>
      </c>
      <c r="II1068">
        <v>1993</v>
      </c>
      <c r="IJ1068" t="s">
        <v>2228</v>
      </c>
    </row>
    <row r="1069" spans="1:244" x14ac:dyDescent="0.45">
      <c r="A1069">
        <v>1033121</v>
      </c>
      <c r="B1069">
        <v>107271</v>
      </c>
      <c r="C1069">
        <v>7733020</v>
      </c>
      <c r="D1069" t="s">
        <v>2214</v>
      </c>
      <c r="F1069" t="s">
        <v>245</v>
      </c>
      <c r="G1069" t="s">
        <v>246</v>
      </c>
      <c r="N1069" t="s">
        <v>471</v>
      </c>
      <c r="O1069" t="s">
        <v>388</v>
      </c>
      <c r="P1069" t="s">
        <v>249</v>
      </c>
      <c r="Q1069" t="s">
        <v>250</v>
      </c>
      <c r="R1069" t="s">
        <v>251</v>
      </c>
      <c r="T1069" t="s">
        <v>389</v>
      </c>
      <c r="U1069" t="s">
        <v>390</v>
      </c>
      <c r="V1069" t="s">
        <v>472</v>
      </c>
      <c r="W1069" t="s">
        <v>473</v>
      </c>
      <c r="X1069" t="s">
        <v>474</v>
      </c>
      <c r="AL1069" t="s">
        <v>2296</v>
      </c>
      <c r="AM1069" t="s">
        <v>317</v>
      </c>
      <c r="AN1069" t="s">
        <v>259</v>
      </c>
      <c r="AO1069" t="s">
        <v>260</v>
      </c>
      <c r="AQ1069" t="s">
        <v>261</v>
      </c>
      <c r="AS1069">
        <v>713</v>
      </c>
      <c r="AX1069" t="s">
        <v>262</v>
      </c>
      <c r="BO1069" t="s">
        <v>261</v>
      </c>
      <c r="BQ1069">
        <v>0.71299999999999997</v>
      </c>
      <c r="BV1069" t="s">
        <v>263</v>
      </c>
      <c r="CM1069" t="s">
        <v>264</v>
      </c>
      <c r="CN1069" t="s">
        <v>264</v>
      </c>
      <c r="CP1069" t="s">
        <v>265</v>
      </c>
      <c r="CQ1069" t="s">
        <v>518</v>
      </c>
      <c r="DB1069">
        <v>2</v>
      </c>
      <c r="DG1069" t="s">
        <v>267</v>
      </c>
      <c r="DI1069">
        <v>48</v>
      </c>
      <c r="DN1069" t="s">
        <v>268</v>
      </c>
      <c r="DR1069">
        <v>2056173</v>
      </c>
      <c r="DS1069">
        <v>1053</v>
      </c>
      <c r="DT1069" t="s">
        <v>2297</v>
      </c>
      <c r="EW1069" t="s">
        <v>333</v>
      </c>
      <c r="FA1069" t="s">
        <v>2436</v>
      </c>
      <c r="FM1069">
        <v>18</v>
      </c>
      <c r="FR1069" t="s">
        <v>295</v>
      </c>
      <c r="HH1069" t="s">
        <v>272</v>
      </c>
      <c r="IE1069" t="s">
        <v>2299</v>
      </c>
      <c r="IF1069">
        <v>2084</v>
      </c>
      <c r="IG1069" t="s">
        <v>2300</v>
      </c>
      <c r="IH1069" t="s">
        <v>2301</v>
      </c>
      <c r="II1069">
        <v>1989</v>
      </c>
      <c r="IJ1069" t="s">
        <v>2302</v>
      </c>
    </row>
    <row r="1070" spans="1:244" x14ac:dyDescent="0.45">
      <c r="A1070">
        <v>1204318</v>
      </c>
      <c r="B1070">
        <v>209169</v>
      </c>
      <c r="C1070">
        <v>7733020</v>
      </c>
      <c r="D1070" t="s">
        <v>2214</v>
      </c>
      <c r="E1070" t="s">
        <v>622</v>
      </c>
      <c r="F1070" t="s">
        <v>245</v>
      </c>
      <c r="G1070" t="s">
        <v>246</v>
      </c>
      <c r="N1070" t="s">
        <v>2437</v>
      </c>
      <c r="O1070" t="s">
        <v>248</v>
      </c>
      <c r="P1070" t="s">
        <v>249</v>
      </c>
      <c r="Q1070" t="s">
        <v>250</v>
      </c>
      <c r="R1070" t="s">
        <v>251</v>
      </c>
      <c r="T1070" t="s">
        <v>252</v>
      </c>
      <c r="U1070" t="s">
        <v>253</v>
      </c>
      <c r="V1070" t="s">
        <v>2438</v>
      </c>
      <c r="W1070" t="s">
        <v>2439</v>
      </c>
      <c r="X1070" t="s">
        <v>351</v>
      </c>
      <c r="Z1070" t="s">
        <v>284</v>
      </c>
      <c r="AB1070">
        <v>8</v>
      </c>
      <c r="AG1070" t="s">
        <v>268</v>
      </c>
      <c r="AL1070" t="s">
        <v>2440</v>
      </c>
      <c r="AM1070" t="s">
        <v>258</v>
      </c>
      <c r="AN1070" t="s">
        <v>259</v>
      </c>
      <c r="AO1070" t="s">
        <v>260</v>
      </c>
      <c r="AQ1070" t="s">
        <v>261</v>
      </c>
      <c r="AS1070">
        <v>250</v>
      </c>
      <c r="AU1070">
        <v>166.7</v>
      </c>
      <c r="AW1070">
        <v>375</v>
      </c>
      <c r="AX1070" t="s">
        <v>262</v>
      </c>
      <c r="BO1070" t="s">
        <v>261</v>
      </c>
      <c r="BQ1070">
        <v>0.25</v>
      </c>
      <c r="BS1070">
        <v>0.16669999999999999</v>
      </c>
      <c r="BU1070">
        <v>0.375</v>
      </c>
      <c r="BV1070" t="s">
        <v>263</v>
      </c>
      <c r="CM1070" t="s">
        <v>264</v>
      </c>
      <c r="CN1070" t="s">
        <v>264</v>
      </c>
      <c r="CP1070" t="s">
        <v>265</v>
      </c>
      <c r="DB1070">
        <v>4</v>
      </c>
      <c r="DG1070" t="s">
        <v>267</v>
      </c>
      <c r="DI1070">
        <v>96</v>
      </c>
      <c r="DN1070" t="s">
        <v>268</v>
      </c>
      <c r="DR1070">
        <v>1550662</v>
      </c>
      <c r="DS1070">
        <v>10967</v>
      </c>
      <c r="EW1070" t="s">
        <v>293</v>
      </c>
      <c r="GU1070">
        <v>25</v>
      </c>
      <c r="GZ1070" t="s">
        <v>296</v>
      </c>
      <c r="HH1070" t="s">
        <v>272</v>
      </c>
      <c r="IE1070" t="s">
        <v>1820</v>
      </c>
      <c r="IF1070">
        <v>18580</v>
      </c>
      <c r="IG1070" t="s">
        <v>1821</v>
      </c>
      <c r="IH1070" t="s">
        <v>1822</v>
      </c>
      <c r="II1070">
        <v>1996</v>
      </c>
      <c r="IJ1070" t="s">
        <v>1823</v>
      </c>
    </row>
    <row r="1071" spans="1:244" x14ac:dyDescent="0.45">
      <c r="A1071">
        <v>1162974</v>
      </c>
      <c r="B1071">
        <v>183394</v>
      </c>
      <c r="C1071">
        <v>7733020</v>
      </c>
      <c r="D1071" t="s">
        <v>2214</v>
      </c>
      <c r="F1071" t="s">
        <v>272</v>
      </c>
      <c r="G1071" t="s">
        <v>246</v>
      </c>
      <c r="N1071" t="s">
        <v>789</v>
      </c>
      <c r="O1071" t="s">
        <v>790</v>
      </c>
      <c r="P1071" t="s">
        <v>249</v>
      </c>
      <c r="Q1071" t="s">
        <v>250</v>
      </c>
      <c r="R1071" t="s">
        <v>251</v>
      </c>
      <c r="T1071" t="s">
        <v>252</v>
      </c>
      <c r="U1071" t="s">
        <v>253</v>
      </c>
      <c r="V1071" t="s">
        <v>418</v>
      </c>
      <c r="W1071" t="s">
        <v>791</v>
      </c>
      <c r="X1071" t="s">
        <v>792</v>
      </c>
      <c r="Z1071" t="s">
        <v>649</v>
      </c>
      <c r="AL1071" t="s">
        <v>2407</v>
      </c>
      <c r="AM1071" t="s">
        <v>258</v>
      </c>
      <c r="AN1071" t="s">
        <v>259</v>
      </c>
      <c r="AO1071" t="s">
        <v>260</v>
      </c>
      <c r="AQ1071" t="s">
        <v>261</v>
      </c>
      <c r="AS1071">
        <v>4980</v>
      </c>
      <c r="AU1071">
        <v>3198</v>
      </c>
      <c r="AW1071">
        <v>7755</v>
      </c>
      <c r="AX1071" t="s">
        <v>262</v>
      </c>
      <c r="BO1071" t="s">
        <v>261</v>
      </c>
      <c r="BQ1071">
        <v>4.9800000000000004</v>
      </c>
      <c r="BS1071">
        <v>3.198</v>
      </c>
      <c r="BU1071">
        <v>7.7549999999999999</v>
      </c>
      <c r="BV1071" t="s">
        <v>263</v>
      </c>
      <c r="CM1071" t="s">
        <v>264</v>
      </c>
      <c r="CN1071" t="s">
        <v>264</v>
      </c>
      <c r="CP1071" t="s">
        <v>265</v>
      </c>
      <c r="CQ1071" t="s">
        <v>518</v>
      </c>
      <c r="DB1071">
        <v>1</v>
      </c>
      <c r="DG1071" t="s">
        <v>267</v>
      </c>
      <c r="DI1071">
        <v>24</v>
      </c>
      <c r="DN1071" t="s">
        <v>268</v>
      </c>
      <c r="DR1071">
        <v>161924</v>
      </c>
      <c r="DS1071">
        <v>3045</v>
      </c>
      <c r="EW1071" t="s">
        <v>272</v>
      </c>
      <c r="FO1071">
        <v>25</v>
      </c>
      <c r="FQ1071">
        <v>26</v>
      </c>
      <c r="FR1071" t="s">
        <v>295</v>
      </c>
      <c r="FT1071">
        <v>5128</v>
      </c>
      <c r="FY1071" t="s">
        <v>572</v>
      </c>
      <c r="GA1071">
        <v>115</v>
      </c>
      <c r="GF1071" t="s">
        <v>572</v>
      </c>
      <c r="GJ1071">
        <v>5.5</v>
      </c>
      <c r="GL1071">
        <v>6.4</v>
      </c>
      <c r="GM1071" t="s">
        <v>356</v>
      </c>
      <c r="GQ1071">
        <v>7.9</v>
      </c>
      <c r="GS1071">
        <v>8.5</v>
      </c>
      <c r="GU1071">
        <v>32</v>
      </c>
      <c r="GZ1071" t="s">
        <v>296</v>
      </c>
      <c r="HH1071" t="s">
        <v>272</v>
      </c>
      <c r="IE1071" t="s">
        <v>2216</v>
      </c>
      <c r="IF1071">
        <v>14402</v>
      </c>
      <c r="IG1071" t="s">
        <v>2217</v>
      </c>
      <c r="IH1071" t="s">
        <v>2218</v>
      </c>
      <c r="II1071">
        <v>1993</v>
      </c>
      <c r="IJ1071" t="s">
        <v>2219</v>
      </c>
    </row>
    <row r="1072" spans="1:244" x14ac:dyDescent="0.45">
      <c r="A1072">
        <v>1209057</v>
      </c>
      <c r="B1072">
        <v>199120</v>
      </c>
      <c r="C1072">
        <v>7733020</v>
      </c>
      <c r="D1072" t="s">
        <v>2214</v>
      </c>
      <c r="F1072" t="s">
        <v>245</v>
      </c>
      <c r="G1072" t="s">
        <v>246</v>
      </c>
      <c r="N1072" t="s">
        <v>1401</v>
      </c>
      <c r="O1072" t="s">
        <v>1299</v>
      </c>
      <c r="P1072" t="s">
        <v>249</v>
      </c>
      <c r="Q1072" t="s">
        <v>250</v>
      </c>
      <c r="R1072" t="s">
        <v>251</v>
      </c>
      <c r="T1072" t="s">
        <v>252</v>
      </c>
      <c r="U1072" t="s">
        <v>371</v>
      </c>
      <c r="V1072" t="s">
        <v>372</v>
      </c>
      <c r="W1072" t="s">
        <v>1402</v>
      </c>
      <c r="X1072" t="s">
        <v>1403</v>
      </c>
      <c r="Z1072" t="s">
        <v>649</v>
      </c>
      <c r="AB1072">
        <v>3</v>
      </c>
      <c r="AG1072" t="s">
        <v>267</v>
      </c>
      <c r="AM1072" t="s">
        <v>258</v>
      </c>
      <c r="AN1072" t="s">
        <v>259</v>
      </c>
      <c r="AO1072" t="s">
        <v>260</v>
      </c>
      <c r="AQ1072" t="s">
        <v>261</v>
      </c>
      <c r="AS1072">
        <v>78.8</v>
      </c>
      <c r="AX1072" t="s">
        <v>262</v>
      </c>
      <c r="BO1072" t="s">
        <v>261</v>
      </c>
      <c r="BQ1072">
        <v>7.8799999999999995E-2</v>
      </c>
      <c r="BV1072" t="s">
        <v>263</v>
      </c>
      <c r="CM1072" t="s">
        <v>264</v>
      </c>
      <c r="CN1072" t="s">
        <v>264</v>
      </c>
      <c r="CP1072" t="s">
        <v>265</v>
      </c>
      <c r="CQ1072" t="s">
        <v>518</v>
      </c>
      <c r="DB1072">
        <v>4</v>
      </c>
      <c r="DG1072" t="s">
        <v>267</v>
      </c>
      <c r="DI1072">
        <v>96</v>
      </c>
      <c r="DN1072" t="s">
        <v>268</v>
      </c>
      <c r="DR1072">
        <v>236552</v>
      </c>
      <c r="DS1072">
        <v>59434</v>
      </c>
      <c r="EW1072" t="s">
        <v>293</v>
      </c>
      <c r="FA1072" t="s">
        <v>2432</v>
      </c>
      <c r="FO1072">
        <v>12.9</v>
      </c>
      <c r="FQ1072">
        <v>14.3</v>
      </c>
      <c r="FR1072" t="s">
        <v>295</v>
      </c>
      <c r="GJ1072">
        <v>7.6</v>
      </c>
      <c r="GL1072">
        <v>8.4</v>
      </c>
      <c r="GM1072" t="s">
        <v>356</v>
      </c>
      <c r="GQ1072">
        <v>7.5</v>
      </c>
      <c r="GS1072">
        <v>7.8</v>
      </c>
      <c r="GW1072">
        <v>34</v>
      </c>
      <c r="GY1072">
        <v>36</v>
      </c>
      <c r="GZ1072" t="s">
        <v>296</v>
      </c>
      <c r="HH1072" t="s">
        <v>272</v>
      </c>
      <c r="IE1072" t="s">
        <v>1497</v>
      </c>
      <c r="IF1072">
        <v>19130</v>
      </c>
      <c r="IG1072" t="s">
        <v>1498</v>
      </c>
      <c r="IH1072" t="s">
        <v>1499</v>
      </c>
      <c r="II1072">
        <v>1989</v>
      </c>
      <c r="IJ1072" t="s">
        <v>1500</v>
      </c>
    </row>
    <row r="1073" spans="1:244" x14ac:dyDescent="0.45">
      <c r="A1073">
        <v>1033119</v>
      </c>
      <c r="B1073">
        <v>107269</v>
      </c>
      <c r="C1073">
        <v>7733020</v>
      </c>
      <c r="D1073" t="s">
        <v>2214</v>
      </c>
      <c r="F1073" t="s">
        <v>245</v>
      </c>
      <c r="G1073" t="s">
        <v>246</v>
      </c>
      <c r="N1073" t="s">
        <v>471</v>
      </c>
      <c r="O1073" t="s">
        <v>388</v>
      </c>
      <c r="P1073" t="s">
        <v>249</v>
      </c>
      <c r="Q1073" t="s">
        <v>250</v>
      </c>
      <c r="R1073" t="s">
        <v>251</v>
      </c>
      <c r="T1073" t="s">
        <v>389</v>
      </c>
      <c r="U1073" t="s">
        <v>390</v>
      </c>
      <c r="V1073" t="s">
        <v>472</v>
      </c>
      <c r="W1073" t="s">
        <v>473</v>
      </c>
      <c r="X1073" t="s">
        <v>474</v>
      </c>
      <c r="Z1073" t="s">
        <v>315</v>
      </c>
      <c r="AL1073" t="s">
        <v>2441</v>
      </c>
      <c r="AM1073" t="s">
        <v>317</v>
      </c>
      <c r="AN1073" t="s">
        <v>259</v>
      </c>
      <c r="AO1073" t="s">
        <v>260</v>
      </c>
      <c r="AQ1073" t="s">
        <v>261</v>
      </c>
      <c r="AS1073">
        <v>1150</v>
      </c>
      <c r="AX1073" t="s">
        <v>262</v>
      </c>
      <c r="BO1073" t="s">
        <v>261</v>
      </c>
      <c r="BQ1073">
        <v>1.1499999999999999</v>
      </c>
      <c r="BV1073" t="s">
        <v>263</v>
      </c>
      <c r="CM1073" t="s">
        <v>264</v>
      </c>
      <c r="CN1073" t="s">
        <v>264</v>
      </c>
      <c r="CP1073" t="s">
        <v>265</v>
      </c>
      <c r="CQ1073" t="s">
        <v>518</v>
      </c>
      <c r="DB1073">
        <v>2</v>
      </c>
      <c r="DG1073" t="s">
        <v>267</v>
      </c>
      <c r="DI1073">
        <v>48</v>
      </c>
      <c r="DN1073" t="s">
        <v>268</v>
      </c>
      <c r="DR1073">
        <v>2056173</v>
      </c>
      <c r="DS1073">
        <v>1053</v>
      </c>
      <c r="DT1073" t="s">
        <v>2297</v>
      </c>
      <c r="EW1073" t="s">
        <v>333</v>
      </c>
      <c r="FM1073">
        <v>18</v>
      </c>
      <c r="FR1073" t="s">
        <v>295</v>
      </c>
      <c r="HH1073" t="s">
        <v>272</v>
      </c>
      <c r="IE1073" t="s">
        <v>2299</v>
      </c>
      <c r="IF1073">
        <v>2084</v>
      </c>
      <c r="IG1073" t="s">
        <v>2300</v>
      </c>
      <c r="IH1073" t="s">
        <v>2301</v>
      </c>
      <c r="II1073">
        <v>1989</v>
      </c>
      <c r="IJ1073" t="s">
        <v>2302</v>
      </c>
    </row>
    <row r="1074" spans="1:244" x14ac:dyDescent="0.45">
      <c r="A1074">
        <v>1246414</v>
      </c>
      <c r="B1074">
        <v>239764</v>
      </c>
      <c r="C1074">
        <v>7733020</v>
      </c>
      <c r="D1074" t="s">
        <v>2214</v>
      </c>
      <c r="F1074" t="s">
        <v>327</v>
      </c>
      <c r="G1074" t="s">
        <v>246</v>
      </c>
      <c r="N1074" t="s">
        <v>1242</v>
      </c>
      <c r="O1074" t="s">
        <v>1243</v>
      </c>
      <c r="P1074" t="s">
        <v>249</v>
      </c>
      <c r="Q1074" t="s">
        <v>250</v>
      </c>
      <c r="R1074" t="s">
        <v>251</v>
      </c>
      <c r="T1074" t="s">
        <v>252</v>
      </c>
      <c r="U1074" t="s">
        <v>1244</v>
      </c>
      <c r="V1074" t="s">
        <v>1245</v>
      </c>
      <c r="W1074" t="s">
        <v>1246</v>
      </c>
      <c r="X1074" t="s">
        <v>1247</v>
      </c>
      <c r="Z1074" t="s">
        <v>315</v>
      </c>
      <c r="AJ1074" t="s">
        <v>285</v>
      </c>
      <c r="AM1074" t="s">
        <v>258</v>
      </c>
      <c r="AN1074" t="s">
        <v>259</v>
      </c>
      <c r="AO1074" t="s">
        <v>260</v>
      </c>
      <c r="AP1074">
        <v>9</v>
      </c>
      <c r="AQ1074" t="s">
        <v>504</v>
      </c>
      <c r="AS1074">
        <v>3.1440000000000001</v>
      </c>
      <c r="AX1074" t="s">
        <v>356</v>
      </c>
      <c r="BO1074" t="s">
        <v>504</v>
      </c>
      <c r="BQ1074">
        <v>3.1440000000000001</v>
      </c>
      <c r="BV1074" t="s">
        <v>263</v>
      </c>
      <c r="CM1074" t="s">
        <v>264</v>
      </c>
      <c r="CN1074" t="s">
        <v>264</v>
      </c>
      <c r="CP1074" t="s">
        <v>265</v>
      </c>
      <c r="CQ1074" t="s">
        <v>518</v>
      </c>
      <c r="DB1074">
        <v>3</v>
      </c>
      <c r="DG1074" t="s">
        <v>267</v>
      </c>
      <c r="DI1074">
        <v>72</v>
      </c>
      <c r="DN1074" t="s">
        <v>268</v>
      </c>
      <c r="DR1074">
        <v>82763</v>
      </c>
      <c r="DS1074">
        <v>1070</v>
      </c>
      <c r="EW1074" t="s">
        <v>293</v>
      </c>
      <c r="FA1074" t="s">
        <v>1381</v>
      </c>
      <c r="FK1074" t="s">
        <v>2389</v>
      </c>
      <c r="HH1074" t="s">
        <v>272</v>
      </c>
      <c r="ID1074" t="s">
        <v>2390</v>
      </c>
      <c r="IE1074" t="s">
        <v>2328</v>
      </c>
      <c r="IF1074">
        <v>84114</v>
      </c>
      <c r="IG1074" t="s">
        <v>2329</v>
      </c>
      <c r="IH1074" t="s">
        <v>2330</v>
      </c>
      <c r="II1074">
        <v>1997</v>
      </c>
      <c r="IJ1074" t="s">
        <v>2331</v>
      </c>
    </row>
    <row r="1075" spans="1:244" x14ac:dyDescent="0.45">
      <c r="A1075">
        <v>1194071</v>
      </c>
      <c r="B1075">
        <v>166690</v>
      </c>
      <c r="C1075">
        <v>7733020</v>
      </c>
      <c r="D1075" t="s">
        <v>2214</v>
      </c>
      <c r="F1075" t="s">
        <v>245</v>
      </c>
      <c r="G1075" t="s">
        <v>246</v>
      </c>
      <c r="N1075" t="s">
        <v>1914</v>
      </c>
      <c r="O1075" t="s">
        <v>248</v>
      </c>
      <c r="P1075" t="s">
        <v>249</v>
      </c>
      <c r="Q1075" t="s">
        <v>250</v>
      </c>
      <c r="R1075" t="s">
        <v>251</v>
      </c>
      <c r="T1075" t="s">
        <v>252</v>
      </c>
      <c r="U1075" t="s">
        <v>253</v>
      </c>
      <c r="V1075" t="s">
        <v>254</v>
      </c>
      <c r="W1075" t="s">
        <v>1915</v>
      </c>
      <c r="X1075" t="s">
        <v>1916</v>
      </c>
      <c r="Z1075" t="s">
        <v>1677</v>
      </c>
      <c r="AL1075" t="s">
        <v>2442</v>
      </c>
      <c r="AM1075" t="s">
        <v>317</v>
      </c>
      <c r="AN1075" t="s">
        <v>259</v>
      </c>
      <c r="AO1075" t="s">
        <v>260</v>
      </c>
      <c r="AQ1075" t="s">
        <v>261</v>
      </c>
      <c r="AS1075">
        <v>12160</v>
      </c>
      <c r="AX1075" t="s">
        <v>262</v>
      </c>
      <c r="BO1075" t="s">
        <v>261</v>
      </c>
      <c r="BQ1075">
        <v>12.16</v>
      </c>
      <c r="BV1075" t="s">
        <v>263</v>
      </c>
      <c r="CM1075" t="s">
        <v>264</v>
      </c>
      <c r="CN1075" t="s">
        <v>264</v>
      </c>
      <c r="CP1075" t="s">
        <v>265</v>
      </c>
      <c r="CQ1075" t="s">
        <v>518</v>
      </c>
      <c r="DB1075">
        <v>4</v>
      </c>
      <c r="DG1075" t="s">
        <v>267</v>
      </c>
      <c r="DI1075">
        <v>96</v>
      </c>
      <c r="DN1075" t="s">
        <v>268</v>
      </c>
      <c r="DR1075">
        <v>80836</v>
      </c>
      <c r="DS1075">
        <v>2488</v>
      </c>
      <c r="EW1075" t="s">
        <v>293</v>
      </c>
      <c r="FM1075">
        <v>17</v>
      </c>
      <c r="FR1075" t="s">
        <v>295</v>
      </c>
      <c r="GH1075">
        <v>81</v>
      </c>
      <c r="GM1075" t="s">
        <v>900</v>
      </c>
      <c r="GU1075">
        <v>36.700000000000003</v>
      </c>
      <c r="GZ1075" t="s">
        <v>900</v>
      </c>
      <c r="HH1075" t="s">
        <v>272</v>
      </c>
      <c r="IE1075" t="s">
        <v>2267</v>
      </c>
      <c r="IF1075">
        <v>17415</v>
      </c>
      <c r="IG1075" t="s">
        <v>2268</v>
      </c>
      <c r="IH1075" t="s">
        <v>2269</v>
      </c>
      <c r="II1075">
        <v>1985</v>
      </c>
      <c r="IJ1075" t="s">
        <v>2270</v>
      </c>
    </row>
    <row r="1076" spans="1:244" x14ac:dyDescent="0.45">
      <c r="A1076">
        <v>1151168</v>
      </c>
      <c r="B1076">
        <v>104875</v>
      </c>
      <c r="C1076">
        <v>7733020</v>
      </c>
      <c r="D1076" t="s">
        <v>2214</v>
      </c>
      <c r="F1076" t="s">
        <v>245</v>
      </c>
      <c r="G1076" t="s">
        <v>246</v>
      </c>
      <c r="N1076" t="s">
        <v>247</v>
      </c>
      <c r="O1076" t="s">
        <v>248</v>
      </c>
      <c r="P1076" t="s">
        <v>249</v>
      </c>
      <c r="Q1076" t="s">
        <v>250</v>
      </c>
      <c r="R1076" t="s">
        <v>251</v>
      </c>
      <c r="T1076" t="s">
        <v>252</v>
      </c>
      <c r="U1076" t="s">
        <v>253</v>
      </c>
      <c r="V1076" t="s">
        <v>254</v>
      </c>
      <c r="W1076" t="s">
        <v>255</v>
      </c>
      <c r="X1076" t="s">
        <v>256</v>
      </c>
      <c r="Z1076" t="s">
        <v>1057</v>
      </c>
      <c r="AL1076" t="s">
        <v>1777</v>
      </c>
      <c r="AM1076" t="s">
        <v>317</v>
      </c>
      <c r="AN1076" t="s">
        <v>259</v>
      </c>
      <c r="AO1076" t="s">
        <v>260</v>
      </c>
      <c r="AQ1076" t="s">
        <v>261</v>
      </c>
      <c r="AS1076">
        <v>398100</v>
      </c>
      <c r="AX1076" t="s">
        <v>262</v>
      </c>
      <c r="BO1076" t="s">
        <v>261</v>
      </c>
      <c r="BQ1076">
        <v>398.1</v>
      </c>
      <c r="BV1076" t="s">
        <v>263</v>
      </c>
      <c r="CM1076" t="s">
        <v>264</v>
      </c>
      <c r="CN1076" t="s">
        <v>264</v>
      </c>
      <c r="CP1076" t="s">
        <v>265</v>
      </c>
      <c r="DB1076">
        <v>4</v>
      </c>
      <c r="DG1076" t="s">
        <v>267</v>
      </c>
      <c r="DI1076">
        <v>96</v>
      </c>
      <c r="DN1076" t="s">
        <v>268</v>
      </c>
      <c r="DR1076">
        <v>6761</v>
      </c>
      <c r="DS1076">
        <v>2461</v>
      </c>
      <c r="EW1076" t="s">
        <v>293</v>
      </c>
      <c r="HH1076" t="s">
        <v>272</v>
      </c>
      <c r="IE1076" t="s">
        <v>1778</v>
      </c>
      <c r="IF1076">
        <v>12895</v>
      </c>
      <c r="IG1076" t="s">
        <v>1779</v>
      </c>
      <c r="IH1076" t="s">
        <v>1780</v>
      </c>
      <c r="II1076">
        <v>1986</v>
      </c>
      <c r="IJ1076" t="s">
        <v>1781</v>
      </c>
    </row>
    <row r="1077" spans="1:244" x14ac:dyDescent="0.45">
      <c r="A1077">
        <v>1194072</v>
      </c>
      <c r="B1077">
        <v>166691</v>
      </c>
      <c r="C1077">
        <v>7733020</v>
      </c>
      <c r="D1077" t="s">
        <v>2214</v>
      </c>
      <c r="F1077" t="s">
        <v>245</v>
      </c>
      <c r="G1077" t="s">
        <v>246</v>
      </c>
      <c r="N1077" t="s">
        <v>1914</v>
      </c>
      <c r="O1077" t="s">
        <v>248</v>
      </c>
      <c r="P1077" t="s">
        <v>249</v>
      </c>
      <c r="Q1077" t="s">
        <v>250</v>
      </c>
      <c r="R1077" t="s">
        <v>251</v>
      </c>
      <c r="T1077" t="s">
        <v>252</v>
      </c>
      <c r="U1077" t="s">
        <v>253</v>
      </c>
      <c r="V1077" t="s">
        <v>254</v>
      </c>
      <c r="W1077" t="s">
        <v>1915</v>
      </c>
      <c r="X1077" t="s">
        <v>1916</v>
      </c>
      <c r="Z1077" t="s">
        <v>1677</v>
      </c>
      <c r="AL1077" t="s">
        <v>2443</v>
      </c>
      <c r="AM1077" t="s">
        <v>317</v>
      </c>
      <c r="AN1077" t="s">
        <v>259</v>
      </c>
      <c r="AO1077" t="s">
        <v>260</v>
      </c>
      <c r="AQ1077" t="s">
        <v>261</v>
      </c>
      <c r="AS1077">
        <v>12490</v>
      </c>
      <c r="AX1077" t="s">
        <v>262</v>
      </c>
      <c r="BO1077" t="s">
        <v>261</v>
      </c>
      <c r="BQ1077">
        <v>12.49</v>
      </c>
      <c r="BV1077" t="s">
        <v>263</v>
      </c>
      <c r="CM1077" t="s">
        <v>264</v>
      </c>
      <c r="CN1077" t="s">
        <v>264</v>
      </c>
      <c r="CP1077" t="s">
        <v>265</v>
      </c>
      <c r="CQ1077" t="s">
        <v>518</v>
      </c>
      <c r="DB1077">
        <v>4</v>
      </c>
      <c r="DG1077" t="s">
        <v>267</v>
      </c>
      <c r="DI1077">
        <v>96</v>
      </c>
      <c r="DN1077" t="s">
        <v>268</v>
      </c>
      <c r="DR1077">
        <v>80836</v>
      </c>
      <c r="DS1077">
        <v>2488</v>
      </c>
      <c r="EW1077" t="s">
        <v>293</v>
      </c>
      <c r="FM1077">
        <v>17</v>
      </c>
      <c r="FR1077" t="s">
        <v>295</v>
      </c>
      <c r="GH1077">
        <v>81</v>
      </c>
      <c r="GM1077" t="s">
        <v>900</v>
      </c>
      <c r="GU1077">
        <v>36.700000000000003</v>
      </c>
      <c r="GZ1077" t="s">
        <v>900</v>
      </c>
      <c r="HH1077" t="s">
        <v>272</v>
      </c>
      <c r="IE1077" t="s">
        <v>2267</v>
      </c>
      <c r="IF1077">
        <v>17415</v>
      </c>
      <c r="IG1077" t="s">
        <v>2268</v>
      </c>
      <c r="IH1077" t="s">
        <v>2269</v>
      </c>
      <c r="II1077">
        <v>1985</v>
      </c>
      <c r="IJ1077" t="s">
        <v>2270</v>
      </c>
    </row>
    <row r="1078" spans="1:244" x14ac:dyDescent="0.45">
      <c r="A1078">
        <v>1275694</v>
      </c>
      <c r="B1078">
        <v>727021</v>
      </c>
      <c r="C1078">
        <v>7733020</v>
      </c>
      <c r="D1078" t="s">
        <v>2214</v>
      </c>
      <c r="F1078" t="s">
        <v>245</v>
      </c>
      <c r="G1078" t="s">
        <v>246</v>
      </c>
      <c r="N1078" t="s">
        <v>2444</v>
      </c>
      <c r="O1078" t="s">
        <v>2445</v>
      </c>
      <c r="P1078" t="s">
        <v>249</v>
      </c>
      <c r="Q1078" t="s">
        <v>250</v>
      </c>
      <c r="R1078" t="s">
        <v>251</v>
      </c>
      <c r="T1078" t="s">
        <v>252</v>
      </c>
      <c r="U1078" t="s">
        <v>253</v>
      </c>
      <c r="V1078" t="s">
        <v>418</v>
      </c>
      <c r="W1078" t="s">
        <v>847</v>
      </c>
      <c r="X1078" t="s">
        <v>351</v>
      </c>
      <c r="AL1078" t="s">
        <v>2446</v>
      </c>
      <c r="AM1078" t="s">
        <v>258</v>
      </c>
      <c r="AN1078" t="s">
        <v>259</v>
      </c>
      <c r="AO1078" t="s">
        <v>260</v>
      </c>
      <c r="AP1078" t="s">
        <v>2368</v>
      </c>
      <c r="AQ1078" t="s">
        <v>261</v>
      </c>
      <c r="AS1078">
        <v>2.15</v>
      </c>
      <c r="AX1078" t="s">
        <v>356</v>
      </c>
      <c r="BO1078" t="s">
        <v>261</v>
      </c>
      <c r="BQ1078">
        <v>2.15</v>
      </c>
      <c r="BV1078" t="s">
        <v>263</v>
      </c>
      <c r="CM1078" t="s">
        <v>264</v>
      </c>
      <c r="CN1078" t="s">
        <v>264</v>
      </c>
      <c r="CP1078" t="s">
        <v>265</v>
      </c>
      <c r="CQ1078" t="s">
        <v>518</v>
      </c>
      <c r="DB1078">
        <v>4</v>
      </c>
      <c r="DG1078" t="s">
        <v>267</v>
      </c>
      <c r="DI1078">
        <v>96</v>
      </c>
      <c r="DN1078" t="s">
        <v>268</v>
      </c>
      <c r="DP1078" t="s">
        <v>2369</v>
      </c>
      <c r="DR1078">
        <v>32277</v>
      </c>
      <c r="DS1078">
        <v>18738</v>
      </c>
      <c r="EW1078" t="s">
        <v>293</v>
      </c>
      <c r="FK1078" t="s">
        <v>2447</v>
      </c>
      <c r="FM1078">
        <v>23</v>
      </c>
      <c r="FR1078" t="s">
        <v>295</v>
      </c>
      <c r="GO1078">
        <v>7.92</v>
      </c>
      <c r="GU1078">
        <v>36.08</v>
      </c>
      <c r="GZ1078" t="s">
        <v>296</v>
      </c>
      <c r="HH1078" t="s">
        <v>272</v>
      </c>
      <c r="ID1078" t="s">
        <v>2448</v>
      </c>
      <c r="IE1078" t="s">
        <v>2372</v>
      </c>
      <c r="IF1078">
        <v>62226</v>
      </c>
      <c r="IG1078" t="s">
        <v>2373</v>
      </c>
      <c r="IH1078" t="s">
        <v>2374</v>
      </c>
      <c r="II1078">
        <v>1999</v>
      </c>
      <c r="IJ1078" t="s">
        <v>2375</v>
      </c>
    </row>
    <row r="1079" spans="1:244" x14ac:dyDescent="0.45">
      <c r="A1079">
        <v>1192594</v>
      </c>
      <c r="B1079">
        <v>155464</v>
      </c>
      <c r="C1079">
        <v>7733020</v>
      </c>
      <c r="D1079" t="s">
        <v>2214</v>
      </c>
      <c r="E1079" t="s">
        <v>439</v>
      </c>
      <c r="F1079" t="s">
        <v>245</v>
      </c>
      <c r="G1079" t="s">
        <v>246</v>
      </c>
      <c r="N1079" t="s">
        <v>452</v>
      </c>
      <c r="O1079" t="s">
        <v>346</v>
      </c>
      <c r="P1079" t="s">
        <v>249</v>
      </c>
      <c r="Q1079" t="s">
        <v>250</v>
      </c>
      <c r="R1079" t="s">
        <v>251</v>
      </c>
      <c r="T1079" t="s">
        <v>347</v>
      </c>
      <c r="U1079" t="s">
        <v>348</v>
      </c>
      <c r="V1079" t="s">
        <v>349</v>
      </c>
      <c r="W1079" t="s">
        <v>350</v>
      </c>
      <c r="X1079" t="s">
        <v>453</v>
      </c>
      <c r="Z1079" t="s">
        <v>284</v>
      </c>
      <c r="AM1079" t="s">
        <v>287</v>
      </c>
      <c r="AN1079" t="s">
        <v>259</v>
      </c>
      <c r="AO1079" t="s">
        <v>260</v>
      </c>
      <c r="AQ1079" t="s">
        <v>261</v>
      </c>
      <c r="AS1079">
        <v>50500</v>
      </c>
      <c r="AU1079">
        <v>37300</v>
      </c>
      <c r="AW1079">
        <v>71300</v>
      </c>
      <c r="AX1079" t="s">
        <v>262</v>
      </c>
      <c r="BO1079" t="s">
        <v>261</v>
      </c>
      <c r="BQ1079">
        <v>50.5</v>
      </c>
      <c r="BS1079">
        <v>37.299999999999997</v>
      </c>
      <c r="BU1079">
        <v>71.3</v>
      </c>
      <c r="BV1079" t="s">
        <v>263</v>
      </c>
      <c r="CM1079" t="s">
        <v>264</v>
      </c>
      <c r="CN1079" t="s">
        <v>264</v>
      </c>
      <c r="CP1079" t="s">
        <v>265</v>
      </c>
      <c r="CQ1079" t="s">
        <v>518</v>
      </c>
      <c r="DB1079">
        <v>1</v>
      </c>
      <c r="DG1079" t="s">
        <v>267</v>
      </c>
      <c r="DI1079">
        <v>24</v>
      </c>
      <c r="DN1079" t="s">
        <v>268</v>
      </c>
      <c r="DR1079">
        <v>85549</v>
      </c>
      <c r="DS1079">
        <v>366</v>
      </c>
      <c r="DT1079" t="s">
        <v>2449</v>
      </c>
      <c r="EW1079" t="s">
        <v>272</v>
      </c>
      <c r="FA1079" t="s">
        <v>2450</v>
      </c>
      <c r="FM1079">
        <v>25</v>
      </c>
      <c r="FR1079" t="s">
        <v>295</v>
      </c>
      <c r="GU1079">
        <v>10</v>
      </c>
      <c r="GZ1079" t="s">
        <v>296</v>
      </c>
      <c r="HH1079" t="s">
        <v>272</v>
      </c>
      <c r="IE1079" t="s">
        <v>2451</v>
      </c>
      <c r="IF1079">
        <v>17289</v>
      </c>
      <c r="IG1079" t="s">
        <v>2452</v>
      </c>
      <c r="IH1079" t="s">
        <v>2453</v>
      </c>
      <c r="II1079">
        <v>1994</v>
      </c>
      <c r="IJ1079" t="s">
        <v>2454</v>
      </c>
    </row>
    <row r="1080" spans="1:244" x14ac:dyDescent="0.45">
      <c r="A1080">
        <v>1271218</v>
      </c>
      <c r="B1080">
        <v>722516</v>
      </c>
      <c r="C1080">
        <v>7733020</v>
      </c>
      <c r="D1080" t="s">
        <v>2214</v>
      </c>
      <c r="E1080" t="s">
        <v>415</v>
      </c>
      <c r="F1080" t="s">
        <v>245</v>
      </c>
      <c r="G1080" t="s">
        <v>246</v>
      </c>
      <c r="N1080" t="s">
        <v>1782</v>
      </c>
      <c r="O1080" t="s">
        <v>1783</v>
      </c>
      <c r="P1080" t="s">
        <v>249</v>
      </c>
      <c r="Q1080" t="s">
        <v>250</v>
      </c>
      <c r="R1080" t="s">
        <v>251</v>
      </c>
      <c r="T1080" t="s">
        <v>252</v>
      </c>
      <c r="U1080" t="s">
        <v>253</v>
      </c>
      <c r="V1080" t="s">
        <v>1735</v>
      </c>
      <c r="W1080" t="s">
        <v>1784</v>
      </c>
      <c r="X1080" t="s">
        <v>1785</v>
      </c>
      <c r="AL1080" t="s">
        <v>1809</v>
      </c>
      <c r="AM1080" t="s">
        <v>258</v>
      </c>
      <c r="AN1080" t="s">
        <v>259</v>
      </c>
      <c r="AO1080" t="s">
        <v>260</v>
      </c>
      <c r="AP1080">
        <v>7</v>
      </c>
      <c r="AQ1080" t="s">
        <v>261</v>
      </c>
      <c r="AS1080">
        <v>713.63</v>
      </c>
      <c r="AU1080">
        <v>671.86</v>
      </c>
      <c r="AW1080">
        <v>758.09</v>
      </c>
      <c r="AX1080" t="s">
        <v>422</v>
      </c>
      <c r="BO1080" t="s">
        <v>261</v>
      </c>
      <c r="BQ1080">
        <v>713.63</v>
      </c>
      <c r="BS1080">
        <v>671.86</v>
      </c>
      <c r="BU1080">
        <v>758.09</v>
      </c>
      <c r="BV1080" t="s">
        <v>263</v>
      </c>
      <c r="CM1080" t="s">
        <v>264</v>
      </c>
      <c r="CN1080" t="s">
        <v>264</v>
      </c>
      <c r="CP1080" t="s">
        <v>265</v>
      </c>
      <c r="CQ1080" t="s">
        <v>518</v>
      </c>
      <c r="DB1080">
        <v>4</v>
      </c>
      <c r="DG1080" t="s">
        <v>267</v>
      </c>
      <c r="DI1080">
        <v>96</v>
      </c>
      <c r="DN1080" t="s">
        <v>268</v>
      </c>
      <c r="DP1080" t="s">
        <v>2404</v>
      </c>
      <c r="DS1080">
        <v>2838</v>
      </c>
      <c r="EW1080" t="s">
        <v>293</v>
      </c>
      <c r="FK1080" t="s">
        <v>2405</v>
      </c>
      <c r="FM1080">
        <v>29</v>
      </c>
      <c r="FR1080" t="s">
        <v>295</v>
      </c>
      <c r="GO1080">
        <v>8</v>
      </c>
      <c r="GU1080">
        <v>15</v>
      </c>
      <c r="GZ1080" t="s">
        <v>296</v>
      </c>
      <c r="HH1080" t="s">
        <v>272</v>
      </c>
      <c r="ID1080" t="s">
        <v>2406</v>
      </c>
      <c r="IE1080" t="s">
        <v>1812</v>
      </c>
      <c r="IF1080">
        <v>16623</v>
      </c>
      <c r="IG1080" t="s">
        <v>1813</v>
      </c>
      <c r="IH1080" t="s">
        <v>1814</v>
      </c>
      <c r="II1080">
        <v>1987</v>
      </c>
      <c r="IJ1080" t="s">
        <v>1815</v>
      </c>
    </row>
    <row r="1081" spans="1:244" x14ac:dyDescent="0.45">
      <c r="A1081">
        <v>1096441</v>
      </c>
      <c r="B1081">
        <v>130161</v>
      </c>
      <c r="C1081">
        <v>7733020</v>
      </c>
      <c r="D1081" t="s">
        <v>2214</v>
      </c>
      <c r="F1081" t="s">
        <v>245</v>
      </c>
      <c r="G1081" t="s">
        <v>246</v>
      </c>
      <c r="N1081" t="s">
        <v>2243</v>
      </c>
      <c r="O1081" t="s">
        <v>646</v>
      </c>
      <c r="P1081" t="s">
        <v>249</v>
      </c>
      <c r="Q1081" t="s">
        <v>250</v>
      </c>
      <c r="R1081" t="s">
        <v>251</v>
      </c>
      <c r="T1081" t="s">
        <v>252</v>
      </c>
      <c r="U1081" t="s">
        <v>371</v>
      </c>
      <c r="V1081" t="s">
        <v>372</v>
      </c>
      <c r="W1081" t="s">
        <v>647</v>
      </c>
      <c r="X1081" t="s">
        <v>2244</v>
      </c>
      <c r="AB1081">
        <v>2</v>
      </c>
      <c r="AG1081" t="s">
        <v>267</v>
      </c>
      <c r="AM1081" t="s">
        <v>317</v>
      </c>
      <c r="AN1081" t="s">
        <v>259</v>
      </c>
      <c r="AO1081" t="s">
        <v>260</v>
      </c>
      <c r="AQ1081" t="s">
        <v>261</v>
      </c>
      <c r="AS1081">
        <v>370</v>
      </c>
      <c r="AX1081" t="s">
        <v>262</v>
      </c>
      <c r="BO1081" t="s">
        <v>261</v>
      </c>
      <c r="BQ1081">
        <v>0.37</v>
      </c>
      <c r="BV1081" t="s">
        <v>263</v>
      </c>
      <c r="CM1081" t="s">
        <v>264</v>
      </c>
      <c r="CN1081" t="s">
        <v>264</v>
      </c>
      <c r="CP1081" t="s">
        <v>265</v>
      </c>
      <c r="CQ1081" t="s">
        <v>518</v>
      </c>
      <c r="DB1081">
        <v>4</v>
      </c>
      <c r="DG1081" t="s">
        <v>267</v>
      </c>
      <c r="DI1081">
        <v>96</v>
      </c>
      <c r="DN1081" t="s">
        <v>268</v>
      </c>
      <c r="DS1081">
        <v>4703</v>
      </c>
      <c r="DT1081" t="s">
        <v>2224</v>
      </c>
      <c r="EW1081" t="s">
        <v>333</v>
      </c>
      <c r="FM1081">
        <v>25</v>
      </c>
      <c r="FR1081" t="s">
        <v>295</v>
      </c>
      <c r="GU1081">
        <v>33.5</v>
      </c>
      <c r="GZ1081" t="s">
        <v>296</v>
      </c>
      <c r="HH1081" t="s">
        <v>272</v>
      </c>
      <c r="IE1081" t="s">
        <v>2225</v>
      </c>
      <c r="IF1081">
        <v>6825</v>
      </c>
      <c r="IG1081" t="s">
        <v>2226</v>
      </c>
      <c r="IH1081" t="s">
        <v>2227</v>
      </c>
      <c r="II1081">
        <v>1993</v>
      </c>
      <c r="IJ1081" t="s">
        <v>2228</v>
      </c>
    </row>
    <row r="1082" spans="1:244" x14ac:dyDescent="0.45">
      <c r="A1082">
        <v>1209049</v>
      </c>
      <c r="B1082">
        <v>199112</v>
      </c>
      <c r="C1082">
        <v>7733020</v>
      </c>
      <c r="D1082" t="s">
        <v>2214</v>
      </c>
      <c r="F1082" t="s">
        <v>245</v>
      </c>
      <c r="G1082" t="s">
        <v>246</v>
      </c>
      <c r="N1082" t="s">
        <v>1401</v>
      </c>
      <c r="O1082" t="s">
        <v>1299</v>
      </c>
      <c r="P1082" t="s">
        <v>249</v>
      </c>
      <c r="Q1082" t="s">
        <v>250</v>
      </c>
      <c r="R1082" t="s">
        <v>251</v>
      </c>
      <c r="T1082" t="s">
        <v>252</v>
      </c>
      <c r="U1082" t="s">
        <v>371</v>
      </c>
      <c r="V1082" t="s">
        <v>372</v>
      </c>
      <c r="W1082" t="s">
        <v>1402</v>
      </c>
      <c r="X1082" t="s">
        <v>1403</v>
      </c>
      <c r="Z1082" t="s">
        <v>649</v>
      </c>
      <c r="AB1082">
        <v>3</v>
      </c>
      <c r="AG1082" t="s">
        <v>267</v>
      </c>
      <c r="AM1082" t="s">
        <v>258</v>
      </c>
      <c r="AN1082" t="s">
        <v>259</v>
      </c>
      <c r="AO1082" t="s">
        <v>260</v>
      </c>
      <c r="AQ1082" t="s">
        <v>261</v>
      </c>
      <c r="AS1082">
        <v>88.4</v>
      </c>
      <c r="AX1082" t="s">
        <v>262</v>
      </c>
      <c r="BO1082" t="s">
        <v>261</v>
      </c>
      <c r="BQ1082">
        <v>8.8400000000000006E-2</v>
      </c>
      <c r="BV1082" t="s">
        <v>263</v>
      </c>
      <c r="CM1082" t="s">
        <v>264</v>
      </c>
      <c r="CN1082" t="s">
        <v>264</v>
      </c>
      <c r="CP1082" t="s">
        <v>265</v>
      </c>
      <c r="CQ1082" t="s">
        <v>518</v>
      </c>
      <c r="DB1082">
        <v>4</v>
      </c>
      <c r="DG1082" t="s">
        <v>267</v>
      </c>
      <c r="DI1082">
        <v>96</v>
      </c>
      <c r="DN1082" t="s">
        <v>268</v>
      </c>
      <c r="DR1082">
        <v>236552</v>
      </c>
      <c r="DS1082">
        <v>59434</v>
      </c>
      <c r="EW1082" t="s">
        <v>293</v>
      </c>
      <c r="FA1082" t="s">
        <v>2259</v>
      </c>
      <c r="FO1082">
        <v>13</v>
      </c>
      <c r="FQ1082">
        <v>16</v>
      </c>
      <c r="FR1082" t="s">
        <v>295</v>
      </c>
      <c r="GJ1082">
        <v>6.73</v>
      </c>
      <c r="GL1082">
        <v>8.15</v>
      </c>
      <c r="GM1082" t="s">
        <v>356</v>
      </c>
      <c r="GQ1082">
        <v>7.7</v>
      </c>
      <c r="GS1082">
        <v>7.9</v>
      </c>
      <c r="GW1082">
        <v>35</v>
      </c>
      <c r="GY1082">
        <v>38</v>
      </c>
      <c r="GZ1082" t="s">
        <v>296</v>
      </c>
      <c r="HH1082" t="s">
        <v>272</v>
      </c>
      <c r="IE1082" t="s">
        <v>1497</v>
      </c>
      <c r="IF1082">
        <v>19130</v>
      </c>
      <c r="IG1082" t="s">
        <v>1498</v>
      </c>
      <c r="IH1082" t="s">
        <v>1499</v>
      </c>
      <c r="II1082">
        <v>1989</v>
      </c>
      <c r="IJ1082" t="s">
        <v>1500</v>
      </c>
    </row>
    <row r="1083" spans="1:244" x14ac:dyDescent="0.45">
      <c r="A1083">
        <v>1162985</v>
      </c>
      <c r="B1083">
        <v>183405</v>
      </c>
      <c r="C1083">
        <v>7733020</v>
      </c>
      <c r="D1083" t="s">
        <v>2214</v>
      </c>
      <c r="F1083" t="s">
        <v>272</v>
      </c>
      <c r="G1083" t="s">
        <v>246</v>
      </c>
      <c r="N1083" t="s">
        <v>789</v>
      </c>
      <c r="O1083" t="s">
        <v>790</v>
      </c>
      <c r="P1083" t="s">
        <v>249</v>
      </c>
      <c r="Q1083" t="s">
        <v>250</v>
      </c>
      <c r="R1083" t="s">
        <v>251</v>
      </c>
      <c r="T1083" t="s">
        <v>252</v>
      </c>
      <c r="U1083" t="s">
        <v>253</v>
      </c>
      <c r="V1083" t="s">
        <v>418</v>
      </c>
      <c r="W1083" t="s">
        <v>791</v>
      </c>
      <c r="X1083" t="s">
        <v>792</v>
      </c>
      <c r="Z1083" t="s">
        <v>649</v>
      </c>
      <c r="AL1083" t="s">
        <v>2354</v>
      </c>
      <c r="AM1083" t="s">
        <v>258</v>
      </c>
      <c r="AN1083" t="s">
        <v>259</v>
      </c>
      <c r="AO1083" t="s">
        <v>260</v>
      </c>
      <c r="AQ1083" t="s">
        <v>261</v>
      </c>
      <c r="AS1083">
        <v>1210</v>
      </c>
      <c r="AU1083">
        <v>984</v>
      </c>
      <c r="AW1083">
        <v>1500</v>
      </c>
      <c r="AX1083" t="s">
        <v>262</v>
      </c>
      <c r="BO1083" t="s">
        <v>261</v>
      </c>
      <c r="BQ1083">
        <v>1.21</v>
      </c>
      <c r="BS1083">
        <v>0.98399999999999999</v>
      </c>
      <c r="BU1083">
        <v>1.5</v>
      </c>
      <c r="BV1083" t="s">
        <v>263</v>
      </c>
      <c r="CM1083" t="s">
        <v>264</v>
      </c>
      <c r="CN1083" t="s">
        <v>264</v>
      </c>
      <c r="CP1083" t="s">
        <v>265</v>
      </c>
      <c r="CQ1083" t="s">
        <v>518</v>
      </c>
      <c r="DB1083">
        <v>3</v>
      </c>
      <c r="DG1083" t="s">
        <v>267</v>
      </c>
      <c r="DI1083">
        <v>72</v>
      </c>
      <c r="DN1083" t="s">
        <v>268</v>
      </c>
      <c r="DR1083">
        <v>161924</v>
      </c>
      <c r="DS1083">
        <v>3045</v>
      </c>
      <c r="EW1083" t="s">
        <v>272</v>
      </c>
      <c r="FO1083">
        <v>26</v>
      </c>
      <c r="FQ1083">
        <v>26.5</v>
      </c>
      <c r="FR1083" t="s">
        <v>295</v>
      </c>
      <c r="FT1083">
        <v>5128</v>
      </c>
      <c r="FY1083" t="s">
        <v>572</v>
      </c>
      <c r="GA1083">
        <v>115</v>
      </c>
      <c r="GF1083" t="s">
        <v>572</v>
      </c>
      <c r="GJ1083">
        <v>5.0999999999999996</v>
      </c>
      <c r="GL1083">
        <v>6.2</v>
      </c>
      <c r="GM1083" t="s">
        <v>356</v>
      </c>
      <c r="GQ1083">
        <v>7.2</v>
      </c>
      <c r="GS1083">
        <v>8.3000000000000007</v>
      </c>
      <c r="GU1083">
        <v>32</v>
      </c>
      <c r="GZ1083" t="s">
        <v>296</v>
      </c>
      <c r="HH1083" t="s">
        <v>272</v>
      </c>
      <c r="IE1083" t="s">
        <v>2216</v>
      </c>
      <c r="IF1083">
        <v>14402</v>
      </c>
      <c r="IG1083" t="s">
        <v>2217</v>
      </c>
      <c r="IH1083" t="s">
        <v>2218</v>
      </c>
      <c r="II1083">
        <v>1993</v>
      </c>
      <c r="IJ1083" t="s">
        <v>2219</v>
      </c>
    </row>
    <row r="1084" spans="1:244" x14ac:dyDescent="0.45">
      <c r="A1084">
        <v>1151167</v>
      </c>
      <c r="B1084">
        <v>104874</v>
      </c>
      <c r="C1084">
        <v>7733020</v>
      </c>
      <c r="D1084" t="s">
        <v>2214</v>
      </c>
      <c r="F1084" t="s">
        <v>245</v>
      </c>
      <c r="G1084" t="s">
        <v>246</v>
      </c>
      <c r="N1084" t="s">
        <v>247</v>
      </c>
      <c r="O1084" t="s">
        <v>248</v>
      </c>
      <c r="P1084" t="s">
        <v>249</v>
      </c>
      <c r="Q1084" t="s">
        <v>250</v>
      </c>
      <c r="R1084" t="s">
        <v>251</v>
      </c>
      <c r="T1084" t="s">
        <v>252</v>
      </c>
      <c r="U1084" t="s">
        <v>253</v>
      </c>
      <c r="V1084" t="s">
        <v>254</v>
      </c>
      <c r="W1084" t="s">
        <v>255</v>
      </c>
      <c r="X1084" t="s">
        <v>256</v>
      </c>
      <c r="Z1084" t="s">
        <v>1057</v>
      </c>
      <c r="AL1084" t="s">
        <v>1777</v>
      </c>
      <c r="AM1084" t="s">
        <v>317</v>
      </c>
      <c r="AN1084" t="s">
        <v>259</v>
      </c>
      <c r="AO1084" t="s">
        <v>260</v>
      </c>
      <c r="AQ1084" t="s">
        <v>261</v>
      </c>
      <c r="AS1084">
        <v>489800</v>
      </c>
      <c r="AX1084" t="s">
        <v>262</v>
      </c>
      <c r="BO1084" t="s">
        <v>261</v>
      </c>
      <c r="BQ1084">
        <v>489.8</v>
      </c>
      <c r="BV1084" t="s">
        <v>263</v>
      </c>
      <c r="CM1084" t="s">
        <v>264</v>
      </c>
      <c r="CN1084" t="s">
        <v>264</v>
      </c>
      <c r="CP1084" t="s">
        <v>265</v>
      </c>
      <c r="DB1084">
        <v>3</v>
      </c>
      <c r="DG1084" t="s">
        <v>267</v>
      </c>
      <c r="DI1084">
        <v>72</v>
      </c>
      <c r="DN1084" t="s">
        <v>268</v>
      </c>
      <c r="DR1084">
        <v>6761</v>
      </c>
      <c r="DS1084">
        <v>2461</v>
      </c>
      <c r="EW1084" t="s">
        <v>293</v>
      </c>
      <c r="HH1084" t="s">
        <v>272</v>
      </c>
      <c r="IE1084" t="s">
        <v>1778</v>
      </c>
      <c r="IF1084">
        <v>12895</v>
      </c>
      <c r="IG1084" t="s">
        <v>1779</v>
      </c>
      <c r="IH1084" t="s">
        <v>1780</v>
      </c>
      <c r="II1084">
        <v>1986</v>
      </c>
      <c r="IJ1084" t="s">
        <v>1781</v>
      </c>
    </row>
    <row r="1085" spans="1:244" x14ac:dyDescent="0.45">
      <c r="A1085">
        <v>1096366</v>
      </c>
      <c r="B1085">
        <v>117492</v>
      </c>
      <c r="C1085">
        <v>7733020</v>
      </c>
      <c r="D1085" t="s">
        <v>2214</v>
      </c>
      <c r="F1085" t="s">
        <v>327</v>
      </c>
      <c r="G1085" t="s">
        <v>246</v>
      </c>
      <c r="N1085" t="s">
        <v>1401</v>
      </c>
      <c r="O1085" t="s">
        <v>1299</v>
      </c>
      <c r="P1085" t="s">
        <v>249</v>
      </c>
      <c r="Q1085" t="s">
        <v>250</v>
      </c>
      <c r="R1085" t="s">
        <v>251</v>
      </c>
      <c r="T1085" t="s">
        <v>252</v>
      </c>
      <c r="U1085" t="s">
        <v>371</v>
      </c>
      <c r="V1085" t="s">
        <v>372</v>
      </c>
      <c r="W1085" t="s">
        <v>1402</v>
      </c>
      <c r="X1085" t="s">
        <v>1403</v>
      </c>
      <c r="Z1085" t="s">
        <v>649</v>
      </c>
      <c r="AB1085">
        <v>3</v>
      </c>
      <c r="AG1085" t="s">
        <v>267</v>
      </c>
      <c r="AM1085" t="s">
        <v>317</v>
      </c>
      <c r="AN1085" t="s">
        <v>259</v>
      </c>
      <c r="AO1085" t="s">
        <v>260</v>
      </c>
      <c r="AQ1085" t="s">
        <v>261</v>
      </c>
      <c r="AS1085">
        <v>81</v>
      </c>
      <c r="AU1085">
        <v>73</v>
      </c>
      <c r="AW1085">
        <v>91</v>
      </c>
      <c r="AX1085" t="s">
        <v>262</v>
      </c>
      <c r="BO1085" t="s">
        <v>261</v>
      </c>
      <c r="BQ1085">
        <v>8.1000000000000003E-2</v>
      </c>
      <c r="BS1085">
        <v>7.2999999999999995E-2</v>
      </c>
      <c r="BU1085">
        <v>9.0999999999999998E-2</v>
      </c>
      <c r="BV1085" t="s">
        <v>263</v>
      </c>
      <c r="CM1085" t="s">
        <v>264</v>
      </c>
      <c r="CN1085" t="s">
        <v>264</v>
      </c>
      <c r="CP1085" t="s">
        <v>265</v>
      </c>
      <c r="CQ1085" t="s">
        <v>518</v>
      </c>
      <c r="DB1085">
        <v>4</v>
      </c>
      <c r="DG1085" t="s">
        <v>267</v>
      </c>
      <c r="DI1085">
        <v>96</v>
      </c>
      <c r="DN1085" t="s">
        <v>268</v>
      </c>
      <c r="DR1085">
        <v>236552</v>
      </c>
      <c r="DS1085">
        <v>59434</v>
      </c>
      <c r="DT1085" t="s">
        <v>2234</v>
      </c>
      <c r="EW1085" t="s">
        <v>333</v>
      </c>
      <c r="FO1085">
        <v>13</v>
      </c>
      <c r="FQ1085">
        <v>16</v>
      </c>
      <c r="FR1085" t="s">
        <v>295</v>
      </c>
      <c r="GJ1085">
        <v>7.2</v>
      </c>
      <c r="GL1085">
        <v>8</v>
      </c>
      <c r="GM1085" t="s">
        <v>356</v>
      </c>
      <c r="GQ1085">
        <v>7.75</v>
      </c>
      <c r="GS1085">
        <v>7.9</v>
      </c>
      <c r="GW1085">
        <v>34</v>
      </c>
      <c r="GY1085">
        <v>36</v>
      </c>
      <c r="GZ1085" t="s">
        <v>296</v>
      </c>
      <c r="HH1085" t="s">
        <v>272</v>
      </c>
      <c r="IE1085" t="s">
        <v>2235</v>
      </c>
      <c r="IF1085">
        <v>6821</v>
      </c>
      <c r="IG1085" t="s">
        <v>2236</v>
      </c>
      <c r="IH1085" t="s">
        <v>2237</v>
      </c>
      <c r="II1085">
        <v>1989</v>
      </c>
      <c r="IJ1085" t="s">
        <v>2238</v>
      </c>
    </row>
    <row r="1086" spans="1:244" x14ac:dyDescent="0.45">
      <c r="A1086">
        <v>1277757</v>
      </c>
      <c r="B1086">
        <v>730981</v>
      </c>
      <c r="C1086">
        <v>7733020</v>
      </c>
      <c r="D1086" t="s">
        <v>2214</v>
      </c>
      <c r="E1086" t="s">
        <v>439</v>
      </c>
      <c r="F1086" t="s">
        <v>245</v>
      </c>
      <c r="G1086" t="s">
        <v>246</v>
      </c>
      <c r="N1086" t="s">
        <v>968</v>
      </c>
      <c r="O1086" t="s">
        <v>969</v>
      </c>
      <c r="P1086" t="s">
        <v>249</v>
      </c>
      <c r="Q1086" t="s">
        <v>250</v>
      </c>
      <c r="R1086" t="s">
        <v>251</v>
      </c>
      <c r="T1086" t="s">
        <v>252</v>
      </c>
      <c r="U1086" t="s">
        <v>253</v>
      </c>
      <c r="V1086" t="s">
        <v>418</v>
      </c>
      <c r="W1086" t="s">
        <v>419</v>
      </c>
      <c r="X1086" t="s">
        <v>970</v>
      </c>
      <c r="Z1086" t="s">
        <v>649</v>
      </c>
      <c r="AL1086" t="s">
        <v>1174</v>
      </c>
      <c r="AM1086" t="s">
        <v>258</v>
      </c>
      <c r="AN1086" t="s">
        <v>259</v>
      </c>
      <c r="AO1086" t="s">
        <v>260</v>
      </c>
      <c r="AQ1086" t="s">
        <v>261</v>
      </c>
      <c r="AS1086">
        <v>1.2</v>
      </c>
      <c r="AU1086">
        <v>0.45</v>
      </c>
      <c r="AW1086">
        <v>2.64</v>
      </c>
      <c r="AX1086" t="s">
        <v>356</v>
      </c>
      <c r="BO1086" t="s">
        <v>261</v>
      </c>
      <c r="BQ1086">
        <v>1.2</v>
      </c>
      <c r="BS1086">
        <v>0.45</v>
      </c>
      <c r="BU1086">
        <v>2.64</v>
      </c>
      <c r="BV1086" t="s">
        <v>263</v>
      </c>
      <c r="CM1086" t="s">
        <v>264</v>
      </c>
      <c r="CN1086" t="s">
        <v>264</v>
      </c>
      <c r="CP1086" t="s">
        <v>265</v>
      </c>
      <c r="CQ1086" t="s">
        <v>518</v>
      </c>
      <c r="DB1086">
        <v>4</v>
      </c>
      <c r="DG1086" t="s">
        <v>267</v>
      </c>
      <c r="DI1086">
        <v>96</v>
      </c>
      <c r="DN1086" t="s">
        <v>268</v>
      </c>
      <c r="DP1086" t="s">
        <v>2260</v>
      </c>
      <c r="DS1086">
        <v>1010</v>
      </c>
      <c r="DT1086" t="s">
        <v>1176</v>
      </c>
      <c r="EW1086" t="s">
        <v>293</v>
      </c>
      <c r="FK1086" t="s">
        <v>2455</v>
      </c>
      <c r="FM1086">
        <v>30</v>
      </c>
      <c r="FR1086" t="s">
        <v>295</v>
      </c>
      <c r="GG1086" t="s">
        <v>288</v>
      </c>
      <c r="GH1086">
        <v>90</v>
      </c>
      <c r="GM1086" t="s">
        <v>900</v>
      </c>
      <c r="GO1086">
        <v>8</v>
      </c>
      <c r="GU1086">
        <v>36</v>
      </c>
      <c r="GZ1086" t="s">
        <v>296</v>
      </c>
      <c r="HH1086" t="s">
        <v>272</v>
      </c>
      <c r="ID1086" t="s">
        <v>2456</v>
      </c>
      <c r="IE1086" t="s">
        <v>1179</v>
      </c>
      <c r="IF1086">
        <v>4973</v>
      </c>
      <c r="IG1086" t="s">
        <v>1180</v>
      </c>
      <c r="IH1086" t="s">
        <v>1181</v>
      </c>
      <c r="II1086">
        <v>1982</v>
      </c>
      <c r="IJ1086" t="s">
        <v>1182</v>
      </c>
    </row>
    <row r="1087" spans="1:244" x14ac:dyDescent="0.45">
      <c r="A1087">
        <v>1096432</v>
      </c>
      <c r="B1087">
        <v>121128</v>
      </c>
      <c r="C1087">
        <v>7733020</v>
      </c>
      <c r="D1087" t="s">
        <v>2214</v>
      </c>
      <c r="F1087" t="s">
        <v>245</v>
      </c>
      <c r="G1087" t="s">
        <v>246</v>
      </c>
      <c r="N1087" t="s">
        <v>2220</v>
      </c>
      <c r="O1087" t="s">
        <v>631</v>
      </c>
      <c r="P1087" t="s">
        <v>249</v>
      </c>
      <c r="Q1087" t="s">
        <v>250</v>
      </c>
      <c r="R1087" t="s">
        <v>251</v>
      </c>
      <c r="T1087" t="s">
        <v>389</v>
      </c>
      <c r="U1087" t="s">
        <v>632</v>
      </c>
      <c r="V1087" t="s">
        <v>830</v>
      </c>
      <c r="W1087" t="s">
        <v>2221</v>
      </c>
      <c r="X1087" t="s">
        <v>2222</v>
      </c>
      <c r="Z1087" t="s">
        <v>315</v>
      </c>
      <c r="AM1087" t="s">
        <v>317</v>
      </c>
      <c r="AN1087" t="s">
        <v>259</v>
      </c>
      <c r="AO1087" t="s">
        <v>260</v>
      </c>
      <c r="AQ1087" t="s">
        <v>2247</v>
      </c>
      <c r="AS1087">
        <v>31</v>
      </c>
      <c r="AU1087">
        <v>10</v>
      </c>
      <c r="AW1087">
        <v>46</v>
      </c>
      <c r="AX1087" t="s">
        <v>262</v>
      </c>
      <c r="BO1087" t="s">
        <v>2247</v>
      </c>
      <c r="BQ1087">
        <v>3.1E-2</v>
      </c>
      <c r="BS1087">
        <v>0.01</v>
      </c>
      <c r="BU1087">
        <v>4.5999999999999999E-2</v>
      </c>
      <c r="BV1087" t="s">
        <v>263</v>
      </c>
      <c r="CM1087" t="s">
        <v>264</v>
      </c>
      <c r="CN1087" t="s">
        <v>264</v>
      </c>
      <c r="CP1087" t="s">
        <v>265</v>
      </c>
      <c r="CQ1087" t="s">
        <v>518</v>
      </c>
      <c r="DB1087">
        <v>2</v>
      </c>
      <c r="DG1087" t="s">
        <v>267</v>
      </c>
      <c r="DI1087">
        <v>48</v>
      </c>
      <c r="DN1087" t="s">
        <v>268</v>
      </c>
      <c r="DR1087">
        <v>399051</v>
      </c>
      <c r="DS1087">
        <v>4599</v>
      </c>
      <c r="DT1087" t="s">
        <v>2224</v>
      </c>
      <c r="EW1087" t="s">
        <v>333</v>
      </c>
      <c r="FM1087">
        <v>25</v>
      </c>
      <c r="FR1087" t="s">
        <v>295</v>
      </c>
      <c r="GU1087">
        <v>32</v>
      </c>
      <c r="GZ1087" t="s">
        <v>296</v>
      </c>
      <c r="HH1087" t="s">
        <v>272</v>
      </c>
      <c r="IE1087" t="s">
        <v>2225</v>
      </c>
      <c r="IF1087">
        <v>6825</v>
      </c>
      <c r="IG1087" t="s">
        <v>2226</v>
      </c>
      <c r="IH1087" t="s">
        <v>2227</v>
      </c>
      <c r="II1087">
        <v>1993</v>
      </c>
      <c r="IJ1087" t="s">
        <v>2228</v>
      </c>
    </row>
    <row r="1088" spans="1:244" x14ac:dyDescent="0.45">
      <c r="A1088">
        <v>1209055</v>
      </c>
      <c r="B1088">
        <v>199118</v>
      </c>
      <c r="C1088">
        <v>7733020</v>
      </c>
      <c r="D1088" t="s">
        <v>2214</v>
      </c>
      <c r="F1088" t="s">
        <v>245</v>
      </c>
      <c r="G1088" t="s">
        <v>246</v>
      </c>
      <c r="N1088" t="s">
        <v>1401</v>
      </c>
      <c r="O1088" t="s">
        <v>1299</v>
      </c>
      <c r="P1088" t="s">
        <v>249</v>
      </c>
      <c r="Q1088" t="s">
        <v>250</v>
      </c>
      <c r="R1088" t="s">
        <v>251</v>
      </c>
      <c r="T1088" t="s">
        <v>252</v>
      </c>
      <c r="U1088" t="s">
        <v>371</v>
      </c>
      <c r="V1088" t="s">
        <v>372</v>
      </c>
      <c r="W1088" t="s">
        <v>1402</v>
      </c>
      <c r="X1088" t="s">
        <v>1403</v>
      </c>
      <c r="Z1088" t="s">
        <v>649</v>
      </c>
      <c r="AB1088">
        <v>3</v>
      </c>
      <c r="AG1088" t="s">
        <v>267</v>
      </c>
      <c r="AM1088" t="s">
        <v>258</v>
      </c>
      <c r="AN1088" t="s">
        <v>259</v>
      </c>
      <c r="AO1088" t="s">
        <v>260</v>
      </c>
      <c r="AQ1088" t="s">
        <v>261</v>
      </c>
      <c r="AS1088">
        <v>93.6</v>
      </c>
      <c r="AX1088" t="s">
        <v>262</v>
      </c>
      <c r="BO1088" t="s">
        <v>261</v>
      </c>
      <c r="BQ1088">
        <v>9.3600000000000003E-2</v>
      </c>
      <c r="BV1088" t="s">
        <v>263</v>
      </c>
      <c r="CM1088" t="s">
        <v>264</v>
      </c>
      <c r="CN1088" t="s">
        <v>264</v>
      </c>
      <c r="CP1088" t="s">
        <v>265</v>
      </c>
      <c r="CQ1088" t="s">
        <v>518</v>
      </c>
      <c r="DB1088">
        <v>4</v>
      </c>
      <c r="DG1088" t="s">
        <v>267</v>
      </c>
      <c r="DI1088">
        <v>96</v>
      </c>
      <c r="DN1088" t="s">
        <v>268</v>
      </c>
      <c r="DR1088">
        <v>236552</v>
      </c>
      <c r="DS1088">
        <v>59434</v>
      </c>
      <c r="EW1088" t="s">
        <v>293</v>
      </c>
      <c r="FA1088" t="s">
        <v>2259</v>
      </c>
      <c r="FO1088">
        <v>13</v>
      </c>
      <c r="FQ1088">
        <v>13.5</v>
      </c>
      <c r="FR1088" t="s">
        <v>295</v>
      </c>
      <c r="GJ1088">
        <v>5.79</v>
      </c>
      <c r="GL1088">
        <v>7.1</v>
      </c>
      <c r="GM1088" t="s">
        <v>356</v>
      </c>
      <c r="GQ1088">
        <v>7.98</v>
      </c>
      <c r="GS1088">
        <v>8.15</v>
      </c>
      <c r="GW1088">
        <v>34</v>
      </c>
      <c r="GY1088">
        <v>35</v>
      </c>
      <c r="GZ1088" t="s">
        <v>296</v>
      </c>
      <c r="HH1088" t="s">
        <v>272</v>
      </c>
      <c r="IE1088" t="s">
        <v>1497</v>
      </c>
      <c r="IF1088">
        <v>19130</v>
      </c>
      <c r="IG1088" t="s">
        <v>1498</v>
      </c>
      <c r="IH1088" t="s">
        <v>1499</v>
      </c>
      <c r="II1088">
        <v>1989</v>
      </c>
      <c r="IJ1088" t="s">
        <v>1500</v>
      </c>
    </row>
    <row r="1089" spans="1:244" x14ac:dyDescent="0.45">
      <c r="A1089">
        <v>1271938</v>
      </c>
      <c r="B1089">
        <v>723236</v>
      </c>
      <c r="C1089">
        <v>7733020</v>
      </c>
      <c r="D1089" t="s">
        <v>2214</v>
      </c>
      <c r="F1089" t="s">
        <v>327</v>
      </c>
      <c r="G1089" t="s">
        <v>246</v>
      </c>
      <c r="N1089" t="s">
        <v>1914</v>
      </c>
      <c r="O1089" t="s">
        <v>248</v>
      </c>
      <c r="P1089" t="s">
        <v>249</v>
      </c>
      <c r="Q1089" t="s">
        <v>250</v>
      </c>
      <c r="R1089" t="s">
        <v>251</v>
      </c>
      <c r="T1089" t="s">
        <v>252</v>
      </c>
      <c r="U1089" t="s">
        <v>253</v>
      </c>
      <c r="V1089" t="s">
        <v>254</v>
      </c>
      <c r="W1089" t="s">
        <v>1915</v>
      </c>
      <c r="X1089" t="s">
        <v>1916</v>
      </c>
      <c r="AL1089" t="s">
        <v>2248</v>
      </c>
      <c r="AM1089" t="s">
        <v>317</v>
      </c>
      <c r="AN1089" t="s">
        <v>259</v>
      </c>
      <c r="AO1089" t="s">
        <v>260</v>
      </c>
      <c r="AP1089">
        <v>3</v>
      </c>
      <c r="AQ1089" t="s">
        <v>261</v>
      </c>
      <c r="AS1089">
        <v>100</v>
      </c>
      <c r="AX1089" t="s">
        <v>2249</v>
      </c>
      <c r="BO1089" t="s">
        <v>261</v>
      </c>
      <c r="BQ1089">
        <v>100</v>
      </c>
      <c r="BV1089" t="s">
        <v>263</v>
      </c>
      <c r="CM1089" t="s">
        <v>264</v>
      </c>
      <c r="CN1089" t="s">
        <v>264</v>
      </c>
      <c r="CP1089" t="s">
        <v>265</v>
      </c>
      <c r="CQ1089" t="s">
        <v>518</v>
      </c>
      <c r="DB1089">
        <v>2</v>
      </c>
      <c r="DG1089" t="s">
        <v>267</v>
      </c>
      <c r="DI1089">
        <v>48</v>
      </c>
      <c r="DN1089" t="s">
        <v>268</v>
      </c>
      <c r="DP1089" t="s">
        <v>2250</v>
      </c>
      <c r="DR1089">
        <v>80836</v>
      </c>
      <c r="DS1089">
        <v>2488</v>
      </c>
      <c r="EW1089" t="s">
        <v>2251</v>
      </c>
      <c r="FA1089" t="s">
        <v>2252</v>
      </c>
      <c r="FK1089" t="s">
        <v>2457</v>
      </c>
      <c r="FM1089">
        <v>22</v>
      </c>
      <c r="FR1089" t="s">
        <v>295</v>
      </c>
      <c r="GO1089">
        <v>8.1999999999999993</v>
      </c>
      <c r="GU1089">
        <v>36</v>
      </c>
      <c r="GZ1089" t="s">
        <v>296</v>
      </c>
      <c r="HH1089" t="s">
        <v>272</v>
      </c>
      <c r="ID1089" t="s">
        <v>2458</v>
      </c>
      <c r="IE1089" t="s">
        <v>2255</v>
      </c>
      <c r="IF1089">
        <v>14467</v>
      </c>
      <c r="IG1089" t="s">
        <v>2256</v>
      </c>
      <c r="IH1089" t="s">
        <v>2257</v>
      </c>
      <c r="II1089">
        <v>1986</v>
      </c>
      <c r="IJ1089" t="s">
        <v>2258</v>
      </c>
    </row>
    <row r="1090" spans="1:244" x14ac:dyDescent="0.45">
      <c r="A1090">
        <v>1269759</v>
      </c>
      <c r="B1090">
        <v>721057</v>
      </c>
      <c r="C1090">
        <v>7733020</v>
      </c>
      <c r="D1090" t="s">
        <v>2214</v>
      </c>
      <c r="F1090" t="s">
        <v>327</v>
      </c>
      <c r="G1090" t="s">
        <v>246</v>
      </c>
      <c r="N1090" t="s">
        <v>2157</v>
      </c>
      <c r="O1090" t="s">
        <v>578</v>
      </c>
      <c r="P1090" t="s">
        <v>249</v>
      </c>
      <c r="Q1090" t="s">
        <v>250</v>
      </c>
      <c r="R1090" t="s">
        <v>251</v>
      </c>
      <c r="T1090" t="s">
        <v>252</v>
      </c>
      <c r="U1090" t="s">
        <v>499</v>
      </c>
      <c r="V1090" t="s">
        <v>1217</v>
      </c>
      <c r="W1090" t="s">
        <v>1218</v>
      </c>
      <c r="X1090" t="s">
        <v>351</v>
      </c>
      <c r="Z1090" t="s">
        <v>315</v>
      </c>
      <c r="AD1090">
        <v>2</v>
      </c>
      <c r="AF1090">
        <v>3</v>
      </c>
      <c r="AG1090" t="s">
        <v>1271</v>
      </c>
      <c r="AL1090" t="s">
        <v>2158</v>
      </c>
      <c r="AM1090" t="s">
        <v>317</v>
      </c>
      <c r="AN1090" t="s">
        <v>259</v>
      </c>
      <c r="AO1090" t="s">
        <v>260</v>
      </c>
      <c r="AP1090">
        <v>7</v>
      </c>
      <c r="AQ1090" t="s">
        <v>504</v>
      </c>
      <c r="AS1090">
        <v>3530</v>
      </c>
      <c r="AU1090">
        <v>2820</v>
      </c>
      <c r="AW1090">
        <v>5740</v>
      </c>
      <c r="AX1090" t="s">
        <v>262</v>
      </c>
      <c r="BO1090" t="s">
        <v>504</v>
      </c>
      <c r="BQ1090">
        <v>3.53</v>
      </c>
      <c r="BS1090">
        <v>2.82</v>
      </c>
      <c r="BU1090">
        <v>5.74</v>
      </c>
      <c r="BV1090" t="s">
        <v>263</v>
      </c>
      <c r="CM1090" t="s">
        <v>264</v>
      </c>
      <c r="CN1090" t="s">
        <v>264</v>
      </c>
      <c r="CP1090" t="s">
        <v>265</v>
      </c>
      <c r="CQ1090" t="s">
        <v>518</v>
      </c>
      <c r="DB1090">
        <v>4</v>
      </c>
      <c r="DG1090" t="s">
        <v>267</v>
      </c>
      <c r="DI1090">
        <v>96</v>
      </c>
      <c r="DN1090" t="s">
        <v>268</v>
      </c>
      <c r="DP1090" t="s">
        <v>2240</v>
      </c>
      <c r="DR1090">
        <v>315597</v>
      </c>
      <c r="DS1090">
        <v>18408</v>
      </c>
      <c r="DT1090" t="s">
        <v>2160</v>
      </c>
      <c r="EW1090" t="s">
        <v>293</v>
      </c>
      <c r="FA1090" t="s">
        <v>2161</v>
      </c>
      <c r="FK1090" t="s">
        <v>2459</v>
      </c>
      <c r="FO1090">
        <v>20.5</v>
      </c>
      <c r="FQ1090">
        <v>21.2</v>
      </c>
      <c r="FR1090" t="s">
        <v>295</v>
      </c>
      <c r="GG1090" t="s">
        <v>288</v>
      </c>
      <c r="GH1090">
        <v>95</v>
      </c>
      <c r="GM1090" t="s">
        <v>900</v>
      </c>
      <c r="GQ1090">
        <v>8</v>
      </c>
      <c r="GS1090">
        <v>8.1999999999999993</v>
      </c>
      <c r="GW1090">
        <v>30</v>
      </c>
      <c r="GY1090">
        <v>32</v>
      </c>
      <c r="GZ1090" t="s">
        <v>296</v>
      </c>
      <c r="HH1090" t="s">
        <v>272</v>
      </c>
      <c r="ID1090" t="s">
        <v>2460</v>
      </c>
      <c r="IE1090" t="s">
        <v>2164</v>
      </c>
      <c r="IF1090">
        <v>100591</v>
      </c>
      <c r="IG1090" t="s">
        <v>2165</v>
      </c>
      <c r="IH1090" t="s">
        <v>2166</v>
      </c>
      <c r="II1090">
        <v>2006</v>
      </c>
      <c r="IJ1090" t="s">
        <v>2167</v>
      </c>
    </row>
    <row r="1091" spans="1:244" x14ac:dyDescent="0.45">
      <c r="A1091">
        <v>1209053</v>
      </c>
      <c r="B1091">
        <v>199116</v>
      </c>
      <c r="C1091">
        <v>7733020</v>
      </c>
      <c r="D1091" t="s">
        <v>2214</v>
      </c>
      <c r="F1091" t="s">
        <v>245</v>
      </c>
      <c r="G1091" t="s">
        <v>246</v>
      </c>
      <c r="N1091" t="s">
        <v>1401</v>
      </c>
      <c r="O1091" t="s">
        <v>1299</v>
      </c>
      <c r="P1091" t="s">
        <v>249</v>
      </c>
      <c r="Q1091" t="s">
        <v>250</v>
      </c>
      <c r="R1091" t="s">
        <v>251</v>
      </c>
      <c r="T1091" t="s">
        <v>252</v>
      </c>
      <c r="U1091" t="s">
        <v>371</v>
      </c>
      <c r="V1091" t="s">
        <v>372</v>
      </c>
      <c r="W1091" t="s">
        <v>1402</v>
      </c>
      <c r="X1091" t="s">
        <v>1403</v>
      </c>
      <c r="Z1091" t="s">
        <v>649</v>
      </c>
      <c r="AB1091">
        <v>3</v>
      </c>
      <c r="AG1091" t="s">
        <v>267</v>
      </c>
      <c r="AM1091" t="s">
        <v>258</v>
      </c>
      <c r="AN1091" t="s">
        <v>259</v>
      </c>
      <c r="AO1091" t="s">
        <v>260</v>
      </c>
      <c r="AQ1091" t="s">
        <v>261</v>
      </c>
      <c r="AS1091">
        <v>70.2</v>
      </c>
      <c r="AX1091" t="s">
        <v>262</v>
      </c>
      <c r="BO1091" t="s">
        <v>261</v>
      </c>
      <c r="BQ1091">
        <v>7.0199999999999999E-2</v>
      </c>
      <c r="BV1091" t="s">
        <v>263</v>
      </c>
      <c r="CM1091" t="s">
        <v>264</v>
      </c>
      <c r="CN1091" t="s">
        <v>264</v>
      </c>
      <c r="CP1091" t="s">
        <v>265</v>
      </c>
      <c r="CQ1091" t="s">
        <v>518</v>
      </c>
      <c r="DB1091">
        <v>4</v>
      </c>
      <c r="DG1091" t="s">
        <v>267</v>
      </c>
      <c r="DI1091">
        <v>96</v>
      </c>
      <c r="DN1091" t="s">
        <v>268</v>
      </c>
      <c r="DR1091">
        <v>236552</v>
      </c>
      <c r="DS1091">
        <v>59434</v>
      </c>
      <c r="EW1091" t="s">
        <v>293</v>
      </c>
      <c r="FA1091" t="s">
        <v>2259</v>
      </c>
      <c r="FO1091">
        <v>12</v>
      </c>
      <c r="FQ1091">
        <v>13</v>
      </c>
      <c r="FR1091" t="s">
        <v>295</v>
      </c>
      <c r="GJ1091">
        <v>6.38</v>
      </c>
      <c r="GL1091">
        <v>7.18</v>
      </c>
      <c r="GM1091" t="s">
        <v>356</v>
      </c>
      <c r="GQ1091">
        <v>7.86</v>
      </c>
      <c r="GS1091">
        <v>8.1</v>
      </c>
      <c r="GW1091">
        <v>34</v>
      </c>
      <c r="GY1091">
        <v>35</v>
      </c>
      <c r="GZ1091" t="s">
        <v>296</v>
      </c>
      <c r="HH1091" t="s">
        <v>272</v>
      </c>
      <c r="IE1091" t="s">
        <v>1497</v>
      </c>
      <c r="IF1091">
        <v>19130</v>
      </c>
      <c r="IG1091" t="s">
        <v>1498</v>
      </c>
      <c r="IH1091" t="s">
        <v>1499</v>
      </c>
      <c r="II1091">
        <v>1989</v>
      </c>
      <c r="IJ1091" t="s">
        <v>1500</v>
      </c>
    </row>
    <row r="1092" spans="1:244" x14ac:dyDescent="0.45">
      <c r="A1092">
        <v>1048993</v>
      </c>
      <c r="B1092">
        <v>25176</v>
      </c>
      <c r="C1092">
        <v>7733020</v>
      </c>
      <c r="D1092" t="s">
        <v>2214</v>
      </c>
      <c r="F1092" t="s">
        <v>245</v>
      </c>
      <c r="G1092" t="s">
        <v>246</v>
      </c>
      <c r="N1092" t="s">
        <v>690</v>
      </c>
      <c r="O1092" t="s">
        <v>691</v>
      </c>
      <c r="P1092" t="s">
        <v>249</v>
      </c>
      <c r="Q1092" t="s">
        <v>250</v>
      </c>
      <c r="R1092" t="s">
        <v>251</v>
      </c>
      <c r="T1092" t="s">
        <v>252</v>
      </c>
      <c r="U1092" t="s">
        <v>253</v>
      </c>
      <c r="V1092" t="s">
        <v>418</v>
      </c>
      <c r="W1092" t="s">
        <v>419</v>
      </c>
      <c r="X1092" t="s">
        <v>692</v>
      </c>
      <c r="Z1092" t="s">
        <v>284</v>
      </c>
      <c r="AM1092" t="s">
        <v>317</v>
      </c>
      <c r="AN1092" t="s">
        <v>259</v>
      </c>
      <c r="AO1092" t="s">
        <v>260</v>
      </c>
      <c r="AQ1092" t="s">
        <v>261</v>
      </c>
      <c r="AS1092">
        <v>300</v>
      </c>
      <c r="AX1092" t="s">
        <v>262</v>
      </c>
      <c r="BO1092" t="s">
        <v>261</v>
      </c>
      <c r="BQ1092">
        <v>0.3</v>
      </c>
      <c r="BV1092" t="s">
        <v>263</v>
      </c>
      <c r="CM1092" t="s">
        <v>264</v>
      </c>
      <c r="CN1092" t="s">
        <v>264</v>
      </c>
      <c r="CP1092" t="s">
        <v>265</v>
      </c>
      <c r="CQ1092" t="s">
        <v>518</v>
      </c>
      <c r="DB1092">
        <v>4</v>
      </c>
      <c r="DG1092" t="s">
        <v>267</v>
      </c>
      <c r="DI1092">
        <v>96</v>
      </c>
      <c r="DN1092" t="s">
        <v>268</v>
      </c>
      <c r="DR1092">
        <v>139456</v>
      </c>
      <c r="DS1092">
        <v>3044</v>
      </c>
      <c r="EW1092" t="s">
        <v>271</v>
      </c>
      <c r="HH1092" t="s">
        <v>272</v>
      </c>
      <c r="IE1092" t="s">
        <v>1743</v>
      </c>
      <c r="IF1092">
        <v>3232</v>
      </c>
      <c r="IG1092" t="s">
        <v>1744</v>
      </c>
      <c r="IH1092" t="s">
        <v>1745</v>
      </c>
      <c r="II1092">
        <v>1988</v>
      </c>
      <c r="IJ1092" t="s">
        <v>1746</v>
      </c>
    </row>
    <row r="1093" spans="1:244" x14ac:dyDescent="0.45">
      <c r="A1093">
        <v>1204317</v>
      </c>
      <c r="B1093">
        <v>209168</v>
      </c>
      <c r="C1093">
        <v>7733020</v>
      </c>
      <c r="D1093" t="s">
        <v>2214</v>
      </c>
      <c r="E1093" t="s">
        <v>622</v>
      </c>
      <c r="F1093" t="s">
        <v>245</v>
      </c>
      <c r="G1093" t="s">
        <v>246</v>
      </c>
      <c r="N1093" t="s">
        <v>253</v>
      </c>
      <c r="O1093" t="s">
        <v>1835</v>
      </c>
      <c r="P1093" t="s">
        <v>249</v>
      </c>
      <c r="Q1093" t="s">
        <v>250</v>
      </c>
      <c r="R1093" t="s">
        <v>251</v>
      </c>
      <c r="T1093" t="s">
        <v>252</v>
      </c>
      <c r="U1093" t="s">
        <v>253</v>
      </c>
      <c r="Z1093" t="s">
        <v>284</v>
      </c>
      <c r="AA1093" t="s">
        <v>289</v>
      </c>
      <c r="AB1093">
        <v>8</v>
      </c>
      <c r="AG1093" t="s">
        <v>268</v>
      </c>
      <c r="AL1093" t="s">
        <v>1836</v>
      </c>
      <c r="AM1093" t="s">
        <v>258</v>
      </c>
      <c r="AN1093" t="s">
        <v>259</v>
      </c>
      <c r="AO1093" t="s">
        <v>260</v>
      </c>
      <c r="AQ1093" t="s">
        <v>261</v>
      </c>
      <c r="AS1093">
        <v>165</v>
      </c>
      <c r="AX1093" t="s">
        <v>262</v>
      </c>
      <c r="BO1093" t="s">
        <v>261</v>
      </c>
      <c r="BQ1093">
        <v>0.16500000000000001</v>
      </c>
      <c r="BV1093" t="s">
        <v>263</v>
      </c>
      <c r="CM1093" t="s">
        <v>264</v>
      </c>
      <c r="CN1093" t="s">
        <v>264</v>
      </c>
      <c r="CP1093" t="s">
        <v>265</v>
      </c>
      <c r="DB1093">
        <v>4</v>
      </c>
      <c r="DG1093" t="s">
        <v>267</v>
      </c>
      <c r="DI1093">
        <v>96</v>
      </c>
      <c r="DN1093" t="s">
        <v>268</v>
      </c>
      <c r="DR1093">
        <v>6683</v>
      </c>
      <c r="DS1093">
        <v>813</v>
      </c>
      <c r="EW1093" t="s">
        <v>293</v>
      </c>
      <c r="FK1093" t="s">
        <v>2461</v>
      </c>
      <c r="GU1093">
        <v>25</v>
      </c>
      <c r="GZ1093" t="s">
        <v>296</v>
      </c>
      <c r="HH1093" t="s">
        <v>272</v>
      </c>
      <c r="ID1093" t="s">
        <v>2462</v>
      </c>
      <c r="IE1093" t="s">
        <v>1820</v>
      </c>
      <c r="IF1093">
        <v>18580</v>
      </c>
      <c r="IG1093" t="s">
        <v>1821</v>
      </c>
      <c r="IH1093" t="s">
        <v>1822</v>
      </c>
      <c r="II1093">
        <v>1996</v>
      </c>
      <c r="IJ1093" t="s">
        <v>1823</v>
      </c>
    </row>
    <row r="1094" spans="1:244" x14ac:dyDescent="0.45">
      <c r="A1094">
        <v>1275693</v>
      </c>
      <c r="B1094">
        <v>727020</v>
      </c>
      <c r="C1094">
        <v>7733020</v>
      </c>
      <c r="D1094" t="s">
        <v>2214</v>
      </c>
      <c r="F1094" t="s">
        <v>245</v>
      </c>
      <c r="G1094" t="s">
        <v>246</v>
      </c>
      <c r="N1094" t="s">
        <v>2444</v>
      </c>
      <c r="O1094" t="s">
        <v>2445</v>
      </c>
      <c r="P1094" t="s">
        <v>249</v>
      </c>
      <c r="Q1094" t="s">
        <v>250</v>
      </c>
      <c r="R1094" t="s">
        <v>251</v>
      </c>
      <c r="T1094" t="s">
        <v>252</v>
      </c>
      <c r="U1094" t="s">
        <v>253</v>
      </c>
      <c r="V1094" t="s">
        <v>418</v>
      </c>
      <c r="W1094" t="s">
        <v>847</v>
      </c>
      <c r="X1094" t="s">
        <v>351</v>
      </c>
      <c r="AL1094" t="s">
        <v>2446</v>
      </c>
      <c r="AM1094" t="s">
        <v>258</v>
      </c>
      <c r="AN1094" t="s">
        <v>259</v>
      </c>
      <c r="AO1094" t="s">
        <v>260</v>
      </c>
      <c r="AP1094" t="s">
        <v>2368</v>
      </c>
      <c r="AQ1094" t="s">
        <v>261</v>
      </c>
      <c r="AS1094">
        <v>7.9</v>
      </c>
      <c r="AX1094" t="s">
        <v>356</v>
      </c>
      <c r="BO1094" t="s">
        <v>261</v>
      </c>
      <c r="BQ1094">
        <v>7.9</v>
      </c>
      <c r="BV1094" t="s">
        <v>263</v>
      </c>
      <c r="CM1094" t="s">
        <v>264</v>
      </c>
      <c r="CN1094" t="s">
        <v>264</v>
      </c>
      <c r="CP1094" t="s">
        <v>265</v>
      </c>
      <c r="CQ1094" t="s">
        <v>518</v>
      </c>
      <c r="DB1094">
        <v>2</v>
      </c>
      <c r="DG1094" t="s">
        <v>267</v>
      </c>
      <c r="DI1094">
        <v>48</v>
      </c>
      <c r="DN1094" t="s">
        <v>268</v>
      </c>
      <c r="DP1094" t="s">
        <v>2369</v>
      </c>
      <c r="DR1094">
        <v>32277</v>
      </c>
      <c r="DS1094">
        <v>18738</v>
      </c>
      <c r="EW1094" t="s">
        <v>293</v>
      </c>
      <c r="FK1094" t="s">
        <v>2447</v>
      </c>
      <c r="FM1094">
        <v>23</v>
      </c>
      <c r="FR1094" t="s">
        <v>295</v>
      </c>
      <c r="GO1094">
        <v>7.92</v>
      </c>
      <c r="GU1094">
        <v>36.08</v>
      </c>
      <c r="GZ1094" t="s">
        <v>296</v>
      </c>
      <c r="HH1094" t="s">
        <v>272</v>
      </c>
      <c r="ID1094" t="s">
        <v>2448</v>
      </c>
      <c r="IE1094" t="s">
        <v>2372</v>
      </c>
      <c r="IF1094">
        <v>62226</v>
      </c>
      <c r="IG1094" t="s">
        <v>2373</v>
      </c>
      <c r="IH1094" t="s">
        <v>2374</v>
      </c>
      <c r="II1094">
        <v>1999</v>
      </c>
      <c r="IJ1094" t="s">
        <v>2375</v>
      </c>
    </row>
    <row r="1095" spans="1:244" x14ac:dyDescent="0.45">
      <c r="A1095">
        <v>1273441</v>
      </c>
      <c r="B1095">
        <v>724741</v>
      </c>
      <c r="C1095">
        <v>7733020</v>
      </c>
      <c r="D1095" t="s">
        <v>2214</v>
      </c>
      <c r="F1095" t="s">
        <v>245</v>
      </c>
      <c r="G1095" t="s">
        <v>246</v>
      </c>
      <c r="N1095" t="s">
        <v>1753</v>
      </c>
      <c r="O1095" t="s">
        <v>1754</v>
      </c>
      <c r="P1095" t="s">
        <v>249</v>
      </c>
      <c r="Q1095" t="s">
        <v>250</v>
      </c>
      <c r="R1095" t="s">
        <v>251</v>
      </c>
      <c r="T1095" t="s">
        <v>252</v>
      </c>
      <c r="U1095" t="s">
        <v>499</v>
      </c>
      <c r="V1095" t="s">
        <v>1373</v>
      </c>
      <c r="W1095" t="s">
        <v>1755</v>
      </c>
      <c r="X1095" t="s">
        <v>1756</v>
      </c>
      <c r="Z1095" t="s">
        <v>315</v>
      </c>
      <c r="AL1095" t="s">
        <v>2223</v>
      </c>
      <c r="AM1095" t="s">
        <v>258</v>
      </c>
      <c r="AN1095" t="s">
        <v>259</v>
      </c>
      <c r="AO1095" t="s">
        <v>260</v>
      </c>
      <c r="AQ1095" t="s">
        <v>261</v>
      </c>
      <c r="AS1095">
        <v>41.6</v>
      </c>
      <c r="AX1095" t="s">
        <v>422</v>
      </c>
      <c r="BO1095" t="s">
        <v>261</v>
      </c>
      <c r="BQ1095">
        <v>41.6</v>
      </c>
      <c r="BV1095" t="s">
        <v>263</v>
      </c>
      <c r="CM1095" t="s">
        <v>264</v>
      </c>
      <c r="CN1095" t="s">
        <v>264</v>
      </c>
      <c r="CP1095" t="s">
        <v>265</v>
      </c>
      <c r="DB1095">
        <v>4</v>
      </c>
      <c r="DG1095" t="s">
        <v>267</v>
      </c>
      <c r="DI1095">
        <v>96</v>
      </c>
      <c r="DN1095" t="s">
        <v>268</v>
      </c>
      <c r="DP1095" t="s">
        <v>2250</v>
      </c>
      <c r="DS1095">
        <v>1676</v>
      </c>
      <c r="EW1095" t="s">
        <v>293</v>
      </c>
      <c r="FA1095" t="s">
        <v>2463</v>
      </c>
      <c r="FK1095" t="s">
        <v>2464</v>
      </c>
      <c r="FM1095">
        <v>17</v>
      </c>
      <c r="FR1095" t="s">
        <v>295</v>
      </c>
      <c r="GH1095">
        <v>70</v>
      </c>
      <c r="GM1095" t="s">
        <v>1224</v>
      </c>
      <c r="GU1095">
        <v>35</v>
      </c>
      <c r="GZ1095" t="s">
        <v>296</v>
      </c>
      <c r="HH1095" t="s">
        <v>272</v>
      </c>
      <c r="ID1095" t="s">
        <v>2465</v>
      </c>
      <c r="IE1095" t="s">
        <v>2466</v>
      </c>
      <c r="IF1095">
        <v>84649</v>
      </c>
      <c r="IG1095" t="s">
        <v>2467</v>
      </c>
      <c r="IH1095" t="s">
        <v>2468</v>
      </c>
      <c r="II1095">
        <v>1997</v>
      </c>
      <c r="IJ1095" t="s">
        <v>2469</v>
      </c>
    </row>
    <row r="1096" spans="1:244" x14ac:dyDescent="0.45">
      <c r="A1096">
        <v>1209045</v>
      </c>
      <c r="B1096">
        <v>199108</v>
      </c>
      <c r="C1096">
        <v>7733020</v>
      </c>
      <c r="D1096" t="s">
        <v>2214</v>
      </c>
      <c r="F1096" t="s">
        <v>245</v>
      </c>
      <c r="G1096" t="s">
        <v>246</v>
      </c>
      <c r="N1096" t="s">
        <v>1401</v>
      </c>
      <c r="O1096" t="s">
        <v>1299</v>
      </c>
      <c r="P1096" t="s">
        <v>249</v>
      </c>
      <c r="Q1096" t="s">
        <v>250</v>
      </c>
      <c r="R1096" t="s">
        <v>251</v>
      </c>
      <c r="T1096" t="s">
        <v>252</v>
      </c>
      <c r="U1096" t="s">
        <v>371</v>
      </c>
      <c r="V1096" t="s">
        <v>372</v>
      </c>
      <c r="W1096" t="s">
        <v>1402</v>
      </c>
      <c r="X1096" t="s">
        <v>1403</v>
      </c>
      <c r="Z1096" t="s">
        <v>649</v>
      </c>
      <c r="AB1096">
        <v>3</v>
      </c>
      <c r="AG1096" t="s">
        <v>267</v>
      </c>
      <c r="AM1096" t="s">
        <v>258</v>
      </c>
      <c r="AN1096" t="s">
        <v>259</v>
      </c>
      <c r="AO1096" t="s">
        <v>260</v>
      </c>
      <c r="AQ1096" t="s">
        <v>261</v>
      </c>
      <c r="AR1096" t="s">
        <v>289</v>
      </c>
      <c r="AS1096">
        <v>62.8</v>
      </c>
      <c r="AX1096" t="s">
        <v>262</v>
      </c>
      <c r="BO1096" t="s">
        <v>261</v>
      </c>
      <c r="BP1096" t="s">
        <v>289</v>
      </c>
      <c r="BQ1096">
        <v>6.2799999999999995E-2</v>
      </c>
      <c r="BV1096" t="s">
        <v>263</v>
      </c>
      <c r="CM1096" t="s">
        <v>264</v>
      </c>
      <c r="CN1096" t="s">
        <v>264</v>
      </c>
      <c r="CP1096" t="s">
        <v>265</v>
      </c>
      <c r="CQ1096" t="s">
        <v>518</v>
      </c>
      <c r="DB1096">
        <v>4</v>
      </c>
      <c r="DG1096" t="s">
        <v>267</v>
      </c>
      <c r="DI1096">
        <v>96</v>
      </c>
      <c r="DN1096" t="s">
        <v>268</v>
      </c>
      <c r="DR1096">
        <v>236552</v>
      </c>
      <c r="DS1096">
        <v>59434</v>
      </c>
      <c r="EW1096" t="s">
        <v>293</v>
      </c>
      <c r="FA1096" t="s">
        <v>2259</v>
      </c>
      <c r="FO1096">
        <v>13.5</v>
      </c>
      <c r="FQ1096">
        <v>16.5</v>
      </c>
      <c r="FR1096" t="s">
        <v>295</v>
      </c>
      <c r="GJ1096">
        <v>7.08</v>
      </c>
      <c r="GL1096">
        <v>7.9</v>
      </c>
      <c r="GM1096" t="s">
        <v>356</v>
      </c>
      <c r="GQ1096">
        <v>7.7</v>
      </c>
      <c r="GS1096">
        <v>7.9</v>
      </c>
      <c r="GW1096">
        <v>35</v>
      </c>
      <c r="GY1096">
        <v>42</v>
      </c>
      <c r="GZ1096" t="s">
        <v>296</v>
      </c>
      <c r="HH1096" t="s">
        <v>272</v>
      </c>
      <c r="IE1096" t="s">
        <v>1497</v>
      </c>
      <c r="IF1096">
        <v>19130</v>
      </c>
      <c r="IG1096" t="s">
        <v>1498</v>
      </c>
      <c r="IH1096" t="s">
        <v>1499</v>
      </c>
      <c r="II1096">
        <v>1989</v>
      </c>
      <c r="IJ1096" t="s">
        <v>1500</v>
      </c>
    </row>
    <row r="1097" spans="1:244" x14ac:dyDescent="0.45">
      <c r="A1097">
        <v>1273367</v>
      </c>
      <c r="B1097">
        <v>724667</v>
      </c>
      <c r="C1097">
        <v>7733020</v>
      </c>
      <c r="D1097" t="s">
        <v>2214</v>
      </c>
      <c r="E1097" t="s">
        <v>439</v>
      </c>
      <c r="F1097" t="s">
        <v>245</v>
      </c>
      <c r="G1097" t="s">
        <v>246</v>
      </c>
      <c r="N1097" t="s">
        <v>2284</v>
      </c>
      <c r="O1097" t="s">
        <v>370</v>
      </c>
      <c r="P1097" t="s">
        <v>249</v>
      </c>
      <c r="Q1097" t="s">
        <v>250</v>
      </c>
      <c r="R1097" t="s">
        <v>251</v>
      </c>
      <c r="T1097" t="s">
        <v>252</v>
      </c>
      <c r="U1097" t="s">
        <v>371</v>
      </c>
      <c r="V1097" t="s">
        <v>372</v>
      </c>
      <c r="W1097" t="s">
        <v>2285</v>
      </c>
      <c r="X1097" t="s">
        <v>2286</v>
      </c>
      <c r="AL1097" t="s">
        <v>2287</v>
      </c>
      <c r="AM1097" t="s">
        <v>317</v>
      </c>
      <c r="AN1097" t="s">
        <v>259</v>
      </c>
      <c r="AO1097" t="s">
        <v>260</v>
      </c>
      <c r="AQ1097" t="s">
        <v>261</v>
      </c>
      <c r="AS1097">
        <v>0.78</v>
      </c>
      <c r="AU1097">
        <v>0.7</v>
      </c>
      <c r="AW1097">
        <v>0.87</v>
      </c>
      <c r="AX1097" t="s">
        <v>356</v>
      </c>
      <c r="BO1097" t="s">
        <v>261</v>
      </c>
      <c r="BQ1097">
        <v>0.78</v>
      </c>
      <c r="BS1097">
        <v>0.7</v>
      </c>
      <c r="BU1097">
        <v>0.87</v>
      </c>
      <c r="BV1097" t="s">
        <v>263</v>
      </c>
      <c r="CM1097" t="s">
        <v>264</v>
      </c>
      <c r="CN1097" t="s">
        <v>264</v>
      </c>
      <c r="CP1097" t="s">
        <v>265</v>
      </c>
      <c r="CQ1097" t="s">
        <v>518</v>
      </c>
      <c r="DB1097">
        <v>4</v>
      </c>
      <c r="DG1097" t="s">
        <v>267</v>
      </c>
      <c r="DI1097">
        <v>96</v>
      </c>
      <c r="DN1097" t="s">
        <v>268</v>
      </c>
      <c r="DP1097" t="s">
        <v>2288</v>
      </c>
      <c r="DS1097">
        <v>18597</v>
      </c>
      <c r="EW1097" t="s">
        <v>293</v>
      </c>
      <c r="FA1097" t="s">
        <v>2289</v>
      </c>
      <c r="FK1097" t="s">
        <v>2470</v>
      </c>
      <c r="FM1097">
        <v>20</v>
      </c>
      <c r="FR1097" t="s">
        <v>295</v>
      </c>
      <c r="GU1097">
        <v>5</v>
      </c>
      <c r="GZ1097" t="s">
        <v>296</v>
      </c>
      <c r="HH1097" t="s">
        <v>272</v>
      </c>
      <c r="ID1097" t="s">
        <v>2471</v>
      </c>
      <c r="IE1097" t="s">
        <v>2292</v>
      </c>
      <c r="IF1097">
        <v>84096</v>
      </c>
      <c r="IG1097" t="s">
        <v>2293</v>
      </c>
      <c r="IH1097" t="s">
        <v>2294</v>
      </c>
      <c r="II1097">
        <v>1997</v>
      </c>
      <c r="IJ1097" t="s">
        <v>2295</v>
      </c>
    </row>
    <row r="1098" spans="1:244" x14ac:dyDescent="0.45">
      <c r="A1098">
        <v>1210385</v>
      </c>
      <c r="B1098">
        <v>195469</v>
      </c>
      <c r="C1098">
        <v>7733020</v>
      </c>
      <c r="D1098" t="s">
        <v>2214</v>
      </c>
      <c r="F1098" t="s">
        <v>272</v>
      </c>
      <c r="G1098" t="s">
        <v>246</v>
      </c>
      <c r="N1098" t="s">
        <v>345</v>
      </c>
      <c r="O1098" t="s">
        <v>346</v>
      </c>
      <c r="P1098" t="s">
        <v>249</v>
      </c>
      <c r="Q1098" t="s">
        <v>250</v>
      </c>
      <c r="R1098" t="s">
        <v>251</v>
      </c>
      <c r="T1098" t="s">
        <v>347</v>
      </c>
      <c r="U1098" t="s">
        <v>348</v>
      </c>
      <c r="V1098" t="s">
        <v>349</v>
      </c>
      <c r="W1098" t="s">
        <v>350</v>
      </c>
      <c r="X1098" t="s">
        <v>351</v>
      </c>
      <c r="Z1098" t="s">
        <v>284</v>
      </c>
      <c r="AM1098" t="s">
        <v>287</v>
      </c>
      <c r="AN1098" t="s">
        <v>259</v>
      </c>
      <c r="AO1098" t="s">
        <v>260</v>
      </c>
      <c r="AQ1098" t="s">
        <v>261</v>
      </c>
      <c r="AS1098">
        <v>1.1000000000000001</v>
      </c>
      <c r="AU1098">
        <v>0.72199999999999998</v>
      </c>
      <c r="AW1098">
        <v>1.67</v>
      </c>
      <c r="AX1098" t="s">
        <v>762</v>
      </c>
      <c r="BO1098" t="s">
        <v>261</v>
      </c>
      <c r="BQ1098">
        <v>1.1000000000000001</v>
      </c>
      <c r="BS1098">
        <v>0.72199999999999998</v>
      </c>
      <c r="BU1098">
        <v>1.67</v>
      </c>
      <c r="BV1098" t="s">
        <v>263</v>
      </c>
      <c r="CM1098" t="s">
        <v>264</v>
      </c>
      <c r="CN1098" t="s">
        <v>264</v>
      </c>
      <c r="CP1098" t="s">
        <v>265</v>
      </c>
      <c r="DB1098">
        <v>4</v>
      </c>
      <c r="DG1098" t="s">
        <v>267</v>
      </c>
      <c r="DI1098">
        <v>96</v>
      </c>
      <c r="DN1098" t="s">
        <v>268</v>
      </c>
      <c r="DR1098">
        <v>6660</v>
      </c>
      <c r="DS1098">
        <v>421</v>
      </c>
      <c r="EW1098" t="s">
        <v>272</v>
      </c>
      <c r="FM1098">
        <v>25</v>
      </c>
      <c r="FR1098" t="s">
        <v>295</v>
      </c>
      <c r="GO1098">
        <v>8.1</v>
      </c>
      <c r="HH1098" t="s">
        <v>272</v>
      </c>
      <c r="IE1098" t="s">
        <v>763</v>
      </c>
      <c r="IF1098">
        <v>19318</v>
      </c>
      <c r="IG1098" t="s">
        <v>764</v>
      </c>
      <c r="IH1098" t="s">
        <v>765</v>
      </c>
      <c r="II1098">
        <v>1994</v>
      </c>
      <c r="IJ1098" t="s">
        <v>766</v>
      </c>
    </row>
    <row r="1099" spans="1:244" x14ac:dyDescent="0.45">
      <c r="A1099">
        <v>1162986</v>
      </c>
      <c r="B1099">
        <v>183406</v>
      </c>
      <c r="C1099">
        <v>7733020</v>
      </c>
      <c r="D1099" t="s">
        <v>2214</v>
      </c>
      <c r="F1099" t="s">
        <v>272</v>
      </c>
      <c r="G1099" t="s">
        <v>246</v>
      </c>
      <c r="N1099" t="s">
        <v>789</v>
      </c>
      <c r="O1099" t="s">
        <v>790</v>
      </c>
      <c r="P1099" t="s">
        <v>249</v>
      </c>
      <c r="Q1099" t="s">
        <v>250</v>
      </c>
      <c r="R1099" t="s">
        <v>251</v>
      </c>
      <c r="T1099" t="s">
        <v>252</v>
      </c>
      <c r="U1099" t="s">
        <v>253</v>
      </c>
      <c r="V1099" t="s">
        <v>418</v>
      </c>
      <c r="W1099" t="s">
        <v>791</v>
      </c>
      <c r="X1099" t="s">
        <v>792</v>
      </c>
      <c r="Z1099" t="s">
        <v>649</v>
      </c>
      <c r="AL1099" t="s">
        <v>2215</v>
      </c>
      <c r="AM1099" t="s">
        <v>258</v>
      </c>
      <c r="AN1099" t="s">
        <v>259</v>
      </c>
      <c r="AO1099" t="s">
        <v>260</v>
      </c>
      <c r="AQ1099" t="s">
        <v>261</v>
      </c>
      <c r="AS1099">
        <v>1370</v>
      </c>
      <c r="AU1099">
        <v>1139</v>
      </c>
      <c r="AW1099">
        <v>1645</v>
      </c>
      <c r="AX1099" t="s">
        <v>262</v>
      </c>
      <c r="BO1099" t="s">
        <v>261</v>
      </c>
      <c r="BQ1099">
        <v>1.37</v>
      </c>
      <c r="BS1099">
        <v>1.139</v>
      </c>
      <c r="BU1099">
        <v>1.645</v>
      </c>
      <c r="BV1099" t="s">
        <v>263</v>
      </c>
      <c r="CM1099" t="s">
        <v>264</v>
      </c>
      <c r="CN1099" t="s">
        <v>264</v>
      </c>
      <c r="CP1099" t="s">
        <v>265</v>
      </c>
      <c r="CQ1099" t="s">
        <v>518</v>
      </c>
      <c r="DB1099">
        <v>3</v>
      </c>
      <c r="DG1099" t="s">
        <v>267</v>
      </c>
      <c r="DI1099">
        <v>72</v>
      </c>
      <c r="DN1099" t="s">
        <v>268</v>
      </c>
      <c r="DR1099">
        <v>161924</v>
      </c>
      <c r="DS1099">
        <v>3045</v>
      </c>
      <c r="EW1099" t="s">
        <v>272</v>
      </c>
      <c r="FO1099">
        <v>26</v>
      </c>
      <c r="FQ1099">
        <v>26.5</v>
      </c>
      <c r="FR1099" t="s">
        <v>295</v>
      </c>
      <c r="FT1099">
        <v>5128</v>
      </c>
      <c r="FY1099" t="s">
        <v>572</v>
      </c>
      <c r="GA1099">
        <v>115</v>
      </c>
      <c r="GF1099" t="s">
        <v>572</v>
      </c>
      <c r="GJ1099">
        <v>5.2</v>
      </c>
      <c r="GL1099">
        <v>6.4</v>
      </c>
      <c r="GM1099" t="s">
        <v>356</v>
      </c>
      <c r="GQ1099">
        <v>7.2</v>
      </c>
      <c r="GS1099">
        <v>7.9</v>
      </c>
      <c r="GU1099">
        <v>30</v>
      </c>
      <c r="GZ1099" t="s">
        <v>296</v>
      </c>
      <c r="HH1099" t="s">
        <v>272</v>
      </c>
      <c r="IE1099" t="s">
        <v>2216</v>
      </c>
      <c r="IF1099">
        <v>14402</v>
      </c>
      <c r="IG1099" t="s">
        <v>2217</v>
      </c>
      <c r="IH1099" t="s">
        <v>2218</v>
      </c>
      <c r="II1099">
        <v>1993</v>
      </c>
      <c r="IJ1099" t="s">
        <v>2219</v>
      </c>
    </row>
    <row r="1100" spans="1:244" x14ac:dyDescent="0.45">
      <c r="A1100">
        <v>1096362</v>
      </c>
      <c r="B1100">
        <v>117488</v>
      </c>
      <c r="C1100">
        <v>7733020</v>
      </c>
      <c r="D1100" t="s">
        <v>2214</v>
      </c>
      <c r="F1100" t="s">
        <v>327</v>
      </c>
      <c r="G1100" t="s">
        <v>246</v>
      </c>
      <c r="N1100" t="s">
        <v>1401</v>
      </c>
      <c r="O1100" t="s">
        <v>1299</v>
      </c>
      <c r="P1100" t="s">
        <v>249</v>
      </c>
      <c r="Q1100" t="s">
        <v>250</v>
      </c>
      <c r="R1100" t="s">
        <v>251</v>
      </c>
      <c r="T1100" t="s">
        <v>252</v>
      </c>
      <c r="U1100" t="s">
        <v>371</v>
      </c>
      <c r="V1100" t="s">
        <v>372</v>
      </c>
      <c r="W1100" t="s">
        <v>1402</v>
      </c>
      <c r="X1100" t="s">
        <v>1403</v>
      </c>
      <c r="Z1100" t="s">
        <v>649</v>
      </c>
      <c r="AB1100">
        <v>3</v>
      </c>
      <c r="AG1100" t="s">
        <v>267</v>
      </c>
      <c r="AM1100" t="s">
        <v>317</v>
      </c>
      <c r="AN1100" t="s">
        <v>259</v>
      </c>
      <c r="AO1100" t="s">
        <v>260</v>
      </c>
      <c r="AQ1100" t="s">
        <v>261</v>
      </c>
      <c r="AS1100">
        <v>509</v>
      </c>
      <c r="AU1100">
        <v>434</v>
      </c>
      <c r="AW1100">
        <v>611</v>
      </c>
      <c r="AX1100" t="s">
        <v>262</v>
      </c>
      <c r="BO1100" t="s">
        <v>261</v>
      </c>
      <c r="BQ1100">
        <v>0.50900000000000001</v>
      </c>
      <c r="BS1100">
        <v>0.434</v>
      </c>
      <c r="BU1100">
        <v>0.61099999999999999</v>
      </c>
      <c r="BV1100" t="s">
        <v>263</v>
      </c>
      <c r="CM1100" t="s">
        <v>264</v>
      </c>
      <c r="CN1100" t="s">
        <v>264</v>
      </c>
      <c r="CP1100" t="s">
        <v>265</v>
      </c>
      <c r="CQ1100" t="s">
        <v>518</v>
      </c>
      <c r="DB1100">
        <v>2</v>
      </c>
      <c r="DG1100" t="s">
        <v>267</v>
      </c>
      <c r="DI1100">
        <v>48</v>
      </c>
      <c r="DN1100" t="s">
        <v>268</v>
      </c>
      <c r="DR1100">
        <v>236552</v>
      </c>
      <c r="DS1100">
        <v>59434</v>
      </c>
      <c r="DT1100" t="s">
        <v>2234</v>
      </c>
      <c r="EW1100" t="s">
        <v>333</v>
      </c>
      <c r="FM1100">
        <v>14.5</v>
      </c>
      <c r="FR1100" t="s">
        <v>295</v>
      </c>
      <c r="GJ1100">
        <v>7.6</v>
      </c>
      <c r="GL1100">
        <v>8.1</v>
      </c>
      <c r="GM1100" t="s">
        <v>356</v>
      </c>
      <c r="GQ1100">
        <v>7.85</v>
      </c>
      <c r="GS1100">
        <v>7.9</v>
      </c>
      <c r="GW1100">
        <v>34</v>
      </c>
      <c r="GY1100">
        <v>35</v>
      </c>
      <c r="GZ1100" t="s">
        <v>296</v>
      </c>
      <c r="HH1100" t="s">
        <v>272</v>
      </c>
      <c r="IE1100" t="s">
        <v>2235</v>
      </c>
      <c r="IF1100">
        <v>6821</v>
      </c>
      <c r="IG1100" t="s">
        <v>2236</v>
      </c>
      <c r="IH1100" t="s">
        <v>2237</v>
      </c>
      <c r="II1100">
        <v>1989</v>
      </c>
      <c r="IJ1100" t="s">
        <v>2238</v>
      </c>
    </row>
    <row r="1101" spans="1:244" x14ac:dyDescent="0.45">
      <c r="A1101">
        <v>1277761</v>
      </c>
      <c r="B1101">
        <v>730986</v>
      </c>
      <c r="C1101">
        <v>7733020</v>
      </c>
      <c r="D1101" t="s">
        <v>2214</v>
      </c>
      <c r="E1101" t="s">
        <v>439</v>
      </c>
      <c r="F1101" t="s">
        <v>245</v>
      </c>
      <c r="G1101" t="s">
        <v>246</v>
      </c>
      <c r="N1101" t="s">
        <v>968</v>
      </c>
      <c r="O1101" t="s">
        <v>969</v>
      </c>
      <c r="P1101" t="s">
        <v>249</v>
      </c>
      <c r="Q1101" t="s">
        <v>250</v>
      </c>
      <c r="R1101" t="s">
        <v>251</v>
      </c>
      <c r="T1101" t="s">
        <v>252</v>
      </c>
      <c r="U1101" t="s">
        <v>253</v>
      </c>
      <c r="V1101" t="s">
        <v>418</v>
      </c>
      <c r="W1101" t="s">
        <v>419</v>
      </c>
      <c r="X1101" t="s">
        <v>970</v>
      </c>
      <c r="Z1101" t="s">
        <v>649</v>
      </c>
      <c r="AL1101" t="s">
        <v>1174</v>
      </c>
      <c r="AM1101" t="s">
        <v>258</v>
      </c>
      <c r="AN1101" t="s">
        <v>259</v>
      </c>
      <c r="AO1101" t="s">
        <v>260</v>
      </c>
      <c r="AQ1101" t="s">
        <v>261</v>
      </c>
      <c r="AU1101">
        <v>3.2</v>
      </c>
      <c r="AW1101">
        <v>10</v>
      </c>
      <c r="AX1101" t="s">
        <v>356</v>
      </c>
      <c r="BO1101" t="s">
        <v>261</v>
      </c>
      <c r="BS1101">
        <v>3.2</v>
      </c>
      <c r="BU1101">
        <v>10</v>
      </c>
      <c r="BV1101" t="s">
        <v>263</v>
      </c>
      <c r="CM1101" t="s">
        <v>264</v>
      </c>
      <c r="CN1101" t="s">
        <v>264</v>
      </c>
      <c r="CP1101" t="s">
        <v>265</v>
      </c>
      <c r="CQ1101" t="s">
        <v>518</v>
      </c>
      <c r="DB1101">
        <v>4</v>
      </c>
      <c r="DG1101" t="s">
        <v>267</v>
      </c>
      <c r="DI1101">
        <v>96</v>
      </c>
      <c r="DN1101" t="s">
        <v>268</v>
      </c>
      <c r="DP1101" t="s">
        <v>2260</v>
      </c>
      <c r="DS1101">
        <v>1010</v>
      </c>
      <c r="DT1101" t="s">
        <v>1176</v>
      </c>
      <c r="EW1101" t="s">
        <v>293</v>
      </c>
      <c r="FK1101" t="s">
        <v>2472</v>
      </c>
      <c r="FM1101">
        <v>20</v>
      </c>
      <c r="FR1101" t="s">
        <v>295</v>
      </c>
      <c r="GG1101" t="s">
        <v>288</v>
      </c>
      <c r="GH1101">
        <v>90</v>
      </c>
      <c r="GM1101" t="s">
        <v>900</v>
      </c>
      <c r="GO1101">
        <v>8</v>
      </c>
      <c r="GU1101">
        <v>36</v>
      </c>
      <c r="GZ1101" t="s">
        <v>296</v>
      </c>
      <c r="HH1101" t="s">
        <v>272</v>
      </c>
      <c r="ID1101" t="s">
        <v>2473</v>
      </c>
      <c r="IE1101" t="s">
        <v>1179</v>
      </c>
      <c r="IF1101">
        <v>4973</v>
      </c>
      <c r="IG1101" t="s">
        <v>1180</v>
      </c>
      <c r="IH1101" t="s">
        <v>1181</v>
      </c>
      <c r="II1101">
        <v>1982</v>
      </c>
      <c r="IJ1101" t="s">
        <v>1182</v>
      </c>
    </row>
    <row r="1102" spans="1:244" x14ac:dyDescent="0.45">
      <c r="A1102">
        <v>1204316</v>
      </c>
      <c r="B1102">
        <v>209167</v>
      </c>
      <c r="C1102">
        <v>7733020</v>
      </c>
      <c r="D1102" t="s">
        <v>2214</v>
      </c>
      <c r="E1102" t="s">
        <v>622</v>
      </c>
      <c r="F1102" t="s">
        <v>245</v>
      </c>
      <c r="G1102" t="s">
        <v>246</v>
      </c>
      <c r="N1102" t="s">
        <v>1817</v>
      </c>
      <c r="O1102" t="s">
        <v>248</v>
      </c>
      <c r="P1102" t="s">
        <v>249</v>
      </c>
      <c r="Q1102" t="s">
        <v>250</v>
      </c>
      <c r="R1102" t="s">
        <v>251</v>
      </c>
      <c r="T1102" t="s">
        <v>252</v>
      </c>
      <c r="U1102" t="s">
        <v>253</v>
      </c>
      <c r="V1102" t="s">
        <v>1231</v>
      </c>
      <c r="W1102" t="s">
        <v>1818</v>
      </c>
      <c r="X1102" t="s">
        <v>351</v>
      </c>
      <c r="Z1102" t="s">
        <v>284</v>
      </c>
      <c r="AA1102" t="s">
        <v>289</v>
      </c>
      <c r="AB1102">
        <v>8</v>
      </c>
      <c r="AG1102" t="s">
        <v>268</v>
      </c>
      <c r="AL1102" t="s">
        <v>1819</v>
      </c>
      <c r="AM1102" t="s">
        <v>258</v>
      </c>
      <c r="AN1102" t="s">
        <v>259</v>
      </c>
      <c r="AO1102" t="s">
        <v>260</v>
      </c>
      <c r="AQ1102" t="s">
        <v>261</v>
      </c>
      <c r="AS1102">
        <v>125</v>
      </c>
      <c r="AU1102">
        <v>92</v>
      </c>
      <c r="AW1102">
        <v>170</v>
      </c>
      <c r="AX1102" t="s">
        <v>262</v>
      </c>
      <c r="BO1102" t="s">
        <v>261</v>
      </c>
      <c r="BQ1102">
        <v>0.125</v>
      </c>
      <c r="BS1102">
        <v>9.1999999999999998E-2</v>
      </c>
      <c r="BU1102">
        <v>0.17</v>
      </c>
      <c r="BV1102" t="s">
        <v>263</v>
      </c>
      <c r="CM1102" t="s">
        <v>264</v>
      </c>
      <c r="CN1102" t="s">
        <v>264</v>
      </c>
      <c r="CP1102" t="s">
        <v>265</v>
      </c>
      <c r="DB1102">
        <v>4</v>
      </c>
      <c r="DG1102" t="s">
        <v>267</v>
      </c>
      <c r="DI1102">
        <v>96</v>
      </c>
      <c r="DN1102" t="s">
        <v>268</v>
      </c>
      <c r="DR1102">
        <v>1041454</v>
      </c>
      <c r="DS1102">
        <v>10965</v>
      </c>
      <c r="EW1102" t="s">
        <v>293</v>
      </c>
      <c r="GU1102">
        <v>25</v>
      </c>
      <c r="GZ1102" t="s">
        <v>296</v>
      </c>
      <c r="HH1102" t="s">
        <v>272</v>
      </c>
      <c r="IE1102" t="s">
        <v>1820</v>
      </c>
      <c r="IF1102">
        <v>18580</v>
      </c>
      <c r="IG1102" t="s">
        <v>1821</v>
      </c>
      <c r="IH1102" t="s">
        <v>1822</v>
      </c>
      <c r="II1102">
        <v>1996</v>
      </c>
      <c r="IJ1102" t="s">
        <v>1823</v>
      </c>
    </row>
    <row r="1103" spans="1:244" x14ac:dyDescent="0.45">
      <c r="A1103">
        <v>1151166</v>
      </c>
      <c r="B1103">
        <v>104873</v>
      </c>
      <c r="C1103">
        <v>7733020</v>
      </c>
      <c r="D1103" t="s">
        <v>2214</v>
      </c>
      <c r="F1103" t="s">
        <v>245</v>
      </c>
      <c r="G1103" t="s">
        <v>246</v>
      </c>
      <c r="N1103" t="s">
        <v>247</v>
      </c>
      <c r="O1103" t="s">
        <v>248</v>
      </c>
      <c r="P1103" t="s">
        <v>249</v>
      </c>
      <c r="Q1103" t="s">
        <v>250</v>
      </c>
      <c r="R1103" t="s">
        <v>251</v>
      </c>
      <c r="T1103" t="s">
        <v>252</v>
      </c>
      <c r="U1103" t="s">
        <v>253</v>
      </c>
      <c r="V1103" t="s">
        <v>254</v>
      </c>
      <c r="W1103" t="s">
        <v>255</v>
      </c>
      <c r="X1103" t="s">
        <v>256</v>
      </c>
      <c r="Z1103" t="s">
        <v>1057</v>
      </c>
      <c r="AL1103" t="s">
        <v>1777</v>
      </c>
      <c r="AM1103" t="s">
        <v>317</v>
      </c>
      <c r="AN1103" t="s">
        <v>259</v>
      </c>
      <c r="AO1103" t="s">
        <v>260</v>
      </c>
      <c r="AQ1103" t="s">
        <v>261</v>
      </c>
      <c r="AS1103">
        <v>645700</v>
      </c>
      <c r="AX1103" t="s">
        <v>262</v>
      </c>
      <c r="BO1103" t="s">
        <v>261</v>
      </c>
      <c r="BQ1103">
        <v>645.70000000000005</v>
      </c>
      <c r="BV1103" t="s">
        <v>263</v>
      </c>
      <c r="CM1103" t="s">
        <v>264</v>
      </c>
      <c r="CN1103" t="s">
        <v>264</v>
      </c>
      <c r="CP1103" t="s">
        <v>265</v>
      </c>
      <c r="DB1103">
        <v>2</v>
      </c>
      <c r="DG1103" t="s">
        <v>267</v>
      </c>
      <c r="DI1103">
        <v>48</v>
      </c>
      <c r="DN1103" t="s">
        <v>268</v>
      </c>
      <c r="DR1103">
        <v>6761</v>
      </c>
      <c r="DS1103">
        <v>2461</v>
      </c>
      <c r="EW1103" t="s">
        <v>293</v>
      </c>
      <c r="HH1103" t="s">
        <v>272</v>
      </c>
      <c r="IE1103" t="s">
        <v>1778</v>
      </c>
      <c r="IF1103">
        <v>12895</v>
      </c>
      <c r="IG1103" t="s">
        <v>1779</v>
      </c>
      <c r="IH1103" t="s">
        <v>1780</v>
      </c>
      <c r="II1103">
        <v>1986</v>
      </c>
      <c r="IJ1103" t="s">
        <v>1781</v>
      </c>
    </row>
    <row r="1104" spans="1:244" x14ac:dyDescent="0.45">
      <c r="A1104">
        <v>1041007</v>
      </c>
      <c r="B1104">
        <v>25023</v>
      </c>
      <c r="C1104">
        <v>7733020</v>
      </c>
      <c r="D1104" t="s">
        <v>2214</v>
      </c>
      <c r="F1104" t="s">
        <v>245</v>
      </c>
      <c r="G1104" t="s">
        <v>246</v>
      </c>
      <c r="N1104" t="s">
        <v>1782</v>
      </c>
      <c r="O1104" t="s">
        <v>1783</v>
      </c>
      <c r="P1104" t="s">
        <v>249</v>
      </c>
      <c r="Q1104" t="s">
        <v>250</v>
      </c>
      <c r="R1104" t="s">
        <v>251</v>
      </c>
      <c r="T1104" t="s">
        <v>252</v>
      </c>
      <c r="U1104" t="s">
        <v>253</v>
      </c>
      <c r="V1104" t="s">
        <v>1735</v>
      </c>
      <c r="W1104" t="s">
        <v>1784</v>
      </c>
      <c r="X1104" t="s">
        <v>1785</v>
      </c>
      <c r="Z1104" t="s">
        <v>1677</v>
      </c>
      <c r="AL1104" t="s">
        <v>1786</v>
      </c>
      <c r="AM1104" t="s">
        <v>258</v>
      </c>
      <c r="AN1104" t="s">
        <v>259</v>
      </c>
      <c r="AO1104" t="s">
        <v>260</v>
      </c>
      <c r="AQ1104" t="s">
        <v>261</v>
      </c>
      <c r="AS1104">
        <v>31930</v>
      </c>
      <c r="AU1104">
        <v>28570</v>
      </c>
      <c r="AW1104">
        <v>35290</v>
      </c>
      <c r="AX1104" t="s">
        <v>262</v>
      </c>
      <c r="BO1104" t="s">
        <v>261</v>
      </c>
      <c r="BQ1104">
        <v>31.93</v>
      </c>
      <c r="BS1104">
        <v>28.57</v>
      </c>
      <c r="BU1104">
        <v>35.29</v>
      </c>
      <c r="BV1104" t="s">
        <v>263</v>
      </c>
      <c r="CM1104" t="s">
        <v>264</v>
      </c>
      <c r="CN1104" t="s">
        <v>264</v>
      </c>
      <c r="CP1104" t="s">
        <v>265</v>
      </c>
      <c r="CQ1104" t="s">
        <v>518</v>
      </c>
      <c r="DB1104">
        <v>4</v>
      </c>
      <c r="DG1104" t="s">
        <v>267</v>
      </c>
      <c r="DI1104">
        <v>96</v>
      </c>
      <c r="DN1104" t="s">
        <v>268</v>
      </c>
      <c r="DP1104" t="s">
        <v>977</v>
      </c>
      <c r="DS1104">
        <v>2838</v>
      </c>
      <c r="DT1104" t="s">
        <v>1787</v>
      </c>
      <c r="EW1104" t="s">
        <v>333</v>
      </c>
      <c r="FM1104">
        <v>29</v>
      </c>
      <c r="FR1104" t="s">
        <v>295</v>
      </c>
      <c r="GU1104">
        <v>25</v>
      </c>
      <c r="GZ1104" t="s">
        <v>296</v>
      </c>
      <c r="HH1104" t="s">
        <v>272</v>
      </c>
      <c r="IE1104" t="s">
        <v>1788</v>
      </c>
      <c r="IF1104">
        <v>2602</v>
      </c>
      <c r="IG1104" t="s">
        <v>1789</v>
      </c>
      <c r="IH1104" t="s">
        <v>1790</v>
      </c>
      <c r="II1104">
        <v>1987</v>
      </c>
      <c r="IJ1104" t="s">
        <v>1791</v>
      </c>
    </row>
    <row r="1105" spans="1:244" x14ac:dyDescent="0.45">
      <c r="A1105">
        <v>1033120</v>
      </c>
      <c r="B1105">
        <v>107270</v>
      </c>
      <c r="C1105">
        <v>7733020</v>
      </c>
      <c r="D1105" t="s">
        <v>2214</v>
      </c>
      <c r="F1105" t="s">
        <v>245</v>
      </c>
      <c r="G1105" t="s">
        <v>246</v>
      </c>
      <c r="N1105" t="s">
        <v>471</v>
      </c>
      <c r="O1105" t="s">
        <v>388</v>
      </c>
      <c r="P1105" t="s">
        <v>249</v>
      </c>
      <c r="Q1105" t="s">
        <v>250</v>
      </c>
      <c r="R1105" t="s">
        <v>251</v>
      </c>
      <c r="T1105" t="s">
        <v>389</v>
      </c>
      <c r="U1105" t="s">
        <v>390</v>
      </c>
      <c r="V1105" t="s">
        <v>472</v>
      </c>
      <c r="W1105" t="s">
        <v>473</v>
      </c>
      <c r="X1105" t="s">
        <v>474</v>
      </c>
      <c r="AL1105" t="s">
        <v>2474</v>
      </c>
      <c r="AM1105" t="s">
        <v>317</v>
      </c>
      <c r="AN1105" t="s">
        <v>259</v>
      </c>
      <c r="AO1105" t="s">
        <v>260</v>
      </c>
      <c r="AQ1105" t="s">
        <v>261</v>
      </c>
      <c r="AS1105">
        <v>783</v>
      </c>
      <c r="AX1105" t="s">
        <v>262</v>
      </c>
      <c r="BO1105" t="s">
        <v>261</v>
      </c>
      <c r="BQ1105">
        <v>0.78300000000000003</v>
      </c>
      <c r="BV1105" t="s">
        <v>263</v>
      </c>
      <c r="CM1105" t="s">
        <v>264</v>
      </c>
      <c r="CN1105" t="s">
        <v>264</v>
      </c>
      <c r="CP1105" t="s">
        <v>265</v>
      </c>
      <c r="CQ1105" t="s">
        <v>518</v>
      </c>
      <c r="DB1105">
        <v>2</v>
      </c>
      <c r="DG1105" t="s">
        <v>267</v>
      </c>
      <c r="DI1105">
        <v>48</v>
      </c>
      <c r="DN1105" t="s">
        <v>268</v>
      </c>
      <c r="DR1105">
        <v>2056173</v>
      </c>
      <c r="DS1105">
        <v>1053</v>
      </c>
      <c r="DT1105" t="s">
        <v>2297</v>
      </c>
      <c r="EW1105" t="s">
        <v>333</v>
      </c>
      <c r="FM1105">
        <v>18</v>
      </c>
      <c r="FR1105" t="s">
        <v>295</v>
      </c>
      <c r="HH1105" t="s">
        <v>272</v>
      </c>
      <c r="IE1105" t="s">
        <v>2299</v>
      </c>
      <c r="IF1105">
        <v>2084</v>
      </c>
      <c r="IG1105" t="s">
        <v>2300</v>
      </c>
      <c r="IH1105" t="s">
        <v>2301</v>
      </c>
      <c r="II1105">
        <v>1989</v>
      </c>
      <c r="IJ1105" t="s">
        <v>2302</v>
      </c>
    </row>
    <row r="1106" spans="1:244" x14ac:dyDescent="0.45">
      <c r="A1106">
        <v>2095567</v>
      </c>
      <c r="B1106">
        <v>2175478</v>
      </c>
      <c r="C1106">
        <v>7733020</v>
      </c>
      <c r="D1106" t="s">
        <v>2214</v>
      </c>
      <c r="E1106" t="s">
        <v>622</v>
      </c>
      <c r="F1106" t="s">
        <v>245</v>
      </c>
      <c r="G1106" t="s">
        <v>272</v>
      </c>
      <c r="N1106" t="s">
        <v>2332</v>
      </c>
      <c r="O1106" t="s">
        <v>2333</v>
      </c>
      <c r="P1106" t="s">
        <v>249</v>
      </c>
      <c r="Q1106" t="s">
        <v>250</v>
      </c>
      <c r="R1106" t="s">
        <v>251</v>
      </c>
      <c r="T1106" t="s">
        <v>389</v>
      </c>
      <c r="U1106" t="s">
        <v>390</v>
      </c>
      <c r="V1106" t="s">
        <v>1010</v>
      </c>
      <c r="W1106" t="s">
        <v>2334</v>
      </c>
      <c r="X1106" t="s">
        <v>2335</v>
      </c>
      <c r="Z1106" t="s">
        <v>315</v>
      </c>
      <c r="AJ1106" t="s">
        <v>354</v>
      </c>
      <c r="AK1106" t="s">
        <v>709</v>
      </c>
      <c r="AM1106" t="s">
        <v>317</v>
      </c>
      <c r="AN1106" t="s">
        <v>259</v>
      </c>
      <c r="AO1106" t="s">
        <v>260</v>
      </c>
      <c r="AQ1106" t="s">
        <v>261</v>
      </c>
      <c r="AS1106">
        <v>2</v>
      </c>
      <c r="AU1106">
        <v>1.56</v>
      </c>
      <c r="AW1106">
        <v>2.25</v>
      </c>
      <c r="AX1106" t="s">
        <v>356</v>
      </c>
      <c r="BO1106" t="s">
        <v>261</v>
      </c>
      <c r="BQ1106">
        <v>2</v>
      </c>
      <c r="BS1106">
        <v>1.56</v>
      </c>
      <c r="BU1106">
        <v>2.25</v>
      </c>
      <c r="BV1106" t="s">
        <v>263</v>
      </c>
      <c r="CM1106" t="s">
        <v>264</v>
      </c>
      <c r="CN1106" t="s">
        <v>264</v>
      </c>
      <c r="CP1106" t="s">
        <v>265</v>
      </c>
      <c r="CQ1106" t="s">
        <v>518</v>
      </c>
      <c r="DB1106">
        <v>4</v>
      </c>
      <c r="DG1106" t="s">
        <v>267</v>
      </c>
      <c r="DI1106">
        <v>96</v>
      </c>
      <c r="DN1106" t="s">
        <v>268</v>
      </c>
      <c r="DP1106" t="s">
        <v>2307</v>
      </c>
      <c r="DS1106">
        <v>27874</v>
      </c>
      <c r="DT1106" t="s">
        <v>2379</v>
      </c>
      <c r="DV1106">
        <v>96</v>
      </c>
      <c r="EA1106" t="s">
        <v>268</v>
      </c>
      <c r="EC1106">
        <v>4</v>
      </c>
      <c r="EH1106" t="s">
        <v>267</v>
      </c>
      <c r="EJ1106">
        <v>96</v>
      </c>
      <c r="EO1106" t="s">
        <v>268</v>
      </c>
      <c r="EQ1106">
        <v>4</v>
      </c>
      <c r="EV1106" t="s">
        <v>267</v>
      </c>
      <c r="EW1106" t="s">
        <v>293</v>
      </c>
      <c r="FA1106" t="s">
        <v>2161</v>
      </c>
      <c r="FM1106">
        <v>20</v>
      </c>
      <c r="FR1106" t="s">
        <v>295</v>
      </c>
      <c r="GG1106" t="s">
        <v>288</v>
      </c>
      <c r="GH1106">
        <v>7</v>
      </c>
      <c r="GM1106" t="s">
        <v>356</v>
      </c>
      <c r="GQ1106">
        <v>8</v>
      </c>
      <c r="GS1106">
        <v>8.5</v>
      </c>
      <c r="GT1106" t="s">
        <v>288</v>
      </c>
      <c r="GU1106">
        <v>30</v>
      </c>
      <c r="GZ1106" t="s">
        <v>296</v>
      </c>
      <c r="HH1106" t="s">
        <v>272</v>
      </c>
      <c r="IE1106" t="s">
        <v>2381</v>
      </c>
      <c r="IF1106">
        <v>161986</v>
      </c>
      <c r="IG1106" t="s">
        <v>2382</v>
      </c>
      <c r="IH1106" t="s">
        <v>2383</v>
      </c>
      <c r="II1106">
        <v>2012</v>
      </c>
      <c r="IJ1106" t="s">
        <v>2384</v>
      </c>
    </row>
    <row r="1107" spans="1:244" x14ac:dyDescent="0.45">
      <c r="A1107">
        <v>1142156</v>
      </c>
      <c r="B1107">
        <v>106302</v>
      </c>
      <c r="C1107">
        <v>7733020</v>
      </c>
      <c r="D1107" t="s">
        <v>2214</v>
      </c>
      <c r="F1107" t="s">
        <v>245</v>
      </c>
      <c r="G1107" t="s">
        <v>246</v>
      </c>
      <c r="N1107" t="s">
        <v>2183</v>
      </c>
      <c r="O1107" t="s">
        <v>498</v>
      </c>
      <c r="P1107" t="s">
        <v>249</v>
      </c>
      <c r="Q1107" t="s">
        <v>250</v>
      </c>
      <c r="R1107" t="s">
        <v>251</v>
      </c>
      <c r="T1107" t="s">
        <v>252</v>
      </c>
      <c r="U1107" t="s">
        <v>499</v>
      </c>
      <c r="V1107" t="s">
        <v>1281</v>
      </c>
      <c r="W1107" t="s">
        <v>1282</v>
      </c>
      <c r="X1107" t="s">
        <v>2184</v>
      </c>
      <c r="AM1107" t="s">
        <v>258</v>
      </c>
      <c r="AN1107" t="s">
        <v>259</v>
      </c>
      <c r="AO1107" t="s">
        <v>260</v>
      </c>
      <c r="AQ1107" t="s">
        <v>261</v>
      </c>
      <c r="AS1107">
        <v>1100</v>
      </c>
      <c r="AX1107" t="s">
        <v>262</v>
      </c>
      <c r="BO1107" t="s">
        <v>261</v>
      </c>
      <c r="BQ1107">
        <v>1.1000000000000001</v>
      </c>
      <c r="BV1107" t="s">
        <v>263</v>
      </c>
      <c r="CM1107" t="s">
        <v>264</v>
      </c>
      <c r="CN1107" t="s">
        <v>264</v>
      </c>
      <c r="CP1107" t="s">
        <v>265</v>
      </c>
      <c r="CQ1107" t="s">
        <v>518</v>
      </c>
      <c r="DB1107">
        <v>4</v>
      </c>
      <c r="DG1107" t="s">
        <v>267</v>
      </c>
      <c r="DI1107">
        <v>96</v>
      </c>
      <c r="DN1107" t="s">
        <v>268</v>
      </c>
      <c r="DP1107" t="s">
        <v>2185</v>
      </c>
      <c r="DR1107">
        <v>371472</v>
      </c>
      <c r="DS1107">
        <v>1342</v>
      </c>
      <c r="DT1107" t="s">
        <v>2186</v>
      </c>
      <c r="EW1107" t="s">
        <v>271</v>
      </c>
      <c r="FM1107">
        <v>15</v>
      </c>
      <c r="FR1107" t="s">
        <v>295</v>
      </c>
      <c r="GG1107" t="s">
        <v>278</v>
      </c>
      <c r="GH1107">
        <v>75</v>
      </c>
      <c r="GM1107" t="s">
        <v>900</v>
      </c>
      <c r="GU1107">
        <v>5</v>
      </c>
      <c r="GZ1107" t="s">
        <v>296</v>
      </c>
      <c r="HH1107" t="s">
        <v>272</v>
      </c>
      <c r="IE1107" t="s">
        <v>2187</v>
      </c>
      <c r="IF1107">
        <v>11875</v>
      </c>
      <c r="IG1107" t="s">
        <v>2188</v>
      </c>
      <c r="IH1107" t="s">
        <v>2189</v>
      </c>
      <c r="II1107">
        <v>1985</v>
      </c>
      <c r="IJ1107" t="s">
        <v>2190</v>
      </c>
    </row>
    <row r="1108" spans="1:244" x14ac:dyDescent="0.45">
      <c r="A1108">
        <v>1142140</v>
      </c>
      <c r="B1108">
        <v>106286</v>
      </c>
      <c r="C1108">
        <v>7733020</v>
      </c>
      <c r="D1108" t="s">
        <v>2214</v>
      </c>
      <c r="F1108" t="s">
        <v>245</v>
      </c>
      <c r="G1108" t="s">
        <v>246</v>
      </c>
      <c r="N1108" t="s">
        <v>2183</v>
      </c>
      <c r="O1108" t="s">
        <v>498</v>
      </c>
      <c r="P1108" t="s">
        <v>249</v>
      </c>
      <c r="Q1108" t="s">
        <v>250</v>
      </c>
      <c r="R1108" t="s">
        <v>251</v>
      </c>
      <c r="T1108" t="s">
        <v>252</v>
      </c>
      <c r="U1108" t="s">
        <v>499</v>
      </c>
      <c r="V1108" t="s">
        <v>1281</v>
      </c>
      <c r="W1108" t="s">
        <v>1282</v>
      </c>
      <c r="X1108" t="s">
        <v>2184</v>
      </c>
      <c r="AM1108" t="s">
        <v>258</v>
      </c>
      <c r="AN1108" t="s">
        <v>259</v>
      </c>
      <c r="AO1108" t="s">
        <v>260</v>
      </c>
      <c r="AQ1108" t="s">
        <v>261</v>
      </c>
      <c r="AS1108">
        <v>46000</v>
      </c>
      <c r="AX1108" t="s">
        <v>262</v>
      </c>
      <c r="BO1108" t="s">
        <v>261</v>
      </c>
      <c r="BQ1108">
        <v>46</v>
      </c>
      <c r="BV1108" t="s">
        <v>263</v>
      </c>
      <c r="CM1108" t="s">
        <v>264</v>
      </c>
      <c r="CN1108" t="s">
        <v>264</v>
      </c>
      <c r="CP1108" t="s">
        <v>265</v>
      </c>
      <c r="CQ1108" t="s">
        <v>518</v>
      </c>
      <c r="DB1108">
        <v>2</v>
      </c>
      <c r="DG1108" t="s">
        <v>267</v>
      </c>
      <c r="DI1108">
        <v>48</v>
      </c>
      <c r="DN1108" t="s">
        <v>268</v>
      </c>
      <c r="DP1108" t="s">
        <v>2185</v>
      </c>
      <c r="DR1108">
        <v>371472</v>
      </c>
      <c r="DS1108">
        <v>1342</v>
      </c>
      <c r="DT1108" t="s">
        <v>2186</v>
      </c>
      <c r="EW1108" t="s">
        <v>271</v>
      </c>
      <c r="FM1108">
        <v>10</v>
      </c>
      <c r="FR1108" t="s">
        <v>295</v>
      </c>
      <c r="GG1108" t="s">
        <v>278</v>
      </c>
      <c r="GH1108">
        <v>75</v>
      </c>
      <c r="GM1108" t="s">
        <v>900</v>
      </c>
      <c r="GU1108">
        <v>25</v>
      </c>
      <c r="GZ1108" t="s">
        <v>296</v>
      </c>
      <c r="HH1108" t="s">
        <v>272</v>
      </c>
      <c r="IE1108" t="s">
        <v>2187</v>
      </c>
      <c r="IF1108">
        <v>11875</v>
      </c>
      <c r="IG1108" t="s">
        <v>2188</v>
      </c>
      <c r="IH1108" t="s">
        <v>2189</v>
      </c>
      <c r="II1108">
        <v>1985</v>
      </c>
      <c r="IJ1108" t="s">
        <v>2190</v>
      </c>
    </row>
    <row r="1109" spans="1:244" x14ac:dyDescent="0.45">
      <c r="A1109">
        <v>1142128</v>
      </c>
      <c r="B1109">
        <v>106274</v>
      </c>
      <c r="C1109">
        <v>7733020</v>
      </c>
      <c r="D1109" t="s">
        <v>2214</v>
      </c>
      <c r="F1109" t="s">
        <v>245</v>
      </c>
      <c r="G1109" t="s">
        <v>246</v>
      </c>
      <c r="N1109" t="s">
        <v>2183</v>
      </c>
      <c r="O1109" t="s">
        <v>498</v>
      </c>
      <c r="P1109" t="s">
        <v>249</v>
      </c>
      <c r="Q1109" t="s">
        <v>250</v>
      </c>
      <c r="R1109" t="s">
        <v>251</v>
      </c>
      <c r="T1109" t="s">
        <v>252</v>
      </c>
      <c r="U1109" t="s">
        <v>499</v>
      </c>
      <c r="V1109" t="s">
        <v>1281</v>
      </c>
      <c r="W1109" t="s">
        <v>1282</v>
      </c>
      <c r="X1109" t="s">
        <v>2184</v>
      </c>
      <c r="AM1109" t="s">
        <v>258</v>
      </c>
      <c r="AN1109" t="s">
        <v>259</v>
      </c>
      <c r="AO1109" t="s">
        <v>260</v>
      </c>
      <c r="AQ1109" t="s">
        <v>261</v>
      </c>
      <c r="AS1109">
        <v>90000</v>
      </c>
      <c r="AX1109" t="s">
        <v>262</v>
      </c>
      <c r="BO1109" t="s">
        <v>261</v>
      </c>
      <c r="BQ1109">
        <v>90</v>
      </c>
      <c r="BV1109" t="s">
        <v>263</v>
      </c>
      <c r="CM1109" t="s">
        <v>264</v>
      </c>
      <c r="CN1109" t="s">
        <v>264</v>
      </c>
      <c r="CP1109" t="s">
        <v>265</v>
      </c>
      <c r="CQ1109" t="s">
        <v>518</v>
      </c>
      <c r="DB1109">
        <v>1</v>
      </c>
      <c r="DG1109" t="s">
        <v>267</v>
      </c>
      <c r="DI1109">
        <v>24</v>
      </c>
      <c r="DN1109" t="s">
        <v>268</v>
      </c>
      <c r="DP1109" t="s">
        <v>2185</v>
      </c>
      <c r="DR1109">
        <v>371472</v>
      </c>
      <c r="DS1109">
        <v>1342</v>
      </c>
      <c r="DT1109" t="s">
        <v>2186</v>
      </c>
      <c r="EW1109" t="s">
        <v>271</v>
      </c>
      <c r="FM1109">
        <v>15</v>
      </c>
      <c r="FR1109" t="s">
        <v>295</v>
      </c>
      <c r="GG1109" t="s">
        <v>278</v>
      </c>
      <c r="GH1109">
        <v>75</v>
      </c>
      <c r="GM1109" t="s">
        <v>900</v>
      </c>
      <c r="GU1109">
        <v>10</v>
      </c>
      <c r="GZ1109" t="s">
        <v>296</v>
      </c>
      <c r="HH1109" t="s">
        <v>272</v>
      </c>
      <c r="IE1109" t="s">
        <v>2187</v>
      </c>
      <c r="IF1109">
        <v>11875</v>
      </c>
      <c r="IG1109" t="s">
        <v>2188</v>
      </c>
      <c r="IH1109" t="s">
        <v>2189</v>
      </c>
      <c r="II1109">
        <v>1985</v>
      </c>
      <c r="IJ1109" t="s">
        <v>2190</v>
      </c>
    </row>
    <row r="1110" spans="1:244" x14ac:dyDescent="0.45">
      <c r="A1110">
        <v>1142148</v>
      </c>
      <c r="B1110">
        <v>106294</v>
      </c>
      <c r="C1110">
        <v>7733020</v>
      </c>
      <c r="D1110" t="s">
        <v>2214</v>
      </c>
      <c r="F1110" t="s">
        <v>245</v>
      </c>
      <c r="G1110" t="s">
        <v>246</v>
      </c>
      <c r="N1110" t="s">
        <v>2183</v>
      </c>
      <c r="O1110" t="s">
        <v>498</v>
      </c>
      <c r="P1110" t="s">
        <v>249</v>
      </c>
      <c r="Q1110" t="s">
        <v>250</v>
      </c>
      <c r="R1110" t="s">
        <v>251</v>
      </c>
      <c r="T1110" t="s">
        <v>252</v>
      </c>
      <c r="U1110" t="s">
        <v>499</v>
      </c>
      <c r="V1110" t="s">
        <v>1281</v>
      </c>
      <c r="W1110" t="s">
        <v>1282</v>
      </c>
      <c r="X1110" t="s">
        <v>2184</v>
      </c>
      <c r="AM1110" t="s">
        <v>258</v>
      </c>
      <c r="AN1110" t="s">
        <v>259</v>
      </c>
      <c r="AO1110" t="s">
        <v>260</v>
      </c>
      <c r="AQ1110" t="s">
        <v>261</v>
      </c>
      <c r="AS1110">
        <v>4600</v>
      </c>
      <c r="AX1110" t="s">
        <v>262</v>
      </c>
      <c r="BO1110" t="s">
        <v>261</v>
      </c>
      <c r="BQ1110">
        <v>4.5999999999999996</v>
      </c>
      <c r="BV1110" t="s">
        <v>263</v>
      </c>
      <c r="CM1110" t="s">
        <v>264</v>
      </c>
      <c r="CN1110" t="s">
        <v>264</v>
      </c>
      <c r="CP1110" t="s">
        <v>265</v>
      </c>
      <c r="CQ1110" t="s">
        <v>518</v>
      </c>
      <c r="DB1110">
        <v>4</v>
      </c>
      <c r="DG1110" t="s">
        <v>267</v>
      </c>
      <c r="DI1110">
        <v>96</v>
      </c>
      <c r="DN1110" t="s">
        <v>268</v>
      </c>
      <c r="DP1110" t="s">
        <v>2185</v>
      </c>
      <c r="DR1110">
        <v>371472</v>
      </c>
      <c r="DS1110">
        <v>1342</v>
      </c>
      <c r="DT1110" t="s">
        <v>2186</v>
      </c>
      <c r="EW1110" t="s">
        <v>271</v>
      </c>
      <c r="FM1110">
        <v>5</v>
      </c>
      <c r="FR1110" t="s">
        <v>295</v>
      </c>
      <c r="GG1110" t="s">
        <v>278</v>
      </c>
      <c r="GH1110">
        <v>75</v>
      </c>
      <c r="GM1110" t="s">
        <v>900</v>
      </c>
      <c r="GU1110">
        <v>10</v>
      </c>
      <c r="GZ1110" t="s">
        <v>296</v>
      </c>
      <c r="HH1110" t="s">
        <v>272</v>
      </c>
      <c r="IE1110" t="s">
        <v>2187</v>
      </c>
      <c r="IF1110">
        <v>11875</v>
      </c>
      <c r="IG1110" t="s">
        <v>2188</v>
      </c>
      <c r="IH1110" t="s">
        <v>2189</v>
      </c>
      <c r="II1110">
        <v>1985</v>
      </c>
      <c r="IJ1110" t="s">
        <v>2190</v>
      </c>
    </row>
    <row r="1111" spans="1:244" x14ac:dyDescent="0.45">
      <c r="A1111">
        <v>1142118</v>
      </c>
      <c r="B1111">
        <v>106264</v>
      </c>
      <c r="C1111">
        <v>7733020</v>
      </c>
      <c r="D1111" t="s">
        <v>2214</v>
      </c>
      <c r="F1111" t="s">
        <v>245</v>
      </c>
      <c r="G1111" t="s">
        <v>246</v>
      </c>
      <c r="N1111" t="s">
        <v>2183</v>
      </c>
      <c r="O1111" t="s">
        <v>498</v>
      </c>
      <c r="P1111" t="s">
        <v>249</v>
      </c>
      <c r="Q1111" t="s">
        <v>250</v>
      </c>
      <c r="R1111" t="s">
        <v>251</v>
      </c>
      <c r="T1111" t="s">
        <v>252</v>
      </c>
      <c r="U1111" t="s">
        <v>499</v>
      </c>
      <c r="V1111" t="s">
        <v>1281</v>
      </c>
      <c r="W1111" t="s">
        <v>1282</v>
      </c>
      <c r="X1111" t="s">
        <v>2184</v>
      </c>
      <c r="AM1111" t="s">
        <v>258</v>
      </c>
      <c r="AN1111" t="s">
        <v>259</v>
      </c>
      <c r="AO1111" t="s">
        <v>260</v>
      </c>
      <c r="AQ1111" t="s">
        <v>261</v>
      </c>
      <c r="AS1111">
        <v>95000</v>
      </c>
      <c r="AX1111" t="s">
        <v>262</v>
      </c>
      <c r="BO1111" t="s">
        <v>261</v>
      </c>
      <c r="BQ1111">
        <v>95</v>
      </c>
      <c r="BV1111" t="s">
        <v>263</v>
      </c>
      <c r="CM1111" t="s">
        <v>264</v>
      </c>
      <c r="CN1111" t="s">
        <v>264</v>
      </c>
      <c r="CP1111" t="s">
        <v>265</v>
      </c>
      <c r="CQ1111" t="s">
        <v>518</v>
      </c>
      <c r="DB1111">
        <v>1</v>
      </c>
      <c r="DG1111" t="s">
        <v>267</v>
      </c>
      <c r="DI1111">
        <v>24</v>
      </c>
      <c r="DN1111" t="s">
        <v>268</v>
      </c>
      <c r="DP1111" t="s">
        <v>2185</v>
      </c>
      <c r="DR1111">
        <v>371472</v>
      </c>
      <c r="DS1111">
        <v>1342</v>
      </c>
      <c r="DT1111" t="s">
        <v>2186</v>
      </c>
      <c r="EW1111" t="s">
        <v>271</v>
      </c>
      <c r="FM1111">
        <v>5</v>
      </c>
      <c r="FR1111" t="s">
        <v>295</v>
      </c>
      <c r="GG1111" t="s">
        <v>278</v>
      </c>
      <c r="GH1111">
        <v>75</v>
      </c>
      <c r="GM1111" t="s">
        <v>900</v>
      </c>
      <c r="GU1111">
        <v>10</v>
      </c>
      <c r="GZ1111" t="s">
        <v>296</v>
      </c>
      <c r="HH1111" t="s">
        <v>272</v>
      </c>
      <c r="IE1111" t="s">
        <v>2187</v>
      </c>
      <c r="IF1111">
        <v>11875</v>
      </c>
      <c r="IG1111" t="s">
        <v>2188</v>
      </c>
      <c r="IH1111" t="s">
        <v>2189</v>
      </c>
      <c r="II1111">
        <v>1985</v>
      </c>
      <c r="IJ1111" t="s">
        <v>2190</v>
      </c>
    </row>
    <row r="1112" spans="1:244" x14ac:dyDescent="0.45">
      <c r="A1112">
        <v>1142143</v>
      </c>
      <c r="B1112">
        <v>106289</v>
      </c>
      <c r="C1112">
        <v>7733020</v>
      </c>
      <c r="D1112" t="s">
        <v>2214</v>
      </c>
      <c r="F1112" t="s">
        <v>245</v>
      </c>
      <c r="G1112" t="s">
        <v>246</v>
      </c>
      <c r="N1112" t="s">
        <v>2183</v>
      </c>
      <c r="O1112" t="s">
        <v>498</v>
      </c>
      <c r="P1112" t="s">
        <v>249</v>
      </c>
      <c r="Q1112" t="s">
        <v>250</v>
      </c>
      <c r="R1112" t="s">
        <v>251</v>
      </c>
      <c r="T1112" t="s">
        <v>252</v>
      </c>
      <c r="U1112" t="s">
        <v>499</v>
      </c>
      <c r="V1112" t="s">
        <v>1281</v>
      </c>
      <c r="W1112" t="s">
        <v>1282</v>
      </c>
      <c r="X1112" t="s">
        <v>2184</v>
      </c>
      <c r="AM1112" t="s">
        <v>258</v>
      </c>
      <c r="AN1112" t="s">
        <v>259</v>
      </c>
      <c r="AO1112" t="s">
        <v>260</v>
      </c>
      <c r="AQ1112" t="s">
        <v>261</v>
      </c>
      <c r="AS1112">
        <v>17000</v>
      </c>
      <c r="AX1112" t="s">
        <v>262</v>
      </c>
      <c r="BO1112" t="s">
        <v>261</v>
      </c>
      <c r="BQ1112">
        <v>17</v>
      </c>
      <c r="BV1112" t="s">
        <v>263</v>
      </c>
      <c r="CM1112" t="s">
        <v>264</v>
      </c>
      <c r="CN1112" t="s">
        <v>264</v>
      </c>
      <c r="CP1112" t="s">
        <v>265</v>
      </c>
      <c r="CQ1112" t="s">
        <v>518</v>
      </c>
      <c r="DB1112">
        <v>2</v>
      </c>
      <c r="DG1112" t="s">
        <v>267</v>
      </c>
      <c r="DI1112">
        <v>48</v>
      </c>
      <c r="DN1112" t="s">
        <v>268</v>
      </c>
      <c r="DP1112" t="s">
        <v>2185</v>
      </c>
      <c r="DR1112">
        <v>371472</v>
      </c>
      <c r="DS1112">
        <v>1342</v>
      </c>
      <c r="DT1112" t="s">
        <v>2186</v>
      </c>
      <c r="EW1112" t="s">
        <v>271</v>
      </c>
      <c r="FM1112">
        <v>15</v>
      </c>
      <c r="FR1112" t="s">
        <v>295</v>
      </c>
      <c r="GG1112" t="s">
        <v>278</v>
      </c>
      <c r="GH1112">
        <v>75</v>
      </c>
      <c r="GM1112" t="s">
        <v>900</v>
      </c>
      <c r="GU1112">
        <v>10</v>
      </c>
      <c r="GZ1112" t="s">
        <v>296</v>
      </c>
      <c r="HH1112" t="s">
        <v>272</v>
      </c>
      <c r="IE1112" t="s">
        <v>2187</v>
      </c>
      <c r="IF1112">
        <v>11875</v>
      </c>
      <c r="IG1112" t="s">
        <v>2188</v>
      </c>
      <c r="IH1112" t="s">
        <v>2189</v>
      </c>
      <c r="II1112">
        <v>1985</v>
      </c>
      <c r="IJ1112" t="s">
        <v>2190</v>
      </c>
    </row>
    <row r="1113" spans="1:244" x14ac:dyDescent="0.45">
      <c r="A1113">
        <v>1142155</v>
      </c>
      <c r="B1113">
        <v>106301</v>
      </c>
      <c r="C1113">
        <v>7733020</v>
      </c>
      <c r="D1113" t="s">
        <v>2214</v>
      </c>
      <c r="F1113" t="s">
        <v>245</v>
      </c>
      <c r="G1113" t="s">
        <v>246</v>
      </c>
      <c r="N1113" t="s">
        <v>2183</v>
      </c>
      <c r="O1113" t="s">
        <v>498</v>
      </c>
      <c r="P1113" t="s">
        <v>249</v>
      </c>
      <c r="Q1113" t="s">
        <v>250</v>
      </c>
      <c r="R1113" t="s">
        <v>251</v>
      </c>
      <c r="T1113" t="s">
        <v>252</v>
      </c>
      <c r="U1113" t="s">
        <v>499</v>
      </c>
      <c r="V1113" t="s">
        <v>1281</v>
      </c>
      <c r="W1113" t="s">
        <v>1282</v>
      </c>
      <c r="X1113" t="s">
        <v>2184</v>
      </c>
      <c r="AM1113" t="s">
        <v>258</v>
      </c>
      <c r="AN1113" t="s">
        <v>259</v>
      </c>
      <c r="AO1113" t="s">
        <v>260</v>
      </c>
      <c r="AQ1113" t="s">
        <v>261</v>
      </c>
      <c r="AS1113">
        <v>15000</v>
      </c>
      <c r="AX1113" t="s">
        <v>262</v>
      </c>
      <c r="BO1113" t="s">
        <v>261</v>
      </c>
      <c r="BQ1113">
        <v>15</v>
      </c>
      <c r="BV1113" t="s">
        <v>263</v>
      </c>
      <c r="CM1113" t="s">
        <v>264</v>
      </c>
      <c r="CN1113" t="s">
        <v>264</v>
      </c>
      <c r="CP1113" t="s">
        <v>265</v>
      </c>
      <c r="CQ1113" t="s">
        <v>518</v>
      </c>
      <c r="DB1113">
        <v>4</v>
      </c>
      <c r="DG1113" t="s">
        <v>267</v>
      </c>
      <c r="DI1113">
        <v>96</v>
      </c>
      <c r="DN1113" t="s">
        <v>268</v>
      </c>
      <c r="DP1113" t="s">
        <v>2185</v>
      </c>
      <c r="DR1113">
        <v>371472</v>
      </c>
      <c r="DS1113">
        <v>1342</v>
      </c>
      <c r="DT1113" t="s">
        <v>2186</v>
      </c>
      <c r="EW1113" t="s">
        <v>271</v>
      </c>
      <c r="FM1113">
        <v>15</v>
      </c>
      <c r="FR1113" t="s">
        <v>295</v>
      </c>
      <c r="GG1113" t="s">
        <v>278</v>
      </c>
      <c r="GH1113">
        <v>75</v>
      </c>
      <c r="GM1113" t="s">
        <v>900</v>
      </c>
      <c r="GU1113">
        <v>35</v>
      </c>
      <c r="GZ1113" t="s">
        <v>296</v>
      </c>
      <c r="HH1113" t="s">
        <v>272</v>
      </c>
      <c r="IE1113" t="s">
        <v>2187</v>
      </c>
      <c r="IF1113">
        <v>11875</v>
      </c>
      <c r="IG1113" t="s">
        <v>2188</v>
      </c>
      <c r="IH1113" t="s">
        <v>2189</v>
      </c>
      <c r="II1113">
        <v>1985</v>
      </c>
      <c r="IJ1113" t="s">
        <v>2190</v>
      </c>
    </row>
    <row r="1114" spans="1:244" x14ac:dyDescent="0.45">
      <c r="A1114">
        <v>1272814</v>
      </c>
      <c r="B1114">
        <v>724113</v>
      </c>
      <c r="C1114">
        <v>7733020</v>
      </c>
      <c r="D1114" t="s">
        <v>2214</v>
      </c>
      <c r="F1114" t="s">
        <v>245</v>
      </c>
      <c r="G1114" t="s">
        <v>246</v>
      </c>
      <c r="N1114" t="s">
        <v>2183</v>
      </c>
      <c r="O1114" t="s">
        <v>498</v>
      </c>
      <c r="P1114" t="s">
        <v>249</v>
      </c>
      <c r="Q1114" t="s">
        <v>250</v>
      </c>
      <c r="R1114" t="s">
        <v>251</v>
      </c>
      <c r="T1114" t="s">
        <v>252</v>
      </c>
      <c r="U1114" t="s">
        <v>499</v>
      </c>
      <c r="V1114" t="s">
        <v>1281</v>
      </c>
      <c r="W1114" t="s">
        <v>1282</v>
      </c>
      <c r="X1114" t="s">
        <v>2184</v>
      </c>
      <c r="Z1114" t="s">
        <v>315</v>
      </c>
      <c r="AL1114" t="s">
        <v>2475</v>
      </c>
      <c r="AM1114" t="s">
        <v>317</v>
      </c>
      <c r="AN1114" t="s">
        <v>259</v>
      </c>
      <c r="AO1114" t="s">
        <v>260</v>
      </c>
      <c r="AQ1114" t="s">
        <v>261</v>
      </c>
      <c r="AS1114">
        <v>14.12</v>
      </c>
      <c r="AU1114">
        <v>10.029999999999999</v>
      </c>
      <c r="AW1114">
        <v>19.850000000000001</v>
      </c>
      <c r="AX1114" t="s">
        <v>356</v>
      </c>
      <c r="BO1114" t="s">
        <v>261</v>
      </c>
      <c r="BQ1114">
        <v>14.12</v>
      </c>
      <c r="BS1114">
        <v>10.029999999999999</v>
      </c>
      <c r="BU1114">
        <v>19.850000000000001</v>
      </c>
      <c r="BV1114" t="s">
        <v>263</v>
      </c>
      <c r="CM1114" t="s">
        <v>264</v>
      </c>
      <c r="CN1114" t="s">
        <v>264</v>
      </c>
      <c r="CP1114" t="s">
        <v>265</v>
      </c>
      <c r="CQ1114" t="s">
        <v>518</v>
      </c>
      <c r="DB1114">
        <v>4</v>
      </c>
      <c r="DG1114" t="s">
        <v>267</v>
      </c>
      <c r="DI1114">
        <v>96</v>
      </c>
      <c r="DN1114" t="s">
        <v>268</v>
      </c>
      <c r="DP1114" t="s">
        <v>2429</v>
      </c>
      <c r="DR1114">
        <v>371472</v>
      </c>
      <c r="DS1114">
        <v>1342</v>
      </c>
      <c r="DT1114" t="s">
        <v>2476</v>
      </c>
      <c r="EW1114" t="s">
        <v>293</v>
      </c>
      <c r="FA1114" t="s">
        <v>2477</v>
      </c>
      <c r="FK1114" t="s">
        <v>2478</v>
      </c>
      <c r="FM1114">
        <v>11</v>
      </c>
      <c r="FR1114" t="s">
        <v>295</v>
      </c>
      <c r="GH1114">
        <v>75</v>
      </c>
      <c r="GM1114" t="s">
        <v>1224</v>
      </c>
      <c r="GO1114">
        <v>7.24</v>
      </c>
      <c r="GU1114">
        <v>32</v>
      </c>
      <c r="GZ1114" t="s">
        <v>296</v>
      </c>
      <c r="HH1114" t="s">
        <v>272</v>
      </c>
      <c r="ID1114" t="s">
        <v>2479</v>
      </c>
      <c r="IE1114" t="s">
        <v>2480</v>
      </c>
      <c r="IF1114">
        <v>47359</v>
      </c>
      <c r="IG1114" t="s">
        <v>2481</v>
      </c>
      <c r="IH1114" t="s">
        <v>2482</v>
      </c>
      <c r="II1114">
        <v>1998</v>
      </c>
      <c r="IJ1114" t="s">
        <v>2483</v>
      </c>
    </row>
    <row r="1115" spans="1:244" x14ac:dyDescent="0.45">
      <c r="A1115">
        <v>1142127</v>
      </c>
      <c r="B1115">
        <v>106273</v>
      </c>
      <c r="C1115">
        <v>7733020</v>
      </c>
      <c r="D1115" t="s">
        <v>2214</v>
      </c>
      <c r="F1115" t="s">
        <v>245</v>
      </c>
      <c r="G1115" t="s">
        <v>246</v>
      </c>
      <c r="N1115" t="s">
        <v>2183</v>
      </c>
      <c r="O1115" t="s">
        <v>498</v>
      </c>
      <c r="P1115" t="s">
        <v>249</v>
      </c>
      <c r="Q1115" t="s">
        <v>250</v>
      </c>
      <c r="R1115" t="s">
        <v>251</v>
      </c>
      <c r="T1115" t="s">
        <v>252</v>
      </c>
      <c r="U1115" t="s">
        <v>499</v>
      </c>
      <c r="V1115" t="s">
        <v>1281</v>
      </c>
      <c r="W1115" t="s">
        <v>1282</v>
      </c>
      <c r="X1115" t="s">
        <v>2184</v>
      </c>
      <c r="AM1115" t="s">
        <v>258</v>
      </c>
      <c r="AN1115" t="s">
        <v>259</v>
      </c>
      <c r="AO1115" t="s">
        <v>260</v>
      </c>
      <c r="AQ1115" t="s">
        <v>261</v>
      </c>
      <c r="AS1115">
        <v>44000</v>
      </c>
      <c r="AX1115" t="s">
        <v>262</v>
      </c>
      <c r="BO1115" t="s">
        <v>261</v>
      </c>
      <c r="BQ1115">
        <v>44</v>
      </c>
      <c r="BV1115" t="s">
        <v>263</v>
      </c>
      <c r="CM1115" t="s">
        <v>264</v>
      </c>
      <c r="CN1115" t="s">
        <v>264</v>
      </c>
      <c r="CP1115" t="s">
        <v>265</v>
      </c>
      <c r="CQ1115" t="s">
        <v>518</v>
      </c>
      <c r="DB1115">
        <v>1</v>
      </c>
      <c r="DG1115" t="s">
        <v>267</v>
      </c>
      <c r="DI1115">
        <v>24</v>
      </c>
      <c r="DN1115" t="s">
        <v>268</v>
      </c>
      <c r="DP1115" t="s">
        <v>2185</v>
      </c>
      <c r="DR1115">
        <v>371472</v>
      </c>
      <c r="DS1115">
        <v>1342</v>
      </c>
      <c r="DT1115" t="s">
        <v>2186</v>
      </c>
      <c r="EW1115" t="s">
        <v>271</v>
      </c>
      <c r="FM1115">
        <v>15</v>
      </c>
      <c r="FR1115" t="s">
        <v>295</v>
      </c>
      <c r="GG1115" t="s">
        <v>278</v>
      </c>
      <c r="GH1115">
        <v>75</v>
      </c>
      <c r="GM1115" t="s">
        <v>900</v>
      </c>
      <c r="GU1115">
        <v>5</v>
      </c>
      <c r="GZ1115" t="s">
        <v>296</v>
      </c>
      <c r="HH1115" t="s">
        <v>272</v>
      </c>
      <c r="IE1115" t="s">
        <v>2187</v>
      </c>
      <c r="IF1115">
        <v>11875</v>
      </c>
      <c r="IG1115" t="s">
        <v>2188</v>
      </c>
      <c r="IH1115" t="s">
        <v>2189</v>
      </c>
      <c r="II1115">
        <v>1985</v>
      </c>
      <c r="IJ1115" t="s">
        <v>2190</v>
      </c>
    </row>
    <row r="1116" spans="1:244" x14ac:dyDescent="0.45">
      <c r="A1116">
        <v>1142134</v>
      </c>
      <c r="B1116">
        <v>106280</v>
      </c>
      <c r="C1116">
        <v>7733020</v>
      </c>
      <c r="D1116" t="s">
        <v>2214</v>
      </c>
      <c r="F1116" t="s">
        <v>245</v>
      </c>
      <c r="G1116" t="s">
        <v>246</v>
      </c>
      <c r="N1116" t="s">
        <v>2183</v>
      </c>
      <c r="O1116" t="s">
        <v>498</v>
      </c>
      <c r="P1116" t="s">
        <v>249</v>
      </c>
      <c r="Q1116" t="s">
        <v>250</v>
      </c>
      <c r="R1116" t="s">
        <v>251</v>
      </c>
      <c r="T1116" t="s">
        <v>252</v>
      </c>
      <c r="U1116" t="s">
        <v>499</v>
      </c>
      <c r="V1116" t="s">
        <v>1281</v>
      </c>
      <c r="W1116" t="s">
        <v>1282</v>
      </c>
      <c r="X1116" t="s">
        <v>2184</v>
      </c>
      <c r="AM1116" t="s">
        <v>258</v>
      </c>
      <c r="AN1116" t="s">
        <v>259</v>
      </c>
      <c r="AO1116" t="s">
        <v>260</v>
      </c>
      <c r="AQ1116" t="s">
        <v>261</v>
      </c>
      <c r="AS1116">
        <v>25000</v>
      </c>
      <c r="AX1116" t="s">
        <v>262</v>
      </c>
      <c r="BO1116" t="s">
        <v>261</v>
      </c>
      <c r="BQ1116">
        <v>25</v>
      </c>
      <c r="BV1116" t="s">
        <v>263</v>
      </c>
      <c r="CM1116" t="s">
        <v>264</v>
      </c>
      <c r="CN1116" t="s">
        <v>264</v>
      </c>
      <c r="CP1116" t="s">
        <v>265</v>
      </c>
      <c r="CQ1116" t="s">
        <v>518</v>
      </c>
      <c r="DB1116">
        <v>2</v>
      </c>
      <c r="DG1116" t="s">
        <v>267</v>
      </c>
      <c r="DI1116">
        <v>48</v>
      </c>
      <c r="DN1116" t="s">
        <v>268</v>
      </c>
      <c r="DP1116" t="s">
        <v>2185</v>
      </c>
      <c r="DR1116">
        <v>371472</v>
      </c>
      <c r="DS1116">
        <v>1342</v>
      </c>
      <c r="DT1116" t="s">
        <v>2186</v>
      </c>
      <c r="EW1116" t="s">
        <v>271</v>
      </c>
      <c r="FM1116">
        <v>5</v>
      </c>
      <c r="FR1116" t="s">
        <v>295</v>
      </c>
      <c r="GG1116" t="s">
        <v>278</v>
      </c>
      <c r="GH1116">
        <v>75</v>
      </c>
      <c r="GM1116" t="s">
        <v>900</v>
      </c>
      <c r="GU1116">
        <v>15</v>
      </c>
      <c r="GZ1116" t="s">
        <v>296</v>
      </c>
      <c r="HH1116" t="s">
        <v>272</v>
      </c>
      <c r="IE1116" t="s">
        <v>2187</v>
      </c>
      <c r="IF1116">
        <v>11875</v>
      </c>
      <c r="IG1116" t="s">
        <v>2188</v>
      </c>
      <c r="IH1116" t="s">
        <v>2189</v>
      </c>
      <c r="II1116">
        <v>1985</v>
      </c>
      <c r="IJ1116" t="s">
        <v>2190</v>
      </c>
    </row>
    <row r="1117" spans="1:244" x14ac:dyDescent="0.45">
      <c r="A1117">
        <v>1142152</v>
      </c>
      <c r="B1117">
        <v>106298</v>
      </c>
      <c r="C1117">
        <v>7733020</v>
      </c>
      <c r="D1117" t="s">
        <v>2214</v>
      </c>
      <c r="F1117" t="s">
        <v>245</v>
      </c>
      <c r="G1117" t="s">
        <v>246</v>
      </c>
      <c r="N1117" t="s">
        <v>2183</v>
      </c>
      <c r="O1117" t="s">
        <v>498</v>
      </c>
      <c r="P1117" t="s">
        <v>249</v>
      </c>
      <c r="Q1117" t="s">
        <v>250</v>
      </c>
      <c r="R1117" t="s">
        <v>251</v>
      </c>
      <c r="T1117" t="s">
        <v>252</v>
      </c>
      <c r="U1117" t="s">
        <v>499</v>
      </c>
      <c r="V1117" t="s">
        <v>1281</v>
      </c>
      <c r="W1117" t="s">
        <v>1282</v>
      </c>
      <c r="X1117" t="s">
        <v>2184</v>
      </c>
      <c r="AM1117" t="s">
        <v>258</v>
      </c>
      <c r="AN1117" t="s">
        <v>259</v>
      </c>
      <c r="AO1117" t="s">
        <v>260</v>
      </c>
      <c r="AQ1117" t="s">
        <v>261</v>
      </c>
      <c r="AS1117">
        <v>1600</v>
      </c>
      <c r="AX1117" t="s">
        <v>262</v>
      </c>
      <c r="BO1117" t="s">
        <v>261</v>
      </c>
      <c r="BQ1117">
        <v>1.6</v>
      </c>
      <c r="BV1117" t="s">
        <v>263</v>
      </c>
      <c r="CM1117" t="s">
        <v>264</v>
      </c>
      <c r="CN1117" t="s">
        <v>264</v>
      </c>
      <c r="CP1117" t="s">
        <v>265</v>
      </c>
      <c r="CQ1117" t="s">
        <v>518</v>
      </c>
      <c r="DB1117">
        <v>4</v>
      </c>
      <c r="DG1117" t="s">
        <v>267</v>
      </c>
      <c r="DI1117">
        <v>96</v>
      </c>
      <c r="DN1117" t="s">
        <v>268</v>
      </c>
      <c r="DP1117" t="s">
        <v>2185</v>
      </c>
      <c r="DR1117">
        <v>371472</v>
      </c>
      <c r="DS1117">
        <v>1342</v>
      </c>
      <c r="DT1117" t="s">
        <v>2186</v>
      </c>
      <c r="EW1117" t="s">
        <v>271</v>
      </c>
      <c r="FM1117">
        <v>10</v>
      </c>
      <c r="FR1117" t="s">
        <v>295</v>
      </c>
      <c r="GG1117" t="s">
        <v>278</v>
      </c>
      <c r="GH1117">
        <v>75</v>
      </c>
      <c r="GM1117" t="s">
        <v>900</v>
      </c>
      <c r="GU1117">
        <v>10</v>
      </c>
      <c r="GZ1117" t="s">
        <v>296</v>
      </c>
      <c r="HH1117" t="s">
        <v>272</v>
      </c>
      <c r="IE1117" t="s">
        <v>2187</v>
      </c>
      <c r="IF1117">
        <v>11875</v>
      </c>
      <c r="IG1117" t="s">
        <v>2188</v>
      </c>
      <c r="IH1117" t="s">
        <v>2189</v>
      </c>
      <c r="II1117">
        <v>1985</v>
      </c>
      <c r="IJ1117" t="s">
        <v>2190</v>
      </c>
    </row>
    <row r="1118" spans="1:244" x14ac:dyDescent="0.45">
      <c r="A1118">
        <v>1142138</v>
      </c>
      <c r="B1118">
        <v>106284</v>
      </c>
      <c r="C1118">
        <v>7733020</v>
      </c>
      <c r="D1118" t="s">
        <v>2214</v>
      </c>
      <c r="F1118" t="s">
        <v>245</v>
      </c>
      <c r="G1118" t="s">
        <v>246</v>
      </c>
      <c r="N1118" t="s">
        <v>2183</v>
      </c>
      <c r="O1118" t="s">
        <v>498</v>
      </c>
      <c r="P1118" t="s">
        <v>249</v>
      </c>
      <c r="Q1118" t="s">
        <v>250</v>
      </c>
      <c r="R1118" t="s">
        <v>251</v>
      </c>
      <c r="T1118" t="s">
        <v>252</v>
      </c>
      <c r="U1118" t="s">
        <v>499</v>
      </c>
      <c r="V1118" t="s">
        <v>1281</v>
      </c>
      <c r="W1118" t="s">
        <v>1282</v>
      </c>
      <c r="X1118" t="s">
        <v>2184</v>
      </c>
      <c r="AM1118" t="s">
        <v>258</v>
      </c>
      <c r="AN1118" t="s">
        <v>259</v>
      </c>
      <c r="AO1118" t="s">
        <v>260</v>
      </c>
      <c r="AQ1118" t="s">
        <v>261</v>
      </c>
      <c r="AS1118">
        <v>12000</v>
      </c>
      <c r="AX1118" t="s">
        <v>262</v>
      </c>
      <c r="BO1118" t="s">
        <v>261</v>
      </c>
      <c r="BQ1118">
        <v>12</v>
      </c>
      <c r="BV1118" t="s">
        <v>263</v>
      </c>
      <c r="CM1118" t="s">
        <v>264</v>
      </c>
      <c r="CN1118" t="s">
        <v>264</v>
      </c>
      <c r="CP1118" t="s">
        <v>265</v>
      </c>
      <c r="CQ1118" t="s">
        <v>518</v>
      </c>
      <c r="DB1118">
        <v>2</v>
      </c>
      <c r="DG1118" t="s">
        <v>267</v>
      </c>
      <c r="DI1118">
        <v>48</v>
      </c>
      <c r="DN1118" t="s">
        <v>268</v>
      </c>
      <c r="DP1118" t="s">
        <v>2185</v>
      </c>
      <c r="DR1118">
        <v>371472</v>
      </c>
      <c r="DS1118">
        <v>1342</v>
      </c>
      <c r="DT1118" t="s">
        <v>2186</v>
      </c>
      <c r="EW1118" t="s">
        <v>271</v>
      </c>
      <c r="FM1118">
        <v>10</v>
      </c>
      <c r="FR1118" t="s">
        <v>295</v>
      </c>
      <c r="GG1118" t="s">
        <v>278</v>
      </c>
      <c r="GH1118">
        <v>75</v>
      </c>
      <c r="GM1118" t="s">
        <v>900</v>
      </c>
      <c r="GU1118">
        <v>10</v>
      </c>
      <c r="GZ1118" t="s">
        <v>296</v>
      </c>
      <c r="HH1118" t="s">
        <v>272</v>
      </c>
      <c r="IE1118" t="s">
        <v>2187</v>
      </c>
      <c r="IF1118">
        <v>11875</v>
      </c>
      <c r="IG1118" t="s">
        <v>2188</v>
      </c>
      <c r="IH1118" t="s">
        <v>2189</v>
      </c>
      <c r="II1118">
        <v>1985</v>
      </c>
      <c r="IJ1118" t="s">
        <v>2190</v>
      </c>
    </row>
    <row r="1119" spans="1:244" x14ac:dyDescent="0.45">
      <c r="A1119">
        <v>1142133</v>
      </c>
      <c r="B1119">
        <v>106279</v>
      </c>
      <c r="C1119">
        <v>7733020</v>
      </c>
      <c r="D1119" t="s">
        <v>2214</v>
      </c>
      <c r="F1119" t="s">
        <v>245</v>
      </c>
      <c r="G1119" t="s">
        <v>246</v>
      </c>
      <c r="N1119" t="s">
        <v>2183</v>
      </c>
      <c r="O1119" t="s">
        <v>498</v>
      </c>
      <c r="P1119" t="s">
        <v>249</v>
      </c>
      <c r="Q1119" t="s">
        <v>250</v>
      </c>
      <c r="R1119" t="s">
        <v>251</v>
      </c>
      <c r="T1119" t="s">
        <v>252</v>
      </c>
      <c r="U1119" t="s">
        <v>499</v>
      </c>
      <c r="V1119" t="s">
        <v>1281</v>
      </c>
      <c r="W1119" t="s">
        <v>1282</v>
      </c>
      <c r="X1119" t="s">
        <v>2184</v>
      </c>
      <c r="AM1119" t="s">
        <v>258</v>
      </c>
      <c r="AN1119" t="s">
        <v>259</v>
      </c>
      <c r="AO1119" t="s">
        <v>260</v>
      </c>
      <c r="AQ1119" t="s">
        <v>261</v>
      </c>
      <c r="AS1119">
        <v>20000</v>
      </c>
      <c r="AX1119" t="s">
        <v>262</v>
      </c>
      <c r="BO1119" t="s">
        <v>261</v>
      </c>
      <c r="BQ1119">
        <v>20</v>
      </c>
      <c r="BV1119" t="s">
        <v>263</v>
      </c>
      <c r="CM1119" t="s">
        <v>264</v>
      </c>
      <c r="CN1119" t="s">
        <v>264</v>
      </c>
      <c r="CP1119" t="s">
        <v>265</v>
      </c>
      <c r="CQ1119" t="s">
        <v>518</v>
      </c>
      <c r="DB1119">
        <v>2</v>
      </c>
      <c r="DG1119" t="s">
        <v>267</v>
      </c>
      <c r="DI1119">
        <v>48</v>
      </c>
      <c r="DN1119" t="s">
        <v>268</v>
      </c>
      <c r="DP1119" t="s">
        <v>2185</v>
      </c>
      <c r="DR1119">
        <v>371472</v>
      </c>
      <c r="DS1119">
        <v>1342</v>
      </c>
      <c r="DT1119" t="s">
        <v>2186</v>
      </c>
      <c r="EW1119" t="s">
        <v>271</v>
      </c>
      <c r="FM1119">
        <v>5</v>
      </c>
      <c r="FR1119" t="s">
        <v>295</v>
      </c>
      <c r="GG1119" t="s">
        <v>278</v>
      </c>
      <c r="GH1119">
        <v>75</v>
      </c>
      <c r="GM1119" t="s">
        <v>900</v>
      </c>
      <c r="GU1119">
        <v>10</v>
      </c>
      <c r="GZ1119" t="s">
        <v>296</v>
      </c>
      <c r="HH1119" t="s">
        <v>272</v>
      </c>
      <c r="IE1119" t="s">
        <v>2187</v>
      </c>
      <c r="IF1119">
        <v>11875</v>
      </c>
      <c r="IG1119" t="s">
        <v>2188</v>
      </c>
      <c r="IH1119" t="s">
        <v>2189</v>
      </c>
      <c r="II1119">
        <v>1985</v>
      </c>
      <c r="IJ1119" t="s">
        <v>2190</v>
      </c>
    </row>
    <row r="1120" spans="1:244" x14ac:dyDescent="0.45">
      <c r="A1120">
        <v>1142154</v>
      </c>
      <c r="B1120">
        <v>106300</v>
      </c>
      <c r="C1120">
        <v>7733020</v>
      </c>
      <c r="D1120" t="s">
        <v>2214</v>
      </c>
      <c r="F1120" t="s">
        <v>245</v>
      </c>
      <c r="G1120" t="s">
        <v>246</v>
      </c>
      <c r="N1120" t="s">
        <v>2183</v>
      </c>
      <c r="O1120" t="s">
        <v>498</v>
      </c>
      <c r="P1120" t="s">
        <v>249</v>
      </c>
      <c r="Q1120" t="s">
        <v>250</v>
      </c>
      <c r="R1120" t="s">
        <v>251</v>
      </c>
      <c r="T1120" t="s">
        <v>252</v>
      </c>
      <c r="U1120" t="s">
        <v>499</v>
      </c>
      <c r="V1120" t="s">
        <v>1281</v>
      </c>
      <c r="W1120" t="s">
        <v>1282</v>
      </c>
      <c r="X1120" t="s">
        <v>2184</v>
      </c>
      <c r="AM1120" t="s">
        <v>258</v>
      </c>
      <c r="AN1120" t="s">
        <v>259</v>
      </c>
      <c r="AO1120" t="s">
        <v>260</v>
      </c>
      <c r="AQ1120" t="s">
        <v>261</v>
      </c>
      <c r="AS1120">
        <v>11000</v>
      </c>
      <c r="AX1120" t="s">
        <v>262</v>
      </c>
      <c r="BO1120" t="s">
        <v>261</v>
      </c>
      <c r="BQ1120">
        <v>11</v>
      </c>
      <c r="BV1120" t="s">
        <v>263</v>
      </c>
      <c r="CM1120" t="s">
        <v>264</v>
      </c>
      <c r="CN1120" t="s">
        <v>264</v>
      </c>
      <c r="CP1120" t="s">
        <v>265</v>
      </c>
      <c r="CQ1120" t="s">
        <v>518</v>
      </c>
      <c r="DB1120">
        <v>4</v>
      </c>
      <c r="DG1120" t="s">
        <v>267</v>
      </c>
      <c r="DI1120">
        <v>96</v>
      </c>
      <c r="DN1120" t="s">
        <v>268</v>
      </c>
      <c r="DP1120" t="s">
        <v>2185</v>
      </c>
      <c r="DR1120">
        <v>371472</v>
      </c>
      <c r="DS1120">
        <v>1342</v>
      </c>
      <c r="DT1120" t="s">
        <v>2186</v>
      </c>
      <c r="EW1120" t="s">
        <v>271</v>
      </c>
      <c r="FM1120">
        <v>15</v>
      </c>
      <c r="FR1120" t="s">
        <v>295</v>
      </c>
      <c r="GG1120" t="s">
        <v>278</v>
      </c>
      <c r="GH1120">
        <v>75</v>
      </c>
      <c r="GM1120" t="s">
        <v>900</v>
      </c>
      <c r="GU1120">
        <v>25</v>
      </c>
      <c r="GZ1120" t="s">
        <v>296</v>
      </c>
      <c r="HH1120" t="s">
        <v>272</v>
      </c>
      <c r="IE1120" t="s">
        <v>2187</v>
      </c>
      <c r="IF1120">
        <v>11875</v>
      </c>
      <c r="IG1120" t="s">
        <v>2188</v>
      </c>
      <c r="IH1120" t="s">
        <v>2189</v>
      </c>
      <c r="II1120">
        <v>1985</v>
      </c>
      <c r="IJ1120" t="s">
        <v>2190</v>
      </c>
    </row>
    <row r="1121" spans="1:244" x14ac:dyDescent="0.45">
      <c r="A1121">
        <v>1142150</v>
      </c>
      <c r="B1121">
        <v>106296</v>
      </c>
      <c r="C1121">
        <v>7733020</v>
      </c>
      <c r="D1121" t="s">
        <v>2214</v>
      </c>
      <c r="F1121" t="s">
        <v>245</v>
      </c>
      <c r="G1121" t="s">
        <v>246</v>
      </c>
      <c r="N1121" t="s">
        <v>2183</v>
      </c>
      <c r="O1121" t="s">
        <v>498</v>
      </c>
      <c r="P1121" t="s">
        <v>249</v>
      </c>
      <c r="Q1121" t="s">
        <v>250</v>
      </c>
      <c r="R1121" t="s">
        <v>251</v>
      </c>
      <c r="T1121" t="s">
        <v>252</v>
      </c>
      <c r="U1121" t="s">
        <v>499</v>
      </c>
      <c r="V1121" t="s">
        <v>1281</v>
      </c>
      <c r="W1121" t="s">
        <v>1282</v>
      </c>
      <c r="X1121" t="s">
        <v>2184</v>
      </c>
      <c r="AM1121" t="s">
        <v>258</v>
      </c>
      <c r="AN1121" t="s">
        <v>259</v>
      </c>
      <c r="AO1121" t="s">
        <v>260</v>
      </c>
      <c r="AQ1121" t="s">
        <v>261</v>
      </c>
      <c r="AS1121">
        <v>12000</v>
      </c>
      <c r="AX1121" t="s">
        <v>262</v>
      </c>
      <c r="BO1121" t="s">
        <v>261</v>
      </c>
      <c r="BQ1121">
        <v>12</v>
      </c>
      <c r="BV1121" t="s">
        <v>263</v>
      </c>
      <c r="CM1121" t="s">
        <v>264</v>
      </c>
      <c r="CN1121" t="s">
        <v>264</v>
      </c>
      <c r="CP1121" t="s">
        <v>265</v>
      </c>
      <c r="CQ1121" t="s">
        <v>518</v>
      </c>
      <c r="DB1121">
        <v>4</v>
      </c>
      <c r="DG1121" t="s">
        <v>267</v>
      </c>
      <c r="DI1121">
        <v>96</v>
      </c>
      <c r="DN1121" t="s">
        <v>268</v>
      </c>
      <c r="DP1121" t="s">
        <v>2185</v>
      </c>
      <c r="DR1121">
        <v>371472</v>
      </c>
      <c r="DS1121">
        <v>1342</v>
      </c>
      <c r="DT1121" t="s">
        <v>2186</v>
      </c>
      <c r="EW1121" t="s">
        <v>271</v>
      </c>
      <c r="FM1121">
        <v>5</v>
      </c>
      <c r="FR1121" t="s">
        <v>295</v>
      </c>
      <c r="GG1121" t="s">
        <v>278</v>
      </c>
      <c r="GH1121">
        <v>75</v>
      </c>
      <c r="GM1121" t="s">
        <v>900</v>
      </c>
      <c r="GU1121">
        <v>25</v>
      </c>
      <c r="GZ1121" t="s">
        <v>296</v>
      </c>
      <c r="HH1121" t="s">
        <v>272</v>
      </c>
      <c r="IE1121" t="s">
        <v>2187</v>
      </c>
      <c r="IF1121">
        <v>11875</v>
      </c>
      <c r="IG1121" t="s">
        <v>2188</v>
      </c>
      <c r="IH1121" t="s">
        <v>2189</v>
      </c>
      <c r="II1121">
        <v>1985</v>
      </c>
      <c r="IJ1121" t="s">
        <v>2190</v>
      </c>
    </row>
    <row r="1122" spans="1:244" x14ac:dyDescent="0.45">
      <c r="A1122">
        <v>1142117</v>
      </c>
      <c r="B1122">
        <v>106263</v>
      </c>
      <c r="C1122">
        <v>7733020</v>
      </c>
      <c r="D1122" t="s">
        <v>2214</v>
      </c>
      <c r="F1122" t="s">
        <v>245</v>
      </c>
      <c r="G1122" t="s">
        <v>246</v>
      </c>
      <c r="N1122" t="s">
        <v>2183</v>
      </c>
      <c r="O1122" t="s">
        <v>498</v>
      </c>
      <c r="P1122" t="s">
        <v>249</v>
      </c>
      <c r="Q1122" t="s">
        <v>250</v>
      </c>
      <c r="R1122" t="s">
        <v>251</v>
      </c>
      <c r="T1122" t="s">
        <v>252</v>
      </c>
      <c r="U1122" t="s">
        <v>499</v>
      </c>
      <c r="V1122" t="s">
        <v>1281</v>
      </c>
      <c r="W1122" t="s">
        <v>1282</v>
      </c>
      <c r="X1122" t="s">
        <v>2184</v>
      </c>
      <c r="AM1122" t="s">
        <v>258</v>
      </c>
      <c r="AN1122" t="s">
        <v>259</v>
      </c>
      <c r="AO1122" t="s">
        <v>260</v>
      </c>
      <c r="AQ1122" t="s">
        <v>261</v>
      </c>
      <c r="AS1122">
        <v>128000</v>
      </c>
      <c r="AX1122" t="s">
        <v>262</v>
      </c>
      <c r="BO1122" t="s">
        <v>261</v>
      </c>
      <c r="BQ1122">
        <v>128</v>
      </c>
      <c r="BV1122" t="s">
        <v>263</v>
      </c>
      <c r="CM1122" t="s">
        <v>264</v>
      </c>
      <c r="CN1122" t="s">
        <v>264</v>
      </c>
      <c r="CP1122" t="s">
        <v>265</v>
      </c>
      <c r="CQ1122" t="s">
        <v>518</v>
      </c>
      <c r="DB1122">
        <v>1</v>
      </c>
      <c r="DG1122" t="s">
        <v>267</v>
      </c>
      <c r="DI1122">
        <v>24</v>
      </c>
      <c r="DN1122" t="s">
        <v>268</v>
      </c>
      <c r="DP1122" t="s">
        <v>2185</v>
      </c>
      <c r="DR1122">
        <v>371472</v>
      </c>
      <c r="DS1122">
        <v>1342</v>
      </c>
      <c r="DT1122" t="s">
        <v>2186</v>
      </c>
      <c r="EW1122" t="s">
        <v>271</v>
      </c>
      <c r="FM1122">
        <v>5</v>
      </c>
      <c r="FR1122" t="s">
        <v>295</v>
      </c>
      <c r="GG1122" t="s">
        <v>278</v>
      </c>
      <c r="GH1122">
        <v>75</v>
      </c>
      <c r="GM1122" t="s">
        <v>900</v>
      </c>
      <c r="GU1122">
        <v>5</v>
      </c>
      <c r="GZ1122" t="s">
        <v>296</v>
      </c>
      <c r="HH1122" t="s">
        <v>272</v>
      </c>
      <c r="IE1122" t="s">
        <v>2187</v>
      </c>
      <c r="IF1122">
        <v>11875</v>
      </c>
      <c r="IG1122" t="s">
        <v>2188</v>
      </c>
      <c r="IH1122" t="s">
        <v>2189</v>
      </c>
      <c r="II1122">
        <v>1985</v>
      </c>
      <c r="IJ1122" t="s">
        <v>2190</v>
      </c>
    </row>
    <row r="1123" spans="1:244" x14ac:dyDescent="0.45">
      <c r="A1123">
        <v>1142130</v>
      </c>
      <c r="B1123">
        <v>106276</v>
      </c>
      <c r="C1123">
        <v>7733020</v>
      </c>
      <c r="D1123" t="s">
        <v>2214</v>
      </c>
      <c r="F1123" t="s">
        <v>245</v>
      </c>
      <c r="G1123" t="s">
        <v>246</v>
      </c>
      <c r="N1123" t="s">
        <v>2183</v>
      </c>
      <c r="O1123" t="s">
        <v>498</v>
      </c>
      <c r="P1123" t="s">
        <v>249</v>
      </c>
      <c r="Q1123" t="s">
        <v>250</v>
      </c>
      <c r="R1123" t="s">
        <v>251</v>
      </c>
      <c r="T1123" t="s">
        <v>252</v>
      </c>
      <c r="U1123" t="s">
        <v>499</v>
      </c>
      <c r="V1123" t="s">
        <v>1281</v>
      </c>
      <c r="W1123" t="s">
        <v>1282</v>
      </c>
      <c r="X1123" t="s">
        <v>2184</v>
      </c>
      <c r="AM1123" t="s">
        <v>258</v>
      </c>
      <c r="AN1123" t="s">
        <v>259</v>
      </c>
      <c r="AO1123" t="s">
        <v>260</v>
      </c>
      <c r="AQ1123" t="s">
        <v>261</v>
      </c>
      <c r="AS1123">
        <v>65000</v>
      </c>
      <c r="AX1123" t="s">
        <v>262</v>
      </c>
      <c r="BO1123" t="s">
        <v>261</v>
      </c>
      <c r="BQ1123">
        <v>65</v>
      </c>
      <c r="BV1123" t="s">
        <v>263</v>
      </c>
      <c r="CM1123" t="s">
        <v>264</v>
      </c>
      <c r="CN1123" t="s">
        <v>264</v>
      </c>
      <c r="CP1123" t="s">
        <v>265</v>
      </c>
      <c r="CQ1123" t="s">
        <v>518</v>
      </c>
      <c r="DB1123">
        <v>1</v>
      </c>
      <c r="DG1123" t="s">
        <v>267</v>
      </c>
      <c r="DI1123">
        <v>24</v>
      </c>
      <c r="DN1123" t="s">
        <v>268</v>
      </c>
      <c r="DP1123" t="s">
        <v>2185</v>
      </c>
      <c r="DR1123">
        <v>371472</v>
      </c>
      <c r="DS1123">
        <v>1342</v>
      </c>
      <c r="DT1123" t="s">
        <v>2186</v>
      </c>
      <c r="EW1123" t="s">
        <v>271</v>
      </c>
      <c r="FM1123">
        <v>15</v>
      </c>
      <c r="FR1123" t="s">
        <v>295</v>
      </c>
      <c r="GG1123" t="s">
        <v>278</v>
      </c>
      <c r="GH1123">
        <v>75</v>
      </c>
      <c r="GM1123" t="s">
        <v>900</v>
      </c>
      <c r="GU1123">
        <v>25</v>
      </c>
      <c r="GZ1123" t="s">
        <v>296</v>
      </c>
      <c r="HH1123" t="s">
        <v>272</v>
      </c>
      <c r="IE1123" t="s">
        <v>2187</v>
      </c>
      <c r="IF1123">
        <v>11875</v>
      </c>
      <c r="IG1123" t="s">
        <v>2188</v>
      </c>
      <c r="IH1123" t="s">
        <v>2189</v>
      </c>
      <c r="II1123">
        <v>1985</v>
      </c>
      <c r="IJ1123" t="s">
        <v>2190</v>
      </c>
    </row>
    <row r="1124" spans="1:244" x14ac:dyDescent="0.45">
      <c r="A1124">
        <v>1142144</v>
      </c>
      <c r="B1124">
        <v>106290</v>
      </c>
      <c r="C1124">
        <v>7733020</v>
      </c>
      <c r="D1124" t="s">
        <v>2214</v>
      </c>
      <c r="F1124" t="s">
        <v>245</v>
      </c>
      <c r="G1124" t="s">
        <v>246</v>
      </c>
      <c r="N1124" t="s">
        <v>2183</v>
      </c>
      <c r="O1124" t="s">
        <v>498</v>
      </c>
      <c r="P1124" t="s">
        <v>249</v>
      </c>
      <c r="Q1124" t="s">
        <v>250</v>
      </c>
      <c r="R1124" t="s">
        <v>251</v>
      </c>
      <c r="T1124" t="s">
        <v>252</v>
      </c>
      <c r="U1124" t="s">
        <v>499</v>
      </c>
      <c r="V1124" t="s">
        <v>1281</v>
      </c>
      <c r="W1124" t="s">
        <v>1282</v>
      </c>
      <c r="X1124" t="s">
        <v>2184</v>
      </c>
      <c r="AM1124" t="s">
        <v>258</v>
      </c>
      <c r="AN1124" t="s">
        <v>259</v>
      </c>
      <c r="AO1124" t="s">
        <v>260</v>
      </c>
      <c r="AQ1124" t="s">
        <v>261</v>
      </c>
      <c r="AS1124">
        <v>16000</v>
      </c>
      <c r="AX1124" t="s">
        <v>262</v>
      </c>
      <c r="BO1124" t="s">
        <v>261</v>
      </c>
      <c r="BQ1124">
        <v>16</v>
      </c>
      <c r="BV1124" t="s">
        <v>263</v>
      </c>
      <c r="CM1124" t="s">
        <v>264</v>
      </c>
      <c r="CN1124" t="s">
        <v>264</v>
      </c>
      <c r="CP1124" t="s">
        <v>265</v>
      </c>
      <c r="CQ1124" t="s">
        <v>518</v>
      </c>
      <c r="DB1124">
        <v>2</v>
      </c>
      <c r="DG1124" t="s">
        <v>267</v>
      </c>
      <c r="DI1124">
        <v>48</v>
      </c>
      <c r="DN1124" t="s">
        <v>268</v>
      </c>
      <c r="DP1124" t="s">
        <v>2185</v>
      </c>
      <c r="DR1124">
        <v>371472</v>
      </c>
      <c r="DS1124">
        <v>1342</v>
      </c>
      <c r="DT1124" t="s">
        <v>2186</v>
      </c>
      <c r="EW1124" t="s">
        <v>271</v>
      </c>
      <c r="FM1124">
        <v>15</v>
      </c>
      <c r="FR1124" t="s">
        <v>295</v>
      </c>
      <c r="GG1124" t="s">
        <v>278</v>
      </c>
      <c r="GH1124">
        <v>75</v>
      </c>
      <c r="GM1124" t="s">
        <v>900</v>
      </c>
      <c r="GU1124">
        <v>15</v>
      </c>
      <c r="GZ1124" t="s">
        <v>296</v>
      </c>
      <c r="HH1124" t="s">
        <v>272</v>
      </c>
      <c r="IE1124" t="s">
        <v>2187</v>
      </c>
      <c r="IF1124">
        <v>11875</v>
      </c>
      <c r="IG1124" t="s">
        <v>2188</v>
      </c>
      <c r="IH1124" t="s">
        <v>2189</v>
      </c>
      <c r="II1124">
        <v>1985</v>
      </c>
      <c r="IJ1124" t="s">
        <v>2190</v>
      </c>
    </row>
    <row r="1125" spans="1:244" x14ac:dyDescent="0.45">
      <c r="A1125">
        <v>1037874</v>
      </c>
      <c r="B1125">
        <v>104479</v>
      </c>
      <c r="C1125">
        <v>7733020</v>
      </c>
      <c r="D1125" t="s">
        <v>2214</v>
      </c>
      <c r="F1125" t="s">
        <v>245</v>
      </c>
      <c r="G1125" t="s">
        <v>246</v>
      </c>
      <c r="N1125" t="s">
        <v>566</v>
      </c>
      <c r="O1125" t="s">
        <v>388</v>
      </c>
      <c r="P1125" t="s">
        <v>249</v>
      </c>
      <c r="Q1125" t="s">
        <v>250</v>
      </c>
      <c r="R1125" t="s">
        <v>251</v>
      </c>
      <c r="T1125" t="s">
        <v>389</v>
      </c>
      <c r="U1125" t="s">
        <v>390</v>
      </c>
      <c r="V1125" t="s">
        <v>567</v>
      </c>
      <c r="W1125" t="s">
        <v>568</v>
      </c>
      <c r="X1125" t="s">
        <v>569</v>
      </c>
      <c r="AL1125" t="s">
        <v>2122</v>
      </c>
      <c r="AM1125" t="s">
        <v>307</v>
      </c>
      <c r="AN1125" t="s">
        <v>259</v>
      </c>
      <c r="AO1125" t="s">
        <v>260</v>
      </c>
      <c r="AQ1125" t="s">
        <v>261</v>
      </c>
      <c r="AS1125">
        <v>2800</v>
      </c>
      <c r="AU1125">
        <v>2000</v>
      </c>
      <c r="AW1125">
        <v>3900</v>
      </c>
      <c r="AX1125" t="s">
        <v>262</v>
      </c>
      <c r="BO1125" t="s">
        <v>261</v>
      </c>
      <c r="BQ1125">
        <v>2.8</v>
      </c>
      <c r="BS1125">
        <v>2</v>
      </c>
      <c r="BU1125">
        <v>3.9</v>
      </c>
      <c r="BV1125" t="s">
        <v>263</v>
      </c>
      <c r="CM1125" t="s">
        <v>264</v>
      </c>
      <c r="CN1125" t="s">
        <v>264</v>
      </c>
      <c r="CP1125" t="s">
        <v>265</v>
      </c>
      <c r="CQ1125" t="s">
        <v>518</v>
      </c>
      <c r="DB1125">
        <v>4</v>
      </c>
      <c r="DG1125" t="s">
        <v>267</v>
      </c>
      <c r="DI1125">
        <v>96</v>
      </c>
      <c r="DN1125" t="s">
        <v>268</v>
      </c>
      <c r="DS1125">
        <v>212</v>
      </c>
      <c r="DT1125" t="s">
        <v>2123</v>
      </c>
      <c r="EW1125" t="s">
        <v>271</v>
      </c>
      <c r="GU1125">
        <v>25</v>
      </c>
      <c r="GZ1125" t="s">
        <v>296</v>
      </c>
      <c r="HH1125" t="s">
        <v>272</v>
      </c>
      <c r="IE1125" t="s">
        <v>2124</v>
      </c>
      <c r="IF1125">
        <v>2332</v>
      </c>
      <c r="IG1125" t="s">
        <v>2125</v>
      </c>
      <c r="IH1125" t="s">
        <v>2126</v>
      </c>
      <c r="II1125">
        <v>1987</v>
      </c>
      <c r="IJ1125" t="s">
        <v>2127</v>
      </c>
    </row>
    <row r="1126" spans="1:244" x14ac:dyDescent="0.45">
      <c r="A1126">
        <v>1142160</v>
      </c>
      <c r="B1126">
        <v>106306</v>
      </c>
      <c r="C1126">
        <v>7733020</v>
      </c>
      <c r="D1126" t="s">
        <v>2214</v>
      </c>
      <c r="F1126" t="s">
        <v>245</v>
      </c>
      <c r="G1126" t="s">
        <v>246</v>
      </c>
      <c r="N1126" t="s">
        <v>2183</v>
      </c>
      <c r="O1126" t="s">
        <v>498</v>
      </c>
      <c r="P1126" t="s">
        <v>249</v>
      </c>
      <c r="Q1126" t="s">
        <v>250</v>
      </c>
      <c r="R1126" t="s">
        <v>251</v>
      </c>
      <c r="T1126" t="s">
        <v>252</v>
      </c>
      <c r="U1126" t="s">
        <v>499</v>
      </c>
      <c r="V1126" t="s">
        <v>1281</v>
      </c>
      <c r="W1126" t="s">
        <v>1282</v>
      </c>
      <c r="X1126" t="s">
        <v>2184</v>
      </c>
      <c r="AM1126" t="s">
        <v>258</v>
      </c>
      <c r="AN1126" t="s">
        <v>259</v>
      </c>
      <c r="AO1126" t="s">
        <v>260</v>
      </c>
      <c r="AQ1126" t="s">
        <v>261</v>
      </c>
      <c r="AS1126">
        <v>3600</v>
      </c>
      <c r="AX1126" t="s">
        <v>262</v>
      </c>
      <c r="BO1126" t="s">
        <v>261</v>
      </c>
      <c r="BQ1126">
        <v>3.6</v>
      </c>
      <c r="BV1126" t="s">
        <v>263</v>
      </c>
      <c r="CM1126" t="s">
        <v>264</v>
      </c>
      <c r="CN1126" t="s">
        <v>264</v>
      </c>
      <c r="CP1126" t="s">
        <v>265</v>
      </c>
      <c r="CQ1126" t="s">
        <v>518</v>
      </c>
      <c r="DB1126">
        <v>4</v>
      </c>
      <c r="DG1126" t="s">
        <v>267</v>
      </c>
      <c r="DI1126">
        <v>96</v>
      </c>
      <c r="DN1126" t="s">
        <v>268</v>
      </c>
      <c r="DP1126" t="s">
        <v>2185</v>
      </c>
      <c r="DR1126">
        <v>371472</v>
      </c>
      <c r="DS1126">
        <v>1342</v>
      </c>
      <c r="DT1126" t="s">
        <v>2186</v>
      </c>
      <c r="EW1126" t="s">
        <v>271</v>
      </c>
      <c r="FM1126">
        <v>15</v>
      </c>
      <c r="FR1126" t="s">
        <v>295</v>
      </c>
      <c r="GG1126" t="s">
        <v>278</v>
      </c>
      <c r="GH1126">
        <v>75</v>
      </c>
      <c r="GM1126" t="s">
        <v>900</v>
      </c>
      <c r="GU1126">
        <v>35</v>
      </c>
      <c r="GZ1126" t="s">
        <v>296</v>
      </c>
      <c r="HH1126" t="s">
        <v>272</v>
      </c>
      <c r="IE1126" t="s">
        <v>2187</v>
      </c>
      <c r="IF1126">
        <v>11875</v>
      </c>
      <c r="IG1126" t="s">
        <v>2188</v>
      </c>
      <c r="IH1126" t="s">
        <v>2189</v>
      </c>
      <c r="II1126">
        <v>1985</v>
      </c>
      <c r="IJ1126" t="s">
        <v>2190</v>
      </c>
    </row>
    <row r="1127" spans="1:244" x14ac:dyDescent="0.45">
      <c r="A1127">
        <v>1142123</v>
      </c>
      <c r="B1127">
        <v>106269</v>
      </c>
      <c r="C1127">
        <v>7733020</v>
      </c>
      <c r="D1127" t="s">
        <v>2214</v>
      </c>
      <c r="F1127" t="s">
        <v>245</v>
      </c>
      <c r="G1127" t="s">
        <v>246</v>
      </c>
      <c r="N1127" t="s">
        <v>2183</v>
      </c>
      <c r="O1127" t="s">
        <v>498</v>
      </c>
      <c r="P1127" t="s">
        <v>249</v>
      </c>
      <c r="Q1127" t="s">
        <v>250</v>
      </c>
      <c r="R1127" t="s">
        <v>251</v>
      </c>
      <c r="T1127" t="s">
        <v>252</v>
      </c>
      <c r="U1127" t="s">
        <v>499</v>
      </c>
      <c r="V1127" t="s">
        <v>1281</v>
      </c>
      <c r="W1127" t="s">
        <v>1282</v>
      </c>
      <c r="X1127" t="s">
        <v>2184</v>
      </c>
      <c r="AM1127" t="s">
        <v>258</v>
      </c>
      <c r="AN1127" t="s">
        <v>259</v>
      </c>
      <c r="AO1127" t="s">
        <v>260</v>
      </c>
      <c r="AQ1127" t="s">
        <v>261</v>
      </c>
      <c r="AS1127">
        <v>100000</v>
      </c>
      <c r="AX1127" t="s">
        <v>262</v>
      </c>
      <c r="BO1127" t="s">
        <v>261</v>
      </c>
      <c r="BQ1127">
        <v>100</v>
      </c>
      <c r="BV1127" t="s">
        <v>263</v>
      </c>
      <c r="CM1127" t="s">
        <v>264</v>
      </c>
      <c r="CN1127" t="s">
        <v>264</v>
      </c>
      <c r="CP1127" t="s">
        <v>265</v>
      </c>
      <c r="CQ1127" t="s">
        <v>518</v>
      </c>
      <c r="DB1127">
        <v>1</v>
      </c>
      <c r="DG1127" t="s">
        <v>267</v>
      </c>
      <c r="DI1127">
        <v>24</v>
      </c>
      <c r="DN1127" t="s">
        <v>268</v>
      </c>
      <c r="DP1127" t="s">
        <v>2185</v>
      </c>
      <c r="DR1127">
        <v>371472</v>
      </c>
      <c r="DS1127">
        <v>1342</v>
      </c>
      <c r="DT1127" t="s">
        <v>2186</v>
      </c>
      <c r="EW1127" t="s">
        <v>271</v>
      </c>
      <c r="FM1127">
        <v>10</v>
      </c>
      <c r="FR1127" t="s">
        <v>295</v>
      </c>
      <c r="GG1127" t="s">
        <v>278</v>
      </c>
      <c r="GH1127">
        <v>75</v>
      </c>
      <c r="GM1127" t="s">
        <v>900</v>
      </c>
      <c r="GU1127">
        <v>10</v>
      </c>
      <c r="GZ1127" t="s">
        <v>296</v>
      </c>
      <c r="HH1127" t="s">
        <v>272</v>
      </c>
      <c r="IE1127" t="s">
        <v>2187</v>
      </c>
      <c r="IF1127">
        <v>11875</v>
      </c>
      <c r="IG1127" t="s">
        <v>2188</v>
      </c>
      <c r="IH1127" t="s">
        <v>2189</v>
      </c>
      <c r="II1127">
        <v>1985</v>
      </c>
      <c r="IJ1127" t="s">
        <v>2190</v>
      </c>
    </row>
    <row r="1128" spans="1:244" x14ac:dyDescent="0.45">
      <c r="A1128">
        <v>1142132</v>
      </c>
      <c r="B1128">
        <v>106278</v>
      </c>
      <c r="C1128">
        <v>7733020</v>
      </c>
      <c r="D1128" t="s">
        <v>2214</v>
      </c>
      <c r="F1128" t="s">
        <v>245</v>
      </c>
      <c r="G1128" t="s">
        <v>246</v>
      </c>
      <c r="N1128" t="s">
        <v>2183</v>
      </c>
      <c r="O1128" t="s">
        <v>498</v>
      </c>
      <c r="P1128" t="s">
        <v>249</v>
      </c>
      <c r="Q1128" t="s">
        <v>250</v>
      </c>
      <c r="R1128" t="s">
        <v>251</v>
      </c>
      <c r="T1128" t="s">
        <v>252</v>
      </c>
      <c r="U1128" t="s">
        <v>499</v>
      </c>
      <c r="V1128" t="s">
        <v>1281</v>
      </c>
      <c r="W1128" t="s">
        <v>1282</v>
      </c>
      <c r="X1128" t="s">
        <v>2184</v>
      </c>
      <c r="AM1128" t="s">
        <v>258</v>
      </c>
      <c r="AN1128" t="s">
        <v>259</v>
      </c>
      <c r="AO1128" t="s">
        <v>260</v>
      </c>
      <c r="AQ1128" t="s">
        <v>261</v>
      </c>
      <c r="AS1128">
        <v>14000</v>
      </c>
      <c r="AX1128" t="s">
        <v>262</v>
      </c>
      <c r="BO1128" t="s">
        <v>261</v>
      </c>
      <c r="BQ1128">
        <v>14</v>
      </c>
      <c r="BV1128" t="s">
        <v>263</v>
      </c>
      <c r="CM1128" t="s">
        <v>264</v>
      </c>
      <c r="CN1128" t="s">
        <v>264</v>
      </c>
      <c r="CP1128" t="s">
        <v>265</v>
      </c>
      <c r="CQ1128" t="s">
        <v>518</v>
      </c>
      <c r="DB1128">
        <v>2</v>
      </c>
      <c r="DG1128" t="s">
        <v>267</v>
      </c>
      <c r="DI1128">
        <v>48</v>
      </c>
      <c r="DN1128" t="s">
        <v>268</v>
      </c>
      <c r="DP1128" t="s">
        <v>2185</v>
      </c>
      <c r="DR1128">
        <v>371472</v>
      </c>
      <c r="DS1128">
        <v>1342</v>
      </c>
      <c r="DT1128" t="s">
        <v>2186</v>
      </c>
      <c r="EW1128" t="s">
        <v>271</v>
      </c>
      <c r="FM1128">
        <v>5</v>
      </c>
      <c r="FR1128" t="s">
        <v>295</v>
      </c>
      <c r="GG1128" t="s">
        <v>278</v>
      </c>
      <c r="GH1128">
        <v>75</v>
      </c>
      <c r="GM1128" t="s">
        <v>900</v>
      </c>
      <c r="GU1128">
        <v>5</v>
      </c>
      <c r="GZ1128" t="s">
        <v>296</v>
      </c>
      <c r="HH1128" t="s">
        <v>272</v>
      </c>
      <c r="IE1128" t="s">
        <v>2187</v>
      </c>
      <c r="IF1128">
        <v>11875</v>
      </c>
      <c r="IG1128" t="s">
        <v>2188</v>
      </c>
      <c r="IH1128" t="s">
        <v>2189</v>
      </c>
      <c r="II1128">
        <v>1985</v>
      </c>
      <c r="IJ1128" t="s">
        <v>2190</v>
      </c>
    </row>
    <row r="1129" spans="1:244" x14ac:dyDescent="0.45">
      <c r="A1129">
        <v>1142126</v>
      </c>
      <c r="B1129">
        <v>106272</v>
      </c>
      <c r="C1129">
        <v>7733020</v>
      </c>
      <c r="D1129" t="s">
        <v>2214</v>
      </c>
      <c r="F1129" t="s">
        <v>245</v>
      </c>
      <c r="G1129" t="s">
        <v>246</v>
      </c>
      <c r="N1129" t="s">
        <v>2183</v>
      </c>
      <c r="O1129" t="s">
        <v>498</v>
      </c>
      <c r="P1129" t="s">
        <v>249</v>
      </c>
      <c r="Q1129" t="s">
        <v>250</v>
      </c>
      <c r="R1129" t="s">
        <v>251</v>
      </c>
      <c r="T1129" t="s">
        <v>252</v>
      </c>
      <c r="U1129" t="s">
        <v>499</v>
      </c>
      <c r="V1129" t="s">
        <v>1281</v>
      </c>
      <c r="W1129" t="s">
        <v>1282</v>
      </c>
      <c r="X1129" t="s">
        <v>2184</v>
      </c>
      <c r="AM1129" t="s">
        <v>258</v>
      </c>
      <c r="AN1129" t="s">
        <v>259</v>
      </c>
      <c r="AO1129" t="s">
        <v>260</v>
      </c>
      <c r="AQ1129" t="s">
        <v>261</v>
      </c>
      <c r="AR1129" t="s">
        <v>288</v>
      </c>
      <c r="AS1129">
        <v>128000</v>
      </c>
      <c r="AX1129" t="s">
        <v>262</v>
      </c>
      <c r="BO1129" t="s">
        <v>261</v>
      </c>
      <c r="BP1129" t="s">
        <v>288</v>
      </c>
      <c r="BQ1129">
        <v>128</v>
      </c>
      <c r="BV1129" t="s">
        <v>263</v>
      </c>
      <c r="CM1129" t="s">
        <v>264</v>
      </c>
      <c r="CN1129" t="s">
        <v>264</v>
      </c>
      <c r="CP1129" t="s">
        <v>265</v>
      </c>
      <c r="CQ1129" t="s">
        <v>518</v>
      </c>
      <c r="DB1129">
        <v>1</v>
      </c>
      <c r="DG1129" t="s">
        <v>267</v>
      </c>
      <c r="DI1129">
        <v>24</v>
      </c>
      <c r="DN1129" t="s">
        <v>268</v>
      </c>
      <c r="DP1129" t="s">
        <v>2185</v>
      </c>
      <c r="DR1129">
        <v>371472</v>
      </c>
      <c r="DS1129">
        <v>1342</v>
      </c>
      <c r="DT1129" t="s">
        <v>2186</v>
      </c>
      <c r="EW1129" t="s">
        <v>271</v>
      </c>
      <c r="FM1129">
        <v>10</v>
      </c>
      <c r="FR1129" t="s">
        <v>295</v>
      </c>
      <c r="GG1129" t="s">
        <v>278</v>
      </c>
      <c r="GH1129">
        <v>75</v>
      </c>
      <c r="GM1129" t="s">
        <v>900</v>
      </c>
      <c r="GU1129">
        <v>35</v>
      </c>
      <c r="GZ1129" t="s">
        <v>296</v>
      </c>
      <c r="HH1129" t="s">
        <v>272</v>
      </c>
      <c r="IE1129" t="s">
        <v>2187</v>
      </c>
      <c r="IF1129">
        <v>11875</v>
      </c>
      <c r="IG1129" t="s">
        <v>2188</v>
      </c>
      <c r="IH1129" t="s">
        <v>2189</v>
      </c>
      <c r="II1129">
        <v>1985</v>
      </c>
      <c r="IJ1129" t="s">
        <v>2190</v>
      </c>
    </row>
    <row r="1130" spans="1:244" x14ac:dyDescent="0.45">
      <c r="A1130">
        <v>1142122</v>
      </c>
      <c r="B1130">
        <v>106268</v>
      </c>
      <c r="C1130">
        <v>7733020</v>
      </c>
      <c r="D1130" t="s">
        <v>2214</v>
      </c>
      <c r="F1130" t="s">
        <v>245</v>
      </c>
      <c r="G1130" t="s">
        <v>246</v>
      </c>
      <c r="N1130" t="s">
        <v>2183</v>
      </c>
      <c r="O1130" t="s">
        <v>498</v>
      </c>
      <c r="P1130" t="s">
        <v>249</v>
      </c>
      <c r="Q1130" t="s">
        <v>250</v>
      </c>
      <c r="R1130" t="s">
        <v>251</v>
      </c>
      <c r="T1130" t="s">
        <v>252</v>
      </c>
      <c r="U1130" t="s">
        <v>499</v>
      </c>
      <c r="V1130" t="s">
        <v>1281</v>
      </c>
      <c r="W1130" t="s">
        <v>1282</v>
      </c>
      <c r="X1130" t="s">
        <v>2184</v>
      </c>
      <c r="AM1130" t="s">
        <v>258</v>
      </c>
      <c r="AN1130" t="s">
        <v>259</v>
      </c>
      <c r="AO1130" t="s">
        <v>260</v>
      </c>
      <c r="AQ1130" t="s">
        <v>261</v>
      </c>
      <c r="AR1130" t="s">
        <v>288</v>
      </c>
      <c r="AS1130">
        <v>128000</v>
      </c>
      <c r="AX1130" t="s">
        <v>262</v>
      </c>
      <c r="BO1130" t="s">
        <v>261</v>
      </c>
      <c r="BP1130" t="s">
        <v>288</v>
      </c>
      <c r="BQ1130">
        <v>128</v>
      </c>
      <c r="BV1130" t="s">
        <v>263</v>
      </c>
      <c r="CM1130" t="s">
        <v>264</v>
      </c>
      <c r="CN1130" t="s">
        <v>264</v>
      </c>
      <c r="CP1130" t="s">
        <v>265</v>
      </c>
      <c r="CQ1130" t="s">
        <v>518</v>
      </c>
      <c r="DB1130">
        <v>1</v>
      </c>
      <c r="DG1130" t="s">
        <v>267</v>
      </c>
      <c r="DI1130">
        <v>24</v>
      </c>
      <c r="DN1130" t="s">
        <v>268</v>
      </c>
      <c r="DP1130" t="s">
        <v>2185</v>
      </c>
      <c r="DR1130">
        <v>371472</v>
      </c>
      <c r="DS1130">
        <v>1342</v>
      </c>
      <c r="DT1130" t="s">
        <v>2186</v>
      </c>
      <c r="EW1130" t="s">
        <v>271</v>
      </c>
      <c r="FM1130">
        <v>10</v>
      </c>
      <c r="FR1130" t="s">
        <v>295</v>
      </c>
      <c r="GG1130" t="s">
        <v>278</v>
      </c>
      <c r="GH1130">
        <v>75</v>
      </c>
      <c r="GM1130" t="s">
        <v>900</v>
      </c>
      <c r="GU1130">
        <v>5</v>
      </c>
      <c r="GZ1130" t="s">
        <v>296</v>
      </c>
      <c r="HH1130" t="s">
        <v>272</v>
      </c>
      <c r="IE1130" t="s">
        <v>2187</v>
      </c>
      <c r="IF1130">
        <v>11875</v>
      </c>
      <c r="IG1130" t="s">
        <v>2188</v>
      </c>
      <c r="IH1130" t="s">
        <v>2189</v>
      </c>
      <c r="II1130">
        <v>1985</v>
      </c>
      <c r="IJ1130" t="s">
        <v>2190</v>
      </c>
    </row>
    <row r="1131" spans="1:244" x14ac:dyDescent="0.45">
      <c r="A1131">
        <v>1142124</v>
      </c>
      <c r="B1131">
        <v>106270</v>
      </c>
      <c r="C1131">
        <v>7733020</v>
      </c>
      <c r="D1131" t="s">
        <v>2214</v>
      </c>
      <c r="F1131" t="s">
        <v>245</v>
      </c>
      <c r="G1131" t="s">
        <v>246</v>
      </c>
      <c r="N1131" t="s">
        <v>2183</v>
      </c>
      <c r="O1131" t="s">
        <v>498</v>
      </c>
      <c r="P1131" t="s">
        <v>249</v>
      </c>
      <c r="Q1131" t="s">
        <v>250</v>
      </c>
      <c r="R1131" t="s">
        <v>251</v>
      </c>
      <c r="T1131" t="s">
        <v>252</v>
      </c>
      <c r="U1131" t="s">
        <v>499</v>
      </c>
      <c r="V1131" t="s">
        <v>1281</v>
      </c>
      <c r="W1131" t="s">
        <v>1282</v>
      </c>
      <c r="X1131" t="s">
        <v>2184</v>
      </c>
      <c r="AM1131" t="s">
        <v>258</v>
      </c>
      <c r="AN1131" t="s">
        <v>259</v>
      </c>
      <c r="AO1131" t="s">
        <v>260</v>
      </c>
      <c r="AQ1131" t="s">
        <v>261</v>
      </c>
      <c r="AR1131" t="s">
        <v>288</v>
      </c>
      <c r="AS1131">
        <v>128000</v>
      </c>
      <c r="AX1131" t="s">
        <v>262</v>
      </c>
      <c r="BO1131" t="s">
        <v>261</v>
      </c>
      <c r="BP1131" t="s">
        <v>288</v>
      </c>
      <c r="BQ1131">
        <v>128</v>
      </c>
      <c r="BV1131" t="s">
        <v>263</v>
      </c>
      <c r="CM1131" t="s">
        <v>264</v>
      </c>
      <c r="CN1131" t="s">
        <v>264</v>
      </c>
      <c r="CP1131" t="s">
        <v>265</v>
      </c>
      <c r="CQ1131" t="s">
        <v>518</v>
      </c>
      <c r="DB1131">
        <v>1</v>
      </c>
      <c r="DG1131" t="s">
        <v>267</v>
      </c>
      <c r="DI1131">
        <v>24</v>
      </c>
      <c r="DN1131" t="s">
        <v>268</v>
      </c>
      <c r="DP1131" t="s">
        <v>2185</v>
      </c>
      <c r="DR1131">
        <v>371472</v>
      </c>
      <c r="DS1131">
        <v>1342</v>
      </c>
      <c r="DT1131" t="s">
        <v>2186</v>
      </c>
      <c r="EW1131" t="s">
        <v>271</v>
      </c>
      <c r="FM1131">
        <v>10</v>
      </c>
      <c r="FR1131" t="s">
        <v>295</v>
      </c>
      <c r="GG1131" t="s">
        <v>278</v>
      </c>
      <c r="GH1131">
        <v>75</v>
      </c>
      <c r="GM1131" t="s">
        <v>900</v>
      </c>
      <c r="GU1131">
        <v>15</v>
      </c>
      <c r="GZ1131" t="s">
        <v>296</v>
      </c>
      <c r="HH1131" t="s">
        <v>272</v>
      </c>
      <c r="IE1131" t="s">
        <v>2187</v>
      </c>
      <c r="IF1131">
        <v>11875</v>
      </c>
      <c r="IG1131" t="s">
        <v>2188</v>
      </c>
      <c r="IH1131" t="s">
        <v>2189</v>
      </c>
      <c r="II1131">
        <v>1985</v>
      </c>
      <c r="IJ1131" t="s">
        <v>2190</v>
      </c>
    </row>
    <row r="1132" spans="1:244" x14ac:dyDescent="0.45">
      <c r="A1132">
        <v>1142137</v>
      </c>
      <c r="B1132">
        <v>106283</v>
      </c>
      <c r="C1132">
        <v>7733020</v>
      </c>
      <c r="D1132" t="s">
        <v>2214</v>
      </c>
      <c r="F1132" t="s">
        <v>245</v>
      </c>
      <c r="G1132" t="s">
        <v>246</v>
      </c>
      <c r="N1132" t="s">
        <v>2183</v>
      </c>
      <c r="O1132" t="s">
        <v>498</v>
      </c>
      <c r="P1132" t="s">
        <v>249</v>
      </c>
      <c r="Q1132" t="s">
        <v>250</v>
      </c>
      <c r="R1132" t="s">
        <v>251</v>
      </c>
      <c r="T1132" t="s">
        <v>252</v>
      </c>
      <c r="U1132" t="s">
        <v>499</v>
      </c>
      <c r="V1132" t="s">
        <v>1281</v>
      </c>
      <c r="W1132" t="s">
        <v>1282</v>
      </c>
      <c r="X1132" t="s">
        <v>2184</v>
      </c>
      <c r="AM1132" t="s">
        <v>258</v>
      </c>
      <c r="AN1132" t="s">
        <v>259</v>
      </c>
      <c r="AO1132" t="s">
        <v>260</v>
      </c>
      <c r="AQ1132" t="s">
        <v>261</v>
      </c>
      <c r="AS1132">
        <v>13000</v>
      </c>
      <c r="AX1132" t="s">
        <v>262</v>
      </c>
      <c r="BO1132" t="s">
        <v>261</v>
      </c>
      <c r="BQ1132">
        <v>13</v>
      </c>
      <c r="BV1132" t="s">
        <v>263</v>
      </c>
      <c r="CM1132" t="s">
        <v>264</v>
      </c>
      <c r="CN1132" t="s">
        <v>264</v>
      </c>
      <c r="CP1132" t="s">
        <v>265</v>
      </c>
      <c r="CQ1132" t="s">
        <v>518</v>
      </c>
      <c r="DB1132">
        <v>2</v>
      </c>
      <c r="DG1132" t="s">
        <v>267</v>
      </c>
      <c r="DI1132">
        <v>48</v>
      </c>
      <c r="DN1132" t="s">
        <v>268</v>
      </c>
      <c r="DP1132" t="s">
        <v>2185</v>
      </c>
      <c r="DR1132">
        <v>371472</v>
      </c>
      <c r="DS1132">
        <v>1342</v>
      </c>
      <c r="DT1132" t="s">
        <v>2186</v>
      </c>
      <c r="EW1132" t="s">
        <v>271</v>
      </c>
      <c r="FM1132">
        <v>10</v>
      </c>
      <c r="FR1132" t="s">
        <v>295</v>
      </c>
      <c r="GG1132" t="s">
        <v>278</v>
      </c>
      <c r="GH1132">
        <v>75</v>
      </c>
      <c r="GM1132" t="s">
        <v>900</v>
      </c>
      <c r="GU1132">
        <v>5</v>
      </c>
      <c r="GZ1132" t="s">
        <v>296</v>
      </c>
      <c r="HH1132" t="s">
        <v>272</v>
      </c>
      <c r="IE1132" t="s">
        <v>2187</v>
      </c>
      <c r="IF1132">
        <v>11875</v>
      </c>
      <c r="IG1132" t="s">
        <v>2188</v>
      </c>
      <c r="IH1132" t="s">
        <v>2189</v>
      </c>
      <c r="II1132">
        <v>1985</v>
      </c>
      <c r="IJ1132" t="s">
        <v>2190</v>
      </c>
    </row>
    <row r="1133" spans="1:244" x14ac:dyDescent="0.45">
      <c r="A1133">
        <v>1142153</v>
      </c>
      <c r="B1133">
        <v>106299</v>
      </c>
      <c r="C1133">
        <v>7733020</v>
      </c>
      <c r="D1133" t="s">
        <v>2214</v>
      </c>
      <c r="F1133" t="s">
        <v>245</v>
      </c>
      <c r="G1133" t="s">
        <v>246</v>
      </c>
      <c r="N1133" t="s">
        <v>2183</v>
      </c>
      <c r="O1133" t="s">
        <v>498</v>
      </c>
      <c r="P1133" t="s">
        <v>249</v>
      </c>
      <c r="Q1133" t="s">
        <v>250</v>
      </c>
      <c r="R1133" t="s">
        <v>251</v>
      </c>
      <c r="T1133" t="s">
        <v>252</v>
      </c>
      <c r="U1133" t="s">
        <v>499</v>
      </c>
      <c r="V1133" t="s">
        <v>1281</v>
      </c>
      <c r="W1133" t="s">
        <v>1282</v>
      </c>
      <c r="X1133" t="s">
        <v>2184</v>
      </c>
      <c r="AM1133" t="s">
        <v>258</v>
      </c>
      <c r="AN1133" t="s">
        <v>259</v>
      </c>
      <c r="AO1133" t="s">
        <v>260</v>
      </c>
      <c r="AQ1133" t="s">
        <v>261</v>
      </c>
      <c r="AS1133">
        <v>8500</v>
      </c>
      <c r="AX1133" t="s">
        <v>262</v>
      </c>
      <c r="BO1133" t="s">
        <v>261</v>
      </c>
      <c r="BQ1133">
        <v>8.5</v>
      </c>
      <c r="BV1133" t="s">
        <v>263</v>
      </c>
      <c r="CM1133" t="s">
        <v>264</v>
      </c>
      <c r="CN1133" t="s">
        <v>264</v>
      </c>
      <c r="CP1133" t="s">
        <v>265</v>
      </c>
      <c r="CQ1133" t="s">
        <v>518</v>
      </c>
      <c r="DB1133">
        <v>4</v>
      </c>
      <c r="DG1133" t="s">
        <v>267</v>
      </c>
      <c r="DI1133">
        <v>96</v>
      </c>
      <c r="DN1133" t="s">
        <v>268</v>
      </c>
      <c r="DP1133" t="s">
        <v>2185</v>
      </c>
      <c r="DR1133">
        <v>371472</v>
      </c>
      <c r="DS1133">
        <v>1342</v>
      </c>
      <c r="DT1133" t="s">
        <v>2186</v>
      </c>
      <c r="EW1133" t="s">
        <v>271</v>
      </c>
      <c r="FM1133">
        <v>15</v>
      </c>
      <c r="FR1133" t="s">
        <v>295</v>
      </c>
      <c r="GG1133" t="s">
        <v>278</v>
      </c>
      <c r="GH1133">
        <v>75</v>
      </c>
      <c r="GM1133" t="s">
        <v>900</v>
      </c>
      <c r="GU1133">
        <v>15</v>
      </c>
      <c r="GZ1133" t="s">
        <v>296</v>
      </c>
      <c r="HH1133" t="s">
        <v>272</v>
      </c>
      <c r="IE1133" t="s">
        <v>2187</v>
      </c>
      <c r="IF1133">
        <v>11875</v>
      </c>
      <c r="IG1133" t="s">
        <v>2188</v>
      </c>
      <c r="IH1133" t="s">
        <v>2189</v>
      </c>
      <c r="II1133">
        <v>1985</v>
      </c>
      <c r="IJ1133" t="s">
        <v>2190</v>
      </c>
    </row>
    <row r="1134" spans="1:244" x14ac:dyDescent="0.45">
      <c r="A1134">
        <v>1142157</v>
      </c>
      <c r="B1134">
        <v>106303</v>
      </c>
      <c r="C1134">
        <v>7733020</v>
      </c>
      <c r="D1134" t="s">
        <v>2214</v>
      </c>
      <c r="F1134" t="s">
        <v>245</v>
      </c>
      <c r="G1134" t="s">
        <v>246</v>
      </c>
      <c r="N1134" t="s">
        <v>2183</v>
      </c>
      <c r="O1134" t="s">
        <v>498</v>
      </c>
      <c r="P1134" t="s">
        <v>249</v>
      </c>
      <c r="Q1134" t="s">
        <v>250</v>
      </c>
      <c r="R1134" t="s">
        <v>251</v>
      </c>
      <c r="T1134" t="s">
        <v>252</v>
      </c>
      <c r="U1134" t="s">
        <v>499</v>
      </c>
      <c r="V1134" t="s">
        <v>1281</v>
      </c>
      <c r="W1134" t="s">
        <v>1282</v>
      </c>
      <c r="X1134" t="s">
        <v>2184</v>
      </c>
      <c r="AM1134" t="s">
        <v>258</v>
      </c>
      <c r="AN1134" t="s">
        <v>259</v>
      </c>
      <c r="AO1134" t="s">
        <v>260</v>
      </c>
      <c r="AQ1134" t="s">
        <v>261</v>
      </c>
      <c r="AS1134">
        <v>3200</v>
      </c>
      <c r="AX1134" t="s">
        <v>262</v>
      </c>
      <c r="BO1134" t="s">
        <v>261</v>
      </c>
      <c r="BQ1134">
        <v>3.2</v>
      </c>
      <c r="BV1134" t="s">
        <v>263</v>
      </c>
      <c r="CM1134" t="s">
        <v>264</v>
      </c>
      <c r="CN1134" t="s">
        <v>264</v>
      </c>
      <c r="CP1134" t="s">
        <v>265</v>
      </c>
      <c r="CQ1134" t="s">
        <v>518</v>
      </c>
      <c r="DB1134">
        <v>4</v>
      </c>
      <c r="DG1134" t="s">
        <v>267</v>
      </c>
      <c r="DI1134">
        <v>96</v>
      </c>
      <c r="DN1134" t="s">
        <v>268</v>
      </c>
      <c r="DP1134" t="s">
        <v>2185</v>
      </c>
      <c r="DR1134">
        <v>371472</v>
      </c>
      <c r="DS1134">
        <v>1342</v>
      </c>
      <c r="DT1134" t="s">
        <v>2186</v>
      </c>
      <c r="EW1134" t="s">
        <v>271</v>
      </c>
      <c r="FM1134">
        <v>15</v>
      </c>
      <c r="FR1134" t="s">
        <v>295</v>
      </c>
      <c r="GG1134" t="s">
        <v>278</v>
      </c>
      <c r="GH1134">
        <v>75</v>
      </c>
      <c r="GM1134" t="s">
        <v>900</v>
      </c>
      <c r="GU1134">
        <v>10</v>
      </c>
      <c r="GZ1134" t="s">
        <v>296</v>
      </c>
      <c r="HH1134" t="s">
        <v>272</v>
      </c>
      <c r="IE1134" t="s">
        <v>2187</v>
      </c>
      <c r="IF1134">
        <v>11875</v>
      </c>
      <c r="IG1134" t="s">
        <v>2188</v>
      </c>
      <c r="IH1134" t="s">
        <v>2189</v>
      </c>
      <c r="II1134">
        <v>1985</v>
      </c>
      <c r="IJ1134" t="s">
        <v>2190</v>
      </c>
    </row>
    <row r="1135" spans="1:244" x14ac:dyDescent="0.45">
      <c r="A1135">
        <v>1142121</v>
      </c>
      <c r="B1135">
        <v>106267</v>
      </c>
      <c r="C1135">
        <v>7733020</v>
      </c>
      <c r="D1135" t="s">
        <v>2214</v>
      </c>
      <c r="F1135" t="s">
        <v>245</v>
      </c>
      <c r="G1135" t="s">
        <v>246</v>
      </c>
      <c r="N1135" t="s">
        <v>2183</v>
      </c>
      <c r="O1135" t="s">
        <v>498</v>
      </c>
      <c r="P1135" t="s">
        <v>249</v>
      </c>
      <c r="Q1135" t="s">
        <v>250</v>
      </c>
      <c r="R1135" t="s">
        <v>251</v>
      </c>
      <c r="T1135" t="s">
        <v>252</v>
      </c>
      <c r="U1135" t="s">
        <v>499</v>
      </c>
      <c r="V1135" t="s">
        <v>1281</v>
      </c>
      <c r="W1135" t="s">
        <v>1282</v>
      </c>
      <c r="X1135" t="s">
        <v>2184</v>
      </c>
      <c r="AM1135" t="s">
        <v>258</v>
      </c>
      <c r="AN1135" t="s">
        <v>259</v>
      </c>
      <c r="AO1135" t="s">
        <v>260</v>
      </c>
      <c r="AQ1135" t="s">
        <v>261</v>
      </c>
      <c r="AR1135" t="s">
        <v>288</v>
      </c>
      <c r="AS1135">
        <v>128000</v>
      </c>
      <c r="AX1135" t="s">
        <v>262</v>
      </c>
      <c r="BO1135" t="s">
        <v>261</v>
      </c>
      <c r="BP1135" t="s">
        <v>288</v>
      </c>
      <c r="BQ1135">
        <v>128</v>
      </c>
      <c r="BV1135" t="s">
        <v>263</v>
      </c>
      <c r="CM1135" t="s">
        <v>264</v>
      </c>
      <c r="CN1135" t="s">
        <v>264</v>
      </c>
      <c r="CP1135" t="s">
        <v>265</v>
      </c>
      <c r="CQ1135" t="s">
        <v>518</v>
      </c>
      <c r="DB1135">
        <v>1</v>
      </c>
      <c r="DG1135" t="s">
        <v>267</v>
      </c>
      <c r="DI1135">
        <v>24</v>
      </c>
      <c r="DN1135" t="s">
        <v>268</v>
      </c>
      <c r="DP1135" t="s">
        <v>2185</v>
      </c>
      <c r="DR1135">
        <v>371472</v>
      </c>
      <c r="DS1135">
        <v>1342</v>
      </c>
      <c r="DT1135" t="s">
        <v>2186</v>
      </c>
      <c r="EW1135" t="s">
        <v>271</v>
      </c>
      <c r="FM1135">
        <v>5</v>
      </c>
      <c r="FR1135" t="s">
        <v>295</v>
      </c>
      <c r="GG1135" t="s">
        <v>278</v>
      </c>
      <c r="GH1135">
        <v>75</v>
      </c>
      <c r="GM1135" t="s">
        <v>900</v>
      </c>
      <c r="GU1135">
        <v>35</v>
      </c>
      <c r="GZ1135" t="s">
        <v>296</v>
      </c>
      <c r="HH1135" t="s">
        <v>272</v>
      </c>
      <c r="IE1135" t="s">
        <v>2187</v>
      </c>
      <c r="IF1135">
        <v>11875</v>
      </c>
      <c r="IG1135" t="s">
        <v>2188</v>
      </c>
      <c r="IH1135" t="s">
        <v>2189</v>
      </c>
      <c r="II1135">
        <v>1985</v>
      </c>
      <c r="IJ1135" t="s">
        <v>2190</v>
      </c>
    </row>
    <row r="1136" spans="1:244" x14ac:dyDescent="0.45">
      <c r="A1136">
        <v>1142145</v>
      </c>
      <c r="B1136">
        <v>106291</v>
      </c>
      <c r="C1136">
        <v>7733020</v>
      </c>
      <c r="D1136" t="s">
        <v>2214</v>
      </c>
      <c r="F1136" t="s">
        <v>245</v>
      </c>
      <c r="G1136" t="s">
        <v>246</v>
      </c>
      <c r="N1136" t="s">
        <v>2183</v>
      </c>
      <c r="O1136" t="s">
        <v>498</v>
      </c>
      <c r="P1136" t="s">
        <v>249</v>
      </c>
      <c r="Q1136" t="s">
        <v>250</v>
      </c>
      <c r="R1136" t="s">
        <v>251</v>
      </c>
      <c r="T1136" t="s">
        <v>252</v>
      </c>
      <c r="U1136" t="s">
        <v>499</v>
      </c>
      <c r="V1136" t="s">
        <v>1281</v>
      </c>
      <c r="W1136" t="s">
        <v>1282</v>
      </c>
      <c r="X1136" t="s">
        <v>2184</v>
      </c>
      <c r="AM1136" t="s">
        <v>258</v>
      </c>
      <c r="AN1136" t="s">
        <v>259</v>
      </c>
      <c r="AO1136" t="s">
        <v>260</v>
      </c>
      <c r="AQ1136" t="s">
        <v>261</v>
      </c>
      <c r="AS1136">
        <v>17000</v>
      </c>
      <c r="AX1136" t="s">
        <v>262</v>
      </c>
      <c r="BO1136" t="s">
        <v>261</v>
      </c>
      <c r="BQ1136">
        <v>17</v>
      </c>
      <c r="BV1136" t="s">
        <v>263</v>
      </c>
      <c r="CM1136" t="s">
        <v>264</v>
      </c>
      <c r="CN1136" t="s">
        <v>264</v>
      </c>
      <c r="CP1136" t="s">
        <v>265</v>
      </c>
      <c r="CQ1136" t="s">
        <v>518</v>
      </c>
      <c r="DB1136">
        <v>2</v>
      </c>
      <c r="DG1136" t="s">
        <v>267</v>
      </c>
      <c r="DI1136">
        <v>48</v>
      </c>
      <c r="DN1136" t="s">
        <v>268</v>
      </c>
      <c r="DP1136" t="s">
        <v>2185</v>
      </c>
      <c r="DR1136">
        <v>371472</v>
      </c>
      <c r="DS1136">
        <v>1342</v>
      </c>
      <c r="DT1136" t="s">
        <v>2186</v>
      </c>
      <c r="EW1136" t="s">
        <v>271</v>
      </c>
      <c r="FM1136">
        <v>15</v>
      </c>
      <c r="FR1136" t="s">
        <v>295</v>
      </c>
      <c r="GG1136" t="s">
        <v>278</v>
      </c>
      <c r="GH1136">
        <v>75</v>
      </c>
      <c r="GM1136" t="s">
        <v>900</v>
      </c>
      <c r="GU1136">
        <v>25</v>
      </c>
      <c r="GZ1136" t="s">
        <v>296</v>
      </c>
      <c r="HH1136" t="s">
        <v>272</v>
      </c>
      <c r="IE1136" t="s">
        <v>2187</v>
      </c>
      <c r="IF1136">
        <v>11875</v>
      </c>
      <c r="IG1136" t="s">
        <v>2188</v>
      </c>
      <c r="IH1136" t="s">
        <v>2189</v>
      </c>
      <c r="II1136">
        <v>1985</v>
      </c>
      <c r="IJ1136" t="s">
        <v>2190</v>
      </c>
    </row>
    <row r="1137" spans="1:244" x14ac:dyDescent="0.45">
      <c r="A1137">
        <v>1142158</v>
      </c>
      <c r="B1137">
        <v>106304</v>
      </c>
      <c r="C1137">
        <v>7733020</v>
      </c>
      <c r="D1137" t="s">
        <v>2214</v>
      </c>
      <c r="F1137" t="s">
        <v>245</v>
      </c>
      <c r="G1137" t="s">
        <v>246</v>
      </c>
      <c r="N1137" t="s">
        <v>2183</v>
      </c>
      <c r="O1137" t="s">
        <v>498</v>
      </c>
      <c r="P1137" t="s">
        <v>249</v>
      </c>
      <c r="Q1137" t="s">
        <v>250</v>
      </c>
      <c r="R1137" t="s">
        <v>251</v>
      </c>
      <c r="T1137" t="s">
        <v>252</v>
      </c>
      <c r="U1137" t="s">
        <v>499</v>
      </c>
      <c r="V1137" t="s">
        <v>1281</v>
      </c>
      <c r="W1137" t="s">
        <v>1282</v>
      </c>
      <c r="X1137" t="s">
        <v>2184</v>
      </c>
      <c r="AM1137" t="s">
        <v>258</v>
      </c>
      <c r="AN1137" t="s">
        <v>259</v>
      </c>
      <c r="AO1137" t="s">
        <v>260</v>
      </c>
      <c r="AQ1137" t="s">
        <v>261</v>
      </c>
      <c r="AS1137">
        <v>3400</v>
      </c>
      <c r="AX1137" t="s">
        <v>262</v>
      </c>
      <c r="BO1137" t="s">
        <v>261</v>
      </c>
      <c r="BQ1137">
        <v>3.4</v>
      </c>
      <c r="BV1137" t="s">
        <v>263</v>
      </c>
      <c r="CM1137" t="s">
        <v>264</v>
      </c>
      <c r="CN1137" t="s">
        <v>264</v>
      </c>
      <c r="CP1137" t="s">
        <v>265</v>
      </c>
      <c r="CQ1137" t="s">
        <v>518</v>
      </c>
      <c r="DB1137">
        <v>4</v>
      </c>
      <c r="DG1137" t="s">
        <v>267</v>
      </c>
      <c r="DI1137">
        <v>96</v>
      </c>
      <c r="DN1137" t="s">
        <v>268</v>
      </c>
      <c r="DP1137" t="s">
        <v>2185</v>
      </c>
      <c r="DR1137">
        <v>371472</v>
      </c>
      <c r="DS1137">
        <v>1342</v>
      </c>
      <c r="DT1137" t="s">
        <v>2186</v>
      </c>
      <c r="EW1137" t="s">
        <v>271</v>
      </c>
      <c r="FM1137">
        <v>15</v>
      </c>
      <c r="FR1137" t="s">
        <v>295</v>
      </c>
      <c r="GG1137" t="s">
        <v>278</v>
      </c>
      <c r="GH1137">
        <v>75</v>
      </c>
      <c r="GM1137" t="s">
        <v>900</v>
      </c>
      <c r="GU1137">
        <v>15</v>
      </c>
      <c r="GZ1137" t="s">
        <v>296</v>
      </c>
      <c r="HH1137" t="s">
        <v>272</v>
      </c>
      <c r="IE1137" t="s">
        <v>2187</v>
      </c>
      <c r="IF1137">
        <v>11875</v>
      </c>
      <c r="IG1137" t="s">
        <v>2188</v>
      </c>
      <c r="IH1137" t="s">
        <v>2189</v>
      </c>
      <c r="II1137">
        <v>1985</v>
      </c>
      <c r="IJ1137" t="s">
        <v>2190</v>
      </c>
    </row>
    <row r="1138" spans="1:244" x14ac:dyDescent="0.45">
      <c r="A1138">
        <v>1142119</v>
      </c>
      <c r="B1138">
        <v>106265</v>
      </c>
      <c r="C1138">
        <v>7733020</v>
      </c>
      <c r="D1138" t="s">
        <v>2214</v>
      </c>
      <c r="F1138" t="s">
        <v>245</v>
      </c>
      <c r="G1138" t="s">
        <v>246</v>
      </c>
      <c r="N1138" t="s">
        <v>2183</v>
      </c>
      <c r="O1138" t="s">
        <v>498</v>
      </c>
      <c r="P1138" t="s">
        <v>249</v>
      </c>
      <c r="Q1138" t="s">
        <v>250</v>
      </c>
      <c r="R1138" t="s">
        <v>251</v>
      </c>
      <c r="T1138" t="s">
        <v>252</v>
      </c>
      <c r="U1138" t="s">
        <v>499</v>
      </c>
      <c r="V1138" t="s">
        <v>1281</v>
      </c>
      <c r="W1138" t="s">
        <v>1282</v>
      </c>
      <c r="X1138" t="s">
        <v>2184</v>
      </c>
      <c r="AM1138" t="s">
        <v>258</v>
      </c>
      <c r="AN1138" t="s">
        <v>259</v>
      </c>
      <c r="AO1138" t="s">
        <v>260</v>
      </c>
      <c r="AQ1138" t="s">
        <v>261</v>
      </c>
      <c r="AS1138">
        <v>110000</v>
      </c>
      <c r="AX1138" t="s">
        <v>262</v>
      </c>
      <c r="BO1138" t="s">
        <v>261</v>
      </c>
      <c r="BQ1138">
        <v>110</v>
      </c>
      <c r="BV1138" t="s">
        <v>263</v>
      </c>
      <c r="CM1138" t="s">
        <v>264</v>
      </c>
      <c r="CN1138" t="s">
        <v>264</v>
      </c>
      <c r="CP1138" t="s">
        <v>265</v>
      </c>
      <c r="CQ1138" t="s">
        <v>518</v>
      </c>
      <c r="DB1138">
        <v>1</v>
      </c>
      <c r="DG1138" t="s">
        <v>267</v>
      </c>
      <c r="DI1138">
        <v>24</v>
      </c>
      <c r="DN1138" t="s">
        <v>268</v>
      </c>
      <c r="DP1138" t="s">
        <v>2185</v>
      </c>
      <c r="DR1138">
        <v>371472</v>
      </c>
      <c r="DS1138">
        <v>1342</v>
      </c>
      <c r="DT1138" t="s">
        <v>2186</v>
      </c>
      <c r="EW1138" t="s">
        <v>271</v>
      </c>
      <c r="FM1138">
        <v>5</v>
      </c>
      <c r="FR1138" t="s">
        <v>295</v>
      </c>
      <c r="GG1138" t="s">
        <v>278</v>
      </c>
      <c r="GH1138">
        <v>75</v>
      </c>
      <c r="GM1138" t="s">
        <v>900</v>
      </c>
      <c r="GU1138">
        <v>15</v>
      </c>
      <c r="GZ1138" t="s">
        <v>296</v>
      </c>
      <c r="HH1138" t="s">
        <v>272</v>
      </c>
      <c r="IE1138" t="s">
        <v>2187</v>
      </c>
      <c r="IF1138">
        <v>11875</v>
      </c>
      <c r="IG1138" t="s">
        <v>2188</v>
      </c>
      <c r="IH1138" t="s">
        <v>2189</v>
      </c>
      <c r="II1138">
        <v>1985</v>
      </c>
      <c r="IJ1138" t="s">
        <v>2190</v>
      </c>
    </row>
    <row r="1139" spans="1:244" x14ac:dyDescent="0.45">
      <c r="A1139">
        <v>1142131</v>
      </c>
      <c r="B1139">
        <v>106277</v>
      </c>
      <c r="C1139">
        <v>7733020</v>
      </c>
      <c r="D1139" t="s">
        <v>2214</v>
      </c>
      <c r="F1139" t="s">
        <v>245</v>
      </c>
      <c r="G1139" t="s">
        <v>246</v>
      </c>
      <c r="N1139" t="s">
        <v>2183</v>
      </c>
      <c r="O1139" t="s">
        <v>498</v>
      </c>
      <c r="P1139" t="s">
        <v>249</v>
      </c>
      <c r="Q1139" t="s">
        <v>250</v>
      </c>
      <c r="R1139" t="s">
        <v>251</v>
      </c>
      <c r="T1139" t="s">
        <v>252</v>
      </c>
      <c r="U1139" t="s">
        <v>499</v>
      </c>
      <c r="V1139" t="s">
        <v>1281</v>
      </c>
      <c r="W1139" t="s">
        <v>1282</v>
      </c>
      <c r="X1139" t="s">
        <v>2184</v>
      </c>
      <c r="AM1139" t="s">
        <v>258</v>
      </c>
      <c r="AN1139" t="s">
        <v>259</v>
      </c>
      <c r="AO1139" t="s">
        <v>260</v>
      </c>
      <c r="AQ1139" t="s">
        <v>261</v>
      </c>
      <c r="AR1139" t="s">
        <v>288</v>
      </c>
      <c r="AS1139">
        <v>128000</v>
      </c>
      <c r="AX1139" t="s">
        <v>262</v>
      </c>
      <c r="BO1139" t="s">
        <v>261</v>
      </c>
      <c r="BP1139" t="s">
        <v>288</v>
      </c>
      <c r="BQ1139">
        <v>128</v>
      </c>
      <c r="BV1139" t="s">
        <v>263</v>
      </c>
      <c r="CM1139" t="s">
        <v>264</v>
      </c>
      <c r="CN1139" t="s">
        <v>264</v>
      </c>
      <c r="CP1139" t="s">
        <v>265</v>
      </c>
      <c r="CQ1139" t="s">
        <v>518</v>
      </c>
      <c r="DB1139">
        <v>1</v>
      </c>
      <c r="DG1139" t="s">
        <v>267</v>
      </c>
      <c r="DI1139">
        <v>24</v>
      </c>
      <c r="DN1139" t="s">
        <v>268</v>
      </c>
      <c r="DP1139" t="s">
        <v>2185</v>
      </c>
      <c r="DR1139">
        <v>371472</v>
      </c>
      <c r="DS1139">
        <v>1342</v>
      </c>
      <c r="DT1139" t="s">
        <v>2186</v>
      </c>
      <c r="EW1139" t="s">
        <v>271</v>
      </c>
      <c r="FM1139">
        <v>15</v>
      </c>
      <c r="FR1139" t="s">
        <v>295</v>
      </c>
      <c r="GG1139" t="s">
        <v>278</v>
      </c>
      <c r="GH1139">
        <v>75</v>
      </c>
      <c r="GM1139" t="s">
        <v>900</v>
      </c>
      <c r="GU1139">
        <v>35</v>
      </c>
      <c r="GZ1139" t="s">
        <v>296</v>
      </c>
      <c r="HH1139" t="s">
        <v>272</v>
      </c>
      <c r="IE1139" t="s">
        <v>2187</v>
      </c>
      <c r="IF1139">
        <v>11875</v>
      </c>
      <c r="IG1139" t="s">
        <v>2188</v>
      </c>
      <c r="IH1139" t="s">
        <v>2189</v>
      </c>
      <c r="II1139">
        <v>1985</v>
      </c>
      <c r="IJ1139" t="s">
        <v>2190</v>
      </c>
    </row>
    <row r="1140" spans="1:244" x14ac:dyDescent="0.45">
      <c r="A1140">
        <v>1142151</v>
      </c>
      <c r="B1140">
        <v>106297</v>
      </c>
      <c r="C1140">
        <v>7733020</v>
      </c>
      <c r="D1140" t="s">
        <v>2214</v>
      </c>
      <c r="F1140" t="s">
        <v>245</v>
      </c>
      <c r="G1140" t="s">
        <v>246</v>
      </c>
      <c r="N1140" t="s">
        <v>2183</v>
      </c>
      <c r="O1140" t="s">
        <v>498</v>
      </c>
      <c r="P1140" t="s">
        <v>249</v>
      </c>
      <c r="Q1140" t="s">
        <v>250</v>
      </c>
      <c r="R1140" t="s">
        <v>251</v>
      </c>
      <c r="T1140" t="s">
        <v>252</v>
      </c>
      <c r="U1140" t="s">
        <v>499</v>
      </c>
      <c r="V1140" t="s">
        <v>1281</v>
      </c>
      <c r="W1140" t="s">
        <v>1282</v>
      </c>
      <c r="X1140" t="s">
        <v>2184</v>
      </c>
      <c r="AM1140" t="s">
        <v>258</v>
      </c>
      <c r="AN1140" t="s">
        <v>259</v>
      </c>
      <c r="AO1140" t="s">
        <v>260</v>
      </c>
      <c r="AQ1140" t="s">
        <v>261</v>
      </c>
      <c r="AS1140">
        <v>16000</v>
      </c>
      <c r="AX1140" t="s">
        <v>262</v>
      </c>
      <c r="BO1140" t="s">
        <v>261</v>
      </c>
      <c r="BQ1140">
        <v>16</v>
      </c>
      <c r="BV1140" t="s">
        <v>263</v>
      </c>
      <c r="CM1140" t="s">
        <v>264</v>
      </c>
      <c r="CN1140" t="s">
        <v>264</v>
      </c>
      <c r="CP1140" t="s">
        <v>265</v>
      </c>
      <c r="CQ1140" t="s">
        <v>518</v>
      </c>
      <c r="DB1140">
        <v>4</v>
      </c>
      <c r="DG1140" t="s">
        <v>267</v>
      </c>
      <c r="DI1140">
        <v>96</v>
      </c>
      <c r="DN1140" t="s">
        <v>268</v>
      </c>
      <c r="DP1140" t="s">
        <v>2185</v>
      </c>
      <c r="DR1140">
        <v>371472</v>
      </c>
      <c r="DS1140">
        <v>1342</v>
      </c>
      <c r="DT1140" t="s">
        <v>2186</v>
      </c>
      <c r="EW1140" t="s">
        <v>271</v>
      </c>
      <c r="FM1140">
        <v>5</v>
      </c>
      <c r="FR1140" t="s">
        <v>295</v>
      </c>
      <c r="GG1140" t="s">
        <v>278</v>
      </c>
      <c r="GH1140">
        <v>75</v>
      </c>
      <c r="GM1140" t="s">
        <v>900</v>
      </c>
      <c r="GU1140">
        <v>35</v>
      </c>
      <c r="GZ1140" t="s">
        <v>296</v>
      </c>
      <c r="HH1140" t="s">
        <v>272</v>
      </c>
      <c r="IE1140" t="s">
        <v>2187</v>
      </c>
      <c r="IF1140">
        <v>11875</v>
      </c>
      <c r="IG1140" t="s">
        <v>2188</v>
      </c>
      <c r="IH1140" t="s">
        <v>2189</v>
      </c>
      <c r="II1140">
        <v>1985</v>
      </c>
      <c r="IJ1140" t="s">
        <v>2190</v>
      </c>
    </row>
    <row r="1141" spans="1:244" x14ac:dyDescent="0.45">
      <c r="A1141">
        <v>1142159</v>
      </c>
      <c r="B1141">
        <v>106305</v>
      </c>
      <c r="C1141">
        <v>7733020</v>
      </c>
      <c r="D1141" t="s">
        <v>2214</v>
      </c>
      <c r="F1141" t="s">
        <v>245</v>
      </c>
      <c r="G1141" t="s">
        <v>246</v>
      </c>
      <c r="N1141" t="s">
        <v>2183</v>
      </c>
      <c r="O1141" t="s">
        <v>498</v>
      </c>
      <c r="P1141" t="s">
        <v>249</v>
      </c>
      <c r="Q1141" t="s">
        <v>250</v>
      </c>
      <c r="R1141" t="s">
        <v>251</v>
      </c>
      <c r="T1141" t="s">
        <v>252</v>
      </c>
      <c r="U1141" t="s">
        <v>499</v>
      </c>
      <c r="V1141" t="s">
        <v>1281</v>
      </c>
      <c r="W1141" t="s">
        <v>1282</v>
      </c>
      <c r="X1141" t="s">
        <v>2184</v>
      </c>
      <c r="AM1141" t="s">
        <v>258</v>
      </c>
      <c r="AN1141" t="s">
        <v>259</v>
      </c>
      <c r="AO1141" t="s">
        <v>260</v>
      </c>
      <c r="AQ1141" t="s">
        <v>261</v>
      </c>
      <c r="AS1141">
        <v>4400</v>
      </c>
      <c r="AX1141" t="s">
        <v>262</v>
      </c>
      <c r="BO1141" t="s">
        <v>261</v>
      </c>
      <c r="BQ1141">
        <v>4.4000000000000004</v>
      </c>
      <c r="BV1141" t="s">
        <v>263</v>
      </c>
      <c r="CM1141" t="s">
        <v>264</v>
      </c>
      <c r="CN1141" t="s">
        <v>264</v>
      </c>
      <c r="CP1141" t="s">
        <v>265</v>
      </c>
      <c r="CQ1141" t="s">
        <v>518</v>
      </c>
      <c r="DB1141">
        <v>4</v>
      </c>
      <c r="DG1141" t="s">
        <v>267</v>
      </c>
      <c r="DI1141">
        <v>96</v>
      </c>
      <c r="DN1141" t="s">
        <v>268</v>
      </c>
      <c r="DP1141" t="s">
        <v>2185</v>
      </c>
      <c r="DR1141">
        <v>371472</v>
      </c>
      <c r="DS1141">
        <v>1342</v>
      </c>
      <c r="DT1141" t="s">
        <v>2186</v>
      </c>
      <c r="EW1141" t="s">
        <v>271</v>
      </c>
      <c r="FM1141">
        <v>15</v>
      </c>
      <c r="FR1141" t="s">
        <v>295</v>
      </c>
      <c r="GG1141" t="s">
        <v>278</v>
      </c>
      <c r="GH1141">
        <v>75</v>
      </c>
      <c r="GM1141" t="s">
        <v>900</v>
      </c>
      <c r="GU1141">
        <v>25</v>
      </c>
      <c r="GZ1141" t="s">
        <v>296</v>
      </c>
      <c r="HH1141" t="s">
        <v>272</v>
      </c>
      <c r="IE1141" t="s">
        <v>2187</v>
      </c>
      <c r="IF1141">
        <v>11875</v>
      </c>
      <c r="IG1141" t="s">
        <v>2188</v>
      </c>
      <c r="IH1141" t="s">
        <v>2189</v>
      </c>
      <c r="II1141">
        <v>1985</v>
      </c>
      <c r="IJ1141" t="s">
        <v>2190</v>
      </c>
    </row>
    <row r="1142" spans="1:244" x14ac:dyDescent="0.45">
      <c r="A1142">
        <v>1142136</v>
      </c>
      <c r="B1142">
        <v>106282</v>
      </c>
      <c r="C1142">
        <v>7733020</v>
      </c>
      <c r="D1142" t="s">
        <v>2214</v>
      </c>
      <c r="F1142" t="s">
        <v>245</v>
      </c>
      <c r="G1142" t="s">
        <v>246</v>
      </c>
      <c r="N1142" t="s">
        <v>2183</v>
      </c>
      <c r="O1142" t="s">
        <v>498</v>
      </c>
      <c r="P1142" t="s">
        <v>249</v>
      </c>
      <c r="Q1142" t="s">
        <v>250</v>
      </c>
      <c r="R1142" t="s">
        <v>251</v>
      </c>
      <c r="T1142" t="s">
        <v>252</v>
      </c>
      <c r="U1142" t="s">
        <v>499</v>
      </c>
      <c r="V1142" t="s">
        <v>1281</v>
      </c>
      <c r="W1142" t="s">
        <v>1282</v>
      </c>
      <c r="X1142" t="s">
        <v>2184</v>
      </c>
      <c r="AM1142" t="s">
        <v>258</v>
      </c>
      <c r="AN1142" t="s">
        <v>259</v>
      </c>
      <c r="AO1142" t="s">
        <v>260</v>
      </c>
      <c r="AQ1142" t="s">
        <v>261</v>
      </c>
      <c r="AS1142">
        <v>54000</v>
      </c>
      <c r="AX1142" t="s">
        <v>262</v>
      </c>
      <c r="BO1142" t="s">
        <v>261</v>
      </c>
      <c r="BQ1142">
        <v>54</v>
      </c>
      <c r="BV1142" t="s">
        <v>263</v>
      </c>
      <c r="CM1142" t="s">
        <v>264</v>
      </c>
      <c r="CN1142" t="s">
        <v>264</v>
      </c>
      <c r="CP1142" t="s">
        <v>265</v>
      </c>
      <c r="CQ1142" t="s">
        <v>518</v>
      </c>
      <c r="DB1142">
        <v>2</v>
      </c>
      <c r="DG1142" t="s">
        <v>267</v>
      </c>
      <c r="DI1142">
        <v>48</v>
      </c>
      <c r="DN1142" t="s">
        <v>268</v>
      </c>
      <c r="DP1142" t="s">
        <v>2185</v>
      </c>
      <c r="DR1142">
        <v>371472</v>
      </c>
      <c r="DS1142">
        <v>1342</v>
      </c>
      <c r="DT1142" t="s">
        <v>2186</v>
      </c>
      <c r="EW1142" t="s">
        <v>271</v>
      </c>
      <c r="FM1142">
        <v>5</v>
      </c>
      <c r="FR1142" t="s">
        <v>295</v>
      </c>
      <c r="GG1142" t="s">
        <v>278</v>
      </c>
      <c r="GH1142">
        <v>75</v>
      </c>
      <c r="GM1142" t="s">
        <v>900</v>
      </c>
      <c r="GU1142">
        <v>35</v>
      </c>
      <c r="GZ1142" t="s">
        <v>296</v>
      </c>
      <c r="HH1142" t="s">
        <v>272</v>
      </c>
      <c r="IE1142" t="s">
        <v>2187</v>
      </c>
      <c r="IF1142">
        <v>11875</v>
      </c>
      <c r="IG1142" t="s">
        <v>2188</v>
      </c>
      <c r="IH1142" t="s">
        <v>2189</v>
      </c>
      <c r="II1142">
        <v>1985</v>
      </c>
      <c r="IJ1142" t="s">
        <v>2190</v>
      </c>
    </row>
    <row r="1143" spans="1:244" x14ac:dyDescent="0.45">
      <c r="A1143">
        <v>1142147</v>
      </c>
      <c r="B1143">
        <v>106293</v>
      </c>
      <c r="C1143">
        <v>7733020</v>
      </c>
      <c r="D1143" t="s">
        <v>2214</v>
      </c>
      <c r="F1143" t="s">
        <v>245</v>
      </c>
      <c r="G1143" t="s">
        <v>246</v>
      </c>
      <c r="N1143" t="s">
        <v>2183</v>
      </c>
      <c r="O1143" t="s">
        <v>498</v>
      </c>
      <c r="P1143" t="s">
        <v>249</v>
      </c>
      <c r="Q1143" t="s">
        <v>250</v>
      </c>
      <c r="R1143" t="s">
        <v>251</v>
      </c>
      <c r="T1143" t="s">
        <v>252</v>
      </c>
      <c r="U1143" t="s">
        <v>499</v>
      </c>
      <c r="V1143" t="s">
        <v>1281</v>
      </c>
      <c r="W1143" t="s">
        <v>1282</v>
      </c>
      <c r="X1143" t="s">
        <v>2184</v>
      </c>
      <c r="AM1143" t="s">
        <v>258</v>
      </c>
      <c r="AN1143" t="s">
        <v>259</v>
      </c>
      <c r="AO1143" t="s">
        <v>260</v>
      </c>
      <c r="AQ1143" t="s">
        <v>261</v>
      </c>
      <c r="AS1143">
        <v>1000</v>
      </c>
      <c r="AX1143" t="s">
        <v>262</v>
      </c>
      <c r="BO1143" t="s">
        <v>261</v>
      </c>
      <c r="BQ1143">
        <v>1</v>
      </c>
      <c r="BV1143" t="s">
        <v>263</v>
      </c>
      <c r="CM1143" t="s">
        <v>264</v>
      </c>
      <c r="CN1143" t="s">
        <v>264</v>
      </c>
      <c r="CP1143" t="s">
        <v>265</v>
      </c>
      <c r="CQ1143" t="s">
        <v>518</v>
      </c>
      <c r="DB1143">
        <v>4</v>
      </c>
      <c r="DG1143" t="s">
        <v>267</v>
      </c>
      <c r="DI1143">
        <v>96</v>
      </c>
      <c r="DN1143" t="s">
        <v>268</v>
      </c>
      <c r="DP1143" t="s">
        <v>2185</v>
      </c>
      <c r="DR1143">
        <v>371472</v>
      </c>
      <c r="DS1143">
        <v>1342</v>
      </c>
      <c r="DT1143" t="s">
        <v>2186</v>
      </c>
      <c r="EW1143" t="s">
        <v>271</v>
      </c>
      <c r="FM1143">
        <v>5</v>
      </c>
      <c r="FR1143" t="s">
        <v>295</v>
      </c>
      <c r="GG1143" t="s">
        <v>278</v>
      </c>
      <c r="GH1143">
        <v>75</v>
      </c>
      <c r="GM1143" t="s">
        <v>900</v>
      </c>
      <c r="GU1143">
        <v>5</v>
      </c>
      <c r="GZ1143" t="s">
        <v>296</v>
      </c>
      <c r="HH1143" t="s">
        <v>272</v>
      </c>
      <c r="IE1143" t="s">
        <v>2187</v>
      </c>
      <c r="IF1143">
        <v>11875</v>
      </c>
      <c r="IG1143" t="s">
        <v>2188</v>
      </c>
      <c r="IH1143" t="s">
        <v>2189</v>
      </c>
      <c r="II1143">
        <v>1985</v>
      </c>
      <c r="IJ1143" t="s">
        <v>2190</v>
      </c>
    </row>
    <row r="1144" spans="1:244" x14ac:dyDescent="0.45">
      <c r="A1144">
        <v>2299150</v>
      </c>
      <c r="B1144">
        <v>2706689</v>
      </c>
      <c r="C1144">
        <v>7733020</v>
      </c>
      <c r="D1144" t="s">
        <v>2214</v>
      </c>
      <c r="F1144" t="s">
        <v>245</v>
      </c>
      <c r="G1144" t="s">
        <v>272</v>
      </c>
      <c r="I1144">
        <v>99.5</v>
      </c>
      <c r="N1144" t="s">
        <v>566</v>
      </c>
      <c r="O1144" t="s">
        <v>388</v>
      </c>
      <c r="P1144" t="s">
        <v>249</v>
      </c>
      <c r="Q1144" t="s">
        <v>250</v>
      </c>
      <c r="R1144" t="s">
        <v>251</v>
      </c>
      <c r="T1144" t="s">
        <v>389</v>
      </c>
      <c r="U1144" t="s">
        <v>390</v>
      </c>
      <c r="V1144" t="s">
        <v>567</v>
      </c>
      <c r="W1144" t="s">
        <v>568</v>
      </c>
      <c r="X1144" t="s">
        <v>569</v>
      </c>
      <c r="Z1144" t="s">
        <v>315</v>
      </c>
      <c r="AD1144">
        <v>3</v>
      </c>
      <c r="AF1144">
        <v>6</v>
      </c>
      <c r="AG1144" t="s">
        <v>516</v>
      </c>
      <c r="AI1144">
        <v>2</v>
      </c>
      <c r="AJ1144" t="s">
        <v>354</v>
      </c>
      <c r="AM1144" t="s">
        <v>317</v>
      </c>
      <c r="AN1144" t="s">
        <v>259</v>
      </c>
      <c r="AO1144" t="s">
        <v>260</v>
      </c>
      <c r="AP1144" t="s">
        <v>2484</v>
      </c>
      <c r="AQ1144" t="s">
        <v>261</v>
      </c>
      <c r="AS1144">
        <v>4.3</v>
      </c>
      <c r="AU1144">
        <v>3.6</v>
      </c>
      <c r="AW1144">
        <v>5.0999999999999996</v>
      </c>
      <c r="AX1144" t="s">
        <v>356</v>
      </c>
      <c r="BO1144" t="s">
        <v>261</v>
      </c>
      <c r="BQ1144">
        <v>4.3</v>
      </c>
      <c r="BS1144">
        <v>3.6</v>
      </c>
      <c r="BU1144">
        <v>5.0999999999999996</v>
      </c>
      <c r="BV1144" t="s">
        <v>263</v>
      </c>
      <c r="CM1144" t="s">
        <v>264</v>
      </c>
      <c r="CN1144" t="s">
        <v>264</v>
      </c>
      <c r="CP1144" t="s">
        <v>265</v>
      </c>
      <c r="CQ1144" t="s">
        <v>518</v>
      </c>
      <c r="DB1144">
        <v>4</v>
      </c>
      <c r="DG1144" t="s">
        <v>267</v>
      </c>
      <c r="DI1144">
        <v>96</v>
      </c>
      <c r="DN1144" t="s">
        <v>268</v>
      </c>
      <c r="DP1144" t="s">
        <v>2485</v>
      </c>
      <c r="DQ1144" t="s">
        <v>2486</v>
      </c>
      <c r="DS1144">
        <v>212</v>
      </c>
      <c r="DT1144" t="s">
        <v>2487</v>
      </c>
      <c r="DV1144">
        <v>96</v>
      </c>
      <c r="EA1144" t="s">
        <v>268</v>
      </c>
      <c r="EC1144">
        <v>4</v>
      </c>
      <c r="EH1144" t="s">
        <v>267</v>
      </c>
      <c r="EJ1144">
        <v>96</v>
      </c>
      <c r="EO1144" t="s">
        <v>268</v>
      </c>
      <c r="EQ1144">
        <v>4</v>
      </c>
      <c r="EV1144" t="s">
        <v>267</v>
      </c>
      <c r="EW1144" t="s">
        <v>293</v>
      </c>
      <c r="EZ1144">
        <v>10</v>
      </c>
      <c r="FA1144" t="s">
        <v>2488</v>
      </c>
      <c r="FM1144">
        <v>21</v>
      </c>
      <c r="FO1144">
        <v>20</v>
      </c>
      <c r="FQ1144">
        <v>22</v>
      </c>
      <c r="FR1144" t="s">
        <v>295</v>
      </c>
      <c r="GA1144">
        <v>1.5</v>
      </c>
      <c r="GF1144" t="s">
        <v>2489</v>
      </c>
      <c r="GG1144" t="s">
        <v>278</v>
      </c>
      <c r="GH1144">
        <v>5</v>
      </c>
      <c r="GM1144" t="s">
        <v>356</v>
      </c>
      <c r="GO1144">
        <v>7.8</v>
      </c>
      <c r="GU1144">
        <v>7</v>
      </c>
      <c r="GZ1144" t="s">
        <v>296</v>
      </c>
      <c r="HH1144" t="s">
        <v>272</v>
      </c>
      <c r="ID1144" t="s">
        <v>2490</v>
      </c>
      <c r="IE1144" t="s">
        <v>2491</v>
      </c>
      <c r="IF1144">
        <v>5185</v>
      </c>
      <c r="IG1144" t="s">
        <v>2492</v>
      </c>
      <c r="IH1144" t="s">
        <v>2493</v>
      </c>
      <c r="II1144">
        <v>1979</v>
      </c>
      <c r="IJ1144" t="s">
        <v>2494</v>
      </c>
    </row>
    <row r="1145" spans="1:244" x14ac:dyDescent="0.45">
      <c r="A1145">
        <v>2101666</v>
      </c>
      <c r="B1145">
        <v>2186591</v>
      </c>
      <c r="C1145">
        <v>7733020</v>
      </c>
      <c r="D1145" t="s">
        <v>2214</v>
      </c>
      <c r="F1145" t="s">
        <v>245</v>
      </c>
      <c r="G1145" t="s">
        <v>272</v>
      </c>
      <c r="N1145" t="s">
        <v>387</v>
      </c>
      <c r="O1145" t="s">
        <v>388</v>
      </c>
      <c r="P1145" t="s">
        <v>249</v>
      </c>
      <c r="Q1145" t="s">
        <v>250</v>
      </c>
      <c r="R1145" t="s">
        <v>251</v>
      </c>
      <c r="T1145" t="s">
        <v>389</v>
      </c>
      <c r="U1145" t="s">
        <v>390</v>
      </c>
      <c r="V1145" t="s">
        <v>391</v>
      </c>
      <c r="W1145" t="s">
        <v>392</v>
      </c>
      <c r="X1145" t="s">
        <v>393</v>
      </c>
      <c r="Z1145" t="s">
        <v>525</v>
      </c>
      <c r="AA1145" t="s">
        <v>352</v>
      </c>
      <c r="AB1145">
        <v>24</v>
      </c>
      <c r="AG1145" t="s">
        <v>268</v>
      </c>
      <c r="AJ1145" t="s">
        <v>285</v>
      </c>
      <c r="AM1145" t="s">
        <v>258</v>
      </c>
      <c r="AN1145" t="s">
        <v>259</v>
      </c>
      <c r="AO1145" t="s">
        <v>260</v>
      </c>
      <c r="AQ1145" t="s">
        <v>504</v>
      </c>
      <c r="AS1145">
        <v>1.1399999999999999</v>
      </c>
      <c r="AU1145">
        <v>0.86</v>
      </c>
      <c r="AW1145">
        <v>1.5</v>
      </c>
      <c r="AX1145" t="s">
        <v>356</v>
      </c>
      <c r="BO1145" t="s">
        <v>504</v>
      </c>
      <c r="BQ1145">
        <v>1.1399999999999999</v>
      </c>
      <c r="BS1145">
        <v>0.86</v>
      </c>
      <c r="BU1145">
        <v>1.5</v>
      </c>
      <c r="BV1145" t="s">
        <v>263</v>
      </c>
      <c r="CM1145" t="s">
        <v>264</v>
      </c>
      <c r="CN1145" t="s">
        <v>264</v>
      </c>
      <c r="CP1145" t="s">
        <v>265</v>
      </c>
      <c r="CQ1145" t="s">
        <v>518</v>
      </c>
      <c r="DB1145">
        <v>4</v>
      </c>
      <c r="DG1145" t="s">
        <v>267</v>
      </c>
      <c r="DI1145">
        <v>96</v>
      </c>
      <c r="DN1145" t="s">
        <v>268</v>
      </c>
      <c r="DP1145" t="s">
        <v>2307</v>
      </c>
      <c r="DR1145">
        <v>158387</v>
      </c>
      <c r="DS1145">
        <v>6038</v>
      </c>
      <c r="DT1145" t="s">
        <v>506</v>
      </c>
      <c r="DV1145">
        <v>96</v>
      </c>
      <c r="EA1145" t="s">
        <v>268</v>
      </c>
      <c r="EC1145">
        <v>4</v>
      </c>
      <c r="EH1145" t="s">
        <v>267</v>
      </c>
      <c r="EJ1145">
        <v>96</v>
      </c>
      <c r="EO1145" t="s">
        <v>268</v>
      </c>
      <c r="EQ1145">
        <v>4</v>
      </c>
      <c r="EV1145" t="s">
        <v>267</v>
      </c>
      <c r="EW1145" t="s">
        <v>272</v>
      </c>
      <c r="EY1145" t="s">
        <v>377</v>
      </c>
      <c r="FA1145" t="s">
        <v>397</v>
      </c>
      <c r="FM1145">
        <v>25</v>
      </c>
      <c r="FR1145" t="s">
        <v>295</v>
      </c>
      <c r="HH1145" t="s">
        <v>272</v>
      </c>
      <c r="IE1145" t="s">
        <v>508</v>
      </c>
      <c r="IF1145">
        <v>150008</v>
      </c>
      <c r="IG1145" t="s">
        <v>509</v>
      </c>
      <c r="IH1145" t="s">
        <v>510</v>
      </c>
      <c r="II1145">
        <v>2010</v>
      </c>
      <c r="IJ1145" t="s">
        <v>511</v>
      </c>
    </row>
    <row r="1146" spans="1:244" x14ac:dyDescent="0.45">
      <c r="A1146">
        <v>1142139</v>
      </c>
      <c r="B1146">
        <v>106285</v>
      </c>
      <c r="C1146">
        <v>7733020</v>
      </c>
      <c r="D1146" t="s">
        <v>2214</v>
      </c>
      <c r="F1146" t="s">
        <v>245</v>
      </c>
      <c r="G1146" t="s">
        <v>246</v>
      </c>
      <c r="N1146" t="s">
        <v>2183</v>
      </c>
      <c r="O1146" t="s">
        <v>498</v>
      </c>
      <c r="P1146" t="s">
        <v>249</v>
      </c>
      <c r="Q1146" t="s">
        <v>250</v>
      </c>
      <c r="R1146" t="s">
        <v>251</v>
      </c>
      <c r="T1146" t="s">
        <v>252</v>
      </c>
      <c r="U1146" t="s">
        <v>499</v>
      </c>
      <c r="V1146" t="s">
        <v>1281</v>
      </c>
      <c r="W1146" t="s">
        <v>1282</v>
      </c>
      <c r="X1146" t="s">
        <v>2184</v>
      </c>
      <c r="AM1146" t="s">
        <v>258</v>
      </c>
      <c r="AN1146" t="s">
        <v>259</v>
      </c>
      <c r="AO1146" t="s">
        <v>260</v>
      </c>
      <c r="AQ1146" t="s">
        <v>261</v>
      </c>
      <c r="AS1146">
        <v>31000</v>
      </c>
      <c r="AX1146" t="s">
        <v>262</v>
      </c>
      <c r="BO1146" t="s">
        <v>261</v>
      </c>
      <c r="BQ1146">
        <v>31</v>
      </c>
      <c r="BV1146" t="s">
        <v>263</v>
      </c>
      <c r="CM1146" t="s">
        <v>264</v>
      </c>
      <c r="CN1146" t="s">
        <v>264</v>
      </c>
      <c r="CP1146" t="s">
        <v>265</v>
      </c>
      <c r="CQ1146" t="s">
        <v>518</v>
      </c>
      <c r="DB1146">
        <v>2</v>
      </c>
      <c r="DG1146" t="s">
        <v>267</v>
      </c>
      <c r="DI1146">
        <v>48</v>
      </c>
      <c r="DN1146" t="s">
        <v>268</v>
      </c>
      <c r="DP1146" t="s">
        <v>2185</v>
      </c>
      <c r="DR1146">
        <v>371472</v>
      </c>
      <c r="DS1146">
        <v>1342</v>
      </c>
      <c r="DT1146" t="s">
        <v>2186</v>
      </c>
      <c r="EW1146" t="s">
        <v>271</v>
      </c>
      <c r="FM1146">
        <v>10</v>
      </c>
      <c r="FR1146" t="s">
        <v>295</v>
      </c>
      <c r="GG1146" t="s">
        <v>278</v>
      </c>
      <c r="GH1146">
        <v>75</v>
      </c>
      <c r="GM1146" t="s">
        <v>900</v>
      </c>
      <c r="GU1146">
        <v>15</v>
      </c>
      <c r="GZ1146" t="s">
        <v>296</v>
      </c>
      <c r="HH1146" t="s">
        <v>272</v>
      </c>
      <c r="IE1146" t="s">
        <v>2187</v>
      </c>
      <c r="IF1146">
        <v>11875</v>
      </c>
      <c r="IG1146" t="s">
        <v>2188</v>
      </c>
      <c r="IH1146" t="s">
        <v>2189</v>
      </c>
      <c r="II1146">
        <v>1985</v>
      </c>
      <c r="IJ1146" t="s">
        <v>2190</v>
      </c>
    </row>
    <row r="1147" spans="1:244" x14ac:dyDescent="0.45">
      <c r="A1147">
        <v>1142125</v>
      </c>
      <c r="B1147">
        <v>106271</v>
      </c>
      <c r="C1147">
        <v>7733020</v>
      </c>
      <c r="D1147" t="s">
        <v>2214</v>
      </c>
      <c r="F1147" t="s">
        <v>245</v>
      </c>
      <c r="G1147" t="s">
        <v>246</v>
      </c>
      <c r="N1147" t="s">
        <v>2183</v>
      </c>
      <c r="O1147" t="s">
        <v>498</v>
      </c>
      <c r="P1147" t="s">
        <v>249</v>
      </c>
      <c r="Q1147" t="s">
        <v>250</v>
      </c>
      <c r="R1147" t="s">
        <v>251</v>
      </c>
      <c r="T1147" t="s">
        <v>252</v>
      </c>
      <c r="U1147" t="s">
        <v>499</v>
      </c>
      <c r="V1147" t="s">
        <v>1281</v>
      </c>
      <c r="W1147" t="s">
        <v>1282</v>
      </c>
      <c r="X1147" t="s">
        <v>2184</v>
      </c>
      <c r="AM1147" t="s">
        <v>258</v>
      </c>
      <c r="AN1147" t="s">
        <v>259</v>
      </c>
      <c r="AO1147" t="s">
        <v>260</v>
      </c>
      <c r="AQ1147" t="s">
        <v>261</v>
      </c>
      <c r="AR1147" t="s">
        <v>288</v>
      </c>
      <c r="AS1147">
        <v>128000</v>
      </c>
      <c r="AX1147" t="s">
        <v>262</v>
      </c>
      <c r="BO1147" t="s">
        <v>261</v>
      </c>
      <c r="BP1147" t="s">
        <v>288</v>
      </c>
      <c r="BQ1147">
        <v>128</v>
      </c>
      <c r="BV1147" t="s">
        <v>263</v>
      </c>
      <c r="CM1147" t="s">
        <v>264</v>
      </c>
      <c r="CN1147" t="s">
        <v>264</v>
      </c>
      <c r="CP1147" t="s">
        <v>265</v>
      </c>
      <c r="CQ1147" t="s">
        <v>518</v>
      </c>
      <c r="DB1147">
        <v>1</v>
      </c>
      <c r="DG1147" t="s">
        <v>267</v>
      </c>
      <c r="DI1147">
        <v>24</v>
      </c>
      <c r="DN1147" t="s">
        <v>268</v>
      </c>
      <c r="DP1147" t="s">
        <v>2185</v>
      </c>
      <c r="DR1147">
        <v>371472</v>
      </c>
      <c r="DS1147">
        <v>1342</v>
      </c>
      <c r="DT1147" t="s">
        <v>2186</v>
      </c>
      <c r="EW1147" t="s">
        <v>271</v>
      </c>
      <c r="FM1147">
        <v>10</v>
      </c>
      <c r="FR1147" t="s">
        <v>295</v>
      </c>
      <c r="GG1147" t="s">
        <v>278</v>
      </c>
      <c r="GH1147">
        <v>75</v>
      </c>
      <c r="GM1147" t="s">
        <v>900</v>
      </c>
      <c r="GU1147">
        <v>25</v>
      </c>
      <c r="GZ1147" t="s">
        <v>296</v>
      </c>
      <c r="HH1147" t="s">
        <v>272</v>
      </c>
      <c r="IE1147" t="s">
        <v>2187</v>
      </c>
      <c r="IF1147">
        <v>11875</v>
      </c>
      <c r="IG1147" t="s">
        <v>2188</v>
      </c>
      <c r="IH1147" t="s">
        <v>2189</v>
      </c>
      <c r="II1147">
        <v>1985</v>
      </c>
      <c r="IJ1147" t="s">
        <v>2190</v>
      </c>
    </row>
    <row r="1148" spans="1:244" x14ac:dyDescent="0.45">
      <c r="A1148">
        <v>1272813</v>
      </c>
      <c r="B1148">
        <v>724112</v>
      </c>
      <c r="C1148">
        <v>7733020</v>
      </c>
      <c r="D1148" t="s">
        <v>2214</v>
      </c>
      <c r="F1148" t="s">
        <v>245</v>
      </c>
      <c r="G1148" t="s">
        <v>246</v>
      </c>
      <c r="N1148" t="s">
        <v>2183</v>
      </c>
      <c r="O1148" t="s">
        <v>498</v>
      </c>
      <c r="P1148" t="s">
        <v>249</v>
      </c>
      <c r="Q1148" t="s">
        <v>250</v>
      </c>
      <c r="R1148" t="s">
        <v>251</v>
      </c>
      <c r="T1148" t="s">
        <v>252</v>
      </c>
      <c r="U1148" t="s">
        <v>499</v>
      </c>
      <c r="V1148" t="s">
        <v>1281</v>
      </c>
      <c r="W1148" t="s">
        <v>1282</v>
      </c>
      <c r="X1148" t="s">
        <v>2184</v>
      </c>
      <c r="Z1148" t="s">
        <v>315</v>
      </c>
      <c r="AL1148" t="s">
        <v>2475</v>
      </c>
      <c r="AM1148" t="s">
        <v>317</v>
      </c>
      <c r="AN1148" t="s">
        <v>259</v>
      </c>
      <c r="AO1148" t="s">
        <v>260</v>
      </c>
      <c r="AQ1148" t="s">
        <v>261</v>
      </c>
      <c r="AS1148">
        <v>9.7899999999999991</v>
      </c>
      <c r="AU1148">
        <v>7.41</v>
      </c>
      <c r="AW1148">
        <v>12.92</v>
      </c>
      <c r="AX1148" t="s">
        <v>356</v>
      </c>
      <c r="BO1148" t="s">
        <v>261</v>
      </c>
      <c r="BQ1148">
        <v>9.7899999999999991</v>
      </c>
      <c r="BS1148">
        <v>7.41</v>
      </c>
      <c r="BU1148">
        <v>12.92</v>
      </c>
      <c r="BV1148" t="s">
        <v>263</v>
      </c>
      <c r="CM1148" t="s">
        <v>264</v>
      </c>
      <c r="CN1148" t="s">
        <v>264</v>
      </c>
      <c r="CP1148" t="s">
        <v>265</v>
      </c>
      <c r="CQ1148" t="s">
        <v>518</v>
      </c>
      <c r="DB1148">
        <v>4</v>
      </c>
      <c r="DG1148" t="s">
        <v>267</v>
      </c>
      <c r="DI1148">
        <v>96</v>
      </c>
      <c r="DN1148" t="s">
        <v>268</v>
      </c>
      <c r="DP1148" t="s">
        <v>2429</v>
      </c>
      <c r="DR1148">
        <v>371472</v>
      </c>
      <c r="DS1148">
        <v>1342</v>
      </c>
      <c r="DT1148" t="s">
        <v>2476</v>
      </c>
      <c r="EW1148" t="s">
        <v>293</v>
      </c>
      <c r="FA1148" t="s">
        <v>2495</v>
      </c>
      <c r="FK1148" t="s">
        <v>2496</v>
      </c>
      <c r="FM1148">
        <v>11</v>
      </c>
      <c r="FR1148" t="s">
        <v>295</v>
      </c>
      <c r="GH1148">
        <v>75</v>
      </c>
      <c r="GM1148" t="s">
        <v>1224</v>
      </c>
      <c r="GO1148">
        <v>7.24</v>
      </c>
      <c r="GU1148">
        <v>32</v>
      </c>
      <c r="GZ1148" t="s">
        <v>296</v>
      </c>
      <c r="HH1148" t="s">
        <v>272</v>
      </c>
      <c r="ID1148" t="s">
        <v>2497</v>
      </c>
      <c r="IE1148" t="s">
        <v>2480</v>
      </c>
      <c r="IF1148">
        <v>47359</v>
      </c>
      <c r="IG1148" t="s">
        <v>2481</v>
      </c>
      <c r="IH1148" t="s">
        <v>2482</v>
      </c>
      <c r="II1148">
        <v>1998</v>
      </c>
      <c r="IJ1148" t="s">
        <v>2483</v>
      </c>
    </row>
    <row r="1149" spans="1:244" x14ac:dyDescent="0.45">
      <c r="A1149">
        <v>1142129</v>
      </c>
      <c r="B1149">
        <v>106275</v>
      </c>
      <c r="C1149">
        <v>7733020</v>
      </c>
      <c r="D1149" t="s">
        <v>2214</v>
      </c>
      <c r="F1149" t="s">
        <v>245</v>
      </c>
      <c r="G1149" t="s">
        <v>246</v>
      </c>
      <c r="N1149" t="s">
        <v>2183</v>
      </c>
      <c r="O1149" t="s">
        <v>498</v>
      </c>
      <c r="P1149" t="s">
        <v>249</v>
      </c>
      <c r="Q1149" t="s">
        <v>250</v>
      </c>
      <c r="R1149" t="s">
        <v>251</v>
      </c>
      <c r="T1149" t="s">
        <v>252</v>
      </c>
      <c r="U1149" t="s">
        <v>499</v>
      </c>
      <c r="V1149" t="s">
        <v>1281</v>
      </c>
      <c r="W1149" t="s">
        <v>1282</v>
      </c>
      <c r="X1149" t="s">
        <v>2184</v>
      </c>
      <c r="AM1149" t="s">
        <v>258</v>
      </c>
      <c r="AN1149" t="s">
        <v>259</v>
      </c>
      <c r="AO1149" t="s">
        <v>260</v>
      </c>
      <c r="AQ1149" t="s">
        <v>261</v>
      </c>
      <c r="AS1149">
        <v>90000</v>
      </c>
      <c r="AX1149" t="s">
        <v>262</v>
      </c>
      <c r="BO1149" t="s">
        <v>261</v>
      </c>
      <c r="BQ1149">
        <v>90</v>
      </c>
      <c r="BV1149" t="s">
        <v>263</v>
      </c>
      <c r="CM1149" t="s">
        <v>264</v>
      </c>
      <c r="CN1149" t="s">
        <v>264</v>
      </c>
      <c r="CP1149" t="s">
        <v>265</v>
      </c>
      <c r="CQ1149" t="s">
        <v>518</v>
      </c>
      <c r="DB1149">
        <v>1</v>
      </c>
      <c r="DG1149" t="s">
        <v>267</v>
      </c>
      <c r="DI1149">
        <v>24</v>
      </c>
      <c r="DN1149" t="s">
        <v>268</v>
      </c>
      <c r="DP1149" t="s">
        <v>2185</v>
      </c>
      <c r="DR1149">
        <v>371472</v>
      </c>
      <c r="DS1149">
        <v>1342</v>
      </c>
      <c r="DT1149" t="s">
        <v>2186</v>
      </c>
      <c r="EW1149" t="s">
        <v>271</v>
      </c>
      <c r="FM1149">
        <v>15</v>
      </c>
      <c r="FR1149" t="s">
        <v>295</v>
      </c>
      <c r="GG1149" t="s">
        <v>278</v>
      </c>
      <c r="GH1149">
        <v>75</v>
      </c>
      <c r="GM1149" t="s">
        <v>900</v>
      </c>
      <c r="GU1149">
        <v>15</v>
      </c>
      <c r="GZ1149" t="s">
        <v>296</v>
      </c>
      <c r="HH1149" t="s">
        <v>272</v>
      </c>
      <c r="IE1149" t="s">
        <v>2187</v>
      </c>
      <c r="IF1149">
        <v>11875</v>
      </c>
      <c r="IG1149" t="s">
        <v>2188</v>
      </c>
      <c r="IH1149" t="s">
        <v>2189</v>
      </c>
      <c r="II1149">
        <v>1985</v>
      </c>
      <c r="IJ1149" t="s">
        <v>2190</v>
      </c>
    </row>
    <row r="1150" spans="1:244" x14ac:dyDescent="0.45">
      <c r="A1150">
        <v>1037871</v>
      </c>
      <c r="B1150">
        <v>104476</v>
      </c>
      <c r="C1150">
        <v>7733020</v>
      </c>
      <c r="D1150" t="s">
        <v>2214</v>
      </c>
      <c r="F1150" t="s">
        <v>245</v>
      </c>
      <c r="G1150" t="s">
        <v>246</v>
      </c>
      <c r="N1150" t="s">
        <v>566</v>
      </c>
      <c r="O1150" t="s">
        <v>388</v>
      </c>
      <c r="P1150" t="s">
        <v>249</v>
      </c>
      <c r="Q1150" t="s">
        <v>250</v>
      </c>
      <c r="R1150" t="s">
        <v>251</v>
      </c>
      <c r="T1150" t="s">
        <v>389</v>
      </c>
      <c r="U1150" t="s">
        <v>390</v>
      </c>
      <c r="V1150" t="s">
        <v>567</v>
      </c>
      <c r="W1150" t="s">
        <v>568</v>
      </c>
      <c r="X1150" t="s">
        <v>569</v>
      </c>
      <c r="AL1150" t="s">
        <v>2122</v>
      </c>
      <c r="AM1150" t="s">
        <v>307</v>
      </c>
      <c r="AN1150" t="s">
        <v>259</v>
      </c>
      <c r="AO1150" t="s">
        <v>260</v>
      </c>
      <c r="AQ1150" t="s">
        <v>261</v>
      </c>
      <c r="AS1150">
        <v>2400</v>
      </c>
      <c r="AU1150">
        <v>2000</v>
      </c>
      <c r="AW1150">
        <v>2900</v>
      </c>
      <c r="AX1150" t="s">
        <v>262</v>
      </c>
      <c r="BO1150" t="s">
        <v>261</v>
      </c>
      <c r="BQ1150">
        <v>2.4</v>
      </c>
      <c r="BS1150">
        <v>2</v>
      </c>
      <c r="BU1150">
        <v>2.9</v>
      </c>
      <c r="BV1150" t="s">
        <v>263</v>
      </c>
      <c r="CM1150" t="s">
        <v>264</v>
      </c>
      <c r="CN1150" t="s">
        <v>264</v>
      </c>
      <c r="CP1150" t="s">
        <v>265</v>
      </c>
      <c r="CQ1150" t="s">
        <v>518</v>
      </c>
      <c r="DB1150">
        <v>4</v>
      </c>
      <c r="DG1150" t="s">
        <v>267</v>
      </c>
      <c r="DI1150">
        <v>96</v>
      </c>
      <c r="DN1150" t="s">
        <v>268</v>
      </c>
      <c r="DS1150">
        <v>212</v>
      </c>
      <c r="DT1150" t="s">
        <v>2123</v>
      </c>
      <c r="EW1150" t="s">
        <v>271</v>
      </c>
      <c r="GU1150">
        <v>15</v>
      </c>
      <c r="GZ1150" t="s">
        <v>296</v>
      </c>
      <c r="HH1150" t="s">
        <v>272</v>
      </c>
      <c r="IE1150" t="s">
        <v>2124</v>
      </c>
      <c r="IF1150">
        <v>2332</v>
      </c>
      <c r="IG1150" t="s">
        <v>2125</v>
      </c>
      <c r="IH1150" t="s">
        <v>2126</v>
      </c>
      <c r="II1150">
        <v>1987</v>
      </c>
      <c r="IJ1150" t="s">
        <v>2127</v>
      </c>
    </row>
    <row r="1151" spans="1:244" x14ac:dyDescent="0.45">
      <c r="A1151">
        <v>1142142</v>
      </c>
      <c r="B1151">
        <v>106288</v>
      </c>
      <c r="C1151">
        <v>7733020</v>
      </c>
      <c r="D1151" t="s">
        <v>2214</v>
      </c>
      <c r="F1151" t="s">
        <v>245</v>
      </c>
      <c r="G1151" t="s">
        <v>246</v>
      </c>
      <c r="N1151" t="s">
        <v>2183</v>
      </c>
      <c r="O1151" t="s">
        <v>498</v>
      </c>
      <c r="P1151" t="s">
        <v>249</v>
      </c>
      <c r="Q1151" t="s">
        <v>250</v>
      </c>
      <c r="R1151" t="s">
        <v>251</v>
      </c>
      <c r="T1151" t="s">
        <v>252</v>
      </c>
      <c r="U1151" t="s">
        <v>499</v>
      </c>
      <c r="V1151" t="s">
        <v>1281</v>
      </c>
      <c r="W1151" t="s">
        <v>1282</v>
      </c>
      <c r="X1151" t="s">
        <v>2184</v>
      </c>
      <c r="AM1151" t="s">
        <v>258</v>
      </c>
      <c r="AN1151" t="s">
        <v>259</v>
      </c>
      <c r="AO1151" t="s">
        <v>260</v>
      </c>
      <c r="AQ1151" t="s">
        <v>261</v>
      </c>
      <c r="AS1151">
        <v>7000</v>
      </c>
      <c r="AX1151" t="s">
        <v>262</v>
      </c>
      <c r="BO1151" t="s">
        <v>261</v>
      </c>
      <c r="BQ1151">
        <v>7</v>
      </c>
      <c r="BV1151" t="s">
        <v>263</v>
      </c>
      <c r="CM1151" t="s">
        <v>264</v>
      </c>
      <c r="CN1151" t="s">
        <v>264</v>
      </c>
      <c r="CP1151" t="s">
        <v>265</v>
      </c>
      <c r="CQ1151" t="s">
        <v>518</v>
      </c>
      <c r="DB1151">
        <v>2</v>
      </c>
      <c r="DG1151" t="s">
        <v>267</v>
      </c>
      <c r="DI1151">
        <v>48</v>
      </c>
      <c r="DN1151" t="s">
        <v>268</v>
      </c>
      <c r="DP1151" t="s">
        <v>2185</v>
      </c>
      <c r="DR1151">
        <v>371472</v>
      </c>
      <c r="DS1151">
        <v>1342</v>
      </c>
      <c r="DT1151" t="s">
        <v>2186</v>
      </c>
      <c r="EW1151" t="s">
        <v>271</v>
      </c>
      <c r="FM1151">
        <v>15</v>
      </c>
      <c r="FR1151" t="s">
        <v>295</v>
      </c>
      <c r="GG1151" t="s">
        <v>278</v>
      </c>
      <c r="GH1151">
        <v>75</v>
      </c>
      <c r="GM1151" t="s">
        <v>900</v>
      </c>
      <c r="GU1151">
        <v>5</v>
      </c>
      <c r="GZ1151" t="s">
        <v>296</v>
      </c>
      <c r="HH1151" t="s">
        <v>272</v>
      </c>
      <c r="IE1151" t="s">
        <v>2187</v>
      </c>
      <c r="IF1151">
        <v>11875</v>
      </c>
      <c r="IG1151" t="s">
        <v>2188</v>
      </c>
      <c r="IH1151" t="s">
        <v>2189</v>
      </c>
      <c r="II1151">
        <v>1985</v>
      </c>
      <c r="IJ1151" t="s">
        <v>2190</v>
      </c>
    </row>
    <row r="1152" spans="1:244" x14ac:dyDescent="0.45">
      <c r="A1152">
        <v>1142146</v>
      </c>
      <c r="B1152">
        <v>106292</v>
      </c>
      <c r="C1152">
        <v>7733020</v>
      </c>
      <c r="D1152" t="s">
        <v>2214</v>
      </c>
      <c r="F1152" t="s">
        <v>245</v>
      </c>
      <c r="G1152" t="s">
        <v>246</v>
      </c>
      <c r="N1152" t="s">
        <v>2183</v>
      </c>
      <c r="O1152" t="s">
        <v>498</v>
      </c>
      <c r="P1152" t="s">
        <v>249</v>
      </c>
      <c r="Q1152" t="s">
        <v>250</v>
      </c>
      <c r="R1152" t="s">
        <v>251</v>
      </c>
      <c r="T1152" t="s">
        <v>252</v>
      </c>
      <c r="U1152" t="s">
        <v>499</v>
      </c>
      <c r="V1152" t="s">
        <v>1281</v>
      </c>
      <c r="W1152" t="s">
        <v>1282</v>
      </c>
      <c r="X1152" t="s">
        <v>2184</v>
      </c>
      <c r="AM1152" t="s">
        <v>258</v>
      </c>
      <c r="AN1152" t="s">
        <v>259</v>
      </c>
      <c r="AO1152" t="s">
        <v>260</v>
      </c>
      <c r="AQ1152" t="s">
        <v>261</v>
      </c>
      <c r="AS1152">
        <v>27000</v>
      </c>
      <c r="AX1152" t="s">
        <v>262</v>
      </c>
      <c r="BO1152" t="s">
        <v>261</v>
      </c>
      <c r="BQ1152">
        <v>27</v>
      </c>
      <c r="BV1152" t="s">
        <v>263</v>
      </c>
      <c r="CM1152" t="s">
        <v>264</v>
      </c>
      <c r="CN1152" t="s">
        <v>264</v>
      </c>
      <c r="CP1152" t="s">
        <v>265</v>
      </c>
      <c r="CQ1152" t="s">
        <v>518</v>
      </c>
      <c r="DB1152">
        <v>2</v>
      </c>
      <c r="DG1152" t="s">
        <v>267</v>
      </c>
      <c r="DI1152">
        <v>48</v>
      </c>
      <c r="DN1152" t="s">
        <v>268</v>
      </c>
      <c r="DP1152" t="s">
        <v>2185</v>
      </c>
      <c r="DR1152">
        <v>371472</v>
      </c>
      <c r="DS1152">
        <v>1342</v>
      </c>
      <c r="DT1152" t="s">
        <v>2186</v>
      </c>
      <c r="EW1152" t="s">
        <v>271</v>
      </c>
      <c r="FM1152">
        <v>15</v>
      </c>
      <c r="FR1152" t="s">
        <v>295</v>
      </c>
      <c r="GG1152" t="s">
        <v>278</v>
      </c>
      <c r="GH1152">
        <v>75</v>
      </c>
      <c r="GM1152" t="s">
        <v>900</v>
      </c>
      <c r="GU1152">
        <v>35</v>
      </c>
      <c r="GZ1152" t="s">
        <v>296</v>
      </c>
      <c r="HH1152" t="s">
        <v>272</v>
      </c>
      <c r="IE1152" t="s">
        <v>2187</v>
      </c>
      <c r="IF1152">
        <v>11875</v>
      </c>
      <c r="IG1152" t="s">
        <v>2188</v>
      </c>
      <c r="IH1152" t="s">
        <v>2189</v>
      </c>
      <c r="II1152">
        <v>1985</v>
      </c>
      <c r="IJ1152" t="s">
        <v>2190</v>
      </c>
    </row>
    <row r="1153" spans="1:244" x14ac:dyDescent="0.45">
      <c r="A1153">
        <v>1142135</v>
      </c>
      <c r="B1153">
        <v>106281</v>
      </c>
      <c r="C1153">
        <v>7733020</v>
      </c>
      <c r="D1153" t="s">
        <v>2214</v>
      </c>
      <c r="F1153" t="s">
        <v>245</v>
      </c>
      <c r="G1153" t="s">
        <v>246</v>
      </c>
      <c r="N1153" t="s">
        <v>2183</v>
      </c>
      <c r="O1153" t="s">
        <v>498</v>
      </c>
      <c r="P1153" t="s">
        <v>249</v>
      </c>
      <c r="Q1153" t="s">
        <v>250</v>
      </c>
      <c r="R1153" t="s">
        <v>251</v>
      </c>
      <c r="T1153" t="s">
        <v>252</v>
      </c>
      <c r="U1153" t="s">
        <v>499</v>
      </c>
      <c r="V1153" t="s">
        <v>1281</v>
      </c>
      <c r="W1153" t="s">
        <v>1282</v>
      </c>
      <c r="X1153" t="s">
        <v>2184</v>
      </c>
      <c r="AM1153" t="s">
        <v>258</v>
      </c>
      <c r="AN1153" t="s">
        <v>259</v>
      </c>
      <c r="AO1153" t="s">
        <v>260</v>
      </c>
      <c r="AQ1153" t="s">
        <v>261</v>
      </c>
      <c r="AS1153">
        <v>46000</v>
      </c>
      <c r="AX1153" t="s">
        <v>262</v>
      </c>
      <c r="BO1153" t="s">
        <v>261</v>
      </c>
      <c r="BQ1153">
        <v>46</v>
      </c>
      <c r="BV1153" t="s">
        <v>263</v>
      </c>
      <c r="CM1153" t="s">
        <v>264</v>
      </c>
      <c r="CN1153" t="s">
        <v>264</v>
      </c>
      <c r="CP1153" t="s">
        <v>265</v>
      </c>
      <c r="CQ1153" t="s">
        <v>518</v>
      </c>
      <c r="DB1153">
        <v>2</v>
      </c>
      <c r="DG1153" t="s">
        <v>267</v>
      </c>
      <c r="DI1153">
        <v>48</v>
      </c>
      <c r="DN1153" t="s">
        <v>268</v>
      </c>
      <c r="DP1153" t="s">
        <v>2185</v>
      </c>
      <c r="DR1153">
        <v>371472</v>
      </c>
      <c r="DS1153">
        <v>1342</v>
      </c>
      <c r="DT1153" t="s">
        <v>2186</v>
      </c>
      <c r="EW1153" t="s">
        <v>271</v>
      </c>
      <c r="FM1153">
        <v>5</v>
      </c>
      <c r="FR1153" t="s">
        <v>295</v>
      </c>
      <c r="GG1153" t="s">
        <v>278</v>
      </c>
      <c r="GH1153">
        <v>75</v>
      </c>
      <c r="GM1153" t="s">
        <v>900</v>
      </c>
      <c r="GU1153">
        <v>25</v>
      </c>
      <c r="GZ1153" t="s">
        <v>296</v>
      </c>
      <c r="HH1153" t="s">
        <v>272</v>
      </c>
      <c r="IE1153" t="s">
        <v>2187</v>
      </c>
      <c r="IF1153">
        <v>11875</v>
      </c>
      <c r="IG1153" t="s">
        <v>2188</v>
      </c>
      <c r="IH1153" t="s">
        <v>2189</v>
      </c>
      <c r="II1153">
        <v>1985</v>
      </c>
      <c r="IJ1153" t="s">
        <v>2190</v>
      </c>
    </row>
    <row r="1154" spans="1:244" x14ac:dyDescent="0.45">
      <c r="A1154">
        <v>1142141</v>
      </c>
      <c r="B1154">
        <v>106287</v>
      </c>
      <c r="C1154">
        <v>7733020</v>
      </c>
      <c r="D1154" t="s">
        <v>2214</v>
      </c>
      <c r="F1154" t="s">
        <v>245</v>
      </c>
      <c r="G1154" t="s">
        <v>246</v>
      </c>
      <c r="N1154" t="s">
        <v>2183</v>
      </c>
      <c r="O1154" t="s">
        <v>498</v>
      </c>
      <c r="P1154" t="s">
        <v>249</v>
      </c>
      <c r="Q1154" t="s">
        <v>250</v>
      </c>
      <c r="R1154" t="s">
        <v>251</v>
      </c>
      <c r="T1154" t="s">
        <v>252</v>
      </c>
      <c r="U1154" t="s">
        <v>499</v>
      </c>
      <c r="V1154" t="s">
        <v>1281</v>
      </c>
      <c r="W1154" t="s">
        <v>1282</v>
      </c>
      <c r="X1154" t="s">
        <v>2184</v>
      </c>
      <c r="AM1154" t="s">
        <v>258</v>
      </c>
      <c r="AN1154" t="s">
        <v>259</v>
      </c>
      <c r="AO1154" t="s">
        <v>260</v>
      </c>
      <c r="AQ1154" t="s">
        <v>261</v>
      </c>
      <c r="AR1154" t="s">
        <v>288</v>
      </c>
      <c r="AS1154">
        <v>128000</v>
      </c>
      <c r="AX1154" t="s">
        <v>262</v>
      </c>
      <c r="BO1154" t="s">
        <v>261</v>
      </c>
      <c r="BP1154" t="s">
        <v>288</v>
      </c>
      <c r="BQ1154">
        <v>128</v>
      </c>
      <c r="BV1154" t="s">
        <v>263</v>
      </c>
      <c r="CM1154" t="s">
        <v>264</v>
      </c>
      <c r="CN1154" t="s">
        <v>264</v>
      </c>
      <c r="CP1154" t="s">
        <v>265</v>
      </c>
      <c r="CQ1154" t="s">
        <v>518</v>
      </c>
      <c r="DB1154">
        <v>2</v>
      </c>
      <c r="DG1154" t="s">
        <v>267</v>
      </c>
      <c r="DI1154">
        <v>48</v>
      </c>
      <c r="DN1154" t="s">
        <v>268</v>
      </c>
      <c r="DP1154" t="s">
        <v>2185</v>
      </c>
      <c r="DR1154">
        <v>371472</v>
      </c>
      <c r="DS1154">
        <v>1342</v>
      </c>
      <c r="DT1154" t="s">
        <v>2186</v>
      </c>
      <c r="EW1154" t="s">
        <v>271</v>
      </c>
      <c r="FM1154">
        <v>10</v>
      </c>
      <c r="FR1154" t="s">
        <v>295</v>
      </c>
      <c r="GG1154" t="s">
        <v>278</v>
      </c>
      <c r="GH1154">
        <v>75</v>
      </c>
      <c r="GM1154" t="s">
        <v>900</v>
      </c>
      <c r="GU1154">
        <v>35</v>
      </c>
      <c r="GZ1154" t="s">
        <v>296</v>
      </c>
      <c r="HH1154" t="s">
        <v>272</v>
      </c>
      <c r="IE1154" t="s">
        <v>2187</v>
      </c>
      <c r="IF1154">
        <v>11875</v>
      </c>
      <c r="IG1154" t="s">
        <v>2188</v>
      </c>
      <c r="IH1154" t="s">
        <v>2189</v>
      </c>
      <c r="II1154">
        <v>1985</v>
      </c>
      <c r="IJ1154" t="s">
        <v>2190</v>
      </c>
    </row>
    <row r="1155" spans="1:244" x14ac:dyDescent="0.45">
      <c r="A1155">
        <v>1142149</v>
      </c>
      <c r="B1155">
        <v>106295</v>
      </c>
      <c r="C1155">
        <v>7733020</v>
      </c>
      <c r="D1155" t="s">
        <v>2214</v>
      </c>
      <c r="F1155" t="s">
        <v>245</v>
      </c>
      <c r="G1155" t="s">
        <v>246</v>
      </c>
      <c r="N1155" t="s">
        <v>2183</v>
      </c>
      <c r="O1155" t="s">
        <v>498</v>
      </c>
      <c r="P1155" t="s">
        <v>249</v>
      </c>
      <c r="Q1155" t="s">
        <v>250</v>
      </c>
      <c r="R1155" t="s">
        <v>251</v>
      </c>
      <c r="T1155" t="s">
        <v>252</v>
      </c>
      <c r="U1155" t="s">
        <v>499</v>
      </c>
      <c r="V1155" t="s">
        <v>1281</v>
      </c>
      <c r="W1155" t="s">
        <v>1282</v>
      </c>
      <c r="X1155" t="s">
        <v>2184</v>
      </c>
      <c r="AM1155" t="s">
        <v>258</v>
      </c>
      <c r="AN1155" t="s">
        <v>259</v>
      </c>
      <c r="AO1155" t="s">
        <v>260</v>
      </c>
      <c r="AQ1155" t="s">
        <v>261</v>
      </c>
      <c r="AS1155">
        <v>6500</v>
      </c>
      <c r="AX1155" t="s">
        <v>262</v>
      </c>
      <c r="BO1155" t="s">
        <v>261</v>
      </c>
      <c r="BQ1155">
        <v>6.5</v>
      </c>
      <c r="BV1155" t="s">
        <v>263</v>
      </c>
      <c r="CM1155" t="s">
        <v>264</v>
      </c>
      <c r="CN1155" t="s">
        <v>264</v>
      </c>
      <c r="CP1155" t="s">
        <v>265</v>
      </c>
      <c r="CQ1155" t="s">
        <v>518</v>
      </c>
      <c r="DB1155">
        <v>4</v>
      </c>
      <c r="DG1155" t="s">
        <v>267</v>
      </c>
      <c r="DI1155">
        <v>96</v>
      </c>
      <c r="DN1155" t="s">
        <v>268</v>
      </c>
      <c r="DP1155" t="s">
        <v>2185</v>
      </c>
      <c r="DR1155">
        <v>371472</v>
      </c>
      <c r="DS1155">
        <v>1342</v>
      </c>
      <c r="DT1155" t="s">
        <v>2186</v>
      </c>
      <c r="EW1155" t="s">
        <v>271</v>
      </c>
      <c r="FM1155">
        <v>5</v>
      </c>
      <c r="FR1155" t="s">
        <v>295</v>
      </c>
      <c r="GG1155" t="s">
        <v>278</v>
      </c>
      <c r="GH1155">
        <v>75</v>
      </c>
      <c r="GM1155" t="s">
        <v>900</v>
      </c>
      <c r="GU1155">
        <v>15</v>
      </c>
      <c r="GZ1155" t="s">
        <v>296</v>
      </c>
      <c r="HH1155" t="s">
        <v>272</v>
      </c>
      <c r="IE1155" t="s">
        <v>2187</v>
      </c>
      <c r="IF1155">
        <v>11875</v>
      </c>
      <c r="IG1155" t="s">
        <v>2188</v>
      </c>
      <c r="IH1155" t="s">
        <v>2189</v>
      </c>
      <c r="II1155">
        <v>1985</v>
      </c>
      <c r="IJ1155" t="s">
        <v>2190</v>
      </c>
    </row>
    <row r="1156" spans="1:244" x14ac:dyDescent="0.45">
      <c r="A1156">
        <v>1278692</v>
      </c>
      <c r="B1156">
        <v>731972</v>
      </c>
      <c r="C1156">
        <v>7733020</v>
      </c>
      <c r="D1156" t="s">
        <v>2214</v>
      </c>
      <c r="F1156" t="s">
        <v>245</v>
      </c>
      <c r="G1156" t="s">
        <v>246</v>
      </c>
      <c r="I1156">
        <v>99.9</v>
      </c>
      <c r="N1156" t="s">
        <v>2498</v>
      </c>
      <c r="O1156" t="s">
        <v>388</v>
      </c>
      <c r="P1156" t="s">
        <v>249</v>
      </c>
      <c r="Q1156" t="s">
        <v>250</v>
      </c>
      <c r="R1156" t="s">
        <v>251</v>
      </c>
      <c r="T1156" t="s">
        <v>389</v>
      </c>
      <c r="U1156" t="s">
        <v>390</v>
      </c>
      <c r="V1156" t="s">
        <v>391</v>
      </c>
      <c r="W1156" t="s">
        <v>392</v>
      </c>
      <c r="X1156" t="s">
        <v>2499</v>
      </c>
      <c r="Z1156" t="s">
        <v>315</v>
      </c>
      <c r="AM1156" t="s">
        <v>258</v>
      </c>
      <c r="AN1156" t="s">
        <v>259</v>
      </c>
      <c r="AO1156" t="s">
        <v>260</v>
      </c>
      <c r="AP1156">
        <v>4</v>
      </c>
      <c r="AQ1156" t="s">
        <v>261</v>
      </c>
      <c r="AS1156">
        <v>715.2</v>
      </c>
      <c r="AU1156">
        <v>666.4</v>
      </c>
      <c r="AW1156">
        <v>764</v>
      </c>
      <c r="AX1156" t="s">
        <v>262</v>
      </c>
      <c r="BO1156" t="s">
        <v>261</v>
      </c>
      <c r="BQ1156">
        <v>0.71519999999999995</v>
      </c>
      <c r="BS1156">
        <v>0.66639999999999999</v>
      </c>
      <c r="BU1156">
        <v>0.76400000000000001</v>
      </c>
      <c r="BV1156" t="s">
        <v>263</v>
      </c>
      <c r="CM1156" t="s">
        <v>264</v>
      </c>
      <c r="CN1156" t="s">
        <v>264</v>
      </c>
      <c r="CO1156" t="s">
        <v>2500</v>
      </c>
      <c r="CP1156" t="s">
        <v>265</v>
      </c>
      <c r="CQ1156" t="s">
        <v>518</v>
      </c>
      <c r="DB1156">
        <v>4</v>
      </c>
      <c r="DG1156" t="s">
        <v>267</v>
      </c>
      <c r="DI1156">
        <v>96</v>
      </c>
      <c r="DN1156" t="s">
        <v>268</v>
      </c>
      <c r="DO1156" t="s">
        <v>1587</v>
      </c>
      <c r="DP1156" t="s">
        <v>2288</v>
      </c>
      <c r="DR1156">
        <v>272819</v>
      </c>
      <c r="DS1156">
        <v>4707</v>
      </c>
      <c r="DT1156" t="s">
        <v>2501</v>
      </c>
      <c r="EW1156" t="s">
        <v>293</v>
      </c>
      <c r="FK1156" t="s">
        <v>2502</v>
      </c>
      <c r="FM1156">
        <v>20</v>
      </c>
      <c r="FR1156" t="s">
        <v>295</v>
      </c>
      <c r="GJ1156">
        <v>7</v>
      </c>
      <c r="GL1156">
        <v>7.9</v>
      </c>
      <c r="GM1156" t="s">
        <v>356</v>
      </c>
      <c r="GQ1156">
        <v>7.7</v>
      </c>
      <c r="GS1156">
        <v>8.14</v>
      </c>
      <c r="GW1156">
        <v>34.5</v>
      </c>
      <c r="GY1156">
        <v>35</v>
      </c>
      <c r="GZ1156" t="s">
        <v>900</v>
      </c>
      <c r="HH1156" t="s">
        <v>272</v>
      </c>
      <c r="ID1156" t="s">
        <v>2503</v>
      </c>
      <c r="IE1156" t="s">
        <v>2504</v>
      </c>
      <c r="IF1156">
        <v>62291</v>
      </c>
      <c r="IG1156" t="s">
        <v>2505</v>
      </c>
      <c r="IH1156" t="s">
        <v>2506</v>
      </c>
      <c r="II1156">
        <v>2001</v>
      </c>
      <c r="IJ1156" t="s">
        <v>2507</v>
      </c>
    </row>
    <row r="1157" spans="1:244" x14ac:dyDescent="0.45">
      <c r="A1157">
        <v>1142120</v>
      </c>
      <c r="B1157">
        <v>106266</v>
      </c>
      <c r="C1157">
        <v>7733020</v>
      </c>
      <c r="D1157" t="s">
        <v>2214</v>
      </c>
      <c r="F1157" t="s">
        <v>245</v>
      </c>
      <c r="G1157" t="s">
        <v>246</v>
      </c>
      <c r="N1157" t="s">
        <v>2183</v>
      </c>
      <c r="O1157" t="s">
        <v>498</v>
      </c>
      <c r="P1157" t="s">
        <v>249</v>
      </c>
      <c r="Q1157" t="s">
        <v>250</v>
      </c>
      <c r="R1157" t="s">
        <v>251</v>
      </c>
      <c r="T1157" t="s">
        <v>252</v>
      </c>
      <c r="U1157" t="s">
        <v>499</v>
      </c>
      <c r="V1157" t="s">
        <v>1281</v>
      </c>
      <c r="W1157" t="s">
        <v>1282</v>
      </c>
      <c r="X1157" t="s">
        <v>2184</v>
      </c>
      <c r="AM1157" t="s">
        <v>258</v>
      </c>
      <c r="AN1157" t="s">
        <v>259</v>
      </c>
      <c r="AO1157" t="s">
        <v>260</v>
      </c>
      <c r="AQ1157" t="s">
        <v>261</v>
      </c>
      <c r="AR1157" t="s">
        <v>288</v>
      </c>
      <c r="AS1157">
        <v>128000</v>
      </c>
      <c r="AX1157" t="s">
        <v>262</v>
      </c>
      <c r="BO1157" t="s">
        <v>261</v>
      </c>
      <c r="BP1157" t="s">
        <v>288</v>
      </c>
      <c r="BQ1157">
        <v>128</v>
      </c>
      <c r="BV1157" t="s">
        <v>263</v>
      </c>
      <c r="CM1157" t="s">
        <v>264</v>
      </c>
      <c r="CN1157" t="s">
        <v>264</v>
      </c>
      <c r="CP1157" t="s">
        <v>265</v>
      </c>
      <c r="CQ1157" t="s">
        <v>518</v>
      </c>
      <c r="DB1157">
        <v>1</v>
      </c>
      <c r="DG1157" t="s">
        <v>267</v>
      </c>
      <c r="DI1157">
        <v>24</v>
      </c>
      <c r="DN1157" t="s">
        <v>268</v>
      </c>
      <c r="DP1157" t="s">
        <v>2185</v>
      </c>
      <c r="DR1157">
        <v>371472</v>
      </c>
      <c r="DS1157">
        <v>1342</v>
      </c>
      <c r="DT1157" t="s">
        <v>2186</v>
      </c>
      <c r="EW1157" t="s">
        <v>271</v>
      </c>
      <c r="FM1157">
        <v>5</v>
      </c>
      <c r="FR1157" t="s">
        <v>295</v>
      </c>
      <c r="GG1157" t="s">
        <v>278</v>
      </c>
      <c r="GH1157">
        <v>75</v>
      </c>
      <c r="GM1157" t="s">
        <v>900</v>
      </c>
      <c r="GU1157">
        <v>25</v>
      </c>
      <c r="GZ1157" t="s">
        <v>296</v>
      </c>
      <c r="HH1157" t="s">
        <v>272</v>
      </c>
      <c r="IE1157" t="s">
        <v>2187</v>
      </c>
      <c r="IF1157">
        <v>11875</v>
      </c>
      <c r="IG1157" t="s">
        <v>2188</v>
      </c>
      <c r="IH1157" t="s">
        <v>2189</v>
      </c>
      <c r="II1157">
        <v>1985</v>
      </c>
      <c r="IJ1157" t="s">
        <v>2190</v>
      </c>
    </row>
    <row r="1158" spans="1:244" x14ac:dyDescent="0.45">
      <c r="A1158">
        <v>1272925</v>
      </c>
      <c r="B1158">
        <v>724224</v>
      </c>
      <c r="C1158">
        <v>7733020</v>
      </c>
      <c r="D1158" t="s">
        <v>2214</v>
      </c>
      <c r="F1158" t="s">
        <v>245</v>
      </c>
      <c r="G1158" t="s">
        <v>246</v>
      </c>
      <c r="N1158" t="s">
        <v>1895</v>
      </c>
      <c r="O1158" t="s">
        <v>1896</v>
      </c>
      <c r="P1158" t="s">
        <v>249</v>
      </c>
      <c r="Q1158" t="s">
        <v>250</v>
      </c>
      <c r="R1158" t="s">
        <v>251</v>
      </c>
      <c r="T1158" t="s">
        <v>252</v>
      </c>
      <c r="U1158" t="s">
        <v>253</v>
      </c>
      <c r="V1158" t="s">
        <v>254</v>
      </c>
      <c r="W1158" t="s">
        <v>1897</v>
      </c>
      <c r="X1158" t="s">
        <v>1898</v>
      </c>
      <c r="AL1158" t="s">
        <v>2223</v>
      </c>
      <c r="AM1158" t="s">
        <v>317</v>
      </c>
      <c r="AN1158" t="s">
        <v>259</v>
      </c>
      <c r="AO1158" t="s">
        <v>260</v>
      </c>
      <c r="AP1158">
        <v>5</v>
      </c>
      <c r="AQ1158" t="s">
        <v>261</v>
      </c>
      <c r="AS1158">
        <v>14.87</v>
      </c>
      <c r="AU1158">
        <v>13.035</v>
      </c>
      <c r="AW1158">
        <v>17.265000000000001</v>
      </c>
      <c r="AX1158" t="s">
        <v>356</v>
      </c>
      <c r="BO1158" t="s">
        <v>261</v>
      </c>
      <c r="BQ1158">
        <v>14.87</v>
      </c>
      <c r="BS1158">
        <v>13.035</v>
      </c>
      <c r="BU1158">
        <v>17.265000000000001</v>
      </c>
      <c r="BV1158" t="s">
        <v>263</v>
      </c>
      <c r="CM1158" t="s">
        <v>264</v>
      </c>
      <c r="CN1158" t="s">
        <v>264</v>
      </c>
      <c r="CP1158" t="s">
        <v>265</v>
      </c>
      <c r="CQ1158" t="s">
        <v>518</v>
      </c>
      <c r="DB1158">
        <v>4</v>
      </c>
      <c r="DG1158" t="s">
        <v>267</v>
      </c>
      <c r="DI1158">
        <v>96</v>
      </c>
      <c r="DN1158" t="s">
        <v>268</v>
      </c>
      <c r="DP1158" t="s">
        <v>2240</v>
      </c>
      <c r="DR1158">
        <v>6759</v>
      </c>
      <c r="DS1158">
        <v>10</v>
      </c>
      <c r="DT1158" t="s">
        <v>2508</v>
      </c>
      <c r="EW1158" t="s">
        <v>293</v>
      </c>
      <c r="FA1158" t="s">
        <v>2509</v>
      </c>
      <c r="FK1158" t="s">
        <v>2510</v>
      </c>
      <c r="FM1158">
        <v>21</v>
      </c>
      <c r="FR1158" t="s">
        <v>295</v>
      </c>
      <c r="HH1158" t="s">
        <v>272</v>
      </c>
      <c r="ID1158" t="s">
        <v>2511</v>
      </c>
      <c r="IE1158" t="s">
        <v>2512</v>
      </c>
      <c r="IF1158">
        <v>101776</v>
      </c>
      <c r="IG1158" t="s">
        <v>2513</v>
      </c>
      <c r="IH1158" t="s">
        <v>2514</v>
      </c>
      <c r="II1158">
        <v>2007</v>
      </c>
      <c r="IJ1158" t="s">
        <v>2515</v>
      </c>
    </row>
    <row r="1159" spans="1:244" x14ac:dyDescent="0.45">
      <c r="A1159">
        <v>1073223</v>
      </c>
      <c r="B1159">
        <v>15219</v>
      </c>
      <c r="C1159">
        <v>7733020</v>
      </c>
      <c r="D1159" t="s">
        <v>2214</v>
      </c>
      <c r="F1159" t="s">
        <v>245</v>
      </c>
      <c r="G1159" t="s">
        <v>246</v>
      </c>
      <c r="N1159" t="s">
        <v>1895</v>
      </c>
      <c r="O1159" t="s">
        <v>1896</v>
      </c>
      <c r="P1159" t="s">
        <v>249</v>
      </c>
      <c r="Q1159" t="s">
        <v>250</v>
      </c>
      <c r="R1159" t="s">
        <v>251</v>
      </c>
      <c r="T1159" t="s">
        <v>252</v>
      </c>
      <c r="U1159" t="s">
        <v>253</v>
      </c>
      <c r="V1159" t="s">
        <v>254</v>
      </c>
      <c r="W1159" t="s">
        <v>1897</v>
      </c>
      <c r="X1159" t="s">
        <v>1898</v>
      </c>
      <c r="Z1159" t="s">
        <v>284</v>
      </c>
      <c r="AD1159">
        <v>1</v>
      </c>
      <c r="AF1159">
        <v>3</v>
      </c>
      <c r="AG1159" t="s">
        <v>267</v>
      </c>
      <c r="AM1159" t="s">
        <v>317</v>
      </c>
      <c r="AN1159" t="s">
        <v>259</v>
      </c>
      <c r="AO1159" t="s">
        <v>260</v>
      </c>
      <c r="AQ1159" t="s">
        <v>261</v>
      </c>
      <c r="AS1159">
        <v>1000</v>
      </c>
      <c r="AX1159" t="s">
        <v>262</v>
      </c>
      <c r="BO1159" t="s">
        <v>261</v>
      </c>
      <c r="BQ1159">
        <v>1</v>
      </c>
      <c r="BV1159" t="s">
        <v>263</v>
      </c>
      <c r="CM1159" t="s">
        <v>264</v>
      </c>
      <c r="CN1159" t="s">
        <v>264</v>
      </c>
      <c r="CP1159" t="s">
        <v>265</v>
      </c>
      <c r="CQ1159" t="s">
        <v>518</v>
      </c>
      <c r="DB1159">
        <v>2</v>
      </c>
      <c r="DG1159" t="s">
        <v>267</v>
      </c>
      <c r="DI1159">
        <v>48</v>
      </c>
      <c r="DN1159" t="s">
        <v>268</v>
      </c>
      <c r="DR1159">
        <v>6759</v>
      </c>
      <c r="DS1159">
        <v>10</v>
      </c>
      <c r="DT1159" t="s">
        <v>1656</v>
      </c>
      <c r="EW1159" t="s">
        <v>333</v>
      </c>
      <c r="FK1159" t="s">
        <v>1899</v>
      </c>
      <c r="FM1159">
        <v>15</v>
      </c>
      <c r="FR1159" t="s">
        <v>295</v>
      </c>
      <c r="HH1159" t="s">
        <v>272</v>
      </c>
      <c r="ID1159" t="s">
        <v>1900</v>
      </c>
      <c r="IE1159" t="s">
        <v>1659</v>
      </c>
      <c r="IF1159">
        <v>5732</v>
      </c>
      <c r="IG1159" t="s">
        <v>1660</v>
      </c>
      <c r="IH1159" t="s">
        <v>1661</v>
      </c>
      <c r="II1159">
        <v>1972</v>
      </c>
      <c r="IJ1159" t="s">
        <v>1662</v>
      </c>
    </row>
    <row r="1160" spans="1:244" x14ac:dyDescent="0.45">
      <c r="A1160">
        <v>1073224</v>
      </c>
      <c r="B1160">
        <v>15220</v>
      </c>
      <c r="C1160">
        <v>7733020</v>
      </c>
      <c r="D1160" t="s">
        <v>2214</v>
      </c>
      <c r="F1160" t="s">
        <v>245</v>
      </c>
      <c r="G1160" t="s">
        <v>246</v>
      </c>
      <c r="N1160" t="s">
        <v>1895</v>
      </c>
      <c r="O1160" t="s">
        <v>1896</v>
      </c>
      <c r="P1160" t="s">
        <v>249</v>
      </c>
      <c r="Q1160" t="s">
        <v>250</v>
      </c>
      <c r="R1160" t="s">
        <v>251</v>
      </c>
      <c r="T1160" t="s">
        <v>252</v>
      </c>
      <c r="U1160" t="s">
        <v>253</v>
      </c>
      <c r="V1160" t="s">
        <v>254</v>
      </c>
      <c r="W1160" t="s">
        <v>1897</v>
      </c>
      <c r="X1160" t="s">
        <v>1898</v>
      </c>
      <c r="Z1160" t="s">
        <v>315</v>
      </c>
      <c r="AM1160" t="s">
        <v>317</v>
      </c>
      <c r="AN1160" t="s">
        <v>259</v>
      </c>
      <c r="AO1160" t="s">
        <v>260</v>
      </c>
      <c r="AQ1160" t="s">
        <v>261</v>
      </c>
      <c r="AS1160">
        <v>14500</v>
      </c>
      <c r="AX1160" t="s">
        <v>262</v>
      </c>
      <c r="BO1160" t="s">
        <v>261</v>
      </c>
      <c r="BQ1160">
        <v>14.5</v>
      </c>
      <c r="BV1160" t="s">
        <v>263</v>
      </c>
      <c r="CM1160" t="s">
        <v>264</v>
      </c>
      <c r="CN1160" t="s">
        <v>264</v>
      </c>
      <c r="CP1160" t="s">
        <v>265</v>
      </c>
      <c r="CQ1160" t="s">
        <v>518</v>
      </c>
      <c r="DB1160">
        <v>2</v>
      </c>
      <c r="DG1160" t="s">
        <v>267</v>
      </c>
      <c r="DI1160">
        <v>48</v>
      </c>
      <c r="DN1160" t="s">
        <v>268</v>
      </c>
      <c r="DR1160">
        <v>6759</v>
      </c>
      <c r="DS1160">
        <v>10</v>
      </c>
      <c r="DT1160" t="s">
        <v>1656</v>
      </c>
      <c r="EW1160" t="s">
        <v>333</v>
      </c>
      <c r="FK1160" t="s">
        <v>1899</v>
      </c>
      <c r="FM1160">
        <v>15</v>
      </c>
      <c r="FR1160" t="s">
        <v>295</v>
      </c>
      <c r="HH1160" t="s">
        <v>272</v>
      </c>
      <c r="ID1160" t="s">
        <v>1900</v>
      </c>
      <c r="IE1160" t="s">
        <v>1659</v>
      </c>
      <c r="IF1160">
        <v>5732</v>
      </c>
      <c r="IG1160" t="s">
        <v>1660</v>
      </c>
      <c r="IH1160" t="s">
        <v>1661</v>
      </c>
      <c r="II1160">
        <v>1972</v>
      </c>
      <c r="IJ1160" t="s">
        <v>1662</v>
      </c>
    </row>
    <row r="1161" spans="1:244" x14ac:dyDescent="0.45">
      <c r="A1161">
        <v>2060347</v>
      </c>
      <c r="B1161">
        <v>2109683</v>
      </c>
      <c r="C1161">
        <v>7738945</v>
      </c>
      <c r="D1161" t="s">
        <v>2516</v>
      </c>
      <c r="F1161" t="s">
        <v>246</v>
      </c>
      <c r="G1161" t="s">
        <v>368</v>
      </c>
      <c r="I1161">
        <v>57</v>
      </c>
      <c r="N1161" t="s">
        <v>369</v>
      </c>
      <c r="O1161" t="s">
        <v>370</v>
      </c>
      <c r="P1161" t="s">
        <v>249</v>
      </c>
      <c r="Q1161" t="s">
        <v>250</v>
      </c>
      <c r="R1161" t="s">
        <v>251</v>
      </c>
      <c r="T1161" t="s">
        <v>252</v>
      </c>
      <c r="U1161" t="s">
        <v>371</v>
      </c>
      <c r="V1161" t="s">
        <v>372</v>
      </c>
      <c r="W1161" t="s">
        <v>373</v>
      </c>
      <c r="X1161" t="s">
        <v>374</v>
      </c>
      <c r="AA1161" t="s">
        <v>289</v>
      </c>
      <c r="AB1161">
        <v>24</v>
      </c>
      <c r="AG1161" t="s">
        <v>268</v>
      </c>
      <c r="AL1161" t="s">
        <v>375</v>
      </c>
      <c r="AM1161" t="s">
        <v>317</v>
      </c>
      <c r="AN1161" t="s">
        <v>259</v>
      </c>
      <c r="AO1161" t="s">
        <v>260</v>
      </c>
      <c r="AS1161">
        <v>5.9</v>
      </c>
      <c r="AU1161">
        <v>5.3</v>
      </c>
      <c r="AW1161">
        <v>6.8</v>
      </c>
      <c r="AX1161" t="s">
        <v>422</v>
      </c>
      <c r="BQ1161">
        <v>5.9</v>
      </c>
      <c r="BS1161">
        <v>5.3</v>
      </c>
      <c r="BU1161">
        <v>6.8</v>
      </c>
      <c r="BV1161" t="s">
        <v>263</v>
      </c>
      <c r="CM1161" t="s">
        <v>264</v>
      </c>
      <c r="CN1161" t="s">
        <v>264</v>
      </c>
      <c r="CP1161" t="s">
        <v>265</v>
      </c>
      <c r="DB1161">
        <v>4</v>
      </c>
      <c r="DG1161" t="s">
        <v>267</v>
      </c>
      <c r="DI1161">
        <v>96</v>
      </c>
      <c r="DN1161" t="s">
        <v>268</v>
      </c>
      <c r="DP1161">
        <v>57</v>
      </c>
      <c r="DR1161">
        <v>110441</v>
      </c>
      <c r="DS1161">
        <v>142</v>
      </c>
      <c r="EJ1161">
        <v>96</v>
      </c>
      <c r="EO1161" t="s">
        <v>268</v>
      </c>
      <c r="EQ1161">
        <v>4</v>
      </c>
      <c r="EV1161" t="s">
        <v>267</v>
      </c>
      <c r="EW1161" t="s">
        <v>376</v>
      </c>
      <c r="EY1161" t="s">
        <v>377</v>
      </c>
      <c r="FR1161" t="s">
        <v>378</v>
      </c>
      <c r="FY1161" t="s">
        <v>378</v>
      </c>
      <c r="GF1161" t="s">
        <v>378</v>
      </c>
      <c r="GM1161" t="s">
        <v>378</v>
      </c>
      <c r="GZ1161" t="s">
        <v>378</v>
      </c>
      <c r="HG1161" t="s">
        <v>378</v>
      </c>
      <c r="HH1161" t="s">
        <v>379</v>
      </c>
      <c r="HO1161" t="s">
        <v>378</v>
      </c>
      <c r="HV1161" t="s">
        <v>378</v>
      </c>
      <c r="IC1161" t="s">
        <v>378</v>
      </c>
      <c r="ID1161" t="s">
        <v>380</v>
      </c>
      <c r="IE1161" t="s">
        <v>381</v>
      </c>
      <c r="IF1161">
        <v>344</v>
      </c>
      <c r="IG1161" t="s">
        <v>382</v>
      </c>
      <c r="IH1161" t="s">
        <v>383</v>
      </c>
      <c r="II1161">
        <v>1992</v>
      </c>
      <c r="IJ1161" t="s">
        <v>384</v>
      </c>
    </row>
    <row r="1162" spans="1:244" x14ac:dyDescent="0.45">
      <c r="A1162">
        <v>1096360</v>
      </c>
      <c r="B1162">
        <v>117486</v>
      </c>
      <c r="C1162">
        <v>7758896</v>
      </c>
      <c r="D1162" t="s">
        <v>2517</v>
      </c>
      <c r="F1162" t="s">
        <v>327</v>
      </c>
      <c r="G1162" t="s">
        <v>246</v>
      </c>
      <c r="N1162" t="s">
        <v>1401</v>
      </c>
      <c r="O1162" t="s">
        <v>1299</v>
      </c>
      <c r="P1162" t="s">
        <v>249</v>
      </c>
      <c r="Q1162" t="s">
        <v>250</v>
      </c>
      <c r="R1162" t="s">
        <v>251</v>
      </c>
      <c r="T1162" t="s">
        <v>252</v>
      </c>
      <c r="U1162" t="s">
        <v>371</v>
      </c>
      <c r="V1162" t="s">
        <v>372</v>
      </c>
      <c r="W1162" t="s">
        <v>1402</v>
      </c>
      <c r="X1162" t="s">
        <v>1403</v>
      </c>
      <c r="Z1162" t="s">
        <v>649</v>
      </c>
      <c r="AB1162">
        <v>3</v>
      </c>
      <c r="AG1162" t="s">
        <v>267</v>
      </c>
      <c r="AM1162" t="s">
        <v>317</v>
      </c>
      <c r="AN1162" t="s">
        <v>259</v>
      </c>
      <c r="AO1162" t="s">
        <v>260</v>
      </c>
      <c r="AQ1162" t="s">
        <v>261</v>
      </c>
      <c r="AS1162">
        <v>17</v>
      </c>
      <c r="AU1162">
        <v>15</v>
      </c>
      <c r="AW1162">
        <v>19</v>
      </c>
      <c r="AX1162" t="s">
        <v>262</v>
      </c>
      <c r="BO1162" t="s">
        <v>261</v>
      </c>
      <c r="BQ1162">
        <v>1.7000000000000001E-2</v>
      </c>
      <c r="BS1162">
        <v>1.4999999999999999E-2</v>
      </c>
      <c r="BU1162">
        <v>1.9E-2</v>
      </c>
      <c r="BV1162" t="s">
        <v>263</v>
      </c>
      <c r="CM1162" t="s">
        <v>264</v>
      </c>
      <c r="CN1162" t="s">
        <v>264</v>
      </c>
      <c r="CP1162" t="s">
        <v>265</v>
      </c>
      <c r="CQ1162" t="s">
        <v>394</v>
      </c>
      <c r="DB1162">
        <v>4</v>
      </c>
      <c r="DG1162" t="s">
        <v>267</v>
      </c>
      <c r="DI1162">
        <v>96</v>
      </c>
      <c r="DN1162" t="s">
        <v>268</v>
      </c>
      <c r="DR1162">
        <v>236552</v>
      </c>
      <c r="DS1162">
        <v>59434</v>
      </c>
      <c r="DT1162" t="s">
        <v>2234</v>
      </c>
      <c r="EW1162" t="s">
        <v>333</v>
      </c>
      <c r="FM1162">
        <v>13</v>
      </c>
      <c r="FR1162" t="s">
        <v>295</v>
      </c>
      <c r="GJ1162">
        <v>7.7</v>
      </c>
      <c r="GL1162">
        <v>8.4</v>
      </c>
      <c r="GM1162" t="s">
        <v>356</v>
      </c>
      <c r="GQ1162">
        <v>7.75</v>
      </c>
      <c r="GS1162">
        <v>7.85</v>
      </c>
      <c r="GW1162">
        <v>35</v>
      </c>
      <c r="GY1162">
        <v>38</v>
      </c>
      <c r="GZ1162" t="s">
        <v>296</v>
      </c>
      <c r="HH1162" t="s">
        <v>272</v>
      </c>
      <c r="IE1162" t="s">
        <v>2235</v>
      </c>
      <c r="IF1162">
        <v>6821</v>
      </c>
      <c r="IG1162" t="s">
        <v>2236</v>
      </c>
      <c r="IH1162" t="s">
        <v>2237</v>
      </c>
      <c r="II1162">
        <v>1989</v>
      </c>
      <c r="IJ1162" t="s">
        <v>2238</v>
      </c>
    </row>
    <row r="1163" spans="1:244" x14ac:dyDescent="0.45">
      <c r="A1163">
        <v>1053489</v>
      </c>
      <c r="B1163">
        <v>5143</v>
      </c>
      <c r="C1163">
        <v>7758896</v>
      </c>
      <c r="D1163" t="s">
        <v>2517</v>
      </c>
      <c r="F1163" t="s">
        <v>245</v>
      </c>
      <c r="G1163" t="s">
        <v>246</v>
      </c>
      <c r="N1163" t="s">
        <v>798</v>
      </c>
      <c r="O1163" t="s">
        <v>631</v>
      </c>
      <c r="P1163" t="s">
        <v>249</v>
      </c>
      <c r="Q1163" t="s">
        <v>250</v>
      </c>
      <c r="R1163" t="s">
        <v>251</v>
      </c>
      <c r="T1163" t="s">
        <v>389</v>
      </c>
      <c r="U1163" t="s">
        <v>632</v>
      </c>
      <c r="V1163" t="s">
        <v>799</v>
      </c>
      <c r="W1163" t="s">
        <v>800</v>
      </c>
      <c r="X1163" t="s">
        <v>801</v>
      </c>
      <c r="Z1163" t="s">
        <v>315</v>
      </c>
      <c r="AM1163" t="s">
        <v>317</v>
      </c>
      <c r="AN1163" t="s">
        <v>259</v>
      </c>
      <c r="AO1163" t="s">
        <v>260</v>
      </c>
      <c r="AQ1163" t="s">
        <v>261</v>
      </c>
      <c r="AS1163">
        <v>235.4</v>
      </c>
      <c r="AU1163">
        <v>188.7</v>
      </c>
      <c r="AW1163">
        <v>299.2</v>
      </c>
      <c r="AX1163" t="s">
        <v>290</v>
      </c>
      <c r="BO1163" t="s">
        <v>261</v>
      </c>
      <c r="BQ1163">
        <v>0.2354</v>
      </c>
      <c r="BS1163">
        <v>0.18870000000000001</v>
      </c>
      <c r="BU1163">
        <v>0.29920000000000002</v>
      </c>
      <c r="BV1163" t="s">
        <v>263</v>
      </c>
      <c r="CM1163" t="s">
        <v>264</v>
      </c>
      <c r="CN1163" t="s">
        <v>264</v>
      </c>
      <c r="CP1163" t="s">
        <v>265</v>
      </c>
      <c r="DB1163">
        <v>4</v>
      </c>
      <c r="DG1163" t="s">
        <v>267</v>
      </c>
      <c r="DI1163">
        <v>96</v>
      </c>
      <c r="DN1163" t="s">
        <v>268</v>
      </c>
      <c r="DR1163">
        <v>163476</v>
      </c>
      <c r="DS1163">
        <v>740</v>
      </c>
      <c r="EW1163" t="s">
        <v>293</v>
      </c>
      <c r="FA1163" t="s">
        <v>803</v>
      </c>
      <c r="FM1163">
        <v>15</v>
      </c>
      <c r="FR1163" t="s">
        <v>295</v>
      </c>
      <c r="GU1163">
        <v>30</v>
      </c>
      <c r="GZ1163" t="s">
        <v>296</v>
      </c>
      <c r="HH1163" t="s">
        <v>272</v>
      </c>
      <c r="IE1163" t="s">
        <v>725</v>
      </c>
      <c r="IF1163">
        <v>3735</v>
      </c>
      <c r="IG1163" t="s">
        <v>651</v>
      </c>
      <c r="IH1163" t="s">
        <v>2518</v>
      </c>
      <c r="II1163">
        <v>1985</v>
      </c>
      <c r="IJ1163" t="s">
        <v>2519</v>
      </c>
    </row>
    <row r="1164" spans="1:244" x14ac:dyDescent="0.45">
      <c r="A1164">
        <v>1053490</v>
      </c>
      <c r="B1164">
        <v>5144</v>
      </c>
      <c r="C1164">
        <v>7758896</v>
      </c>
      <c r="D1164" t="s">
        <v>2517</v>
      </c>
      <c r="F1164" t="s">
        <v>245</v>
      </c>
      <c r="G1164" t="s">
        <v>246</v>
      </c>
      <c r="N1164" t="s">
        <v>829</v>
      </c>
      <c r="O1164" t="s">
        <v>631</v>
      </c>
      <c r="P1164" t="s">
        <v>249</v>
      </c>
      <c r="Q1164" t="s">
        <v>250</v>
      </c>
      <c r="R1164" t="s">
        <v>251</v>
      </c>
      <c r="T1164" t="s">
        <v>389</v>
      </c>
      <c r="U1164" t="s">
        <v>632</v>
      </c>
      <c r="V1164" t="s">
        <v>830</v>
      </c>
      <c r="W1164" t="s">
        <v>831</v>
      </c>
      <c r="X1164" t="s">
        <v>832</v>
      </c>
      <c r="Z1164" t="s">
        <v>315</v>
      </c>
      <c r="AM1164" t="s">
        <v>317</v>
      </c>
      <c r="AN1164" t="s">
        <v>259</v>
      </c>
      <c r="AO1164" t="s">
        <v>260</v>
      </c>
      <c r="AQ1164" t="s">
        <v>261</v>
      </c>
      <c r="AS1164">
        <v>0.92800000000000005</v>
      </c>
      <c r="AU1164">
        <v>0.76100000000000001</v>
      </c>
      <c r="AW1164">
        <v>1.119</v>
      </c>
      <c r="AX1164" t="s">
        <v>422</v>
      </c>
      <c r="BO1164" t="s">
        <v>261</v>
      </c>
      <c r="BQ1164">
        <v>0.92800000000000005</v>
      </c>
      <c r="BS1164">
        <v>0.76100000000000001</v>
      </c>
      <c r="BU1164">
        <v>1.119</v>
      </c>
      <c r="BV1164" t="s">
        <v>263</v>
      </c>
      <c r="CM1164" t="s">
        <v>264</v>
      </c>
      <c r="CN1164" t="s">
        <v>264</v>
      </c>
      <c r="CP1164" t="s">
        <v>265</v>
      </c>
      <c r="DB1164">
        <v>4</v>
      </c>
      <c r="DG1164" t="s">
        <v>267</v>
      </c>
      <c r="DI1164">
        <v>96</v>
      </c>
      <c r="DN1164" t="s">
        <v>268</v>
      </c>
      <c r="DR1164">
        <v>88015</v>
      </c>
      <c r="DS1164">
        <v>649</v>
      </c>
      <c r="EW1164" t="s">
        <v>293</v>
      </c>
      <c r="FA1164" t="s">
        <v>803</v>
      </c>
      <c r="FM1164">
        <v>15</v>
      </c>
      <c r="FR1164" t="s">
        <v>295</v>
      </c>
      <c r="GU1164">
        <v>30</v>
      </c>
      <c r="GZ1164" t="s">
        <v>296</v>
      </c>
      <c r="HH1164" t="s">
        <v>272</v>
      </c>
      <c r="IE1164" t="s">
        <v>725</v>
      </c>
      <c r="IF1164">
        <v>3735</v>
      </c>
      <c r="IG1164" t="s">
        <v>651</v>
      </c>
      <c r="IH1164" t="s">
        <v>2518</v>
      </c>
      <c r="II1164">
        <v>1985</v>
      </c>
      <c r="IJ1164" t="s">
        <v>2519</v>
      </c>
    </row>
    <row r="1165" spans="1:244" x14ac:dyDescent="0.45">
      <c r="A1165">
        <v>1053488</v>
      </c>
      <c r="B1165">
        <v>5142</v>
      </c>
      <c r="C1165">
        <v>7758896</v>
      </c>
      <c r="D1165" t="s">
        <v>2517</v>
      </c>
      <c r="F1165" t="s">
        <v>245</v>
      </c>
      <c r="G1165" t="s">
        <v>246</v>
      </c>
      <c r="N1165" t="s">
        <v>630</v>
      </c>
      <c r="O1165" t="s">
        <v>631</v>
      </c>
      <c r="P1165" t="s">
        <v>249</v>
      </c>
      <c r="Q1165" t="s">
        <v>250</v>
      </c>
      <c r="R1165" t="s">
        <v>251</v>
      </c>
      <c r="T1165" t="s">
        <v>389</v>
      </c>
      <c r="U1165" t="s">
        <v>632</v>
      </c>
      <c r="V1165" t="s">
        <v>633</v>
      </c>
      <c r="W1165" t="s">
        <v>634</v>
      </c>
      <c r="X1165" t="s">
        <v>635</v>
      </c>
      <c r="Z1165" t="s">
        <v>315</v>
      </c>
      <c r="AM1165" t="s">
        <v>317</v>
      </c>
      <c r="AN1165" t="s">
        <v>259</v>
      </c>
      <c r="AO1165" t="s">
        <v>260</v>
      </c>
      <c r="AQ1165" t="s">
        <v>261</v>
      </c>
      <c r="AS1165">
        <v>58.1</v>
      </c>
      <c r="AU1165">
        <v>40.200000000000003</v>
      </c>
      <c r="AW1165">
        <v>82.9</v>
      </c>
      <c r="AX1165" t="s">
        <v>290</v>
      </c>
      <c r="BO1165" t="s">
        <v>261</v>
      </c>
      <c r="BQ1165">
        <v>5.8099999999999999E-2</v>
      </c>
      <c r="BS1165">
        <v>4.02E-2</v>
      </c>
      <c r="BU1165">
        <v>8.2900000000000001E-2</v>
      </c>
      <c r="BV1165" t="s">
        <v>263</v>
      </c>
      <c r="CM1165" t="s">
        <v>264</v>
      </c>
      <c r="CN1165" t="s">
        <v>264</v>
      </c>
      <c r="CP1165" t="s">
        <v>265</v>
      </c>
      <c r="DB1165">
        <v>3</v>
      </c>
      <c r="DG1165" t="s">
        <v>267</v>
      </c>
      <c r="DI1165">
        <v>72</v>
      </c>
      <c r="DN1165" t="s">
        <v>268</v>
      </c>
      <c r="DR1165">
        <v>136180</v>
      </c>
      <c r="DS1165">
        <v>376</v>
      </c>
      <c r="EW1165" t="s">
        <v>293</v>
      </c>
      <c r="FA1165" t="s">
        <v>803</v>
      </c>
      <c r="FM1165">
        <v>10</v>
      </c>
      <c r="FR1165" t="s">
        <v>295</v>
      </c>
      <c r="GU1165">
        <v>30</v>
      </c>
      <c r="GZ1165" t="s">
        <v>296</v>
      </c>
      <c r="HH1165" t="s">
        <v>272</v>
      </c>
      <c r="IE1165" t="s">
        <v>725</v>
      </c>
      <c r="IF1165">
        <v>3735</v>
      </c>
      <c r="IG1165" t="s">
        <v>651</v>
      </c>
      <c r="IH1165" t="s">
        <v>2518</v>
      </c>
      <c r="II1165">
        <v>1985</v>
      </c>
      <c r="IJ1165" t="s">
        <v>2519</v>
      </c>
    </row>
    <row r="1166" spans="1:244" x14ac:dyDescent="0.45">
      <c r="A1166">
        <v>1301502</v>
      </c>
      <c r="B1166">
        <v>757396</v>
      </c>
      <c r="C1166">
        <v>7758896</v>
      </c>
      <c r="D1166" t="s">
        <v>2517</v>
      </c>
      <c r="E1166" t="s">
        <v>386</v>
      </c>
      <c r="F1166" t="s">
        <v>245</v>
      </c>
      <c r="G1166" t="s">
        <v>246</v>
      </c>
      <c r="N1166" t="s">
        <v>387</v>
      </c>
      <c r="O1166" t="s">
        <v>388</v>
      </c>
      <c r="P1166" t="s">
        <v>249</v>
      </c>
      <c r="Q1166" t="s">
        <v>250</v>
      </c>
      <c r="R1166" t="s">
        <v>251</v>
      </c>
      <c r="T1166" t="s">
        <v>389</v>
      </c>
      <c r="U1166" t="s">
        <v>390</v>
      </c>
      <c r="V1166" t="s">
        <v>391</v>
      </c>
      <c r="W1166" t="s">
        <v>392</v>
      </c>
      <c r="X1166" t="s">
        <v>393</v>
      </c>
      <c r="Z1166" t="s">
        <v>315</v>
      </c>
      <c r="AM1166" t="s">
        <v>287</v>
      </c>
      <c r="AN1166" t="s">
        <v>259</v>
      </c>
      <c r="AO1166" t="s">
        <v>260</v>
      </c>
      <c r="AP1166">
        <v>2</v>
      </c>
      <c r="AQ1166" t="s">
        <v>261</v>
      </c>
      <c r="AS1166">
        <v>1175</v>
      </c>
      <c r="AX1166" t="s">
        <v>262</v>
      </c>
      <c r="BO1166" t="s">
        <v>261</v>
      </c>
      <c r="BQ1166">
        <v>1.175</v>
      </c>
      <c r="BV1166" t="s">
        <v>263</v>
      </c>
      <c r="CM1166" t="s">
        <v>264</v>
      </c>
      <c r="CN1166" t="s">
        <v>264</v>
      </c>
      <c r="CP1166" t="s">
        <v>265</v>
      </c>
      <c r="CQ1166" t="s">
        <v>394</v>
      </c>
      <c r="DB1166">
        <v>4</v>
      </c>
      <c r="DG1166" t="s">
        <v>267</v>
      </c>
      <c r="DI1166">
        <v>96</v>
      </c>
      <c r="DN1166" t="s">
        <v>268</v>
      </c>
      <c r="DP1166" t="s">
        <v>1258</v>
      </c>
      <c r="DR1166">
        <v>158387</v>
      </c>
      <c r="DS1166">
        <v>6038</v>
      </c>
      <c r="DT1166" t="s">
        <v>396</v>
      </c>
      <c r="EW1166" t="s">
        <v>293</v>
      </c>
      <c r="FA1166" t="s">
        <v>397</v>
      </c>
      <c r="FK1166" t="s">
        <v>2520</v>
      </c>
      <c r="FM1166">
        <v>25</v>
      </c>
      <c r="FR1166" t="s">
        <v>295</v>
      </c>
      <c r="GQ1166">
        <v>8.1</v>
      </c>
      <c r="GS1166">
        <v>8.4</v>
      </c>
      <c r="GU1166">
        <v>33</v>
      </c>
      <c r="GZ1166" t="s">
        <v>296</v>
      </c>
      <c r="HH1166" t="s">
        <v>272</v>
      </c>
      <c r="ID1166" t="s">
        <v>2521</v>
      </c>
      <c r="IE1166" t="s">
        <v>400</v>
      </c>
      <c r="IF1166">
        <v>115854</v>
      </c>
      <c r="IG1166" t="s">
        <v>401</v>
      </c>
      <c r="IH1166" t="s">
        <v>402</v>
      </c>
      <c r="II1166">
        <v>2008</v>
      </c>
      <c r="IJ1166" t="s">
        <v>403</v>
      </c>
    </row>
    <row r="1167" spans="1:244" x14ac:dyDescent="0.45">
      <c r="A1167">
        <v>1053487</v>
      </c>
      <c r="B1167">
        <v>5141</v>
      </c>
      <c r="C1167">
        <v>7758896</v>
      </c>
      <c r="D1167" t="s">
        <v>2517</v>
      </c>
      <c r="F1167" t="s">
        <v>245</v>
      </c>
      <c r="G1167" t="s">
        <v>246</v>
      </c>
      <c r="N1167" t="s">
        <v>723</v>
      </c>
      <c r="O1167" t="s">
        <v>631</v>
      </c>
      <c r="P1167" t="s">
        <v>249</v>
      </c>
      <c r="Q1167" t="s">
        <v>250</v>
      </c>
      <c r="R1167" t="s">
        <v>251</v>
      </c>
      <c r="T1167" t="s">
        <v>389</v>
      </c>
      <c r="U1167" t="s">
        <v>632</v>
      </c>
      <c r="V1167" t="s">
        <v>633</v>
      </c>
      <c r="W1167" t="s">
        <v>634</v>
      </c>
      <c r="X1167" t="s">
        <v>724</v>
      </c>
      <c r="Z1167" t="s">
        <v>315</v>
      </c>
      <c r="AM1167" t="s">
        <v>317</v>
      </c>
      <c r="AN1167" t="s">
        <v>259</v>
      </c>
      <c r="AO1167" t="s">
        <v>260</v>
      </c>
      <c r="AQ1167" t="s">
        <v>261</v>
      </c>
      <c r="AS1167">
        <v>4.9000000000000002E-2</v>
      </c>
      <c r="AU1167">
        <v>0.04</v>
      </c>
      <c r="AW1167">
        <v>0.06</v>
      </c>
      <c r="AX1167" t="s">
        <v>422</v>
      </c>
      <c r="BO1167" t="s">
        <v>261</v>
      </c>
      <c r="BQ1167">
        <v>4.9000000000000002E-2</v>
      </c>
      <c r="BS1167">
        <v>0.04</v>
      </c>
      <c r="BU1167">
        <v>0.06</v>
      </c>
      <c r="BV1167" t="s">
        <v>263</v>
      </c>
      <c r="CM1167" t="s">
        <v>264</v>
      </c>
      <c r="CN1167" t="s">
        <v>264</v>
      </c>
      <c r="CP1167" t="s">
        <v>265</v>
      </c>
      <c r="DB1167">
        <v>4</v>
      </c>
      <c r="DG1167" t="s">
        <v>267</v>
      </c>
      <c r="DI1167">
        <v>96</v>
      </c>
      <c r="DN1167" t="s">
        <v>268</v>
      </c>
      <c r="DR1167">
        <v>136140</v>
      </c>
      <c r="DS1167">
        <v>1784</v>
      </c>
      <c r="EW1167" t="s">
        <v>293</v>
      </c>
      <c r="FA1167" t="s">
        <v>803</v>
      </c>
      <c r="FM1167">
        <v>10</v>
      </c>
      <c r="FR1167" t="s">
        <v>295</v>
      </c>
      <c r="GU1167">
        <v>30</v>
      </c>
      <c r="GZ1167" t="s">
        <v>296</v>
      </c>
      <c r="HH1167" t="s">
        <v>272</v>
      </c>
      <c r="IE1167" t="s">
        <v>725</v>
      </c>
      <c r="IF1167">
        <v>3735</v>
      </c>
      <c r="IG1167" t="s">
        <v>651</v>
      </c>
      <c r="IH1167" t="s">
        <v>2518</v>
      </c>
      <c r="II1167">
        <v>1985</v>
      </c>
      <c r="IJ1167" t="s">
        <v>2519</v>
      </c>
    </row>
    <row r="1168" spans="1:244" x14ac:dyDescent="0.45">
      <c r="A1168">
        <v>2307797</v>
      </c>
      <c r="B1168">
        <v>2748544</v>
      </c>
      <c r="C1168">
        <v>7758954</v>
      </c>
      <c r="D1168" t="s">
        <v>2522</v>
      </c>
      <c r="F1168" t="s">
        <v>327</v>
      </c>
      <c r="G1168" t="s">
        <v>2303</v>
      </c>
      <c r="N1168" t="s">
        <v>2523</v>
      </c>
      <c r="O1168" t="s">
        <v>631</v>
      </c>
      <c r="P1168" t="s">
        <v>249</v>
      </c>
      <c r="Q1168" t="s">
        <v>250</v>
      </c>
      <c r="R1168" t="s">
        <v>251</v>
      </c>
      <c r="T1168" t="s">
        <v>389</v>
      </c>
      <c r="U1168" t="s">
        <v>632</v>
      </c>
      <c r="V1168" t="s">
        <v>633</v>
      </c>
      <c r="W1168" t="s">
        <v>634</v>
      </c>
      <c r="X1168" t="s">
        <v>2524</v>
      </c>
      <c r="Z1168" t="s">
        <v>315</v>
      </c>
      <c r="AI1168">
        <v>1</v>
      </c>
      <c r="AJ1168" t="s">
        <v>354</v>
      </c>
      <c r="AM1168" t="s">
        <v>258</v>
      </c>
      <c r="AN1168" t="s">
        <v>259</v>
      </c>
      <c r="AO1168" t="s">
        <v>260</v>
      </c>
      <c r="AQ1168" t="s">
        <v>504</v>
      </c>
      <c r="AS1168">
        <v>0.1</v>
      </c>
      <c r="AX1168" t="s">
        <v>356</v>
      </c>
      <c r="BO1168" t="s">
        <v>504</v>
      </c>
      <c r="BQ1168">
        <v>0.1</v>
      </c>
      <c r="BV1168" t="s">
        <v>263</v>
      </c>
      <c r="CM1168" t="s">
        <v>264</v>
      </c>
      <c r="CN1168" t="s">
        <v>264</v>
      </c>
      <c r="CP1168" t="s">
        <v>265</v>
      </c>
      <c r="CQ1168" t="s">
        <v>423</v>
      </c>
      <c r="DB1168">
        <v>4</v>
      </c>
      <c r="DG1168" t="s">
        <v>267</v>
      </c>
      <c r="DI1168">
        <v>96</v>
      </c>
      <c r="DN1168" t="s">
        <v>268</v>
      </c>
      <c r="DR1168">
        <v>545071</v>
      </c>
      <c r="DS1168">
        <v>65169</v>
      </c>
      <c r="DT1168" t="s">
        <v>2525</v>
      </c>
      <c r="DV1168">
        <v>96</v>
      </c>
      <c r="EA1168" t="s">
        <v>268</v>
      </c>
      <c r="EC1168">
        <v>4</v>
      </c>
      <c r="EH1168" t="s">
        <v>267</v>
      </c>
      <c r="EJ1168">
        <v>96</v>
      </c>
      <c r="EO1168" t="s">
        <v>268</v>
      </c>
      <c r="EQ1168">
        <v>4</v>
      </c>
      <c r="EV1168" t="s">
        <v>267</v>
      </c>
      <c r="EW1168" t="s">
        <v>293</v>
      </c>
      <c r="EY1168" t="s">
        <v>377</v>
      </c>
      <c r="EZ1168" t="s">
        <v>2526</v>
      </c>
      <c r="FM1168">
        <v>26</v>
      </c>
      <c r="FR1168" t="s">
        <v>295</v>
      </c>
      <c r="GH1168">
        <v>4.8</v>
      </c>
      <c r="GM1168" t="s">
        <v>356</v>
      </c>
      <c r="GO1168">
        <v>7.8</v>
      </c>
      <c r="GU1168">
        <v>29.5</v>
      </c>
      <c r="GZ1168" t="s">
        <v>362</v>
      </c>
      <c r="HH1168" t="s">
        <v>272</v>
      </c>
      <c r="ID1168" t="s">
        <v>2527</v>
      </c>
      <c r="IE1168" t="s">
        <v>2528</v>
      </c>
      <c r="IF1168">
        <v>192310</v>
      </c>
      <c r="IG1168" t="s">
        <v>2529</v>
      </c>
      <c r="IH1168" t="s">
        <v>2530</v>
      </c>
      <c r="II1168">
        <v>2021</v>
      </c>
      <c r="IJ1168" t="s">
        <v>2531</v>
      </c>
    </row>
    <row r="1169" spans="1:244" x14ac:dyDescent="0.45">
      <c r="A1169">
        <v>1037219</v>
      </c>
      <c r="B1169">
        <v>110154</v>
      </c>
      <c r="C1169">
        <v>7758954</v>
      </c>
      <c r="D1169" t="s">
        <v>2522</v>
      </c>
      <c r="F1169" t="s">
        <v>327</v>
      </c>
      <c r="G1169" t="s">
        <v>246</v>
      </c>
      <c r="N1169" t="s">
        <v>1364</v>
      </c>
      <c r="O1169" t="s">
        <v>1365</v>
      </c>
      <c r="P1169" t="s">
        <v>249</v>
      </c>
      <c r="Q1169" t="s">
        <v>250</v>
      </c>
      <c r="R1169" t="s">
        <v>251</v>
      </c>
      <c r="T1169" t="s">
        <v>252</v>
      </c>
      <c r="U1169" t="s">
        <v>253</v>
      </c>
      <c r="V1169" t="s">
        <v>548</v>
      </c>
      <c r="W1169" t="s">
        <v>549</v>
      </c>
      <c r="X1169" t="s">
        <v>351</v>
      </c>
      <c r="Z1169" t="s">
        <v>315</v>
      </c>
      <c r="AL1169" t="s">
        <v>2532</v>
      </c>
      <c r="AM1169" t="s">
        <v>307</v>
      </c>
      <c r="AN1169" t="s">
        <v>259</v>
      </c>
      <c r="AO1169" t="s">
        <v>260</v>
      </c>
      <c r="AQ1169" t="s">
        <v>261</v>
      </c>
      <c r="AR1169" t="s">
        <v>288</v>
      </c>
      <c r="AS1169">
        <v>2100</v>
      </c>
      <c r="AX1169" t="s">
        <v>262</v>
      </c>
      <c r="BO1169" t="s">
        <v>261</v>
      </c>
      <c r="BP1169" t="s">
        <v>288</v>
      </c>
      <c r="BQ1169">
        <v>2.1</v>
      </c>
      <c r="BV1169" t="s">
        <v>263</v>
      </c>
      <c r="CM1169" t="s">
        <v>264</v>
      </c>
      <c r="CN1169" t="s">
        <v>264</v>
      </c>
      <c r="CP1169" t="s">
        <v>265</v>
      </c>
      <c r="CQ1169" t="s">
        <v>423</v>
      </c>
      <c r="DB1169">
        <v>4</v>
      </c>
      <c r="DG1169" t="s">
        <v>267</v>
      </c>
      <c r="DI1169">
        <v>96</v>
      </c>
      <c r="DN1169" t="s">
        <v>268</v>
      </c>
      <c r="DR1169">
        <v>98082</v>
      </c>
      <c r="DS1169">
        <v>2125</v>
      </c>
      <c r="DT1169" t="s">
        <v>1367</v>
      </c>
      <c r="EW1169" t="s">
        <v>333</v>
      </c>
      <c r="FM1169">
        <v>10</v>
      </c>
      <c r="FR1169" t="s">
        <v>295</v>
      </c>
      <c r="GH1169">
        <v>7</v>
      </c>
      <c r="GM1169" t="s">
        <v>356</v>
      </c>
      <c r="GO1169">
        <v>8.1</v>
      </c>
      <c r="GU1169">
        <v>28.8</v>
      </c>
      <c r="GZ1169" t="s">
        <v>296</v>
      </c>
      <c r="HH1169" t="s">
        <v>272</v>
      </c>
      <c r="IE1169" t="s">
        <v>1368</v>
      </c>
      <c r="IF1169">
        <v>2264</v>
      </c>
      <c r="IG1169" t="s">
        <v>1369</v>
      </c>
      <c r="IH1169" t="s">
        <v>1370</v>
      </c>
      <c r="II1169">
        <v>1989</v>
      </c>
      <c r="IJ1169" t="s">
        <v>1371</v>
      </c>
    </row>
    <row r="1170" spans="1:244" x14ac:dyDescent="0.45">
      <c r="A1170">
        <v>1269755</v>
      </c>
      <c r="B1170">
        <v>721053</v>
      </c>
      <c r="C1170">
        <v>7758954</v>
      </c>
      <c r="D1170" t="s">
        <v>2522</v>
      </c>
      <c r="F1170" t="s">
        <v>327</v>
      </c>
      <c r="G1170" t="s">
        <v>246</v>
      </c>
      <c r="N1170" t="s">
        <v>2157</v>
      </c>
      <c r="O1170" t="s">
        <v>578</v>
      </c>
      <c r="P1170" t="s">
        <v>249</v>
      </c>
      <c r="Q1170" t="s">
        <v>250</v>
      </c>
      <c r="R1170" t="s">
        <v>251</v>
      </c>
      <c r="T1170" t="s">
        <v>252</v>
      </c>
      <c r="U1170" t="s">
        <v>499</v>
      </c>
      <c r="V1170" t="s">
        <v>1217</v>
      </c>
      <c r="W1170" t="s">
        <v>1218</v>
      </c>
      <c r="X1170" t="s">
        <v>351</v>
      </c>
      <c r="Z1170" t="s">
        <v>315</v>
      </c>
      <c r="AD1170">
        <v>2</v>
      </c>
      <c r="AF1170">
        <v>3</v>
      </c>
      <c r="AG1170" t="s">
        <v>1271</v>
      </c>
      <c r="AL1170" t="s">
        <v>2158</v>
      </c>
      <c r="AM1170" t="s">
        <v>317</v>
      </c>
      <c r="AN1170" t="s">
        <v>259</v>
      </c>
      <c r="AO1170" t="s">
        <v>260</v>
      </c>
      <c r="AP1170">
        <v>5</v>
      </c>
      <c r="AQ1170" t="s">
        <v>504</v>
      </c>
      <c r="AS1170">
        <v>3000</v>
      </c>
      <c r="AU1170">
        <v>2580</v>
      </c>
      <c r="AW1170">
        <v>3560</v>
      </c>
      <c r="AX1170" t="s">
        <v>262</v>
      </c>
      <c r="BO1170" t="s">
        <v>504</v>
      </c>
      <c r="BQ1170">
        <v>3</v>
      </c>
      <c r="BS1170">
        <v>2.58</v>
      </c>
      <c r="BU1170">
        <v>3.56</v>
      </c>
      <c r="BV1170" t="s">
        <v>263</v>
      </c>
      <c r="CM1170" t="s">
        <v>264</v>
      </c>
      <c r="CN1170" t="s">
        <v>264</v>
      </c>
      <c r="CP1170" t="s">
        <v>265</v>
      </c>
      <c r="CQ1170" t="s">
        <v>423</v>
      </c>
      <c r="DB1170">
        <v>4</v>
      </c>
      <c r="DG1170" t="s">
        <v>267</v>
      </c>
      <c r="DI1170">
        <v>96</v>
      </c>
      <c r="DN1170" t="s">
        <v>268</v>
      </c>
      <c r="DP1170" t="s">
        <v>2533</v>
      </c>
      <c r="DR1170">
        <v>315597</v>
      </c>
      <c r="DS1170">
        <v>18408</v>
      </c>
      <c r="DT1170" t="s">
        <v>2160</v>
      </c>
      <c r="EW1170" t="s">
        <v>293</v>
      </c>
      <c r="FA1170" t="s">
        <v>2161</v>
      </c>
      <c r="FK1170" t="s">
        <v>2534</v>
      </c>
      <c r="FO1170">
        <v>20.5</v>
      </c>
      <c r="FQ1170">
        <v>21.2</v>
      </c>
      <c r="FR1170" t="s">
        <v>295</v>
      </c>
      <c r="GG1170" t="s">
        <v>288</v>
      </c>
      <c r="GH1170">
        <v>95</v>
      </c>
      <c r="GM1170" t="s">
        <v>900</v>
      </c>
      <c r="GQ1170">
        <v>8</v>
      </c>
      <c r="GS1170">
        <v>8.1999999999999993</v>
      </c>
      <c r="GW1170">
        <v>30</v>
      </c>
      <c r="GY1170">
        <v>32</v>
      </c>
      <c r="GZ1170" t="s">
        <v>296</v>
      </c>
      <c r="HH1170" t="s">
        <v>272</v>
      </c>
      <c r="ID1170" t="s">
        <v>2535</v>
      </c>
      <c r="IE1170" t="s">
        <v>2164</v>
      </c>
      <c r="IF1170">
        <v>100591</v>
      </c>
      <c r="IG1170" t="s">
        <v>2165</v>
      </c>
      <c r="IH1170" t="s">
        <v>2166</v>
      </c>
      <c r="II1170">
        <v>2006</v>
      </c>
      <c r="IJ1170" t="s">
        <v>2167</v>
      </c>
    </row>
    <row r="1171" spans="1:244" x14ac:dyDescent="0.45">
      <c r="A1171">
        <v>1123281</v>
      </c>
      <c r="B1171">
        <v>145121</v>
      </c>
      <c r="C1171">
        <v>7758954</v>
      </c>
      <c r="D1171" t="s">
        <v>2522</v>
      </c>
      <c r="E1171" t="s">
        <v>386</v>
      </c>
      <c r="F1171" t="s">
        <v>245</v>
      </c>
      <c r="G1171" t="s">
        <v>246</v>
      </c>
      <c r="N1171" t="s">
        <v>1202</v>
      </c>
      <c r="O1171" t="s">
        <v>498</v>
      </c>
      <c r="P1171" t="s">
        <v>249</v>
      </c>
      <c r="Q1171" t="s">
        <v>250</v>
      </c>
      <c r="R1171" t="s">
        <v>251</v>
      </c>
      <c r="T1171" t="s">
        <v>252</v>
      </c>
      <c r="U1171" t="s">
        <v>499</v>
      </c>
      <c r="V1171" t="s">
        <v>500</v>
      </c>
      <c r="W1171" t="s">
        <v>501</v>
      </c>
      <c r="X1171" t="s">
        <v>1203</v>
      </c>
      <c r="AL1171" t="s">
        <v>1204</v>
      </c>
      <c r="AM1171" t="s">
        <v>287</v>
      </c>
      <c r="AN1171" t="s">
        <v>259</v>
      </c>
      <c r="AO1171" t="s">
        <v>260</v>
      </c>
      <c r="AQ1171" t="s">
        <v>261</v>
      </c>
      <c r="AR1171" t="s">
        <v>288</v>
      </c>
      <c r="AS1171">
        <v>10000</v>
      </c>
      <c r="AX1171" t="s">
        <v>262</v>
      </c>
      <c r="BO1171" t="s">
        <v>261</v>
      </c>
      <c r="BP1171" t="s">
        <v>288</v>
      </c>
      <c r="BQ1171">
        <v>10</v>
      </c>
      <c r="BV1171" t="s">
        <v>263</v>
      </c>
      <c r="CM1171" t="s">
        <v>264</v>
      </c>
      <c r="CN1171" t="s">
        <v>264</v>
      </c>
      <c r="CP1171" t="s">
        <v>265</v>
      </c>
      <c r="CQ1171" t="s">
        <v>423</v>
      </c>
      <c r="DB1171">
        <v>4</v>
      </c>
      <c r="DG1171" t="s">
        <v>267</v>
      </c>
      <c r="DI1171">
        <v>96</v>
      </c>
      <c r="DN1171" t="s">
        <v>268</v>
      </c>
      <c r="DS1171">
        <v>4697</v>
      </c>
      <c r="DT1171" t="s">
        <v>1205</v>
      </c>
      <c r="EW1171" t="s">
        <v>293</v>
      </c>
      <c r="FM1171">
        <v>19</v>
      </c>
      <c r="FR1171" t="s">
        <v>295</v>
      </c>
      <c r="HH1171" t="s">
        <v>272</v>
      </c>
      <c r="IE1171" t="s">
        <v>1206</v>
      </c>
      <c r="IF1171">
        <v>9755</v>
      </c>
      <c r="IG1171" t="s">
        <v>1207</v>
      </c>
      <c r="IH1171" t="s">
        <v>1208</v>
      </c>
      <c r="II1171">
        <v>1993</v>
      </c>
      <c r="IJ1171" t="s">
        <v>1209</v>
      </c>
    </row>
    <row r="1172" spans="1:244" x14ac:dyDescent="0.45">
      <c r="A1172">
        <v>2307792</v>
      </c>
      <c r="B1172">
        <v>2748535</v>
      </c>
      <c r="C1172">
        <v>7758954</v>
      </c>
      <c r="D1172" t="s">
        <v>2522</v>
      </c>
      <c r="F1172" t="s">
        <v>327</v>
      </c>
      <c r="G1172" t="s">
        <v>2303</v>
      </c>
      <c r="N1172" t="s">
        <v>2536</v>
      </c>
      <c r="O1172" t="s">
        <v>1164</v>
      </c>
      <c r="P1172" t="s">
        <v>249</v>
      </c>
      <c r="Q1172" t="s">
        <v>250</v>
      </c>
      <c r="R1172" t="s">
        <v>251</v>
      </c>
      <c r="T1172" t="s">
        <v>389</v>
      </c>
      <c r="U1172" t="s">
        <v>2537</v>
      </c>
      <c r="V1172" t="s">
        <v>2538</v>
      </c>
      <c r="W1172" t="s">
        <v>2539</v>
      </c>
      <c r="X1172" t="s">
        <v>2540</v>
      </c>
      <c r="Z1172" t="s">
        <v>315</v>
      </c>
      <c r="AI1172">
        <v>1</v>
      </c>
      <c r="AJ1172" t="s">
        <v>354</v>
      </c>
      <c r="AM1172" t="s">
        <v>258</v>
      </c>
      <c r="AN1172" t="s">
        <v>259</v>
      </c>
      <c r="AO1172" t="s">
        <v>260</v>
      </c>
      <c r="AQ1172" t="s">
        <v>504</v>
      </c>
      <c r="AS1172">
        <v>0.05</v>
      </c>
      <c r="AX1172" t="s">
        <v>356</v>
      </c>
      <c r="BO1172" t="s">
        <v>504</v>
      </c>
      <c r="BQ1172">
        <v>0.05</v>
      </c>
      <c r="BV1172" t="s">
        <v>263</v>
      </c>
      <c r="CM1172" t="s">
        <v>264</v>
      </c>
      <c r="CN1172" t="s">
        <v>264</v>
      </c>
      <c r="CP1172" t="s">
        <v>265</v>
      </c>
      <c r="CQ1172" t="s">
        <v>423</v>
      </c>
      <c r="DB1172">
        <v>4</v>
      </c>
      <c r="DG1172" t="s">
        <v>267</v>
      </c>
      <c r="DI1172">
        <v>96</v>
      </c>
      <c r="DN1172" t="s">
        <v>268</v>
      </c>
      <c r="DR1172">
        <v>324873</v>
      </c>
      <c r="DS1172">
        <v>16284</v>
      </c>
      <c r="DT1172" t="s">
        <v>2525</v>
      </c>
      <c r="DV1172">
        <v>96</v>
      </c>
      <c r="EA1172" t="s">
        <v>268</v>
      </c>
      <c r="EC1172">
        <v>4</v>
      </c>
      <c r="EH1172" t="s">
        <v>267</v>
      </c>
      <c r="EJ1172">
        <v>96</v>
      </c>
      <c r="EO1172" t="s">
        <v>268</v>
      </c>
      <c r="EQ1172">
        <v>4</v>
      </c>
      <c r="EV1172" t="s">
        <v>267</v>
      </c>
      <c r="EW1172" t="s">
        <v>293</v>
      </c>
      <c r="EY1172" t="s">
        <v>377</v>
      </c>
      <c r="EZ1172">
        <v>20</v>
      </c>
      <c r="FM1172">
        <v>26</v>
      </c>
      <c r="FR1172" t="s">
        <v>295</v>
      </c>
      <c r="GH1172">
        <v>4.8</v>
      </c>
      <c r="GM1172" t="s">
        <v>356</v>
      </c>
      <c r="GO1172">
        <v>7.8</v>
      </c>
      <c r="GU1172">
        <v>29.5</v>
      </c>
      <c r="GZ1172" t="s">
        <v>362</v>
      </c>
      <c r="HH1172" t="s">
        <v>272</v>
      </c>
      <c r="ID1172" t="s">
        <v>2527</v>
      </c>
      <c r="IE1172" t="s">
        <v>2528</v>
      </c>
      <c r="IF1172">
        <v>192310</v>
      </c>
      <c r="IG1172" t="s">
        <v>2529</v>
      </c>
      <c r="IH1172" t="s">
        <v>2530</v>
      </c>
      <c r="II1172">
        <v>2021</v>
      </c>
      <c r="IJ1172" t="s">
        <v>2531</v>
      </c>
    </row>
    <row r="1173" spans="1:244" x14ac:dyDescent="0.45">
      <c r="A1173">
        <v>1269765</v>
      </c>
      <c r="B1173">
        <v>721063</v>
      </c>
      <c r="C1173">
        <v>7758954</v>
      </c>
      <c r="D1173" t="s">
        <v>2522</v>
      </c>
      <c r="F1173" t="s">
        <v>327</v>
      </c>
      <c r="G1173" t="s">
        <v>246</v>
      </c>
      <c r="N1173" t="s">
        <v>2157</v>
      </c>
      <c r="O1173" t="s">
        <v>578</v>
      </c>
      <c r="P1173" t="s">
        <v>249</v>
      </c>
      <c r="Q1173" t="s">
        <v>250</v>
      </c>
      <c r="R1173" t="s">
        <v>251</v>
      </c>
      <c r="T1173" t="s">
        <v>252</v>
      </c>
      <c r="U1173" t="s">
        <v>499</v>
      </c>
      <c r="V1173" t="s">
        <v>1217</v>
      </c>
      <c r="W1173" t="s">
        <v>1218</v>
      </c>
      <c r="X1173" t="s">
        <v>351</v>
      </c>
      <c r="Z1173" t="s">
        <v>649</v>
      </c>
      <c r="AA1173" t="s">
        <v>289</v>
      </c>
      <c r="AB1173">
        <v>7</v>
      </c>
      <c r="AG1173" t="s">
        <v>267</v>
      </c>
      <c r="AL1173" t="s">
        <v>2178</v>
      </c>
      <c r="AM1173" t="s">
        <v>317</v>
      </c>
      <c r="AN1173" t="s">
        <v>259</v>
      </c>
      <c r="AO1173" t="s">
        <v>260</v>
      </c>
      <c r="AP1173">
        <v>5</v>
      </c>
      <c r="AQ1173" t="s">
        <v>504</v>
      </c>
      <c r="AS1173">
        <v>1530</v>
      </c>
      <c r="AX1173" t="s">
        <v>262</v>
      </c>
      <c r="BO1173" t="s">
        <v>504</v>
      </c>
      <c r="BQ1173">
        <v>1.53</v>
      </c>
      <c r="BV1173" t="s">
        <v>263</v>
      </c>
      <c r="CM1173" t="s">
        <v>264</v>
      </c>
      <c r="CN1173" t="s">
        <v>264</v>
      </c>
      <c r="CP1173" t="s">
        <v>265</v>
      </c>
      <c r="CQ1173" t="s">
        <v>423</v>
      </c>
      <c r="DB1173">
        <v>4</v>
      </c>
      <c r="DG1173" t="s">
        <v>267</v>
      </c>
      <c r="DI1173">
        <v>96</v>
      </c>
      <c r="DN1173" t="s">
        <v>268</v>
      </c>
      <c r="DP1173" t="s">
        <v>2533</v>
      </c>
      <c r="DR1173">
        <v>315597</v>
      </c>
      <c r="DS1173">
        <v>18408</v>
      </c>
      <c r="DT1173" t="s">
        <v>2160</v>
      </c>
      <c r="EW1173" t="s">
        <v>293</v>
      </c>
      <c r="FA1173" t="s">
        <v>2161</v>
      </c>
      <c r="FK1173" t="s">
        <v>2541</v>
      </c>
      <c r="FO1173">
        <v>20.5</v>
      </c>
      <c r="FQ1173">
        <v>21.2</v>
      </c>
      <c r="FR1173" t="s">
        <v>295</v>
      </c>
      <c r="GG1173" t="s">
        <v>288</v>
      </c>
      <c r="GH1173">
        <v>95</v>
      </c>
      <c r="GM1173" t="s">
        <v>900</v>
      </c>
      <c r="GQ1173">
        <v>8</v>
      </c>
      <c r="GS1173">
        <v>8.1999999999999993</v>
      </c>
      <c r="GW1173">
        <v>30</v>
      </c>
      <c r="GY1173">
        <v>32</v>
      </c>
      <c r="GZ1173" t="s">
        <v>296</v>
      </c>
      <c r="HH1173" t="s">
        <v>272</v>
      </c>
      <c r="ID1173" t="s">
        <v>2542</v>
      </c>
      <c r="IE1173" t="s">
        <v>2164</v>
      </c>
      <c r="IF1173">
        <v>100591</v>
      </c>
      <c r="IG1173" t="s">
        <v>2165</v>
      </c>
      <c r="IH1173" t="s">
        <v>2166</v>
      </c>
      <c r="II1173">
        <v>2006</v>
      </c>
      <c r="IJ1173" t="s">
        <v>2167</v>
      </c>
    </row>
    <row r="1174" spans="1:244" x14ac:dyDescent="0.45">
      <c r="A1174">
        <v>1053939</v>
      </c>
      <c r="B1174">
        <v>194583</v>
      </c>
      <c r="C1174">
        <v>7758954</v>
      </c>
      <c r="D1174" t="s">
        <v>2522</v>
      </c>
      <c r="F1174" t="s">
        <v>245</v>
      </c>
      <c r="G1174" t="s">
        <v>246</v>
      </c>
      <c r="N1174" t="s">
        <v>1492</v>
      </c>
      <c r="O1174" t="s">
        <v>1493</v>
      </c>
      <c r="P1174" t="s">
        <v>249</v>
      </c>
      <c r="Q1174" t="s">
        <v>250</v>
      </c>
      <c r="R1174" t="s">
        <v>251</v>
      </c>
      <c r="T1174" t="s">
        <v>252</v>
      </c>
      <c r="U1174" t="s">
        <v>253</v>
      </c>
      <c r="V1174" t="s">
        <v>281</v>
      </c>
      <c r="W1174" t="s">
        <v>282</v>
      </c>
      <c r="X1174" t="s">
        <v>1494</v>
      </c>
      <c r="Z1174" t="s">
        <v>1046</v>
      </c>
      <c r="AB1174">
        <v>1</v>
      </c>
      <c r="AG1174" t="s">
        <v>598</v>
      </c>
      <c r="AM1174" t="s">
        <v>317</v>
      </c>
      <c r="AN1174" t="s">
        <v>259</v>
      </c>
      <c r="AO1174" t="s">
        <v>260</v>
      </c>
      <c r="AQ1174" t="s">
        <v>261</v>
      </c>
      <c r="AS1174">
        <v>0.6</v>
      </c>
      <c r="AU1174">
        <v>0.38</v>
      </c>
      <c r="AW1174">
        <v>0.95</v>
      </c>
      <c r="AX1174" t="s">
        <v>356</v>
      </c>
      <c r="BO1174" t="s">
        <v>261</v>
      </c>
      <c r="BQ1174">
        <v>0.6</v>
      </c>
      <c r="BS1174">
        <v>0.38</v>
      </c>
      <c r="BU1174">
        <v>0.95</v>
      </c>
      <c r="BV1174" t="s">
        <v>263</v>
      </c>
      <c r="CM1174" t="s">
        <v>264</v>
      </c>
      <c r="CN1174" t="s">
        <v>264</v>
      </c>
      <c r="CO1174" t="s">
        <v>2543</v>
      </c>
      <c r="CP1174" t="s">
        <v>265</v>
      </c>
      <c r="CQ1174" t="s">
        <v>423</v>
      </c>
      <c r="DB1174">
        <v>4</v>
      </c>
      <c r="DG1174" t="s">
        <v>267</v>
      </c>
      <c r="DI1174">
        <v>96</v>
      </c>
      <c r="DN1174" t="s">
        <v>268</v>
      </c>
      <c r="DR1174">
        <v>29965</v>
      </c>
      <c r="DS1174">
        <v>339</v>
      </c>
      <c r="EW1174" t="s">
        <v>293</v>
      </c>
      <c r="FM1174">
        <v>8.5</v>
      </c>
      <c r="FR1174" t="s">
        <v>295</v>
      </c>
      <c r="GO1174">
        <v>8.1</v>
      </c>
      <c r="GU1174">
        <v>30</v>
      </c>
      <c r="GZ1174" t="s">
        <v>296</v>
      </c>
      <c r="HH1174" t="s">
        <v>272</v>
      </c>
      <c r="IE1174" t="s">
        <v>1472</v>
      </c>
      <c r="IF1174">
        <v>3752</v>
      </c>
      <c r="IG1174" t="s">
        <v>1473</v>
      </c>
      <c r="IH1174" t="s">
        <v>1474</v>
      </c>
      <c r="II1174">
        <v>1983</v>
      </c>
      <c r="IJ1174" t="s">
        <v>1475</v>
      </c>
    </row>
    <row r="1175" spans="1:244" x14ac:dyDescent="0.45">
      <c r="A1175">
        <v>1123262</v>
      </c>
      <c r="B1175">
        <v>44622</v>
      </c>
      <c r="C1175">
        <v>7758954</v>
      </c>
      <c r="D1175" t="s">
        <v>2522</v>
      </c>
      <c r="E1175" t="s">
        <v>386</v>
      </c>
      <c r="F1175" t="s">
        <v>245</v>
      </c>
      <c r="G1175" t="s">
        <v>246</v>
      </c>
      <c r="N1175" t="s">
        <v>1280</v>
      </c>
      <c r="O1175" t="s">
        <v>498</v>
      </c>
      <c r="P1175" t="s">
        <v>249</v>
      </c>
      <c r="Q1175" t="s">
        <v>250</v>
      </c>
      <c r="R1175" t="s">
        <v>251</v>
      </c>
      <c r="T1175" t="s">
        <v>252</v>
      </c>
      <c r="U1175" t="s">
        <v>499</v>
      </c>
      <c r="V1175" t="s">
        <v>1281</v>
      </c>
      <c r="W1175" t="s">
        <v>1282</v>
      </c>
      <c r="X1175" t="s">
        <v>1283</v>
      </c>
      <c r="AL1175" t="s">
        <v>1204</v>
      </c>
      <c r="AM1175" t="s">
        <v>287</v>
      </c>
      <c r="AN1175" t="s">
        <v>259</v>
      </c>
      <c r="AO1175" t="s">
        <v>260</v>
      </c>
      <c r="AQ1175" t="s">
        <v>261</v>
      </c>
      <c r="AR1175" t="s">
        <v>288</v>
      </c>
      <c r="AS1175">
        <v>5000</v>
      </c>
      <c r="AX1175" t="s">
        <v>262</v>
      </c>
      <c r="BO1175" t="s">
        <v>261</v>
      </c>
      <c r="BP1175" t="s">
        <v>288</v>
      </c>
      <c r="BQ1175">
        <v>5</v>
      </c>
      <c r="BV1175" t="s">
        <v>263</v>
      </c>
      <c r="CM1175" t="s">
        <v>264</v>
      </c>
      <c r="CN1175" t="s">
        <v>264</v>
      </c>
      <c r="CP1175" t="s">
        <v>265</v>
      </c>
      <c r="CQ1175" t="s">
        <v>423</v>
      </c>
      <c r="DB1175">
        <v>4</v>
      </c>
      <c r="DG1175" t="s">
        <v>267</v>
      </c>
      <c r="DI1175">
        <v>96</v>
      </c>
      <c r="DN1175" t="s">
        <v>268</v>
      </c>
      <c r="DS1175">
        <v>2851</v>
      </c>
      <c r="DT1175" t="s">
        <v>1205</v>
      </c>
      <c r="EW1175" t="s">
        <v>293</v>
      </c>
      <c r="FM1175">
        <v>19</v>
      </c>
      <c r="FR1175" t="s">
        <v>295</v>
      </c>
      <c r="HH1175" t="s">
        <v>272</v>
      </c>
      <c r="IE1175" t="s">
        <v>1206</v>
      </c>
      <c r="IF1175">
        <v>9755</v>
      </c>
      <c r="IG1175" t="s">
        <v>1207</v>
      </c>
      <c r="IH1175" t="s">
        <v>1208</v>
      </c>
      <c r="II1175">
        <v>1993</v>
      </c>
      <c r="IJ1175" t="s">
        <v>1209</v>
      </c>
    </row>
    <row r="1176" spans="1:244" x14ac:dyDescent="0.45">
      <c r="A1176">
        <v>2307804</v>
      </c>
      <c r="B1176">
        <v>2748556</v>
      </c>
      <c r="C1176">
        <v>7758954</v>
      </c>
      <c r="D1176" t="s">
        <v>2522</v>
      </c>
      <c r="F1176" t="s">
        <v>327</v>
      </c>
      <c r="G1176" t="s">
        <v>2303</v>
      </c>
      <c r="N1176" t="s">
        <v>958</v>
      </c>
      <c r="O1176" t="s">
        <v>959</v>
      </c>
      <c r="P1176" t="s">
        <v>249</v>
      </c>
      <c r="Q1176" t="s">
        <v>250</v>
      </c>
      <c r="R1176" t="s">
        <v>251</v>
      </c>
      <c r="T1176" t="s">
        <v>252</v>
      </c>
      <c r="U1176" t="s">
        <v>253</v>
      </c>
      <c r="V1176" t="s">
        <v>418</v>
      </c>
      <c r="W1176" t="s">
        <v>419</v>
      </c>
      <c r="X1176" t="s">
        <v>960</v>
      </c>
      <c r="Z1176" t="s">
        <v>421</v>
      </c>
      <c r="AB1176">
        <v>14</v>
      </c>
      <c r="AG1176" t="s">
        <v>267</v>
      </c>
      <c r="AI1176">
        <v>2</v>
      </c>
      <c r="AJ1176" t="s">
        <v>354</v>
      </c>
      <c r="AM1176" t="s">
        <v>307</v>
      </c>
      <c r="AN1176" t="s">
        <v>259</v>
      </c>
      <c r="AO1176" t="s">
        <v>260</v>
      </c>
      <c r="AQ1176" t="s">
        <v>504</v>
      </c>
      <c r="AS1176">
        <v>5.77</v>
      </c>
      <c r="AX1176" t="s">
        <v>356</v>
      </c>
      <c r="BO1176" t="s">
        <v>504</v>
      </c>
      <c r="BQ1176">
        <v>5.77</v>
      </c>
      <c r="BV1176" t="s">
        <v>263</v>
      </c>
      <c r="CM1176" t="s">
        <v>264</v>
      </c>
      <c r="CN1176" t="s">
        <v>264</v>
      </c>
      <c r="CP1176" t="s">
        <v>265</v>
      </c>
      <c r="CQ1176" t="s">
        <v>423</v>
      </c>
      <c r="DB1176">
        <v>4</v>
      </c>
      <c r="DG1176" t="s">
        <v>267</v>
      </c>
      <c r="DI1176">
        <v>96</v>
      </c>
      <c r="DN1176" t="s">
        <v>268</v>
      </c>
      <c r="DR1176">
        <v>6687</v>
      </c>
      <c r="DS1176">
        <v>252</v>
      </c>
      <c r="DT1176" t="s">
        <v>2525</v>
      </c>
      <c r="DV1176">
        <v>96</v>
      </c>
      <c r="EA1176" t="s">
        <v>268</v>
      </c>
      <c r="EC1176">
        <v>4</v>
      </c>
      <c r="EH1176" t="s">
        <v>267</v>
      </c>
      <c r="EJ1176">
        <v>96</v>
      </c>
      <c r="EO1176" t="s">
        <v>268</v>
      </c>
      <c r="EQ1176">
        <v>4</v>
      </c>
      <c r="EV1176" t="s">
        <v>267</v>
      </c>
      <c r="EW1176" t="s">
        <v>293</v>
      </c>
      <c r="EY1176" t="s">
        <v>377</v>
      </c>
      <c r="EZ1176">
        <v>10</v>
      </c>
      <c r="FM1176">
        <v>26</v>
      </c>
      <c r="FR1176" t="s">
        <v>295</v>
      </c>
      <c r="GH1176">
        <v>4.8</v>
      </c>
      <c r="GM1176" t="s">
        <v>356</v>
      </c>
      <c r="GO1176">
        <v>7.8</v>
      </c>
      <c r="GU1176">
        <v>29.5</v>
      </c>
      <c r="GZ1176" t="s">
        <v>362</v>
      </c>
      <c r="HH1176" t="s">
        <v>272</v>
      </c>
      <c r="ID1176" t="s">
        <v>2544</v>
      </c>
      <c r="IE1176" t="s">
        <v>2528</v>
      </c>
      <c r="IF1176">
        <v>192310</v>
      </c>
      <c r="IG1176" t="s">
        <v>2529</v>
      </c>
      <c r="IH1176" t="s">
        <v>2530</v>
      </c>
      <c r="II1176">
        <v>2021</v>
      </c>
      <c r="IJ1176" t="s">
        <v>2531</v>
      </c>
    </row>
    <row r="1177" spans="1:244" x14ac:dyDescent="0.45">
      <c r="A1177">
        <v>1053872</v>
      </c>
      <c r="B1177">
        <v>194163</v>
      </c>
      <c r="C1177">
        <v>7758954</v>
      </c>
      <c r="D1177" t="s">
        <v>2522</v>
      </c>
      <c r="F1177" t="s">
        <v>245</v>
      </c>
      <c r="G1177" t="s">
        <v>246</v>
      </c>
      <c r="N1177" t="s">
        <v>1364</v>
      </c>
      <c r="O1177" t="s">
        <v>1365</v>
      </c>
      <c r="P1177" t="s">
        <v>249</v>
      </c>
      <c r="Q1177" t="s">
        <v>250</v>
      </c>
      <c r="R1177" t="s">
        <v>251</v>
      </c>
      <c r="T1177" t="s">
        <v>252</v>
      </c>
      <c r="U1177" t="s">
        <v>253</v>
      </c>
      <c r="V1177" t="s">
        <v>548</v>
      </c>
      <c r="W1177" t="s">
        <v>549</v>
      </c>
      <c r="X1177" t="s">
        <v>351</v>
      </c>
      <c r="Z1177" t="s">
        <v>315</v>
      </c>
      <c r="AL1177" t="s">
        <v>2532</v>
      </c>
      <c r="AM1177" t="s">
        <v>307</v>
      </c>
      <c r="AN1177" t="s">
        <v>259</v>
      </c>
      <c r="AO1177" t="s">
        <v>260</v>
      </c>
      <c r="AQ1177" t="s">
        <v>261</v>
      </c>
      <c r="AR1177" t="s">
        <v>288</v>
      </c>
      <c r="AS1177">
        <v>2.09</v>
      </c>
      <c r="AX1177" t="s">
        <v>356</v>
      </c>
      <c r="BO1177" t="s">
        <v>261</v>
      </c>
      <c r="BP1177" t="s">
        <v>288</v>
      </c>
      <c r="BQ1177">
        <v>2.09</v>
      </c>
      <c r="BV1177" t="s">
        <v>263</v>
      </c>
      <c r="CM1177" t="s">
        <v>264</v>
      </c>
      <c r="CN1177" t="s">
        <v>264</v>
      </c>
      <c r="CP1177" t="s">
        <v>265</v>
      </c>
      <c r="CQ1177" t="s">
        <v>423</v>
      </c>
      <c r="DB1177">
        <v>4</v>
      </c>
      <c r="DG1177" t="s">
        <v>267</v>
      </c>
      <c r="DI1177">
        <v>96</v>
      </c>
      <c r="DN1177" t="s">
        <v>268</v>
      </c>
      <c r="DR1177">
        <v>98082</v>
      </c>
      <c r="DS1177">
        <v>2125</v>
      </c>
      <c r="EW1177" t="s">
        <v>293</v>
      </c>
      <c r="FM1177">
        <v>10</v>
      </c>
      <c r="FR1177" t="s">
        <v>295</v>
      </c>
      <c r="GH1177">
        <v>7</v>
      </c>
      <c r="GM1177" t="s">
        <v>356</v>
      </c>
      <c r="GO1177">
        <v>8.1</v>
      </c>
      <c r="GU1177">
        <v>28.8</v>
      </c>
      <c r="GZ1177" t="s">
        <v>296</v>
      </c>
      <c r="HH1177" t="s">
        <v>272</v>
      </c>
      <c r="IE1177" t="s">
        <v>1472</v>
      </c>
      <c r="IF1177">
        <v>3752</v>
      </c>
      <c r="IG1177" t="s">
        <v>1473</v>
      </c>
      <c r="IH1177" t="s">
        <v>1474</v>
      </c>
      <c r="II1177">
        <v>1983</v>
      </c>
      <c r="IJ1177" t="s">
        <v>1475</v>
      </c>
    </row>
    <row r="1178" spans="1:244" x14ac:dyDescent="0.45">
      <c r="A1178">
        <v>1253209</v>
      </c>
      <c r="B1178">
        <v>701676</v>
      </c>
      <c r="C1178">
        <v>7758987</v>
      </c>
      <c r="D1178" t="s">
        <v>2545</v>
      </c>
      <c r="F1178" t="s">
        <v>245</v>
      </c>
      <c r="G1178" t="s">
        <v>246</v>
      </c>
      <c r="N1178" t="s">
        <v>2272</v>
      </c>
      <c r="O1178" t="s">
        <v>2273</v>
      </c>
      <c r="P1178" t="s">
        <v>249</v>
      </c>
      <c r="Q1178" t="s">
        <v>250</v>
      </c>
      <c r="R1178" t="s">
        <v>251</v>
      </c>
      <c r="T1178" t="s">
        <v>252</v>
      </c>
      <c r="U1178" t="s">
        <v>253</v>
      </c>
      <c r="V1178" t="s">
        <v>1735</v>
      </c>
      <c r="W1178" t="s">
        <v>2274</v>
      </c>
      <c r="X1178" t="s">
        <v>2275</v>
      </c>
      <c r="Z1178" t="s">
        <v>284</v>
      </c>
      <c r="AA1178" t="s">
        <v>352</v>
      </c>
      <c r="AB1178">
        <v>7</v>
      </c>
      <c r="AG1178" t="s">
        <v>353</v>
      </c>
      <c r="AM1178" t="s">
        <v>307</v>
      </c>
      <c r="AN1178" t="s">
        <v>259</v>
      </c>
      <c r="AO1178" t="s">
        <v>260</v>
      </c>
      <c r="AP1178">
        <v>6</v>
      </c>
      <c r="AQ1178" t="s">
        <v>261</v>
      </c>
      <c r="AS1178">
        <v>90</v>
      </c>
      <c r="AX1178" t="s">
        <v>262</v>
      </c>
      <c r="BO1178" t="s">
        <v>261</v>
      </c>
      <c r="BQ1178">
        <v>0.09</v>
      </c>
      <c r="BV1178" t="s">
        <v>263</v>
      </c>
      <c r="CM1178" t="s">
        <v>264</v>
      </c>
      <c r="CN1178" t="s">
        <v>264</v>
      </c>
      <c r="CP1178" t="s">
        <v>265</v>
      </c>
      <c r="CQ1178" t="s">
        <v>394</v>
      </c>
      <c r="DB1178">
        <v>4</v>
      </c>
      <c r="DG1178" t="s">
        <v>267</v>
      </c>
      <c r="DI1178">
        <v>96</v>
      </c>
      <c r="DN1178" t="s">
        <v>268</v>
      </c>
      <c r="DP1178" t="s">
        <v>2546</v>
      </c>
      <c r="DR1178">
        <v>220131</v>
      </c>
      <c r="DS1178">
        <v>16412</v>
      </c>
      <c r="EW1178" t="s">
        <v>293</v>
      </c>
      <c r="FK1178" t="s">
        <v>2547</v>
      </c>
      <c r="FM1178">
        <v>27</v>
      </c>
      <c r="FR1178" t="s">
        <v>295</v>
      </c>
      <c r="GQ1178">
        <v>7.2</v>
      </c>
      <c r="GS1178">
        <v>7.5</v>
      </c>
      <c r="GU1178">
        <v>25</v>
      </c>
      <c r="GZ1178" t="s">
        <v>296</v>
      </c>
      <c r="HH1178" t="s">
        <v>272</v>
      </c>
      <c r="ID1178" t="s">
        <v>2548</v>
      </c>
      <c r="IE1178" t="s">
        <v>2280</v>
      </c>
      <c r="IF1178">
        <v>69820</v>
      </c>
      <c r="IG1178" t="s">
        <v>2281</v>
      </c>
      <c r="IH1178" t="s">
        <v>2282</v>
      </c>
      <c r="II1178">
        <v>2000</v>
      </c>
      <c r="IJ1178" t="s">
        <v>2283</v>
      </c>
    </row>
    <row r="1179" spans="1:244" x14ac:dyDescent="0.45">
      <c r="A1179">
        <v>1196480</v>
      </c>
      <c r="B1179">
        <v>149555</v>
      </c>
      <c r="C1179">
        <v>7758987</v>
      </c>
      <c r="D1179" t="s">
        <v>2545</v>
      </c>
      <c r="F1179" t="s">
        <v>272</v>
      </c>
      <c r="G1179" t="s">
        <v>246</v>
      </c>
      <c r="N1179" t="s">
        <v>845</v>
      </c>
      <c r="O1179" t="s">
        <v>846</v>
      </c>
      <c r="P1179" t="s">
        <v>249</v>
      </c>
      <c r="Q1179" t="s">
        <v>250</v>
      </c>
      <c r="R1179" t="s">
        <v>251</v>
      </c>
      <c r="T1179" t="s">
        <v>252</v>
      </c>
      <c r="U1179" t="s">
        <v>253</v>
      </c>
      <c r="V1179" t="s">
        <v>418</v>
      </c>
      <c r="W1179" t="s">
        <v>847</v>
      </c>
      <c r="X1179" t="s">
        <v>848</v>
      </c>
      <c r="Z1179" t="s">
        <v>421</v>
      </c>
      <c r="AM1179" t="s">
        <v>287</v>
      </c>
      <c r="AN1179" t="s">
        <v>259</v>
      </c>
      <c r="AO1179" t="s">
        <v>260</v>
      </c>
      <c r="AQ1179" t="s">
        <v>261</v>
      </c>
      <c r="AS1179">
        <v>465000</v>
      </c>
      <c r="AU1179">
        <v>427000</v>
      </c>
      <c r="AW1179">
        <v>506000</v>
      </c>
      <c r="AX1179" t="s">
        <v>262</v>
      </c>
      <c r="BO1179" t="s">
        <v>261</v>
      </c>
      <c r="BQ1179">
        <v>465</v>
      </c>
      <c r="BS1179">
        <v>427</v>
      </c>
      <c r="BU1179">
        <v>506</v>
      </c>
      <c r="BV1179" t="s">
        <v>263</v>
      </c>
      <c r="CM1179" t="s">
        <v>264</v>
      </c>
      <c r="CN1179" t="s">
        <v>264</v>
      </c>
      <c r="CO1179" t="s">
        <v>2549</v>
      </c>
      <c r="CP1179" t="s">
        <v>265</v>
      </c>
      <c r="DB1179">
        <v>1</v>
      </c>
      <c r="DG1179" t="s">
        <v>267</v>
      </c>
      <c r="DI1179">
        <v>24</v>
      </c>
      <c r="DN1179" t="s">
        <v>268</v>
      </c>
      <c r="DR1179">
        <v>32278</v>
      </c>
      <c r="DS1179">
        <v>4580</v>
      </c>
      <c r="EW1179" t="s">
        <v>272</v>
      </c>
      <c r="FO1179">
        <v>25.2</v>
      </c>
      <c r="FQ1179">
        <v>29.5</v>
      </c>
      <c r="FR1179" t="s">
        <v>295</v>
      </c>
      <c r="GQ1179">
        <v>7.7</v>
      </c>
      <c r="GS1179">
        <v>8.3000000000000007</v>
      </c>
      <c r="GW1179">
        <v>26</v>
      </c>
      <c r="GY1179">
        <v>34</v>
      </c>
      <c r="GZ1179" t="s">
        <v>296</v>
      </c>
      <c r="HH1179" t="s">
        <v>272</v>
      </c>
      <c r="IE1179" t="s">
        <v>2550</v>
      </c>
      <c r="IF1179">
        <v>17681</v>
      </c>
      <c r="IG1179" t="s">
        <v>2551</v>
      </c>
      <c r="IH1179" t="s">
        <v>2552</v>
      </c>
      <c r="II1179">
        <v>1990</v>
      </c>
      <c r="IJ1179" t="s">
        <v>2553</v>
      </c>
    </row>
    <row r="1180" spans="1:244" x14ac:dyDescent="0.45">
      <c r="A1180">
        <v>1141318</v>
      </c>
      <c r="B1180">
        <v>121232</v>
      </c>
      <c r="C1180">
        <v>7758987</v>
      </c>
      <c r="D1180" t="s">
        <v>2545</v>
      </c>
      <c r="F1180" t="s">
        <v>245</v>
      </c>
      <c r="G1180" t="s">
        <v>246</v>
      </c>
      <c r="N1180" t="s">
        <v>1800</v>
      </c>
      <c r="O1180" t="s">
        <v>1801</v>
      </c>
      <c r="P1180" t="s">
        <v>249</v>
      </c>
      <c r="Q1180" t="s">
        <v>250</v>
      </c>
      <c r="R1180" t="s">
        <v>251</v>
      </c>
      <c r="T1180" t="s">
        <v>252</v>
      </c>
      <c r="U1180" t="s">
        <v>253</v>
      </c>
      <c r="V1180" t="s">
        <v>418</v>
      </c>
      <c r="W1180" t="s">
        <v>847</v>
      </c>
      <c r="X1180" t="s">
        <v>1802</v>
      </c>
      <c r="AL1180" t="s">
        <v>1834</v>
      </c>
      <c r="AM1180" t="s">
        <v>258</v>
      </c>
      <c r="AN1180" t="s">
        <v>259</v>
      </c>
      <c r="AO1180" t="s">
        <v>260</v>
      </c>
      <c r="AQ1180" t="s">
        <v>261</v>
      </c>
      <c r="AS1180">
        <v>2850</v>
      </c>
      <c r="AU1180">
        <v>1838</v>
      </c>
      <c r="AW1180">
        <v>4417.5</v>
      </c>
      <c r="AX1180" t="s">
        <v>262</v>
      </c>
      <c r="BO1180" t="s">
        <v>261</v>
      </c>
      <c r="BQ1180">
        <v>2.85</v>
      </c>
      <c r="BS1180">
        <v>1.8380000000000001</v>
      </c>
      <c r="BU1180">
        <v>4.4175000000000004</v>
      </c>
      <c r="BV1180" t="s">
        <v>263</v>
      </c>
      <c r="CM1180" t="s">
        <v>264</v>
      </c>
      <c r="CN1180" t="s">
        <v>264</v>
      </c>
      <c r="CP1180" t="s">
        <v>265</v>
      </c>
      <c r="CQ1180" t="s">
        <v>394</v>
      </c>
      <c r="DB1180">
        <v>3</v>
      </c>
      <c r="DG1180" t="s">
        <v>267</v>
      </c>
      <c r="DI1180">
        <v>72</v>
      </c>
      <c r="DN1180" t="s">
        <v>268</v>
      </c>
      <c r="DP1180" t="s">
        <v>1804</v>
      </c>
      <c r="DR1180">
        <v>1378283</v>
      </c>
      <c r="DS1180">
        <v>4579</v>
      </c>
      <c r="EW1180" t="s">
        <v>271</v>
      </c>
      <c r="FM1180">
        <v>27.5</v>
      </c>
      <c r="FR1180" t="s">
        <v>295</v>
      </c>
      <c r="GG1180" t="s">
        <v>288</v>
      </c>
      <c r="GH1180">
        <v>60</v>
      </c>
      <c r="GM1180" t="s">
        <v>900</v>
      </c>
      <c r="GU1180">
        <v>15</v>
      </c>
      <c r="GZ1180" t="s">
        <v>296</v>
      </c>
      <c r="HH1180" t="s">
        <v>272</v>
      </c>
      <c r="IE1180" t="s">
        <v>1805</v>
      </c>
      <c r="IF1180">
        <v>11853</v>
      </c>
      <c r="IG1180" t="s">
        <v>1806</v>
      </c>
      <c r="IH1180" t="s">
        <v>1807</v>
      </c>
      <c r="II1180">
        <v>1986</v>
      </c>
      <c r="IJ1180" t="s">
        <v>1808</v>
      </c>
    </row>
    <row r="1181" spans="1:244" x14ac:dyDescent="0.45">
      <c r="A1181">
        <v>1292697</v>
      </c>
      <c r="B1181">
        <v>747584</v>
      </c>
      <c r="C1181">
        <v>7758987</v>
      </c>
      <c r="D1181" t="s">
        <v>2545</v>
      </c>
      <c r="F1181" t="s">
        <v>245</v>
      </c>
      <c r="G1181" t="s">
        <v>246</v>
      </c>
      <c r="N1181" t="s">
        <v>1216</v>
      </c>
      <c r="O1181" t="s">
        <v>578</v>
      </c>
      <c r="P1181" t="s">
        <v>249</v>
      </c>
      <c r="Q1181" t="s">
        <v>250</v>
      </c>
      <c r="R1181" t="s">
        <v>251</v>
      </c>
      <c r="T1181" t="s">
        <v>252</v>
      </c>
      <c r="U1181" t="s">
        <v>499</v>
      </c>
      <c r="V1181" t="s">
        <v>1217</v>
      </c>
      <c r="W1181" t="s">
        <v>1218</v>
      </c>
      <c r="X1181" t="s">
        <v>1219</v>
      </c>
      <c r="Z1181" t="s">
        <v>649</v>
      </c>
      <c r="AB1181">
        <v>11</v>
      </c>
      <c r="AG1181" t="s">
        <v>267</v>
      </c>
      <c r="AM1181" t="s">
        <v>317</v>
      </c>
      <c r="AN1181" t="s">
        <v>259</v>
      </c>
      <c r="AO1181" t="s">
        <v>260</v>
      </c>
      <c r="AQ1181" t="s">
        <v>504</v>
      </c>
      <c r="AS1181">
        <v>230</v>
      </c>
      <c r="AX1181" t="s">
        <v>262</v>
      </c>
      <c r="BO1181" t="s">
        <v>504</v>
      </c>
      <c r="BQ1181">
        <v>0.23</v>
      </c>
      <c r="BV1181" t="s">
        <v>263</v>
      </c>
      <c r="CM1181" t="s">
        <v>264</v>
      </c>
      <c r="CN1181" t="s">
        <v>264</v>
      </c>
      <c r="CP1181" t="s">
        <v>265</v>
      </c>
      <c r="CQ1181" t="s">
        <v>394</v>
      </c>
      <c r="DB1181">
        <v>4</v>
      </c>
      <c r="DG1181" t="s">
        <v>267</v>
      </c>
      <c r="DI1181">
        <v>4</v>
      </c>
      <c r="DN1181" t="s">
        <v>267</v>
      </c>
      <c r="DP1181" t="s">
        <v>2554</v>
      </c>
      <c r="DR1181">
        <v>764486</v>
      </c>
      <c r="DS1181">
        <v>18590</v>
      </c>
      <c r="DT1181" t="s">
        <v>2555</v>
      </c>
      <c r="EW1181" t="s">
        <v>293</v>
      </c>
      <c r="FA1181" t="s">
        <v>2556</v>
      </c>
      <c r="FK1181" t="s">
        <v>2557</v>
      </c>
      <c r="FM1181">
        <v>21</v>
      </c>
      <c r="FR1181" t="s">
        <v>295</v>
      </c>
      <c r="GG1181" t="s">
        <v>288</v>
      </c>
      <c r="GH1181">
        <v>85</v>
      </c>
      <c r="GM1181" t="s">
        <v>1224</v>
      </c>
      <c r="GQ1181">
        <v>8</v>
      </c>
      <c r="GS1181">
        <v>8.1999999999999993</v>
      </c>
      <c r="GU1181">
        <v>30</v>
      </c>
      <c r="GZ1181" t="s">
        <v>296</v>
      </c>
      <c r="HH1181" t="s">
        <v>272</v>
      </c>
      <c r="ID1181" t="s">
        <v>2558</v>
      </c>
      <c r="IE1181" t="s">
        <v>2559</v>
      </c>
      <c r="IF1181">
        <v>112230</v>
      </c>
      <c r="IG1181" t="s">
        <v>2560</v>
      </c>
      <c r="IH1181" t="s">
        <v>2561</v>
      </c>
      <c r="II1181">
        <v>2008</v>
      </c>
      <c r="IJ1181" t="s">
        <v>2562</v>
      </c>
    </row>
    <row r="1182" spans="1:244" x14ac:dyDescent="0.45">
      <c r="A1182">
        <v>1253473</v>
      </c>
      <c r="B1182">
        <v>702071</v>
      </c>
      <c r="C1182">
        <v>7758987</v>
      </c>
      <c r="D1182" t="s">
        <v>2545</v>
      </c>
      <c r="F1182" t="s">
        <v>245</v>
      </c>
      <c r="G1182" t="s">
        <v>246</v>
      </c>
      <c r="N1182" t="s">
        <v>2563</v>
      </c>
      <c r="O1182" t="s">
        <v>2564</v>
      </c>
      <c r="P1182" t="s">
        <v>249</v>
      </c>
      <c r="Q1182" t="s">
        <v>250</v>
      </c>
      <c r="R1182" t="s">
        <v>251</v>
      </c>
      <c r="T1182" t="s">
        <v>252</v>
      </c>
      <c r="U1182" t="s">
        <v>253</v>
      </c>
      <c r="V1182" t="s">
        <v>304</v>
      </c>
      <c r="W1182" t="s">
        <v>305</v>
      </c>
      <c r="X1182" t="s">
        <v>2565</v>
      </c>
      <c r="AL1182" t="s">
        <v>2566</v>
      </c>
      <c r="AM1182" t="s">
        <v>317</v>
      </c>
      <c r="AN1182" t="s">
        <v>259</v>
      </c>
      <c r="AO1182" t="s">
        <v>260</v>
      </c>
      <c r="AP1182">
        <v>13</v>
      </c>
      <c r="AQ1182" t="s">
        <v>261</v>
      </c>
      <c r="AS1182">
        <v>16</v>
      </c>
      <c r="AX1182" t="s">
        <v>356</v>
      </c>
      <c r="BO1182" t="s">
        <v>261</v>
      </c>
      <c r="BQ1182">
        <v>16</v>
      </c>
      <c r="BV1182" t="s">
        <v>263</v>
      </c>
      <c r="CM1182" t="s">
        <v>264</v>
      </c>
      <c r="CN1182" t="s">
        <v>264</v>
      </c>
      <c r="CP1182" t="s">
        <v>265</v>
      </c>
      <c r="CQ1182" t="s">
        <v>394</v>
      </c>
      <c r="DB1182">
        <v>4</v>
      </c>
      <c r="DG1182" t="s">
        <v>267</v>
      </c>
      <c r="DI1182">
        <v>96</v>
      </c>
      <c r="DN1182" t="s">
        <v>268</v>
      </c>
      <c r="DP1182" t="s">
        <v>2546</v>
      </c>
      <c r="DR1182">
        <v>1169710</v>
      </c>
      <c r="DS1182">
        <v>2997</v>
      </c>
      <c r="EW1182" t="s">
        <v>293</v>
      </c>
      <c r="FK1182" t="s">
        <v>2567</v>
      </c>
      <c r="FM1182">
        <v>17</v>
      </c>
      <c r="FR1182" t="s">
        <v>295</v>
      </c>
      <c r="GO1182">
        <v>7</v>
      </c>
      <c r="GU1182">
        <v>15</v>
      </c>
      <c r="GZ1182" t="s">
        <v>296</v>
      </c>
      <c r="HH1182" t="s">
        <v>272</v>
      </c>
      <c r="ID1182" t="s">
        <v>2568</v>
      </c>
      <c r="IE1182" t="s">
        <v>2569</v>
      </c>
      <c r="IF1182">
        <v>77749</v>
      </c>
      <c r="IG1182" t="s">
        <v>2570</v>
      </c>
      <c r="IH1182" t="s">
        <v>2571</v>
      </c>
      <c r="II1182">
        <v>2001</v>
      </c>
      <c r="IJ1182" t="s">
        <v>2572</v>
      </c>
    </row>
    <row r="1183" spans="1:244" x14ac:dyDescent="0.45">
      <c r="A1183">
        <v>1041004</v>
      </c>
      <c r="B1183">
        <v>24917</v>
      </c>
      <c r="C1183">
        <v>7758987</v>
      </c>
      <c r="D1183" t="s">
        <v>2545</v>
      </c>
      <c r="F1183" t="s">
        <v>245</v>
      </c>
      <c r="G1183" t="s">
        <v>246</v>
      </c>
      <c r="N1183" t="s">
        <v>1782</v>
      </c>
      <c r="O1183" t="s">
        <v>1783</v>
      </c>
      <c r="P1183" t="s">
        <v>249</v>
      </c>
      <c r="Q1183" t="s">
        <v>250</v>
      </c>
      <c r="R1183" t="s">
        <v>251</v>
      </c>
      <c r="T1183" t="s">
        <v>252</v>
      </c>
      <c r="U1183" t="s">
        <v>253</v>
      </c>
      <c r="V1183" t="s">
        <v>1735</v>
      </c>
      <c r="W1183" t="s">
        <v>1784</v>
      </c>
      <c r="X1183" t="s">
        <v>1785</v>
      </c>
      <c r="Z1183" t="s">
        <v>1677</v>
      </c>
      <c r="AL1183" t="s">
        <v>1786</v>
      </c>
      <c r="AM1183" t="s">
        <v>258</v>
      </c>
      <c r="AN1183" t="s">
        <v>259</v>
      </c>
      <c r="AO1183" t="s">
        <v>260</v>
      </c>
      <c r="AQ1183" t="s">
        <v>261</v>
      </c>
      <c r="AS1183">
        <v>21590</v>
      </c>
      <c r="AU1183">
        <v>3790</v>
      </c>
      <c r="AW1183">
        <v>39390</v>
      </c>
      <c r="AX1183" t="s">
        <v>262</v>
      </c>
      <c r="BO1183" t="s">
        <v>261</v>
      </c>
      <c r="BQ1183">
        <v>21.59</v>
      </c>
      <c r="BS1183">
        <v>3.79</v>
      </c>
      <c r="BU1183">
        <v>39.39</v>
      </c>
      <c r="BV1183" t="s">
        <v>263</v>
      </c>
      <c r="CM1183" t="s">
        <v>264</v>
      </c>
      <c r="CN1183" t="s">
        <v>264</v>
      </c>
      <c r="CP1183" t="s">
        <v>265</v>
      </c>
      <c r="CQ1183" t="s">
        <v>394</v>
      </c>
      <c r="DB1183">
        <v>2</v>
      </c>
      <c r="DG1183" t="s">
        <v>267</v>
      </c>
      <c r="DI1183">
        <v>48</v>
      </c>
      <c r="DN1183" t="s">
        <v>268</v>
      </c>
      <c r="DP1183" t="s">
        <v>977</v>
      </c>
      <c r="DS1183">
        <v>2838</v>
      </c>
      <c r="DT1183" t="s">
        <v>1787</v>
      </c>
      <c r="EW1183" t="s">
        <v>333</v>
      </c>
      <c r="FM1183">
        <v>29</v>
      </c>
      <c r="FR1183" t="s">
        <v>295</v>
      </c>
      <c r="GU1183">
        <v>25</v>
      </c>
      <c r="GZ1183" t="s">
        <v>296</v>
      </c>
      <c r="HH1183" t="s">
        <v>272</v>
      </c>
      <c r="IE1183" t="s">
        <v>1788</v>
      </c>
      <c r="IF1183">
        <v>2602</v>
      </c>
      <c r="IG1183" t="s">
        <v>1789</v>
      </c>
      <c r="IH1183" t="s">
        <v>1790</v>
      </c>
      <c r="II1183">
        <v>1987</v>
      </c>
      <c r="IJ1183" t="s">
        <v>1791</v>
      </c>
    </row>
    <row r="1184" spans="1:244" x14ac:dyDescent="0.45">
      <c r="A1184">
        <v>1111445</v>
      </c>
      <c r="B1184">
        <v>106633</v>
      </c>
      <c r="C1184">
        <v>7758987</v>
      </c>
      <c r="D1184" t="s">
        <v>2545</v>
      </c>
      <c r="F1184" t="s">
        <v>327</v>
      </c>
      <c r="G1184" t="s">
        <v>246</v>
      </c>
      <c r="N1184" t="s">
        <v>606</v>
      </c>
      <c r="O1184" t="s">
        <v>607</v>
      </c>
      <c r="P1184" t="s">
        <v>249</v>
      </c>
      <c r="Q1184" t="s">
        <v>250</v>
      </c>
      <c r="R1184" t="s">
        <v>251</v>
      </c>
      <c r="T1184" t="s">
        <v>252</v>
      </c>
      <c r="U1184" t="s">
        <v>253</v>
      </c>
      <c r="V1184" t="s">
        <v>608</v>
      </c>
      <c r="W1184" t="s">
        <v>609</v>
      </c>
      <c r="X1184" t="s">
        <v>610</v>
      </c>
      <c r="AL1184" t="s">
        <v>2573</v>
      </c>
      <c r="AM1184" t="s">
        <v>307</v>
      </c>
      <c r="AN1184" t="s">
        <v>259</v>
      </c>
      <c r="AO1184" t="s">
        <v>260</v>
      </c>
      <c r="AQ1184" t="s">
        <v>261</v>
      </c>
      <c r="AS1184">
        <v>1000</v>
      </c>
      <c r="AX1184" t="s">
        <v>262</v>
      </c>
      <c r="BO1184" t="s">
        <v>261</v>
      </c>
      <c r="BQ1184">
        <v>1</v>
      </c>
      <c r="BV1184" t="s">
        <v>263</v>
      </c>
      <c r="CM1184" t="s">
        <v>264</v>
      </c>
      <c r="CN1184" t="s">
        <v>264</v>
      </c>
      <c r="CP1184" t="s">
        <v>265</v>
      </c>
      <c r="CQ1184" t="s">
        <v>394</v>
      </c>
      <c r="DB1184">
        <v>2</v>
      </c>
      <c r="DG1184" t="s">
        <v>267</v>
      </c>
      <c r="DI1184">
        <v>48</v>
      </c>
      <c r="DN1184" t="s">
        <v>268</v>
      </c>
      <c r="DR1184">
        <v>6706</v>
      </c>
      <c r="DS1184">
        <v>346</v>
      </c>
      <c r="DT1184" t="s">
        <v>2574</v>
      </c>
      <c r="EW1184" t="s">
        <v>333</v>
      </c>
      <c r="FM1184">
        <v>5</v>
      </c>
      <c r="FR1184" t="s">
        <v>295</v>
      </c>
      <c r="GH1184">
        <v>11</v>
      </c>
      <c r="GJ1184">
        <v>9</v>
      </c>
      <c r="GL1184">
        <v>11</v>
      </c>
      <c r="GM1184" t="s">
        <v>356</v>
      </c>
      <c r="GO1184">
        <v>8</v>
      </c>
      <c r="GQ1184">
        <v>7.8</v>
      </c>
      <c r="GS1184">
        <v>8.1</v>
      </c>
      <c r="GW1184">
        <v>20</v>
      </c>
      <c r="GY1184">
        <v>30</v>
      </c>
      <c r="GZ1184" t="s">
        <v>296</v>
      </c>
      <c r="HH1184" t="s">
        <v>272</v>
      </c>
      <c r="IE1184" t="s">
        <v>911</v>
      </c>
      <c r="IF1184">
        <v>8399</v>
      </c>
      <c r="IG1184" t="s">
        <v>2575</v>
      </c>
      <c r="IH1184" t="s">
        <v>2576</v>
      </c>
      <c r="II1184">
        <v>1974</v>
      </c>
      <c r="IJ1184" t="s">
        <v>2577</v>
      </c>
    </row>
    <row r="1185" spans="1:244" x14ac:dyDescent="0.45">
      <c r="A1185">
        <v>1300467</v>
      </c>
      <c r="B1185">
        <v>756113</v>
      </c>
      <c r="C1185">
        <v>7758987</v>
      </c>
      <c r="D1185" t="s">
        <v>2545</v>
      </c>
      <c r="F1185" t="s">
        <v>245</v>
      </c>
      <c r="G1185" t="s">
        <v>246</v>
      </c>
      <c r="N1185" t="s">
        <v>389</v>
      </c>
      <c r="O1185" t="s">
        <v>2578</v>
      </c>
      <c r="P1185" t="s">
        <v>249</v>
      </c>
      <c r="Q1185" t="s">
        <v>250</v>
      </c>
      <c r="R1185" t="s">
        <v>251</v>
      </c>
      <c r="T1185" t="s">
        <v>389</v>
      </c>
      <c r="AL1185" t="s">
        <v>2579</v>
      </c>
      <c r="AM1185" t="s">
        <v>317</v>
      </c>
      <c r="AN1185" t="s">
        <v>259</v>
      </c>
      <c r="AO1185" t="s">
        <v>260</v>
      </c>
      <c r="AQ1185" t="s">
        <v>261</v>
      </c>
      <c r="AS1185">
        <v>0.5</v>
      </c>
      <c r="AX1185" t="s">
        <v>356</v>
      </c>
      <c r="BO1185" t="s">
        <v>261</v>
      </c>
      <c r="BQ1185">
        <v>0.5</v>
      </c>
      <c r="BV1185" t="s">
        <v>263</v>
      </c>
      <c r="CM1185" t="s">
        <v>264</v>
      </c>
      <c r="CN1185" t="s">
        <v>264</v>
      </c>
      <c r="CP1185" t="s">
        <v>265</v>
      </c>
      <c r="DB1185">
        <v>1</v>
      </c>
      <c r="DG1185" t="s">
        <v>267</v>
      </c>
      <c r="DI1185">
        <v>24</v>
      </c>
      <c r="DN1185" t="s">
        <v>268</v>
      </c>
      <c r="DP1185" t="s">
        <v>2580</v>
      </c>
      <c r="DR1185">
        <v>72037</v>
      </c>
      <c r="DS1185">
        <v>11855</v>
      </c>
      <c r="EW1185" t="s">
        <v>293</v>
      </c>
      <c r="FK1185" t="s">
        <v>2581</v>
      </c>
      <c r="GJ1185">
        <v>6.5</v>
      </c>
      <c r="GL1185">
        <v>7</v>
      </c>
      <c r="GM1185" t="s">
        <v>356</v>
      </c>
      <c r="GQ1185">
        <v>8</v>
      </c>
      <c r="GS1185">
        <v>8.1999999999999993</v>
      </c>
      <c r="HH1185" t="s">
        <v>272</v>
      </c>
      <c r="ID1185" t="s">
        <v>2582</v>
      </c>
      <c r="IE1185" t="s">
        <v>2583</v>
      </c>
      <c r="IF1185">
        <v>12327</v>
      </c>
      <c r="IG1185" t="s">
        <v>2584</v>
      </c>
      <c r="IH1185" t="s">
        <v>2585</v>
      </c>
      <c r="II1185">
        <v>1985</v>
      </c>
      <c r="IJ1185" t="s">
        <v>2586</v>
      </c>
    </row>
    <row r="1186" spans="1:244" x14ac:dyDescent="0.45">
      <c r="A1186">
        <v>1312284</v>
      </c>
      <c r="B1186">
        <v>769707</v>
      </c>
      <c r="C1186">
        <v>7758987</v>
      </c>
      <c r="D1186" t="s">
        <v>2545</v>
      </c>
      <c r="F1186" t="s">
        <v>245</v>
      </c>
      <c r="G1186" t="s">
        <v>246</v>
      </c>
      <c r="N1186" t="s">
        <v>958</v>
      </c>
      <c r="O1186" t="s">
        <v>959</v>
      </c>
      <c r="P1186" t="s">
        <v>249</v>
      </c>
      <c r="Q1186" t="s">
        <v>250</v>
      </c>
      <c r="R1186" t="s">
        <v>251</v>
      </c>
      <c r="T1186" t="s">
        <v>252</v>
      </c>
      <c r="U1186" t="s">
        <v>253</v>
      </c>
      <c r="V1186" t="s">
        <v>418</v>
      </c>
      <c r="W1186" t="s">
        <v>419</v>
      </c>
      <c r="X1186" t="s">
        <v>960</v>
      </c>
      <c r="Z1186" t="s">
        <v>649</v>
      </c>
      <c r="AL1186" t="s">
        <v>2587</v>
      </c>
      <c r="AM1186" t="s">
        <v>258</v>
      </c>
      <c r="AN1186" t="s">
        <v>259</v>
      </c>
      <c r="AO1186" t="s">
        <v>260</v>
      </c>
      <c r="AP1186">
        <v>7</v>
      </c>
      <c r="AQ1186" t="s">
        <v>261</v>
      </c>
      <c r="AS1186">
        <v>3.13</v>
      </c>
      <c r="AX1186" t="s">
        <v>356</v>
      </c>
      <c r="BO1186" t="s">
        <v>261</v>
      </c>
      <c r="BQ1186">
        <v>3.13</v>
      </c>
      <c r="BV1186" t="s">
        <v>263</v>
      </c>
      <c r="CM1186" t="s">
        <v>264</v>
      </c>
      <c r="CN1186" t="s">
        <v>264</v>
      </c>
      <c r="CP1186" t="s">
        <v>265</v>
      </c>
      <c r="CQ1186" t="s">
        <v>394</v>
      </c>
      <c r="DB1186">
        <v>4</v>
      </c>
      <c r="DG1186" t="s">
        <v>267</v>
      </c>
      <c r="DI1186">
        <v>96</v>
      </c>
      <c r="DN1186" t="s">
        <v>268</v>
      </c>
      <c r="DP1186" t="s">
        <v>2588</v>
      </c>
      <c r="DR1186">
        <v>6687</v>
      </c>
      <c r="DS1186">
        <v>252</v>
      </c>
      <c r="DT1186" t="s">
        <v>2589</v>
      </c>
      <c r="EW1186" t="s">
        <v>293</v>
      </c>
      <c r="FK1186" t="s">
        <v>2590</v>
      </c>
      <c r="FM1186">
        <v>26</v>
      </c>
      <c r="FR1186" t="s">
        <v>295</v>
      </c>
      <c r="GH1186">
        <v>6.09</v>
      </c>
      <c r="GM1186" t="s">
        <v>356</v>
      </c>
      <c r="GQ1186">
        <v>8.06</v>
      </c>
      <c r="GS1186">
        <v>8.24</v>
      </c>
      <c r="GU1186">
        <v>15</v>
      </c>
      <c r="GZ1186" t="s">
        <v>296</v>
      </c>
      <c r="HH1186" t="s">
        <v>272</v>
      </c>
      <c r="ID1186" t="s">
        <v>2591</v>
      </c>
      <c r="IE1186" t="s">
        <v>2592</v>
      </c>
      <c r="IF1186">
        <v>80017</v>
      </c>
      <c r="IG1186" t="s">
        <v>2593</v>
      </c>
      <c r="IH1186" t="s">
        <v>2594</v>
      </c>
      <c r="II1186">
        <v>2001</v>
      </c>
      <c r="IJ1186" t="s">
        <v>2595</v>
      </c>
    </row>
    <row r="1187" spans="1:244" x14ac:dyDescent="0.45">
      <c r="A1187">
        <v>1311413</v>
      </c>
      <c r="B1187">
        <v>768748</v>
      </c>
      <c r="C1187">
        <v>7758987</v>
      </c>
      <c r="D1187" t="s">
        <v>2545</v>
      </c>
      <c r="E1187" t="s">
        <v>386</v>
      </c>
      <c r="F1187" t="s">
        <v>245</v>
      </c>
      <c r="G1187" t="s">
        <v>246</v>
      </c>
      <c r="N1187" t="s">
        <v>2596</v>
      </c>
      <c r="O1187" t="s">
        <v>2597</v>
      </c>
      <c r="P1187" t="s">
        <v>249</v>
      </c>
      <c r="Q1187" t="s">
        <v>250</v>
      </c>
      <c r="R1187" t="s">
        <v>251</v>
      </c>
      <c r="T1187" t="s">
        <v>389</v>
      </c>
      <c r="U1187" t="s">
        <v>462</v>
      </c>
      <c r="V1187" t="s">
        <v>463</v>
      </c>
      <c r="W1187" t="s">
        <v>464</v>
      </c>
      <c r="X1187" t="s">
        <v>1291</v>
      </c>
      <c r="Z1187" t="s">
        <v>525</v>
      </c>
      <c r="AB1187">
        <v>2</v>
      </c>
      <c r="AG1187" t="s">
        <v>598</v>
      </c>
      <c r="AM1187" t="s">
        <v>287</v>
      </c>
      <c r="AN1187" t="s">
        <v>259</v>
      </c>
      <c r="AO1187" t="s">
        <v>260</v>
      </c>
      <c r="AP1187">
        <v>9</v>
      </c>
      <c r="AQ1187" t="s">
        <v>261</v>
      </c>
      <c r="AS1187">
        <v>145</v>
      </c>
      <c r="AX1187" t="s">
        <v>262</v>
      </c>
      <c r="BO1187" t="s">
        <v>261</v>
      </c>
      <c r="BQ1187">
        <v>0.14499999999999999</v>
      </c>
      <c r="BV1187" t="s">
        <v>263</v>
      </c>
      <c r="CM1187" t="s">
        <v>264</v>
      </c>
      <c r="CN1187" t="s">
        <v>264</v>
      </c>
      <c r="CP1187" t="s">
        <v>265</v>
      </c>
      <c r="CQ1187" t="s">
        <v>394</v>
      </c>
      <c r="DB1187">
        <v>2</v>
      </c>
      <c r="DG1187" t="s">
        <v>267</v>
      </c>
      <c r="DI1187">
        <v>48</v>
      </c>
      <c r="DN1187" t="s">
        <v>268</v>
      </c>
      <c r="DP1187" t="s">
        <v>2598</v>
      </c>
      <c r="DR1187">
        <v>1232801</v>
      </c>
      <c r="DS1187">
        <v>1780</v>
      </c>
      <c r="DT1187" t="s">
        <v>2599</v>
      </c>
      <c r="EW1187" t="s">
        <v>293</v>
      </c>
      <c r="FA1187" t="s">
        <v>2600</v>
      </c>
      <c r="FK1187" t="s">
        <v>2601</v>
      </c>
      <c r="FM1187">
        <v>24</v>
      </c>
      <c r="FR1187" t="s">
        <v>295</v>
      </c>
      <c r="GU1187">
        <v>34</v>
      </c>
      <c r="GZ1187" t="s">
        <v>362</v>
      </c>
      <c r="HH1187" t="s">
        <v>272</v>
      </c>
      <c r="ID1187" t="s">
        <v>2602</v>
      </c>
      <c r="IE1187" t="s">
        <v>2603</v>
      </c>
      <c r="IF1187">
        <v>105012</v>
      </c>
      <c r="IG1187" t="s">
        <v>2604</v>
      </c>
      <c r="IH1187" t="s">
        <v>2605</v>
      </c>
      <c r="II1187">
        <v>2005</v>
      </c>
      <c r="IJ1187" t="s">
        <v>2606</v>
      </c>
    </row>
    <row r="1188" spans="1:244" x14ac:dyDescent="0.45">
      <c r="A1188">
        <v>1303343</v>
      </c>
      <c r="B1188">
        <v>759840</v>
      </c>
      <c r="C1188">
        <v>7758987</v>
      </c>
      <c r="D1188" t="s">
        <v>2545</v>
      </c>
      <c r="E1188" t="s">
        <v>622</v>
      </c>
      <c r="F1188" t="s">
        <v>245</v>
      </c>
      <c r="G1188" t="s">
        <v>246</v>
      </c>
      <c r="N1188" t="s">
        <v>655</v>
      </c>
      <c r="O1188" t="s">
        <v>656</v>
      </c>
      <c r="P1188" t="s">
        <v>249</v>
      </c>
      <c r="Q1188" t="s">
        <v>250</v>
      </c>
      <c r="R1188" t="s">
        <v>251</v>
      </c>
      <c r="T1188" t="s">
        <v>252</v>
      </c>
      <c r="U1188" t="s">
        <v>253</v>
      </c>
      <c r="V1188" t="s">
        <v>657</v>
      </c>
      <c r="W1188" t="s">
        <v>658</v>
      </c>
      <c r="X1188" t="s">
        <v>659</v>
      </c>
      <c r="AL1188" t="s">
        <v>1792</v>
      </c>
      <c r="AM1188" t="s">
        <v>258</v>
      </c>
      <c r="AN1188" t="s">
        <v>259</v>
      </c>
      <c r="AO1188" t="s">
        <v>260</v>
      </c>
      <c r="AQ1188" t="s">
        <v>261</v>
      </c>
      <c r="AS1188">
        <v>36.96</v>
      </c>
      <c r="AU1188">
        <v>29.83</v>
      </c>
      <c r="AW1188">
        <v>45.76</v>
      </c>
      <c r="AX1188" t="s">
        <v>356</v>
      </c>
      <c r="BO1188" t="s">
        <v>261</v>
      </c>
      <c r="BQ1188">
        <v>36.96</v>
      </c>
      <c r="BS1188">
        <v>29.83</v>
      </c>
      <c r="BU1188">
        <v>45.76</v>
      </c>
      <c r="BV1188" t="s">
        <v>263</v>
      </c>
      <c r="CM1188" t="s">
        <v>264</v>
      </c>
      <c r="CN1188" t="s">
        <v>264</v>
      </c>
      <c r="CP1188" t="s">
        <v>265</v>
      </c>
      <c r="CQ1188" t="s">
        <v>394</v>
      </c>
      <c r="DB1188">
        <v>1</v>
      </c>
      <c r="DG1188" t="s">
        <v>267</v>
      </c>
      <c r="DI1188">
        <v>24</v>
      </c>
      <c r="DN1188" t="s">
        <v>268</v>
      </c>
      <c r="DP1188" t="s">
        <v>2607</v>
      </c>
      <c r="DS1188">
        <v>20193</v>
      </c>
      <c r="EW1188" t="s">
        <v>293</v>
      </c>
      <c r="FA1188" t="s">
        <v>1793</v>
      </c>
      <c r="FK1188" t="s">
        <v>2608</v>
      </c>
      <c r="FO1188">
        <v>22</v>
      </c>
      <c r="FQ1188">
        <v>24.5</v>
      </c>
      <c r="FR1188" t="s">
        <v>295</v>
      </c>
      <c r="GU1188">
        <v>15</v>
      </c>
      <c r="GZ1188" t="s">
        <v>296</v>
      </c>
      <c r="HH1188" t="s">
        <v>272</v>
      </c>
      <c r="ID1188" t="s">
        <v>2609</v>
      </c>
      <c r="IE1188" t="s">
        <v>1796</v>
      </c>
      <c r="IF1188">
        <v>117013</v>
      </c>
      <c r="IG1188" t="s">
        <v>1797</v>
      </c>
      <c r="IH1188" t="s">
        <v>1798</v>
      </c>
      <c r="II1188">
        <v>2003</v>
      </c>
      <c r="IJ1188" t="s">
        <v>1799</v>
      </c>
    </row>
    <row r="1189" spans="1:244" x14ac:dyDescent="0.45">
      <c r="A1189">
        <v>1151170</v>
      </c>
      <c r="B1189">
        <v>104877</v>
      </c>
      <c r="C1189">
        <v>7758987</v>
      </c>
      <c r="D1189" t="s">
        <v>2545</v>
      </c>
      <c r="F1189" t="s">
        <v>245</v>
      </c>
      <c r="G1189" t="s">
        <v>246</v>
      </c>
      <c r="N1189" t="s">
        <v>247</v>
      </c>
      <c r="O1189" t="s">
        <v>248</v>
      </c>
      <c r="P1189" t="s">
        <v>249</v>
      </c>
      <c r="Q1189" t="s">
        <v>250</v>
      </c>
      <c r="R1189" t="s">
        <v>251</v>
      </c>
      <c r="T1189" t="s">
        <v>252</v>
      </c>
      <c r="U1189" t="s">
        <v>253</v>
      </c>
      <c r="V1189" t="s">
        <v>254</v>
      </c>
      <c r="W1189" t="s">
        <v>255</v>
      </c>
      <c r="X1189" t="s">
        <v>256</v>
      </c>
      <c r="Z1189" t="s">
        <v>1057</v>
      </c>
      <c r="AL1189" t="s">
        <v>1777</v>
      </c>
      <c r="AM1189" t="s">
        <v>317</v>
      </c>
      <c r="AN1189" t="s">
        <v>259</v>
      </c>
      <c r="AO1189" t="s">
        <v>260</v>
      </c>
      <c r="AQ1189" t="s">
        <v>261</v>
      </c>
      <c r="AS1189">
        <v>588800</v>
      </c>
      <c r="AX1189" t="s">
        <v>262</v>
      </c>
      <c r="BO1189" t="s">
        <v>261</v>
      </c>
      <c r="BQ1189">
        <v>588.79999999999995</v>
      </c>
      <c r="BV1189" t="s">
        <v>263</v>
      </c>
      <c r="CM1189" t="s">
        <v>264</v>
      </c>
      <c r="CN1189" t="s">
        <v>264</v>
      </c>
      <c r="CP1189" t="s">
        <v>265</v>
      </c>
      <c r="DB1189">
        <v>2</v>
      </c>
      <c r="DG1189" t="s">
        <v>267</v>
      </c>
      <c r="DI1189">
        <v>48</v>
      </c>
      <c r="DN1189" t="s">
        <v>268</v>
      </c>
      <c r="DR1189">
        <v>6761</v>
      </c>
      <c r="DS1189">
        <v>2461</v>
      </c>
      <c r="EW1189" t="s">
        <v>293</v>
      </c>
      <c r="HH1189" t="s">
        <v>272</v>
      </c>
      <c r="IE1189" t="s">
        <v>1778</v>
      </c>
      <c r="IF1189">
        <v>12895</v>
      </c>
      <c r="IG1189" t="s">
        <v>1779</v>
      </c>
      <c r="IH1189" t="s">
        <v>1780</v>
      </c>
      <c r="II1189">
        <v>1986</v>
      </c>
      <c r="IJ1189" t="s">
        <v>1781</v>
      </c>
    </row>
    <row r="1190" spans="1:244" x14ac:dyDescent="0.45">
      <c r="A1190">
        <v>1311993</v>
      </c>
      <c r="B1190">
        <v>769387</v>
      </c>
      <c r="C1190">
        <v>7758987</v>
      </c>
      <c r="D1190" t="s">
        <v>2545</v>
      </c>
      <c r="F1190" t="s">
        <v>245</v>
      </c>
      <c r="G1190" t="s">
        <v>246</v>
      </c>
      <c r="N1190" t="s">
        <v>2610</v>
      </c>
      <c r="O1190" t="s">
        <v>2611</v>
      </c>
      <c r="P1190" t="s">
        <v>249</v>
      </c>
      <c r="Q1190" t="s">
        <v>250</v>
      </c>
      <c r="R1190" t="s">
        <v>251</v>
      </c>
      <c r="T1190" t="s">
        <v>252</v>
      </c>
      <c r="U1190" t="s">
        <v>253</v>
      </c>
      <c r="V1190" t="s">
        <v>2612</v>
      </c>
      <c r="W1190" t="s">
        <v>2613</v>
      </c>
      <c r="X1190" t="s">
        <v>2614</v>
      </c>
      <c r="Z1190" t="s">
        <v>1057</v>
      </c>
      <c r="AL1190" t="s">
        <v>2615</v>
      </c>
      <c r="AM1190" t="s">
        <v>317</v>
      </c>
      <c r="AN1190" t="s">
        <v>259</v>
      </c>
      <c r="AO1190" t="s">
        <v>260</v>
      </c>
      <c r="AP1190">
        <v>8</v>
      </c>
      <c r="AQ1190" t="s">
        <v>261</v>
      </c>
      <c r="AS1190">
        <v>95.5</v>
      </c>
      <c r="AU1190">
        <v>81.7</v>
      </c>
      <c r="AW1190">
        <v>111.6</v>
      </c>
      <c r="AX1190" t="s">
        <v>262</v>
      </c>
      <c r="BO1190" t="s">
        <v>261</v>
      </c>
      <c r="BQ1190">
        <v>9.5500000000000002E-2</v>
      </c>
      <c r="BS1190">
        <v>8.1699999999999995E-2</v>
      </c>
      <c r="BU1190">
        <v>0.1116</v>
      </c>
      <c r="BV1190" t="s">
        <v>263</v>
      </c>
      <c r="CM1190" t="s">
        <v>264</v>
      </c>
      <c r="CN1190" t="s">
        <v>264</v>
      </c>
      <c r="CP1190" t="s">
        <v>265</v>
      </c>
      <c r="CQ1190" t="s">
        <v>394</v>
      </c>
      <c r="DB1190">
        <v>4</v>
      </c>
      <c r="DG1190" t="s">
        <v>267</v>
      </c>
      <c r="DI1190">
        <v>96</v>
      </c>
      <c r="DN1190" t="s">
        <v>268</v>
      </c>
      <c r="DP1190" t="s">
        <v>2598</v>
      </c>
      <c r="DR1190">
        <v>150425</v>
      </c>
      <c r="DS1190">
        <v>20372</v>
      </c>
      <c r="EW1190" t="s">
        <v>293</v>
      </c>
      <c r="FA1190" t="s">
        <v>397</v>
      </c>
      <c r="FK1190" t="s">
        <v>2616</v>
      </c>
      <c r="FM1190">
        <v>27</v>
      </c>
      <c r="FR1190" t="s">
        <v>295</v>
      </c>
      <c r="GU1190">
        <v>32</v>
      </c>
      <c r="GZ1190" t="s">
        <v>296</v>
      </c>
      <c r="HH1190" t="s">
        <v>272</v>
      </c>
      <c r="ID1190" t="s">
        <v>2617</v>
      </c>
      <c r="IE1190" t="s">
        <v>2618</v>
      </c>
      <c r="IF1190">
        <v>78850</v>
      </c>
      <c r="IG1190" t="s">
        <v>2619</v>
      </c>
      <c r="IH1190" t="s">
        <v>2620</v>
      </c>
      <c r="II1190">
        <v>2004</v>
      </c>
      <c r="IJ1190" t="s">
        <v>2621</v>
      </c>
    </row>
    <row r="1191" spans="1:244" x14ac:dyDescent="0.45">
      <c r="A1191">
        <v>2146952</v>
      </c>
      <c r="B1191">
        <v>2279335</v>
      </c>
      <c r="C1191">
        <v>7758987</v>
      </c>
      <c r="D1191" t="s">
        <v>2545</v>
      </c>
      <c r="F1191" t="s">
        <v>245</v>
      </c>
      <c r="G1191" t="s">
        <v>272</v>
      </c>
      <c r="N1191" t="s">
        <v>1192</v>
      </c>
      <c r="O1191" t="s">
        <v>388</v>
      </c>
      <c r="P1191" t="s">
        <v>249</v>
      </c>
      <c r="Q1191" t="s">
        <v>250</v>
      </c>
      <c r="R1191" t="s">
        <v>251</v>
      </c>
      <c r="T1191" t="s">
        <v>389</v>
      </c>
      <c r="U1191" t="s">
        <v>390</v>
      </c>
      <c r="V1191" t="s">
        <v>391</v>
      </c>
      <c r="W1191" t="s">
        <v>392</v>
      </c>
      <c r="X1191" t="s">
        <v>1193</v>
      </c>
      <c r="Z1191" t="s">
        <v>525</v>
      </c>
      <c r="AD1191">
        <v>24</v>
      </c>
      <c r="AF1191">
        <v>48</v>
      </c>
      <c r="AG1191" t="s">
        <v>268</v>
      </c>
      <c r="AI1191">
        <v>3</v>
      </c>
      <c r="AJ1191" t="s">
        <v>354</v>
      </c>
      <c r="AM1191" t="s">
        <v>317</v>
      </c>
      <c r="AN1191" t="s">
        <v>259</v>
      </c>
      <c r="AO1191" t="s">
        <v>260</v>
      </c>
      <c r="AP1191">
        <v>6</v>
      </c>
      <c r="AQ1191" t="s">
        <v>261</v>
      </c>
      <c r="AS1191">
        <v>0.23</v>
      </c>
      <c r="AX1191" t="s">
        <v>356</v>
      </c>
      <c r="BO1191" t="s">
        <v>261</v>
      </c>
      <c r="BQ1191">
        <v>0.23</v>
      </c>
      <c r="BV1191" t="s">
        <v>263</v>
      </c>
      <c r="CM1191" t="s">
        <v>264</v>
      </c>
      <c r="CN1191" t="s">
        <v>264</v>
      </c>
      <c r="CP1191" t="s">
        <v>265</v>
      </c>
      <c r="CQ1191" t="s">
        <v>394</v>
      </c>
      <c r="DB1191">
        <v>2</v>
      </c>
      <c r="DG1191" t="s">
        <v>267</v>
      </c>
      <c r="DI1191">
        <v>48</v>
      </c>
      <c r="DN1191" t="s">
        <v>268</v>
      </c>
      <c r="DP1191" t="s">
        <v>2622</v>
      </c>
      <c r="DR1191">
        <v>167952</v>
      </c>
      <c r="DS1191">
        <v>32268</v>
      </c>
      <c r="DT1191" t="s">
        <v>2623</v>
      </c>
      <c r="DV1191">
        <v>48</v>
      </c>
      <c r="EA1191" t="s">
        <v>268</v>
      </c>
      <c r="EC1191">
        <v>2</v>
      </c>
      <c r="EH1191" t="s">
        <v>267</v>
      </c>
      <c r="EJ1191">
        <v>48</v>
      </c>
      <c r="EO1191" t="s">
        <v>268</v>
      </c>
      <c r="EQ1191">
        <v>2</v>
      </c>
      <c r="EV1191" t="s">
        <v>267</v>
      </c>
      <c r="EW1191" t="s">
        <v>293</v>
      </c>
      <c r="EY1191" t="s">
        <v>377</v>
      </c>
      <c r="EZ1191">
        <v>10</v>
      </c>
      <c r="FA1191" t="s">
        <v>2624</v>
      </c>
      <c r="FM1191">
        <v>20</v>
      </c>
      <c r="FR1191" t="s">
        <v>295</v>
      </c>
      <c r="GO1191">
        <v>8</v>
      </c>
      <c r="GU1191">
        <v>38</v>
      </c>
      <c r="GZ1191" t="s">
        <v>296</v>
      </c>
      <c r="HH1191" t="s">
        <v>272</v>
      </c>
      <c r="IE1191" t="s">
        <v>2625</v>
      </c>
      <c r="IF1191">
        <v>166028</v>
      </c>
      <c r="IG1191" t="s">
        <v>2626</v>
      </c>
      <c r="IH1191" t="s">
        <v>2627</v>
      </c>
      <c r="II1191">
        <v>2013</v>
      </c>
      <c r="IJ1191" t="s">
        <v>2628</v>
      </c>
    </row>
    <row r="1192" spans="1:244" x14ac:dyDescent="0.45">
      <c r="A1192">
        <v>1312726</v>
      </c>
      <c r="B1192">
        <v>770194</v>
      </c>
      <c r="C1192">
        <v>7758987</v>
      </c>
      <c r="D1192" t="s">
        <v>2545</v>
      </c>
      <c r="E1192" t="s">
        <v>622</v>
      </c>
      <c r="F1192" t="s">
        <v>272</v>
      </c>
      <c r="G1192" t="s">
        <v>246</v>
      </c>
      <c r="N1192" t="s">
        <v>1298</v>
      </c>
      <c r="O1192" t="s">
        <v>1299</v>
      </c>
      <c r="P1192" t="s">
        <v>249</v>
      </c>
      <c r="Q1192" t="s">
        <v>250</v>
      </c>
      <c r="R1192" t="s">
        <v>251</v>
      </c>
      <c r="T1192" t="s">
        <v>252</v>
      </c>
      <c r="U1192" t="s">
        <v>371</v>
      </c>
      <c r="V1192" t="s">
        <v>372</v>
      </c>
      <c r="W1192" t="s">
        <v>1300</v>
      </c>
      <c r="X1192" t="s">
        <v>1301</v>
      </c>
      <c r="Z1192" t="s">
        <v>649</v>
      </c>
      <c r="AD1192">
        <v>2</v>
      </c>
      <c r="AF1192">
        <v>3</v>
      </c>
      <c r="AG1192" t="s">
        <v>267</v>
      </c>
      <c r="AM1192" t="s">
        <v>317</v>
      </c>
      <c r="AN1192" t="s">
        <v>259</v>
      </c>
      <c r="AO1192" t="s">
        <v>260</v>
      </c>
      <c r="AP1192" t="s">
        <v>559</v>
      </c>
      <c r="AQ1192" t="s">
        <v>261</v>
      </c>
      <c r="AS1192">
        <v>0.12</v>
      </c>
      <c r="AX1192" t="s">
        <v>356</v>
      </c>
      <c r="BO1192" t="s">
        <v>261</v>
      </c>
      <c r="BQ1192">
        <v>0.12</v>
      </c>
      <c r="BV1192" t="s">
        <v>263</v>
      </c>
      <c r="CM1192" t="s">
        <v>264</v>
      </c>
      <c r="CN1192" t="s">
        <v>264</v>
      </c>
      <c r="CP1192" t="s">
        <v>265</v>
      </c>
      <c r="DB1192">
        <v>4</v>
      </c>
      <c r="DG1192" t="s">
        <v>267</v>
      </c>
      <c r="DI1192">
        <v>96</v>
      </c>
      <c r="DN1192" t="s">
        <v>268</v>
      </c>
      <c r="DP1192" t="s">
        <v>2588</v>
      </c>
      <c r="DS1192">
        <v>20391</v>
      </c>
      <c r="DT1192" t="s">
        <v>1302</v>
      </c>
      <c r="EW1192" t="s">
        <v>293</v>
      </c>
      <c r="FA1192" t="s">
        <v>1338</v>
      </c>
      <c r="FK1192" t="s">
        <v>2629</v>
      </c>
      <c r="FM1192">
        <v>25</v>
      </c>
      <c r="FR1192" t="s">
        <v>295</v>
      </c>
      <c r="GG1192" t="s">
        <v>288</v>
      </c>
      <c r="GH1192">
        <v>80</v>
      </c>
      <c r="GM1192" t="s">
        <v>1224</v>
      </c>
      <c r="GQ1192">
        <v>7.5</v>
      </c>
      <c r="GS1192">
        <v>8.5</v>
      </c>
      <c r="GU1192">
        <v>25</v>
      </c>
      <c r="GZ1192" t="s">
        <v>900</v>
      </c>
      <c r="HH1192" t="s">
        <v>272</v>
      </c>
      <c r="ID1192" t="s">
        <v>2630</v>
      </c>
      <c r="IE1192" t="s">
        <v>1306</v>
      </c>
      <c r="IF1192">
        <v>117932</v>
      </c>
      <c r="IG1192" t="s">
        <v>1307</v>
      </c>
      <c r="IH1192" t="s">
        <v>1308</v>
      </c>
      <c r="II1192">
        <v>2008</v>
      </c>
      <c r="IJ1192" t="s">
        <v>1309</v>
      </c>
    </row>
    <row r="1193" spans="1:244" x14ac:dyDescent="0.45">
      <c r="A1193">
        <v>1196477</v>
      </c>
      <c r="B1193">
        <v>149552</v>
      </c>
      <c r="C1193">
        <v>7758987</v>
      </c>
      <c r="D1193" t="s">
        <v>2545</v>
      </c>
      <c r="F1193" t="s">
        <v>272</v>
      </c>
      <c r="G1193" t="s">
        <v>246</v>
      </c>
      <c r="N1193" t="s">
        <v>1183</v>
      </c>
      <c r="O1193" t="s">
        <v>1184</v>
      </c>
      <c r="P1193" t="s">
        <v>249</v>
      </c>
      <c r="Q1193" t="s">
        <v>250</v>
      </c>
      <c r="R1193" t="s">
        <v>251</v>
      </c>
      <c r="T1193" t="s">
        <v>252</v>
      </c>
      <c r="U1193" t="s">
        <v>253</v>
      </c>
      <c r="V1193" t="s">
        <v>418</v>
      </c>
      <c r="W1193" t="s">
        <v>419</v>
      </c>
      <c r="X1193" t="s">
        <v>393</v>
      </c>
      <c r="Z1193" t="s">
        <v>421</v>
      </c>
      <c r="AM1193" t="s">
        <v>287</v>
      </c>
      <c r="AN1193" t="s">
        <v>259</v>
      </c>
      <c r="AO1193" t="s">
        <v>260</v>
      </c>
      <c r="AQ1193" t="s">
        <v>261</v>
      </c>
      <c r="AS1193">
        <v>427000</v>
      </c>
      <c r="AU1193">
        <v>417000</v>
      </c>
      <c r="AW1193">
        <v>437000</v>
      </c>
      <c r="AX1193" t="s">
        <v>262</v>
      </c>
      <c r="BO1193" t="s">
        <v>261</v>
      </c>
      <c r="BQ1193">
        <v>427</v>
      </c>
      <c r="BS1193">
        <v>417</v>
      </c>
      <c r="BU1193">
        <v>437</v>
      </c>
      <c r="BV1193" t="s">
        <v>263</v>
      </c>
      <c r="CM1193" t="s">
        <v>264</v>
      </c>
      <c r="CN1193" t="s">
        <v>264</v>
      </c>
      <c r="CO1193" t="s">
        <v>2549</v>
      </c>
      <c r="CP1193" t="s">
        <v>265</v>
      </c>
      <c r="DB1193">
        <v>1</v>
      </c>
      <c r="DG1193" t="s">
        <v>267</v>
      </c>
      <c r="DI1193">
        <v>24</v>
      </c>
      <c r="DN1193" t="s">
        <v>268</v>
      </c>
      <c r="DS1193">
        <v>388</v>
      </c>
      <c r="EW1193" t="s">
        <v>272</v>
      </c>
      <c r="FO1193">
        <v>25.2</v>
      </c>
      <c r="FQ1193">
        <v>29.5</v>
      </c>
      <c r="FR1193" t="s">
        <v>295</v>
      </c>
      <c r="GQ1193">
        <v>7.7</v>
      </c>
      <c r="GS1193">
        <v>8.3000000000000007</v>
      </c>
      <c r="GW1193">
        <v>26</v>
      </c>
      <c r="GY1193">
        <v>34</v>
      </c>
      <c r="GZ1193" t="s">
        <v>296</v>
      </c>
      <c r="HH1193" t="s">
        <v>272</v>
      </c>
      <c r="IE1193" t="s">
        <v>2550</v>
      </c>
      <c r="IF1193">
        <v>17681</v>
      </c>
      <c r="IG1193" t="s">
        <v>2551</v>
      </c>
      <c r="IH1193" t="s">
        <v>2552</v>
      </c>
      <c r="II1193">
        <v>1990</v>
      </c>
      <c r="IJ1193" t="s">
        <v>2553</v>
      </c>
    </row>
    <row r="1194" spans="1:244" x14ac:dyDescent="0.45">
      <c r="A1194">
        <v>1246421</v>
      </c>
      <c r="B1194">
        <v>239771</v>
      </c>
      <c r="C1194">
        <v>7758987</v>
      </c>
      <c r="D1194" t="s">
        <v>2545</v>
      </c>
      <c r="F1194" t="s">
        <v>327</v>
      </c>
      <c r="G1194" t="s">
        <v>246</v>
      </c>
      <c r="N1194" t="s">
        <v>2419</v>
      </c>
      <c r="O1194" t="s">
        <v>2420</v>
      </c>
      <c r="P1194" t="s">
        <v>249</v>
      </c>
      <c r="Q1194" t="s">
        <v>250</v>
      </c>
      <c r="R1194" t="s">
        <v>251</v>
      </c>
      <c r="T1194" t="s">
        <v>252</v>
      </c>
      <c r="U1194" t="s">
        <v>1244</v>
      </c>
      <c r="V1194" t="s">
        <v>2421</v>
      </c>
      <c r="W1194" t="s">
        <v>2422</v>
      </c>
      <c r="X1194" t="s">
        <v>2423</v>
      </c>
      <c r="Z1194" t="s">
        <v>315</v>
      </c>
      <c r="AJ1194" t="s">
        <v>285</v>
      </c>
      <c r="AM1194" t="s">
        <v>258</v>
      </c>
      <c r="AN1194" t="s">
        <v>259</v>
      </c>
      <c r="AO1194" t="s">
        <v>260</v>
      </c>
      <c r="AP1194">
        <v>12</v>
      </c>
      <c r="AQ1194" t="s">
        <v>504</v>
      </c>
      <c r="AS1194">
        <v>8.1059999999999999</v>
      </c>
      <c r="AX1194" t="s">
        <v>356</v>
      </c>
      <c r="BO1194" t="s">
        <v>504</v>
      </c>
      <c r="BQ1194">
        <v>8.1059999999999999</v>
      </c>
      <c r="BV1194" t="s">
        <v>263</v>
      </c>
      <c r="CM1194" t="s">
        <v>264</v>
      </c>
      <c r="CN1194" t="s">
        <v>264</v>
      </c>
      <c r="CP1194" t="s">
        <v>265</v>
      </c>
      <c r="CQ1194" t="s">
        <v>394</v>
      </c>
      <c r="DB1194">
        <v>4</v>
      </c>
      <c r="DG1194" t="s">
        <v>267</v>
      </c>
      <c r="DI1194">
        <v>96</v>
      </c>
      <c r="DN1194" t="s">
        <v>268</v>
      </c>
      <c r="DS1194">
        <v>17323</v>
      </c>
      <c r="EW1194" t="s">
        <v>293</v>
      </c>
      <c r="FA1194" t="s">
        <v>1381</v>
      </c>
      <c r="FK1194" t="s">
        <v>2631</v>
      </c>
      <c r="HH1194" t="s">
        <v>272</v>
      </c>
      <c r="ID1194" t="s">
        <v>2632</v>
      </c>
      <c r="IE1194" t="s">
        <v>2328</v>
      </c>
      <c r="IF1194">
        <v>84114</v>
      </c>
      <c r="IG1194" t="s">
        <v>2329</v>
      </c>
      <c r="IH1194" t="s">
        <v>2330</v>
      </c>
      <c r="II1194">
        <v>1997</v>
      </c>
      <c r="IJ1194" t="s">
        <v>2331</v>
      </c>
    </row>
    <row r="1195" spans="1:244" x14ac:dyDescent="0.45">
      <c r="A1195">
        <v>1303350</v>
      </c>
      <c r="B1195">
        <v>759847</v>
      </c>
      <c r="C1195">
        <v>7758987</v>
      </c>
      <c r="D1195" t="s">
        <v>2545</v>
      </c>
      <c r="E1195" t="s">
        <v>622</v>
      </c>
      <c r="F1195" t="s">
        <v>245</v>
      </c>
      <c r="G1195" t="s">
        <v>246</v>
      </c>
      <c r="N1195" t="s">
        <v>655</v>
      </c>
      <c r="O1195" t="s">
        <v>656</v>
      </c>
      <c r="P1195" t="s">
        <v>249</v>
      </c>
      <c r="Q1195" t="s">
        <v>250</v>
      </c>
      <c r="R1195" t="s">
        <v>251</v>
      </c>
      <c r="T1195" t="s">
        <v>252</v>
      </c>
      <c r="U1195" t="s">
        <v>253</v>
      </c>
      <c r="V1195" t="s">
        <v>657</v>
      </c>
      <c r="W1195" t="s">
        <v>658</v>
      </c>
      <c r="X1195" t="s">
        <v>659</v>
      </c>
      <c r="AL1195" t="s">
        <v>1792</v>
      </c>
      <c r="AM1195" t="s">
        <v>258</v>
      </c>
      <c r="AN1195" t="s">
        <v>259</v>
      </c>
      <c r="AO1195" t="s">
        <v>260</v>
      </c>
      <c r="AQ1195" t="s">
        <v>261</v>
      </c>
      <c r="AS1195">
        <v>0.4</v>
      </c>
      <c r="AU1195">
        <v>0.36</v>
      </c>
      <c r="AW1195">
        <v>0.45</v>
      </c>
      <c r="AX1195" t="s">
        <v>356</v>
      </c>
      <c r="BO1195" t="s">
        <v>261</v>
      </c>
      <c r="BQ1195">
        <v>0.4</v>
      </c>
      <c r="BS1195">
        <v>0.36</v>
      </c>
      <c r="BU1195">
        <v>0.45</v>
      </c>
      <c r="BV1195" t="s">
        <v>263</v>
      </c>
      <c r="CM1195" t="s">
        <v>264</v>
      </c>
      <c r="CN1195" t="s">
        <v>264</v>
      </c>
      <c r="CP1195" t="s">
        <v>265</v>
      </c>
      <c r="CQ1195" t="s">
        <v>394</v>
      </c>
      <c r="DB1195">
        <v>3</v>
      </c>
      <c r="DG1195" t="s">
        <v>267</v>
      </c>
      <c r="DI1195">
        <v>72</v>
      </c>
      <c r="DN1195" t="s">
        <v>268</v>
      </c>
      <c r="DP1195" t="s">
        <v>2607</v>
      </c>
      <c r="DS1195">
        <v>20193</v>
      </c>
      <c r="EW1195" t="s">
        <v>293</v>
      </c>
      <c r="FA1195" t="s">
        <v>1793</v>
      </c>
      <c r="FK1195" t="s">
        <v>2608</v>
      </c>
      <c r="FO1195">
        <v>22</v>
      </c>
      <c r="FQ1195">
        <v>24.5</v>
      </c>
      <c r="FR1195" t="s">
        <v>295</v>
      </c>
      <c r="GU1195">
        <v>15</v>
      </c>
      <c r="GZ1195" t="s">
        <v>296</v>
      </c>
      <c r="HH1195" t="s">
        <v>272</v>
      </c>
      <c r="ID1195" t="s">
        <v>2609</v>
      </c>
      <c r="IE1195" t="s">
        <v>1796</v>
      </c>
      <c r="IF1195">
        <v>117013</v>
      </c>
      <c r="IG1195" t="s">
        <v>1797</v>
      </c>
      <c r="IH1195" t="s">
        <v>1798</v>
      </c>
      <c r="II1195">
        <v>2003</v>
      </c>
      <c r="IJ1195" t="s">
        <v>1799</v>
      </c>
    </row>
    <row r="1196" spans="1:244" x14ac:dyDescent="0.45">
      <c r="A1196">
        <v>1311984</v>
      </c>
      <c r="B1196">
        <v>769378</v>
      </c>
      <c r="C1196">
        <v>7758987</v>
      </c>
      <c r="D1196" t="s">
        <v>2545</v>
      </c>
      <c r="F1196" t="s">
        <v>245</v>
      </c>
      <c r="G1196" t="s">
        <v>246</v>
      </c>
      <c r="N1196" t="s">
        <v>2610</v>
      </c>
      <c r="O1196" t="s">
        <v>2611</v>
      </c>
      <c r="P1196" t="s">
        <v>249</v>
      </c>
      <c r="Q1196" t="s">
        <v>250</v>
      </c>
      <c r="R1196" t="s">
        <v>251</v>
      </c>
      <c r="T1196" t="s">
        <v>252</v>
      </c>
      <c r="U1196" t="s">
        <v>253</v>
      </c>
      <c r="V1196" t="s">
        <v>2612</v>
      </c>
      <c r="W1196" t="s">
        <v>2613</v>
      </c>
      <c r="X1196" t="s">
        <v>2614</v>
      </c>
      <c r="Z1196" t="s">
        <v>1057</v>
      </c>
      <c r="AL1196" t="s">
        <v>2615</v>
      </c>
      <c r="AM1196" t="s">
        <v>317</v>
      </c>
      <c r="AN1196" t="s">
        <v>259</v>
      </c>
      <c r="AO1196" t="s">
        <v>260</v>
      </c>
      <c r="AP1196">
        <v>8</v>
      </c>
      <c r="AQ1196" t="s">
        <v>261</v>
      </c>
      <c r="AS1196">
        <v>141.19999999999999</v>
      </c>
      <c r="AU1196">
        <v>116.7</v>
      </c>
      <c r="AW1196">
        <v>170.9</v>
      </c>
      <c r="AX1196" t="s">
        <v>262</v>
      </c>
      <c r="BO1196" t="s">
        <v>261</v>
      </c>
      <c r="BQ1196">
        <v>0.14119999999999999</v>
      </c>
      <c r="BS1196">
        <v>0.1167</v>
      </c>
      <c r="BU1196">
        <v>0.1709</v>
      </c>
      <c r="BV1196" t="s">
        <v>263</v>
      </c>
      <c r="CM1196" t="s">
        <v>264</v>
      </c>
      <c r="CN1196" t="s">
        <v>264</v>
      </c>
      <c r="CP1196" t="s">
        <v>265</v>
      </c>
      <c r="CQ1196" t="s">
        <v>394</v>
      </c>
      <c r="DB1196">
        <v>1.5</v>
      </c>
      <c r="DG1196" t="s">
        <v>267</v>
      </c>
      <c r="DI1196">
        <v>36</v>
      </c>
      <c r="DN1196" t="s">
        <v>268</v>
      </c>
      <c r="DP1196" t="s">
        <v>2598</v>
      </c>
      <c r="DR1196">
        <v>150425</v>
      </c>
      <c r="DS1196">
        <v>20372</v>
      </c>
      <c r="EW1196" t="s">
        <v>293</v>
      </c>
      <c r="FA1196" t="s">
        <v>397</v>
      </c>
      <c r="FK1196" t="s">
        <v>2616</v>
      </c>
      <c r="FM1196">
        <v>27</v>
      </c>
      <c r="FR1196" t="s">
        <v>295</v>
      </c>
      <c r="GU1196">
        <v>32</v>
      </c>
      <c r="GZ1196" t="s">
        <v>296</v>
      </c>
      <c r="HH1196" t="s">
        <v>272</v>
      </c>
      <c r="ID1196" t="s">
        <v>2617</v>
      </c>
      <c r="IE1196" t="s">
        <v>2618</v>
      </c>
      <c r="IF1196">
        <v>78850</v>
      </c>
      <c r="IG1196" t="s">
        <v>2619</v>
      </c>
      <c r="IH1196" t="s">
        <v>2620</v>
      </c>
      <c r="II1196">
        <v>2004</v>
      </c>
      <c r="IJ1196" t="s">
        <v>2621</v>
      </c>
    </row>
    <row r="1197" spans="1:244" x14ac:dyDescent="0.45">
      <c r="A1197">
        <v>1166796</v>
      </c>
      <c r="B1197">
        <v>158133</v>
      </c>
      <c r="C1197">
        <v>7758987</v>
      </c>
      <c r="D1197" t="s">
        <v>2545</v>
      </c>
      <c r="F1197" t="s">
        <v>245</v>
      </c>
      <c r="G1197" t="s">
        <v>246</v>
      </c>
      <c r="N1197" t="s">
        <v>452</v>
      </c>
      <c r="O1197" t="s">
        <v>346</v>
      </c>
      <c r="P1197" t="s">
        <v>249</v>
      </c>
      <c r="Q1197" t="s">
        <v>250</v>
      </c>
      <c r="R1197" t="s">
        <v>251</v>
      </c>
      <c r="T1197" t="s">
        <v>347</v>
      </c>
      <c r="U1197" t="s">
        <v>348</v>
      </c>
      <c r="V1197" t="s">
        <v>349</v>
      </c>
      <c r="W1197" t="s">
        <v>350</v>
      </c>
      <c r="X1197" t="s">
        <v>453</v>
      </c>
      <c r="Z1197" t="s">
        <v>1025</v>
      </c>
      <c r="AL1197" t="s">
        <v>2633</v>
      </c>
      <c r="AM1197" t="s">
        <v>317</v>
      </c>
      <c r="AN1197" t="s">
        <v>259</v>
      </c>
      <c r="AO1197" t="s">
        <v>260</v>
      </c>
      <c r="AQ1197" t="s">
        <v>261</v>
      </c>
      <c r="AS1197">
        <v>3200</v>
      </c>
      <c r="AX1197" t="s">
        <v>262</v>
      </c>
      <c r="BO1197" t="s">
        <v>261</v>
      </c>
      <c r="BQ1197">
        <v>3.2</v>
      </c>
      <c r="BV1197" t="s">
        <v>263</v>
      </c>
      <c r="CM1197" t="s">
        <v>264</v>
      </c>
      <c r="CN1197" t="s">
        <v>264</v>
      </c>
      <c r="CO1197" t="s">
        <v>2634</v>
      </c>
      <c r="CP1197" t="s">
        <v>265</v>
      </c>
      <c r="CQ1197" t="s">
        <v>394</v>
      </c>
      <c r="DB1197">
        <v>1</v>
      </c>
      <c r="DG1197" t="s">
        <v>267</v>
      </c>
      <c r="DI1197">
        <v>24</v>
      </c>
      <c r="DN1197" t="s">
        <v>268</v>
      </c>
      <c r="DR1197">
        <v>85549</v>
      </c>
      <c r="DS1197">
        <v>366</v>
      </c>
      <c r="EW1197" t="s">
        <v>293</v>
      </c>
      <c r="FA1197" t="s">
        <v>2450</v>
      </c>
      <c r="HH1197" t="s">
        <v>272</v>
      </c>
      <c r="IE1197" t="s">
        <v>2635</v>
      </c>
      <c r="IF1197">
        <v>14874</v>
      </c>
      <c r="IG1197" t="s">
        <v>2636</v>
      </c>
      <c r="IH1197" t="s">
        <v>2637</v>
      </c>
      <c r="II1197">
        <v>1993</v>
      </c>
      <c r="IJ1197" t="s">
        <v>2638</v>
      </c>
    </row>
    <row r="1198" spans="1:244" x14ac:dyDescent="0.45">
      <c r="A1198">
        <v>1070626</v>
      </c>
      <c r="B1198">
        <v>12731</v>
      </c>
      <c r="C1198">
        <v>7758987</v>
      </c>
      <c r="D1198" t="s">
        <v>2545</v>
      </c>
      <c r="F1198" t="s">
        <v>327</v>
      </c>
      <c r="G1198" t="s">
        <v>246</v>
      </c>
      <c r="N1198" t="s">
        <v>2018</v>
      </c>
      <c r="O1198" t="s">
        <v>631</v>
      </c>
      <c r="P1198" t="s">
        <v>249</v>
      </c>
      <c r="Q1198" t="s">
        <v>250</v>
      </c>
      <c r="R1198" t="s">
        <v>251</v>
      </c>
      <c r="T1198" t="s">
        <v>389</v>
      </c>
      <c r="U1198" t="s">
        <v>632</v>
      </c>
      <c r="V1198" t="s">
        <v>633</v>
      </c>
      <c r="W1198" t="s">
        <v>634</v>
      </c>
      <c r="X1198" t="s">
        <v>2019</v>
      </c>
      <c r="Z1198" t="s">
        <v>1034</v>
      </c>
      <c r="AL1198" t="s">
        <v>2639</v>
      </c>
      <c r="AM1198" t="s">
        <v>317</v>
      </c>
      <c r="AN1198" t="s">
        <v>259</v>
      </c>
      <c r="AO1198" t="s">
        <v>260</v>
      </c>
      <c r="AQ1198" t="s">
        <v>261</v>
      </c>
      <c r="AS1198">
        <v>200</v>
      </c>
      <c r="AU1198">
        <v>80</v>
      </c>
      <c r="AW1198">
        <v>310</v>
      </c>
      <c r="AX1198" t="s">
        <v>262</v>
      </c>
      <c r="BO1198" t="s">
        <v>261</v>
      </c>
      <c r="BQ1198">
        <v>0.2</v>
      </c>
      <c r="BS1198">
        <v>0.08</v>
      </c>
      <c r="BU1198">
        <v>0.31</v>
      </c>
      <c r="BV1198" t="s">
        <v>263</v>
      </c>
      <c r="CM1198" t="s">
        <v>264</v>
      </c>
      <c r="CN1198" t="s">
        <v>264</v>
      </c>
      <c r="CP1198" t="s">
        <v>265</v>
      </c>
      <c r="CQ1198" t="s">
        <v>394</v>
      </c>
      <c r="DB1198">
        <v>1</v>
      </c>
      <c r="DG1198" t="s">
        <v>267</v>
      </c>
      <c r="DI1198">
        <v>24</v>
      </c>
      <c r="DN1198" t="s">
        <v>268</v>
      </c>
      <c r="DS1198">
        <v>644</v>
      </c>
      <c r="DT1198" t="s">
        <v>1944</v>
      </c>
      <c r="EW1198" t="s">
        <v>333</v>
      </c>
      <c r="FK1198" t="s">
        <v>2640</v>
      </c>
      <c r="FM1198">
        <v>17</v>
      </c>
      <c r="FR1198" t="s">
        <v>295</v>
      </c>
      <c r="GW1198">
        <v>34.5</v>
      </c>
      <c r="GY1198">
        <v>35.5</v>
      </c>
      <c r="GZ1198" t="s">
        <v>296</v>
      </c>
      <c r="HH1198" t="s">
        <v>272</v>
      </c>
      <c r="ID1198" t="s">
        <v>2641</v>
      </c>
      <c r="IE1198" t="s">
        <v>1947</v>
      </c>
      <c r="IF1198">
        <v>5563</v>
      </c>
      <c r="IG1198" t="s">
        <v>1948</v>
      </c>
      <c r="IH1198" t="s">
        <v>1949</v>
      </c>
      <c r="II1198">
        <v>1979</v>
      </c>
      <c r="IJ1198" t="s">
        <v>1950</v>
      </c>
    </row>
    <row r="1199" spans="1:244" x14ac:dyDescent="0.45">
      <c r="A1199">
        <v>1073236</v>
      </c>
      <c r="B1199">
        <v>47466</v>
      </c>
      <c r="C1199">
        <v>7758987</v>
      </c>
      <c r="D1199" t="s">
        <v>2545</v>
      </c>
      <c r="F1199" t="s">
        <v>245</v>
      </c>
      <c r="G1199" t="s">
        <v>246</v>
      </c>
      <c r="N1199" t="s">
        <v>1359</v>
      </c>
      <c r="O1199" t="s">
        <v>1360</v>
      </c>
      <c r="P1199" t="s">
        <v>249</v>
      </c>
      <c r="Q1199" t="s">
        <v>250</v>
      </c>
      <c r="R1199" t="s">
        <v>251</v>
      </c>
      <c r="T1199" t="s">
        <v>252</v>
      </c>
      <c r="U1199" t="s">
        <v>253</v>
      </c>
      <c r="V1199" t="s">
        <v>608</v>
      </c>
      <c r="W1199" t="s">
        <v>609</v>
      </c>
      <c r="X1199" t="s">
        <v>1361</v>
      </c>
      <c r="Z1199" t="s">
        <v>284</v>
      </c>
      <c r="AD1199">
        <v>1</v>
      </c>
      <c r="AF1199">
        <v>3</v>
      </c>
      <c r="AG1199" t="s">
        <v>267</v>
      </c>
      <c r="AM1199" t="s">
        <v>317</v>
      </c>
      <c r="AN1199" t="s">
        <v>259</v>
      </c>
      <c r="AO1199" t="s">
        <v>260</v>
      </c>
      <c r="AQ1199" t="s">
        <v>261</v>
      </c>
      <c r="AU1199">
        <v>33</v>
      </c>
      <c r="AW1199">
        <v>100</v>
      </c>
      <c r="AX1199" t="s">
        <v>262</v>
      </c>
      <c r="BO1199" t="s">
        <v>261</v>
      </c>
      <c r="BS1199">
        <v>3.3000000000000002E-2</v>
      </c>
      <c r="BU1199">
        <v>0.1</v>
      </c>
      <c r="BV1199" t="s">
        <v>263</v>
      </c>
      <c r="CM1199" t="s">
        <v>264</v>
      </c>
      <c r="CN1199" t="s">
        <v>264</v>
      </c>
      <c r="CP1199" t="s">
        <v>265</v>
      </c>
      <c r="CQ1199" t="s">
        <v>394</v>
      </c>
      <c r="DB1199">
        <v>2</v>
      </c>
      <c r="DG1199" t="s">
        <v>267</v>
      </c>
      <c r="DI1199">
        <v>48</v>
      </c>
      <c r="DN1199" t="s">
        <v>268</v>
      </c>
      <c r="DR1199">
        <v>6707</v>
      </c>
      <c r="DS1199">
        <v>582</v>
      </c>
      <c r="DT1199" t="s">
        <v>1656</v>
      </c>
      <c r="EW1199" t="s">
        <v>333</v>
      </c>
      <c r="FK1199" t="s">
        <v>2642</v>
      </c>
      <c r="FM1199">
        <v>15</v>
      </c>
      <c r="FR1199" t="s">
        <v>295</v>
      </c>
      <c r="HH1199" t="s">
        <v>272</v>
      </c>
      <c r="ID1199" t="s">
        <v>2643</v>
      </c>
      <c r="IE1199" t="s">
        <v>1659</v>
      </c>
      <c r="IF1199">
        <v>5732</v>
      </c>
      <c r="IG1199" t="s">
        <v>1660</v>
      </c>
      <c r="IH1199" t="s">
        <v>1661</v>
      </c>
      <c r="II1199">
        <v>1972</v>
      </c>
      <c r="IJ1199" t="s">
        <v>1662</v>
      </c>
    </row>
    <row r="1200" spans="1:244" x14ac:dyDescent="0.45">
      <c r="A1200">
        <v>1041005</v>
      </c>
      <c r="B1200">
        <v>24918</v>
      </c>
      <c r="C1200">
        <v>7758987</v>
      </c>
      <c r="D1200" t="s">
        <v>2545</v>
      </c>
      <c r="F1200" t="s">
        <v>245</v>
      </c>
      <c r="G1200" t="s">
        <v>246</v>
      </c>
      <c r="N1200" t="s">
        <v>1837</v>
      </c>
      <c r="O1200" t="s">
        <v>1783</v>
      </c>
      <c r="P1200" t="s">
        <v>249</v>
      </c>
      <c r="Q1200" t="s">
        <v>250</v>
      </c>
      <c r="R1200" t="s">
        <v>251</v>
      </c>
      <c r="T1200" t="s">
        <v>252</v>
      </c>
      <c r="U1200" t="s">
        <v>253</v>
      </c>
      <c r="V1200" t="s">
        <v>1735</v>
      </c>
      <c r="W1200" t="s">
        <v>1784</v>
      </c>
      <c r="X1200" t="s">
        <v>1838</v>
      </c>
      <c r="Z1200" t="s">
        <v>1677</v>
      </c>
      <c r="AL1200" t="s">
        <v>1786</v>
      </c>
      <c r="AM1200" t="s">
        <v>258</v>
      </c>
      <c r="AN1200" t="s">
        <v>259</v>
      </c>
      <c r="AO1200" t="s">
        <v>260</v>
      </c>
      <c r="AQ1200" t="s">
        <v>261</v>
      </c>
      <c r="AS1200">
        <v>8280</v>
      </c>
      <c r="AU1200">
        <v>6290</v>
      </c>
      <c r="AW1200">
        <v>10270</v>
      </c>
      <c r="AX1200" t="s">
        <v>262</v>
      </c>
      <c r="BO1200" t="s">
        <v>261</v>
      </c>
      <c r="BQ1200">
        <v>8.2799999999999994</v>
      </c>
      <c r="BS1200">
        <v>6.29</v>
      </c>
      <c r="BU1200">
        <v>10.27</v>
      </c>
      <c r="BV1200" t="s">
        <v>263</v>
      </c>
      <c r="CM1200" t="s">
        <v>264</v>
      </c>
      <c r="CN1200" t="s">
        <v>264</v>
      </c>
      <c r="CP1200" t="s">
        <v>265</v>
      </c>
      <c r="CQ1200" t="s">
        <v>394</v>
      </c>
      <c r="DB1200">
        <v>4</v>
      </c>
      <c r="DG1200" t="s">
        <v>267</v>
      </c>
      <c r="DI1200">
        <v>96</v>
      </c>
      <c r="DN1200" t="s">
        <v>268</v>
      </c>
      <c r="DP1200" t="s">
        <v>977</v>
      </c>
      <c r="DS1200">
        <v>2899</v>
      </c>
      <c r="DT1200" t="s">
        <v>1787</v>
      </c>
      <c r="EW1200" t="s">
        <v>333</v>
      </c>
      <c r="FM1200">
        <v>29</v>
      </c>
      <c r="FR1200" t="s">
        <v>295</v>
      </c>
      <c r="GU1200">
        <v>25</v>
      </c>
      <c r="GZ1200" t="s">
        <v>296</v>
      </c>
      <c r="HH1200" t="s">
        <v>272</v>
      </c>
      <c r="IE1200" t="s">
        <v>1788</v>
      </c>
      <c r="IF1200">
        <v>2602</v>
      </c>
      <c r="IG1200" t="s">
        <v>1789</v>
      </c>
      <c r="IH1200" t="s">
        <v>1790</v>
      </c>
      <c r="II1200">
        <v>1987</v>
      </c>
      <c r="IJ1200" t="s">
        <v>1791</v>
      </c>
    </row>
    <row r="1201" spans="1:244" x14ac:dyDescent="0.45">
      <c r="A1201">
        <v>1155887</v>
      </c>
      <c r="B1201">
        <v>159531</v>
      </c>
      <c r="C1201">
        <v>7758987</v>
      </c>
      <c r="D1201" t="s">
        <v>2545</v>
      </c>
      <c r="F1201" t="s">
        <v>327</v>
      </c>
      <c r="G1201" t="s">
        <v>246</v>
      </c>
      <c r="N1201" t="s">
        <v>2644</v>
      </c>
      <c r="O1201" t="s">
        <v>388</v>
      </c>
      <c r="P1201" t="s">
        <v>249</v>
      </c>
      <c r="Q1201" t="s">
        <v>250</v>
      </c>
      <c r="R1201" t="s">
        <v>251</v>
      </c>
      <c r="T1201" t="s">
        <v>389</v>
      </c>
      <c r="U1201" t="s">
        <v>390</v>
      </c>
      <c r="V1201" t="s">
        <v>472</v>
      </c>
      <c r="W1201" t="s">
        <v>473</v>
      </c>
      <c r="X1201" t="s">
        <v>2645</v>
      </c>
      <c r="AL1201" t="s">
        <v>2122</v>
      </c>
      <c r="AM1201" t="s">
        <v>258</v>
      </c>
      <c r="AN1201" t="s">
        <v>259</v>
      </c>
      <c r="AO1201" t="s">
        <v>260</v>
      </c>
      <c r="AQ1201" t="s">
        <v>504</v>
      </c>
      <c r="AS1201">
        <v>178</v>
      </c>
      <c r="AX1201" t="s">
        <v>262</v>
      </c>
      <c r="BO1201" t="s">
        <v>504</v>
      </c>
      <c r="BQ1201">
        <v>0.17799999999999999</v>
      </c>
      <c r="BV1201" t="s">
        <v>263</v>
      </c>
      <c r="CM1201" t="s">
        <v>264</v>
      </c>
      <c r="CN1201" t="s">
        <v>264</v>
      </c>
      <c r="CP1201" t="s">
        <v>265</v>
      </c>
      <c r="CQ1201" t="s">
        <v>394</v>
      </c>
      <c r="DB1201">
        <v>4</v>
      </c>
      <c r="DG1201" t="s">
        <v>267</v>
      </c>
      <c r="DI1201">
        <v>96</v>
      </c>
      <c r="DN1201" t="s">
        <v>268</v>
      </c>
      <c r="DR1201">
        <v>291243</v>
      </c>
      <c r="DS1201">
        <v>5409</v>
      </c>
      <c r="DT1201" t="s">
        <v>2646</v>
      </c>
      <c r="EW1201" t="s">
        <v>272</v>
      </c>
      <c r="FK1201" t="s">
        <v>2647</v>
      </c>
      <c r="FO1201">
        <v>11</v>
      </c>
      <c r="FQ1201">
        <v>15</v>
      </c>
      <c r="FR1201" t="s">
        <v>295</v>
      </c>
      <c r="GO1201">
        <v>8</v>
      </c>
      <c r="GU1201">
        <v>34</v>
      </c>
      <c r="GZ1201" t="s">
        <v>296</v>
      </c>
      <c r="HH1201" t="s">
        <v>272</v>
      </c>
      <c r="ID1201" t="s">
        <v>2648</v>
      </c>
      <c r="IE1201" t="s">
        <v>2649</v>
      </c>
      <c r="IF1201">
        <v>13507</v>
      </c>
      <c r="IG1201" t="s">
        <v>2650</v>
      </c>
      <c r="IH1201" t="s">
        <v>2651</v>
      </c>
      <c r="II1201">
        <v>1994</v>
      </c>
      <c r="IJ1201" t="s">
        <v>2652</v>
      </c>
    </row>
    <row r="1202" spans="1:244" x14ac:dyDescent="0.45">
      <c r="A1202">
        <v>1057439</v>
      </c>
      <c r="B1202">
        <v>131425</v>
      </c>
      <c r="C1202">
        <v>7758987</v>
      </c>
      <c r="D1202" t="s">
        <v>2545</v>
      </c>
      <c r="E1202" t="s">
        <v>386</v>
      </c>
      <c r="F1202" t="s">
        <v>245</v>
      </c>
      <c r="G1202" t="s">
        <v>246</v>
      </c>
      <c r="N1202" t="s">
        <v>845</v>
      </c>
      <c r="O1202" t="s">
        <v>846</v>
      </c>
      <c r="P1202" t="s">
        <v>249</v>
      </c>
      <c r="Q1202" t="s">
        <v>250</v>
      </c>
      <c r="R1202" t="s">
        <v>251</v>
      </c>
      <c r="T1202" t="s">
        <v>252</v>
      </c>
      <c r="U1202" t="s">
        <v>253</v>
      </c>
      <c r="V1202" t="s">
        <v>418</v>
      </c>
      <c r="W1202" t="s">
        <v>847</v>
      </c>
      <c r="X1202" t="s">
        <v>848</v>
      </c>
      <c r="AB1202">
        <v>3</v>
      </c>
      <c r="AG1202" t="s">
        <v>598</v>
      </c>
      <c r="AL1202" t="s">
        <v>858</v>
      </c>
      <c r="AM1202" t="s">
        <v>258</v>
      </c>
      <c r="AN1202" t="s">
        <v>259</v>
      </c>
      <c r="AO1202" t="s">
        <v>260</v>
      </c>
      <c r="AQ1202" t="s">
        <v>261</v>
      </c>
      <c r="AS1202">
        <v>1580</v>
      </c>
      <c r="AX1202" t="s">
        <v>262</v>
      </c>
      <c r="BO1202" t="s">
        <v>261</v>
      </c>
      <c r="BQ1202">
        <v>1.58</v>
      </c>
      <c r="BV1202" t="s">
        <v>263</v>
      </c>
      <c r="CM1202" t="s">
        <v>264</v>
      </c>
      <c r="CN1202" t="s">
        <v>264</v>
      </c>
      <c r="CP1202" t="s">
        <v>265</v>
      </c>
      <c r="CQ1202" t="s">
        <v>394</v>
      </c>
      <c r="DB1202">
        <v>2</v>
      </c>
      <c r="DG1202" t="s">
        <v>267</v>
      </c>
      <c r="DI1202">
        <v>48</v>
      </c>
      <c r="DN1202" t="s">
        <v>268</v>
      </c>
      <c r="DR1202">
        <v>32278</v>
      </c>
      <c r="DS1202">
        <v>4580</v>
      </c>
      <c r="DT1202" t="s">
        <v>850</v>
      </c>
      <c r="EW1202" t="s">
        <v>271</v>
      </c>
      <c r="FM1202">
        <v>28</v>
      </c>
      <c r="FR1202" t="s">
        <v>295</v>
      </c>
      <c r="GO1202">
        <v>8.6999999999999993</v>
      </c>
      <c r="GW1202">
        <v>30</v>
      </c>
      <c r="GY1202">
        <v>34</v>
      </c>
      <c r="GZ1202" t="s">
        <v>296</v>
      </c>
      <c r="HH1202" t="s">
        <v>272</v>
      </c>
      <c r="IE1202" t="s">
        <v>853</v>
      </c>
      <c r="IF1202">
        <v>4127</v>
      </c>
      <c r="IG1202" t="s">
        <v>854</v>
      </c>
      <c r="IH1202" t="s">
        <v>855</v>
      </c>
      <c r="II1202">
        <v>1993</v>
      </c>
      <c r="IJ1202" t="s">
        <v>856</v>
      </c>
    </row>
    <row r="1203" spans="1:244" x14ac:dyDescent="0.45">
      <c r="A1203">
        <v>1307925</v>
      </c>
      <c r="B1203">
        <v>764894</v>
      </c>
      <c r="C1203">
        <v>7758987</v>
      </c>
      <c r="D1203" t="s">
        <v>2545</v>
      </c>
      <c r="F1203" t="s">
        <v>245</v>
      </c>
      <c r="G1203" t="s">
        <v>246</v>
      </c>
      <c r="N1203" t="s">
        <v>2653</v>
      </c>
      <c r="O1203" t="s">
        <v>498</v>
      </c>
      <c r="P1203" t="s">
        <v>249</v>
      </c>
      <c r="Q1203" t="s">
        <v>250</v>
      </c>
      <c r="R1203" t="s">
        <v>251</v>
      </c>
      <c r="T1203" t="s">
        <v>252</v>
      </c>
      <c r="U1203" t="s">
        <v>499</v>
      </c>
      <c r="V1203" t="s">
        <v>500</v>
      </c>
      <c r="W1203" t="s">
        <v>893</v>
      </c>
      <c r="X1203" t="s">
        <v>2654</v>
      </c>
      <c r="AM1203" t="s">
        <v>287</v>
      </c>
      <c r="AN1203" t="s">
        <v>259</v>
      </c>
      <c r="AO1203" t="s">
        <v>260</v>
      </c>
      <c r="AP1203">
        <v>5</v>
      </c>
      <c r="AQ1203" t="s">
        <v>261</v>
      </c>
      <c r="AS1203">
        <v>0.89300000000000002</v>
      </c>
      <c r="AX1203" t="s">
        <v>356</v>
      </c>
      <c r="BO1203" t="s">
        <v>261</v>
      </c>
      <c r="BQ1203">
        <v>0.89300000000000002</v>
      </c>
      <c r="BV1203" t="s">
        <v>263</v>
      </c>
      <c r="CM1203" t="s">
        <v>264</v>
      </c>
      <c r="CN1203" t="s">
        <v>264</v>
      </c>
      <c r="CP1203" t="s">
        <v>265</v>
      </c>
      <c r="CQ1203" t="s">
        <v>394</v>
      </c>
      <c r="DB1203">
        <v>4</v>
      </c>
      <c r="DG1203" t="s">
        <v>267</v>
      </c>
      <c r="DI1203">
        <v>96</v>
      </c>
      <c r="DN1203" t="s">
        <v>268</v>
      </c>
      <c r="DP1203" t="s">
        <v>2598</v>
      </c>
      <c r="DR1203">
        <v>178002</v>
      </c>
      <c r="DS1203">
        <v>382</v>
      </c>
      <c r="DT1203" t="s">
        <v>2655</v>
      </c>
      <c r="EW1203" t="s">
        <v>293</v>
      </c>
      <c r="FA1203" t="s">
        <v>2656</v>
      </c>
      <c r="FK1203" t="s">
        <v>2657</v>
      </c>
      <c r="FM1203">
        <v>11</v>
      </c>
      <c r="FR1203" t="s">
        <v>295</v>
      </c>
      <c r="GU1203">
        <v>1.66</v>
      </c>
      <c r="GZ1203" t="s">
        <v>900</v>
      </c>
      <c r="HH1203" t="s">
        <v>272</v>
      </c>
      <c r="ID1203" t="s">
        <v>2658</v>
      </c>
      <c r="IE1203" t="s">
        <v>2659</v>
      </c>
      <c r="IF1203">
        <v>77803</v>
      </c>
      <c r="IG1203" t="s">
        <v>2660</v>
      </c>
      <c r="IH1203" t="s">
        <v>2661</v>
      </c>
      <c r="II1203">
        <v>1996</v>
      </c>
      <c r="IJ1203" t="s">
        <v>2662</v>
      </c>
    </row>
    <row r="1204" spans="1:244" x14ac:dyDescent="0.45">
      <c r="A1204">
        <v>1182146</v>
      </c>
      <c r="B1204">
        <v>160052</v>
      </c>
      <c r="C1204">
        <v>7758987</v>
      </c>
      <c r="D1204" t="s">
        <v>2545</v>
      </c>
      <c r="E1204" t="s">
        <v>439</v>
      </c>
      <c r="F1204" t="s">
        <v>245</v>
      </c>
      <c r="G1204" t="s">
        <v>246</v>
      </c>
      <c r="N1204" t="s">
        <v>345</v>
      </c>
      <c r="O1204" t="s">
        <v>346</v>
      </c>
      <c r="P1204" t="s">
        <v>249</v>
      </c>
      <c r="Q1204" t="s">
        <v>250</v>
      </c>
      <c r="R1204" t="s">
        <v>251</v>
      </c>
      <c r="T1204" t="s">
        <v>347</v>
      </c>
      <c r="U1204" t="s">
        <v>348</v>
      </c>
      <c r="V1204" t="s">
        <v>349</v>
      </c>
      <c r="W1204" t="s">
        <v>350</v>
      </c>
      <c r="X1204" t="s">
        <v>351</v>
      </c>
      <c r="Z1204" t="s">
        <v>1034</v>
      </c>
      <c r="AL1204" t="s">
        <v>2663</v>
      </c>
      <c r="AM1204" t="s">
        <v>317</v>
      </c>
      <c r="AN1204" t="s">
        <v>259</v>
      </c>
      <c r="AO1204" t="s">
        <v>260</v>
      </c>
      <c r="AQ1204" t="s">
        <v>261</v>
      </c>
      <c r="AS1204">
        <v>2600</v>
      </c>
      <c r="AX1204" t="s">
        <v>262</v>
      </c>
      <c r="BO1204" t="s">
        <v>261</v>
      </c>
      <c r="BQ1204">
        <v>2.6</v>
      </c>
      <c r="BV1204" t="s">
        <v>263</v>
      </c>
      <c r="CM1204" t="s">
        <v>264</v>
      </c>
      <c r="CN1204" t="s">
        <v>264</v>
      </c>
      <c r="CP1204" t="s">
        <v>265</v>
      </c>
      <c r="DB1204">
        <v>1</v>
      </c>
      <c r="DG1204" t="s">
        <v>267</v>
      </c>
      <c r="DI1204">
        <v>24</v>
      </c>
      <c r="DN1204" t="s">
        <v>268</v>
      </c>
      <c r="DP1204" t="s">
        <v>2664</v>
      </c>
      <c r="DR1204">
        <v>6660</v>
      </c>
      <c r="DS1204">
        <v>421</v>
      </c>
      <c r="DT1204" t="s">
        <v>2665</v>
      </c>
      <c r="EW1204" t="s">
        <v>293</v>
      </c>
      <c r="FA1204" t="s">
        <v>2666</v>
      </c>
      <c r="FM1204">
        <v>25</v>
      </c>
      <c r="FR1204" t="s">
        <v>295</v>
      </c>
      <c r="GU1204">
        <v>15</v>
      </c>
      <c r="GZ1204" t="s">
        <v>296</v>
      </c>
      <c r="HH1204" t="s">
        <v>272</v>
      </c>
      <c r="IE1204" t="s">
        <v>2667</v>
      </c>
      <c r="IF1204">
        <v>16031</v>
      </c>
      <c r="IG1204" t="s">
        <v>2668</v>
      </c>
      <c r="IH1204" t="s">
        <v>2669</v>
      </c>
      <c r="II1204">
        <v>1995</v>
      </c>
      <c r="IJ1204" t="s">
        <v>2670</v>
      </c>
    </row>
    <row r="1205" spans="1:244" x14ac:dyDescent="0.45">
      <c r="A1205">
        <v>1122237</v>
      </c>
      <c r="B1205">
        <v>126276</v>
      </c>
      <c r="C1205">
        <v>7758987</v>
      </c>
      <c r="D1205" t="s">
        <v>2545</v>
      </c>
      <c r="F1205" t="s">
        <v>245</v>
      </c>
      <c r="G1205" t="s">
        <v>246</v>
      </c>
      <c r="N1205" t="s">
        <v>1705</v>
      </c>
      <c r="O1205" t="s">
        <v>1706</v>
      </c>
      <c r="P1205" t="s">
        <v>249</v>
      </c>
      <c r="Q1205" t="s">
        <v>250</v>
      </c>
      <c r="R1205" t="s">
        <v>251</v>
      </c>
      <c r="T1205" t="s">
        <v>347</v>
      </c>
      <c r="U1205" t="s">
        <v>1707</v>
      </c>
      <c r="V1205" t="s">
        <v>1708</v>
      </c>
      <c r="W1205" t="s">
        <v>1709</v>
      </c>
      <c r="X1205" t="s">
        <v>1710</v>
      </c>
      <c r="AM1205" t="s">
        <v>287</v>
      </c>
      <c r="AN1205" t="s">
        <v>259</v>
      </c>
      <c r="AO1205" t="s">
        <v>260</v>
      </c>
      <c r="AQ1205" t="s">
        <v>261</v>
      </c>
      <c r="AS1205">
        <v>88.8</v>
      </c>
      <c r="AU1205">
        <v>81.5</v>
      </c>
      <c r="AW1205">
        <v>96.7</v>
      </c>
      <c r="AX1205" t="s">
        <v>262</v>
      </c>
      <c r="BO1205" t="s">
        <v>261</v>
      </c>
      <c r="BQ1205">
        <v>8.8800000000000004E-2</v>
      </c>
      <c r="BS1205">
        <v>8.1500000000000003E-2</v>
      </c>
      <c r="BU1205">
        <v>9.6699999999999994E-2</v>
      </c>
      <c r="BV1205" t="s">
        <v>263</v>
      </c>
      <c r="CM1205" t="s">
        <v>264</v>
      </c>
      <c r="CN1205" t="s">
        <v>264</v>
      </c>
      <c r="CP1205" t="s">
        <v>265</v>
      </c>
      <c r="CQ1205" t="s">
        <v>394</v>
      </c>
      <c r="DB1205">
        <v>2</v>
      </c>
      <c r="DG1205" t="s">
        <v>267</v>
      </c>
      <c r="DI1205">
        <v>48</v>
      </c>
      <c r="DN1205" t="s">
        <v>268</v>
      </c>
      <c r="DR1205">
        <v>700594</v>
      </c>
      <c r="DS1205">
        <v>4630</v>
      </c>
      <c r="EW1205" t="s">
        <v>271</v>
      </c>
      <c r="FM1205">
        <v>25</v>
      </c>
      <c r="FR1205" t="s">
        <v>295</v>
      </c>
      <c r="GO1205">
        <v>7.85</v>
      </c>
      <c r="GU1205">
        <v>31.7</v>
      </c>
      <c r="GZ1205" t="s">
        <v>296</v>
      </c>
      <c r="HH1205" t="s">
        <v>272</v>
      </c>
      <c r="IE1205" t="s">
        <v>1711</v>
      </c>
      <c r="IF1205">
        <v>9624</v>
      </c>
      <c r="IG1205" t="s">
        <v>1712</v>
      </c>
      <c r="IH1205" t="s">
        <v>1713</v>
      </c>
      <c r="II1205">
        <v>1991</v>
      </c>
      <c r="IJ1205" t="s">
        <v>1714</v>
      </c>
    </row>
    <row r="1206" spans="1:244" x14ac:dyDescent="0.45">
      <c r="A1206">
        <v>1135994</v>
      </c>
      <c r="B1206">
        <v>90926</v>
      </c>
      <c r="C1206">
        <v>7758987</v>
      </c>
      <c r="D1206" t="s">
        <v>2545</v>
      </c>
      <c r="F1206" t="s">
        <v>245</v>
      </c>
      <c r="G1206" t="s">
        <v>246</v>
      </c>
      <c r="N1206" t="s">
        <v>471</v>
      </c>
      <c r="O1206" t="s">
        <v>388</v>
      </c>
      <c r="P1206" t="s">
        <v>249</v>
      </c>
      <c r="Q1206" t="s">
        <v>250</v>
      </c>
      <c r="R1206" t="s">
        <v>251</v>
      </c>
      <c r="T1206" t="s">
        <v>389</v>
      </c>
      <c r="U1206" t="s">
        <v>390</v>
      </c>
      <c r="V1206" t="s">
        <v>472</v>
      </c>
      <c r="W1206" t="s">
        <v>473</v>
      </c>
      <c r="X1206" t="s">
        <v>474</v>
      </c>
      <c r="Z1206" t="s">
        <v>525</v>
      </c>
      <c r="AB1206">
        <v>1</v>
      </c>
      <c r="AG1206" t="s">
        <v>267</v>
      </c>
      <c r="AM1206" t="s">
        <v>317</v>
      </c>
      <c r="AN1206" t="s">
        <v>259</v>
      </c>
      <c r="AO1206" t="s">
        <v>260</v>
      </c>
      <c r="AQ1206" t="s">
        <v>261</v>
      </c>
      <c r="AS1206">
        <v>314.2</v>
      </c>
      <c r="AX1206" t="s">
        <v>262</v>
      </c>
      <c r="BO1206" t="s">
        <v>261</v>
      </c>
      <c r="BQ1206">
        <v>0.31419999999999998</v>
      </c>
      <c r="BV1206" t="s">
        <v>263</v>
      </c>
      <c r="CM1206" t="s">
        <v>264</v>
      </c>
      <c r="CN1206" t="s">
        <v>264</v>
      </c>
      <c r="CP1206" t="s">
        <v>265</v>
      </c>
      <c r="CQ1206" t="s">
        <v>394</v>
      </c>
      <c r="DB1206">
        <v>2</v>
      </c>
      <c r="DG1206" t="s">
        <v>267</v>
      </c>
      <c r="DI1206">
        <v>48</v>
      </c>
      <c r="DN1206" t="s">
        <v>268</v>
      </c>
      <c r="DR1206">
        <v>2056173</v>
      </c>
      <c r="DS1206">
        <v>1053</v>
      </c>
      <c r="DT1206" t="s">
        <v>2671</v>
      </c>
      <c r="EW1206" t="s">
        <v>271</v>
      </c>
      <c r="FA1206" t="s">
        <v>2672</v>
      </c>
      <c r="FM1206">
        <v>18</v>
      </c>
      <c r="FR1206" t="s">
        <v>295</v>
      </c>
      <c r="GU1206">
        <v>38</v>
      </c>
      <c r="GZ1206" t="s">
        <v>296</v>
      </c>
      <c r="HH1206" t="s">
        <v>272</v>
      </c>
      <c r="IE1206" t="s">
        <v>2299</v>
      </c>
      <c r="IF1206">
        <v>11097</v>
      </c>
      <c r="IG1206" t="s">
        <v>2673</v>
      </c>
      <c r="IH1206" t="s">
        <v>2674</v>
      </c>
      <c r="II1206">
        <v>1982</v>
      </c>
      <c r="IJ1206" t="s">
        <v>2675</v>
      </c>
    </row>
    <row r="1207" spans="1:244" x14ac:dyDescent="0.45">
      <c r="A1207">
        <v>1312290</v>
      </c>
      <c r="B1207">
        <v>769713</v>
      </c>
      <c r="C1207">
        <v>7758987</v>
      </c>
      <c r="D1207" t="s">
        <v>2545</v>
      </c>
      <c r="F1207" t="s">
        <v>245</v>
      </c>
      <c r="G1207" t="s">
        <v>246</v>
      </c>
      <c r="N1207" t="s">
        <v>958</v>
      </c>
      <c r="O1207" t="s">
        <v>959</v>
      </c>
      <c r="P1207" t="s">
        <v>249</v>
      </c>
      <c r="Q1207" t="s">
        <v>250</v>
      </c>
      <c r="R1207" t="s">
        <v>251</v>
      </c>
      <c r="T1207" t="s">
        <v>252</v>
      </c>
      <c r="U1207" t="s">
        <v>253</v>
      </c>
      <c r="V1207" t="s">
        <v>418</v>
      </c>
      <c r="W1207" t="s">
        <v>419</v>
      </c>
      <c r="X1207" t="s">
        <v>960</v>
      </c>
      <c r="Z1207" t="s">
        <v>649</v>
      </c>
      <c r="AL1207" t="s">
        <v>2587</v>
      </c>
      <c r="AM1207" t="s">
        <v>258</v>
      </c>
      <c r="AN1207" t="s">
        <v>259</v>
      </c>
      <c r="AO1207" t="s">
        <v>260</v>
      </c>
      <c r="AP1207">
        <v>7</v>
      </c>
      <c r="AQ1207" t="s">
        <v>261</v>
      </c>
      <c r="AS1207">
        <v>9.6999999999999993</v>
      </c>
      <c r="AX1207" t="s">
        <v>356</v>
      </c>
      <c r="BO1207" t="s">
        <v>261</v>
      </c>
      <c r="BQ1207">
        <v>9.6999999999999993</v>
      </c>
      <c r="BV1207" t="s">
        <v>263</v>
      </c>
      <c r="CM1207" t="s">
        <v>264</v>
      </c>
      <c r="CN1207" t="s">
        <v>264</v>
      </c>
      <c r="CP1207" t="s">
        <v>265</v>
      </c>
      <c r="CQ1207" t="s">
        <v>394</v>
      </c>
      <c r="DB1207">
        <v>3</v>
      </c>
      <c r="DG1207" t="s">
        <v>267</v>
      </c>
      <c r="DI1207">
        <v>72</v>
      </c>
      <c r="DN1207" t="s">
        <v>268</v>
      </c>
      <c r="DP1207" t="s">
        <v>2588</v>
      </c>
      <c r="DR1207">
        <v>6687</v>
      </c>
      <c r="DS1207">
        <v>252</v>
      </c>
      <c r="DT1207" t="s">
        <v>2589</v>
      </c>
      <c r="EW1207" t="s">
        <v>293</v>
      </c>
      <c r="FK1207" t="s">
        <v>2676</v>
      </c>
      <c r="FM1207">
        <v>26</v>
      </c>
      <c r="FR1207" t="s">
        <v>295</v>
      </c>
      <c r="GH1207">
        <v>6.09</v>
      </c>
      <c r="GM1207" t="s">
        <v>356</v>
      </c>
      <c r="GQ1207">
        <v>8.06</v>
      </c>
      <c r="GS1207">
        <v>8.24</v>
      </c>
      <c r="GU1207">
        <v>25</v>
      </c>
      <c r="GZ1207" t="s">
        <v>296</v>
      </c>
      <c r="HH1207" t="s">
        <v>272</v>
      </c>
      <c r="ID1207" t="s">
        <v>2677</v>
      </c>
      <c r="IE1207" t="s">
        <v>2592</v>
      </c>
      <c r="IF1207">
        <v>80017</v>
      </c>
      <c r="IG1207" t="s">
        <v>2593</v>
      </c>
      <c r="IH1207" t="s">
        <v>2594</v>
      </c>
      <c r="II1207">
        <v>2001</v>
      </c>
      <c r="IJ1207" t="s">
        <v>2595</v>
      </c>
    </row>
    <row r="1208" spans="1:244" x14ac:dyDescent="0.45">
      <c r="A1208">
        <v>1196478</v>
      </c>
      <c r="B1208">
        <v>149553</v>
      </c>
      <c r="C1208">
        <v>7758987</v>
      </c>
      <c r="D1208" t="s">
        <v>2545</v>
      </c>
      <c r="F1208" t="s">
        <v>272</v>
      </c>
      <c r="G1208" t="s">
        <v>246</v>
      </c>
      <c r="N1208" t="s">
        <v>2678</v>
      </c>
      <c r="O1208" t="s">
        <v>646</v>
      </c>
      <c r="P1208" t="s">
        <v>249</v>
      </c>
      <c r="Q1208" t="s">
        <v>250</v>
      </c>
      <c r="R1208" t="s">
        <v>251</v>
      </c>
      <c r="T1208" t="s">
        <v>252</v>
      </c>
      <c r="U1208" t="s">
        <v>253</v>
      </c>
      <c r="V1208" t="s">
        <v>418</v>
      </c>
      <c r="W1208" t="s">
        <v>419</v>
      </c>
      <c r="X1208" t="s">
        <v>2679</v>
      </c>
      <c r="Z1208" t="s">
        <v>421</v>
      </c>
      <c r="AM1208" t="s">
        <v>287</v>
      </c>
      <c r="AN1208" t="s">
        <v>259</v>
      </c>
      <c r="AO1208" t="s">
        <v>260</v>
      </c>
      <c r="AQ1208" t="s">
        <v>261</v>
      </c>
      <c r="AS1208">
        <v>231000</v>
      </c>
      <c r="AU1208">
        <v>204000</v>
      </c>
      <c r="AW1208">
        <v>262000</v>
      </c>
      <c r="AX1208" t="s">
        <v>262</v>
      </c>
      <c r="BO1208" t="s">
        <v>261</v>
      </c>
      <c r="BQ1208">
        <v>231</v>
      </c>
      <c r="BS1208">
        <v>204</v>
      </c>
      <c r="BU1208">
        <v>262</v>
      </c>
      <c r="BV1208" t="s">
        <v>263</v>
      </c>
      <c r="CM1208" t="s">
        <v>264</v>
      </c>
      <c r="CN1208" t="s">
        <v>264</v>
      </c>
      <c r="CO1208" t="s">
        <v>2549</v>
      </c>
      <c r="CP1208" t="s">
        <v>265</v>
      </c>
      <c r="DB1208">
        <v>1</v>
      </c>
      <c r="DG1208" t="s">
        <v>267</v>
      </c>
      <c r="DI1208">
        <v>24</v>
      </c>
      <c r="DN1208" t="s">
        <v>268</v>
      </c>
      <c r="DR1208">
        <v>64467</v>
      </c>
      <c r="DS1208">
        <v>1008</v>
      </c>
      <c r="EW1208" t="s">
        <v>272</v>
      </c>
      <c r="FO1208">
        <v>25.2</v>
      </c>
      <c r="FQ1208">
        <v>29.5</v>
      </c>
      <c r="FR1208" t="s">
        <v>295</v>
      </c>
      <c r="GQ1208">
        <v>7.7</v>
      </c>
      <c r="GS1208">
        <v>8.3000000000000007</v>
      </c>
      <c r="GW1208">
        <v>26</v>
      </c>
      <c r="GY1208">
        <v>34</v>
      </c>
      <c r="GZ1208" t="s">
        <v>296</v>
      </c>
      <c r="HH1208" t="s">
        <v>272</v>
      </c>
      <c r="IE1208" t="s">
        <v>2550</v>
      </c>
      <c r="IF1208">
        <v>17681</v>
      </c>
      <c r="IG1208" t="s">
        <v>2551</v>
      </c>
      <c r="IH1208" t="s">
        <v>2552</v>
      </c>
      <c r="II1208">
        <v>1990</v>
      </c>
      <c r="IJ1208" t="s">
        <v>2553</v>
      </c>
    </row>
    <row r="1209" spans="1:244" x14ac:dyDescent="0.45">
      <c r="A1209">
        <v>1166794</v>
      </c>
      <c r="B1209">
        <v>158131</v>
      </c>
      <c r="C1209">
        <v>7758987</v>
      </c>
      <c r="D1209" t="s">
        <v>2545</v>
      </c>
      <c r="F1209" t="s">
        <v>245</v>
      </c>
      <c r="G1209" t="s">
        <v>246</v>
      </c>
      <c r="N1209" t="s">
        <v>452</v>
      </c>
      <c r="O1209" t="s">
        <v>346</v>
      </c>
      <c r="P1209" t="s">
        <v>249</v>
      </c>
      <c r="Q1209" t="s">
        <v>250</v>
      </c>
      <c r="R1209" t="s">
        <v>251</v>
      </c>
      <c r="T1209" t="s">
        <v>347</v>
      </c>
      <c r="U1209" t="s">
        <v>348</v>
      </c>
      <c r="V1209" t="s">
        <v>349</v>
      </c>
      <c r="W1209" t="s">
        <v>350</v>
      </c>
      <c r="X1209" t="s">
        <v>453</v>
      </c>
      <c r="Z1209" t="s">
        <v>1025</v>
      </c>
      <c r="AL1209" t="s">
        <v>2633</v>
      </c>
      <c r="AM1209" t="s">
        <v>317</v>
      </c>
      <c r="AN1209" t="s">
        <v>259</v>
      </c>
      <c r="AO1209" t="s">
        <v>260</v>
      </c>
      <c r="AQ1209" t="s">
        <v>261</v>
      </c>
      <c r="AS1209">
        <v>3200</v>
      </c>
      <c r="AX1209" t="s">
        <v>262</v>
      </c>
      <c r="BO1209" t="s">
        <v>261</v>
      </c>
      <c r="BQ1209">
        <v>3.2</v>
      </c>
      <c r="BV1209" t="s">
        <v>263</v>
      </c>
      <c r="CM1209" t="s">
        <v>264</v>
      </c>
      <c r="CN1209" t="s">
        <v>264</v>
      </c>
      <c r="CO1209" t="s">
        <v>2680</v>
      </c>
      <c r="CP1209" t="s">
        <v>265</v>
      </c>
      <c r="CQ1209" t="s">
        <v>394</v>
      </c>
      <c r="DB1209">
        <v>1</v>
      </c>
      <c r="DG1209" t="s">
        <v>267</v>
      </c>
      <c r="DI1209">
        <v>24</v>
      </c>
      <c r="DN1209" t="s">
        <v>268</v>
      </c>
      <c r="DR1209">
        <v>85549</v>
      </c>
      <c r="DS1209">
        <v>366</v>
      </c>
      <c r="EW1209" t="s">
        <v>293</v>
      </c>
      <c r="FA1209" t="s">
        <v>2450</v>
      </c>
      <c r="HH1209" t="s">
        <v>272</v>
      </c>
      <c r="IE1209" t="s">
        <v>2635</v>
      </c>
      <c r="IF1209">
        <v>14874</v>
      </c>
      <c r="IG1209" t="s">
        <v>2636</v>
      </c>
      <c r="IH1209" t="s">
        <v>2637</v>
      </c>
      <c r="II1209">
        <v>1993</v>
      </c>
      <c r="IJ1209" t="s">
        <v>2638</v>
      </c>
    </row>
    <row r="1210" spans="1:244" x14ac:dyDescent="0.45">
      <c r="A1210">
        <v>1252836</v>
      </c>
      <c r="B1210">
        <v>701198</v>
      </c>
      <c r="C1210">
        <v>7758987</v>
      </c>
      <c r="D1210" t="s">
        <v>2545</v>
      </c>
      <c r="F1210" t="s">
        <v>245</v>
      </c>
      <c r="G1210" t="s">
        <v>246</v>
      </c>
      <c r="N1210" t="s">
        <v>2342</v>
      </c>
      <c r="O1210" t="s">
        <v>917</v>
      </c>
      <c r="P1210" t="s">
        <v>249</v>
      </c>
      <c r="Q1210" t="s">
        <v>250</v>
      </c>
      <c r="R1210" t="s">
        <v>251</v>
      </c>
      <c r="T1210" t="s">
        <v>252</v>
      </c>
      <c r="U1210" t="s">
        <v>253</v>
      </c>
      <c r="V1210" t="s">
        <v>418</v>
      </c>
      <c r="W1210" t="s">
        <v>1585</v>
      </c>
      <c r="X1210" t="s">
        <v>2343</v>
      </c>
      <c r="Z1210" t="s">
        <v>421</v>
      </c>
      <c r="AB1210">
        <v>17</v>
      </c>
      <c r="AG1210" t="s">
        <v>267</v>
      </c>
      <c r="AL1210" t="s">
        <v>2344</v>
      </c>
      <c r="AM1210" t="s">
        <v>317</v>
      </c>
      <c r="AN1210" t="s">
        <v>259</v>
      </c>
      <c r="AO1210" t="s">
        <v>260</v>
      </c>
      <c r="AP1210">
        <v>6</v>
      </c>
      <c r="AQ1210" t="s">
        <v>261</v>
      </c>
      <c r="AS1210">
        <v>1.4</v>
      </c>
      <c r="AX1210" t="s">
        <v>422</v>
      </c>
      <c r="BO1210" t="s">
        <v>261</v>
      </c>
      <c r="BQ1210">
        <v>1.4</v>
      </c>
      <c r="BV1210" t="s">
        <v>263</v>
      </c>
      <c r="CM1210" t="s">
        <v>264</v>
      </c>
      <c r="CN1210" t="s">
        <v>264</v>
      </c>
      <c r="CP1210" t="s">
        <v>265</v>
      </c>
      <c r="CQ1210" t="s">
        <v>394</v>
      </c>
      <c r="DB1210">
        <v>4</v>
      </c>
      <c r="DG1210" t="s">
        <v>267</v>
      </c>
      <c r="DI1210">
        <v>96</v>
      </c>
      <c r="DN1210" t="s">
        <v>268</v>
      </c>
      <c r="DP1210" t="s">
        <v>2546</v>
      </c>
      <c r="DR1210">
        <v>71413</v>
      </c>
      <c r="DS1210">
        <v>16395</v>
      </c>
      <c r="DT1210" t="s">
        <v>2346</v>
      </c>
      <c r="EW1210" t="s">
        <v>293</v>
      </c>
      <c r="FK1210" t="s">
        <v>2681</v>
      </c>
      <c r="HH1210" t="s">
        <v>272</v>
      </c>
      <c r="ID1210" t="s">
        <v>2682</v>
      </c>
      <c r="IE1210" t="s">
        <v>2349</v>
      </c>
      <c r="IF1210">
        <v>60111</v>
      </c>
      <c r="IG1210" t="s">
        <v>2350</v>
      </c>
      <c r="IH1210" t="s">
        <v>2351</v>
      </c>
      <c r="II1210">
        <v>2000</v>
      </c>
      <c r="IJ1210" t="s">
        <v>2352</v>
      </c>
    </row>
    <row r="1211" spans="1:244" x14ac:dyDescent="0.45">
      <c r="A1211">
        <v>1194075</v>
      </c>
      <c r="B1211">
        <v>166694</v>
      </c>
      <c r="C1211">
        <v>7758987</v>
      </c>
      <c r="D1211" t="s">
        <v>2545</v>
      </c>
      <c r="F1211" t="s">
        <v>245</v>
      </c>
      <c r="G1211" t="s">
        <v>246</v>
      </c>
      <c r="N1211" t="s">
        <v>1914</v>
      </c>
      <c r="O1211" t="s">
        <v>248</v>
      </c>
      <c r="P1211" t="s">
        <v>249</v>
      </c>
      <c r="Q1211" t="s">
        <v>250</v>
      </c>
      <c r="R1211" t="s">
        <v>251</v>
      </c>
      <c r="T1211" t="s">
        <v>252</v>
      </c>
      <c r="U1211" t="s">
        <v>253</v>
      </c>
      <c r="V1211" t="s">
        <v>254</v>
      </c>
      <c r="W1211" t="s">
        <v>1915</v>
      </c>
      <c r="X1211" t="s">
        <v>1916</v>
      </c>
      <c r="Z1211" t="s">
        <v>1677</v>
      </c>
      <c r="AL1211" t="s">
        <v>2442</v>
      </c>
      <c r="AM1211" t="s">
        <v>317</v>
      </c>
      <c r="AN1211" t="s">
        <v>259</v>
      </c>
      <c r="AO1211" t="s">
        <v>260</v>
      </c>
      <c r="AQ1211" t="s">
        <v>261</v>
      </c>
      <c r="AS1211">
        <v>2160</v>
      </c>
      <c r="AX1211" t="s">
        <v>262</v>
      </c>
      <c r="BO1211" t="s">
        <v>261</v>
      </c>
      <c r="BQ1211">
        <v>2.16</v>
      </c>
      <c r="BV1211" t="s">
        <v>263</v>
      </c>
      <c r="CM1211" t="s">
        <v>264</v>
      </c>
      <c r="CN1211" t="s">
        <v>264</v>
      </c>
      <c r="CP1211" t="s">
        <v>265</v>
      </c>
      <c r="CQ1211" t="s">
        <v>394</v>
      </c>
      <c r="DB1211">
        <v>4</v>
      </c>
      <c r="DG1211" t="s">
        <v>267</v>
      </c>
      <c r="DI1211">
        <v>96</v>
      </c>
      <c r="DN1211" t="s">
        <v>268</v>
      </c>
      <c r="DR1211">
        <v>80836</v>
      </c>
      <c r="DS1211">
        <v>2488</v>
      </c>
      <c r="EW1211" t="s">
        <v>293</v>
      </c>
      <c r="FM1211">
        <v>17</v>
      </c>
      <c r="FR1211" t="s">
        <v>295</v>
      </c>
      <c r="GH1211">
        <v>81</v>
      </c>
      <c r="GM1211" t="s">
        <v>900</v>
      </c>
      <c r="GU1211">
        <v>36.700000000000003</v>
      </c>
      <c r="GZ1211" t="s">
        <v>900</v>
      </c>
      <c r="HH1211" t="s">
        <v>272</v>
      </c>
      <c r="IE1211" t="s">
        <v>2267</v>
      </c>
      <c r="IF1211">
        <v>17415</v>
      </c>
      <c r="IG1211" t="s">
        <v>2268</v>
      </c>
      <c r="IH1211" t="s">
        <v>2269</v>
      </c>
      <c r="II1211">
        <v>1985</v>
      </c>
      <c r="IJ1211" t="s">
        <v>2270</v>
      </c>
    </row>
    <row r="1212" spans="1:244" x14ac:dyDescent="0.45">
      <c r="A1212">
        <v>1246422</v>
      </c>
      <c r="B1212">
        <v>239772</v>
      </c>
      <c r="C1212">
        <v>7758987</v>
      </c>
      <c r="D1212" t="s">
        <v>2545</v>
      </c>
      <c r="F1212" t="s">
        <v>327</v>
      </c>
      <c r="G1212" t="s">
        <v>246</v>
      </c>
      <c r="N1212" t="s">
        <v>2419</v>
      </c>
      <c r="O1212" t="s">
        <v>2420</v>
      </c>
      <c r="P1212" t="s">
        <v>249</v>
      </c>
      <c r="Q1212" t="s">
        <v>250</v>
      </c>
      <c r="R1212" t="s">
        <v>251</v>
      </c>
      <c r="T1212" t="s">
        <v>252</v>
      </c>
      <c r="U1212" t="s">
        <v>1244</v>
      </c>
      <c r="V1212" t="s">
        <v>2421</v>
      </c>
      <c r="W1212" t="s">
        <v>2422</v>
      </c>
      <c r="X1212" t="s">
        <v>2423</v>
      </c>
      <c r="Z1212" t="s">
        <v>315</v>
      </c>
      <c r="AJ1212" t="s">
        <v>285</v>
      </c>
      <c r="AM1212" t="s">
        <v>258</v>
      </c>
      <c r="AN1212" t="s">
        <v>259</v>
      </c>
      <c r="AO1212" t="s">
        <v>260</v>
      </c>
      <c r="AP1212">
        <v>12</v>
      </c>
      <c r="AQ1212" t="s">
        <v>504</v>
      </c>
      <c r="AS1212">
        <v>10.106</v>
      </c>
      <c r="AX1212" t="s">
        <v>356</v>
      </c>
      <c r="BO1212" t="s">
        <v>504</v>
      </c>
      <c r="BQ1212">
        <v>10.106</v>
      </c>
      <c r="BV1212" t="s">
        <v>263</v>
      </c>
      <c r="CM1212" t="s">
        <v>264</v>
      </c>
      <c r="CN1212" t="s">
        <v>264</v>
      </c>
      <c r="CP1212" t="s">
        <v>265</v>
      </c>
      <c r="CQ1212" t="s">
        <v>394</v>
      </c>
      <c r="DB1212">
        <v>2.5</v>
      </c>
      <c r="DG1212" t="s">
        <v>267</v>
      </c>
      <c r="DI1212">
        <v>60</v>
      </c>
      <c r="DN1212" t="s">
        <v>268</v>
      </c>
      <c r="DS1212">
        <v>17323</v>
      </c>
      <c r="EW1212" t="s">
        <v>293</v>
      </c>
      <c r="FA1212" t="s">
        <v>1381</v>
      </c>
      <c r="FK1212" t="s">
        <v>2631</v>
      </c>
      <c r="HH1212" t="s">
        <v>272</v>
      </c>
      <c r="ID1212" t="s">
        <v>2632</v>
      </c>
      <c r="IE1212" t="s">
        <v>2328</v>
      </c>
      <c r="IF1212">
        <v>84114</v>
      </c>
      <c r="IG1212" t="s">
        <v>2329</v>
      </c>
      <c r="IH1212" t="s">
        <v>2330</v>
      </c>
      <c r="II1212">
        <v>1997</v>
      </c>
      <c r="IJ1212" t="s">
        <v>2331</v>
      </c>
    </row>
    <row r="1213" spans="1:244" x14ac:dyDescent="0.45">
      <c r="A1213">
        <v>1310646</v>
      </c>
      <c r="B1213">
        <v>767829</v>
      </c>
      <c r="C1213">
        <v>7758987</v>
      </c>
      <c r="D1213" t="s">
        <v>2545</v>
      </c>
      <c r="F1213" t="s">
        <v>245</v>
      </c>
      <c r="G1213" t="s">
        <v>246</v>
      </c>
      <c r="N1213" t="s">
        <v>471</v>
      </c>
      <c r="O1213" t="s">
        <v>388</v>
      </c>
      <c r="P1213" t="s">
        <v>249</v>
      </c>
      <c r="Q1213" t="s">
        <v>250</v>
      </c>
      <c r="R1213" t="s">
        <v>251</v>
      </c>
      <c r="T1213" t="s">
        <v>389</v>
      </c>
      <c r="U1213" t="s">
        <v>390</v>
      </c>
      <c r="V1213" t="s">
        <v>472</v>
      </c>
      <c r="W1213" t="s">
        <v>473</v>
      </c>
      <c r="X1213" t="s">
        <v>474</v>
      </c>
      <c r="Z1213" t="s">
        <v>315</v>
      </c>
      <c r="AB1213">
        <v>10</v>
      </c>
      <c r="AG1213" t="s">
        <v>267</v>
      </c>
      <c r="AM1213" t="s">
        <v>317</v>
      </c>
      <c r="AN1213" t="s">
        <v>259</v>
      </c>
      <c r="AO1213" t="s">
        <v>260</v>
      </c>
      <c r="AQ1213" t="s">
        <v>261</v>
      </c>
      <c r="AS1213">
        <v>0.52890000000000004</v>
      </c>
      <c r="AX1213" t="s">
        <v>356</v>
      </c>
      <c r="BO1213" t="s">
        <v>261</v>
      </c>
      <c r="BQ1213">
        <v>0.52890000000000004</v>
      </c>
      <c r="BV1213" t="s">
        <v>263</v>
      </c>
      <c r="CM1213" t="s">
        <v>264</v>
      </c>
      <c r="CN1213" t="s">
        <v>264</v>
      </c>
      <c r="CP1213" t="s">
        <v>265</v>
      </c>
      <c r="CQ1213" t="s">
        <v>394</v>
      </c>
      <c r="DB1213">
        <v>2</v>
      </c>
      <c r="DG1213" t="s">
        <v>267</v>
      </c>
      <c r="DI1213">
        <v>48</v>
      </c>
      <c r="DN1213" t="s">
        <v>268</v>
      </c>
      <c r="DP1213" t="s">
        <v>2598</v>
      </c>
      <c r="DR1213">
        <v>2056173</v>
      </c>
      <c r="DS1213">
        <v>1053</v>
      </c>
      <c r="EW1213" t="s">
        <v>293</v>
      </c>
      <c r="FK1213" t="s">
        <v>2683</v>
      </c>
      <c r="HH1213" t="s">
        <v>272</v>
      </c>
      <c r="ID1213" t="s">
        <v>2684</v>
      </c>
      <c r="IE1213" t="s">
        <v>2685</v>
      </c>
      <c r="IF1213">
        <v>14474</v>
      </c>
      <c r="IG1213" t="s">
        <v>2686</v>
      </c>
      <c r="IH1213" t="s">
        <v>2687</v>
      </c>
      <c r="II1213">
        <v>1986</v>
      </c>
      <c r="IJ1213" t="s">
        <v>2688</v>
      </c>
    </row>
    <row r="1214" spans="1:244" x14ac:dyDescent="0.45">
      <c r="A1214">
        <v>1124348</v>
      </c>
      <c r="B1214">
        <v>126246</v>
      </c>
      <c r="C1214">
        <v>7758987</v>
      </c>
      <c r="D1214" t="s">
        <v>2545</v>
      </c>
      <c r="E1214" t="s">
        <v>2689</v>
      </c>
      <c r="F1214" t="s">
        <v>327</v>
      </c>
      <c r="G1214" t="s">
        <v>246</v>
      </c>
      <c r="I1214">
        <v>98.1</v>
      </c>
      <c r="N1214" t="s">
        <v>2690</v>
      </c>
      <c r="O1214" t="s">
        <v>2691</v>
      </c>
      <c r="P1214" t="s">
        <v>249</v>
      </c>
      <c r="Q1214" t="s">
        <v>250</v>
      </c>
      <c r="R1214" t="s">
        <v>251</v>
      </c>
      <c r="T1214" t="s">
        <v>252</v>
      </c>
      <c r="U1214" t="s">
        <v>371</v>
      </c>
      <c r="V1214" t="s">
        <v>372</v>
      </c>
      <c r="W1214" t="s">
        <v>1427</v>
      </c>
      <c r="X1214" t="s">
        <v>2692</v>
      </c>
      <c r="Z1214" t="s">
        <v>1025</v>
      </c>
      <c r="AA1214" t="s">
        <v>352</v>
      </c>
      <c r="AB1214">
        <v>5</v>
      </c>
      <c r="AG1214" t="s">
        <v>267</v>
      </c>
      <c r="AL1214" t="s">
        <v>2693</v>
      </c>
      <c r="AM1214" t="s">
        <v>307</v>
      </c>
      <c r="AN1214" t="s">
        <v>259</v>
      </c>
      <c r="AO1214" t="s">
        <v>260</v>
      </c>
      <c r="AQ1214" t="s">
        <v>261</v>
      </c>
      <c r="AS1214">
        <v>71</v>
      </c>
      <c r="AU1214">
        <v>64</v>
      </c>
      <c r="AW1214">
        <v>79</v>
      </c>
      <c r="AX1214" t="s">
        <v>262</v>
      </c>
      <c r="BO1214" t="s">
        <v>261</v>
      </c>
      <c r="BQ1214">
        <v>7.0999999999999994E-2</v>
      </c>
      <c r="BS1214">
        <v>6.4000000000000001E-2</v>
      </c>
      <c r="BU1214">
        <v>7.9000000000000001E-2</v>
      </c>
      <c r="BV1214" t="s">
        <v>263</v>
      </c>
      <c r="CM1214" t="s">
        <v>264</v>
      </c>
      <c r="CN1214" t="s">
        <v>264</v>
      </c>
      <c r="CP1214" t="s">
        <v>265</v>
      </c>
      <c r="DB1214">
        <v>4</v>
      </c>
      <c r="DG1214" t="s">
        <v>267</v>
      </c>
      <c r="DI1214">
        <v>96</v>
      </c>
      <c r="DN1214" t="s">
        <v>268</v>
      </c>
      <c r="DO1214" t="s">
        <v>1587</v>
      </c>
      <c r="DS1214">
        <v>4633</v>
      </c>
      <c r="DT1214" t="s">
        <v>2694</v>
      </c>
      <c r="EW1214" t="s">
        <v>271</v>
      </c>
      <c r="FK1214" t="s">
        <v>2695</v>
      </c>
      <c r="FM1214">
        <v>17</v>
      </c>
      <c r="FR1214" t="s">
        <v>295</v>
      </c>
      <c r="GO1214">
        <v>8.1999999999999993</v>
      </c>
      <c r="GU1214">
        <v>2</v>
      </c>
      <c r="GZ1214" t="s">
        <v>296</v>
      </c>
      <c r="HH1214" t="s">
        <v>272</v>
      </c>
      <c r="ID1214" t="s">
        <v>2696</v>
      </c>
      <c r="IE1214" t="s">
        <v>2697</v>
      </c>
      <c r="IF1214">
        <v>9936</v>
      </c>
      <c r="IG1214" t="s">
        <v>2698</v>
      </c>
      <c r="IH1214" t="s">
        <v>2699</v>
      </c>
      <c r="II1214">
        <v>1993</v>
      </c>
      <c r="IJ1214" t="s">
        <v>2700</v>
      </c>
    </row>
    <row r="1215" spans="1:244" x14ac:dyDescent="0.45">
      <c r="A1215">
        <v>1299961</v>
      </c>
      <c r="B1215">
        <v>755571</v>
      </c>
      <c r="C1215">
        <v>7758987</v>
      </c>
      <c r="D1215" t="s">
        <v>2545</v>
      </c>
      <c r="F1215" t="s">
        <v>245</v>
      </c>
      <c r="G1215" t="s">
        <v>246</v>
      </c>
      <c r="N1215" t="s">
        <v>944</v>
      </c>
      <c r="O1215" t="s">
        <v>945</v>
      </c>
      <c r="P1215" t="s">
        <v>249</v>
      </c>
      <c r="Q1215" t="s">
        <v>250</v>
      </c>
      <c r="R1215" t="s">
        <v>251</v>
      </c>
      <c r="T1215" t="s">
        <v>252</v>
      </c>
      <c r="U1215" t="s">
        <v>253</v>
      </c>
      <c r="V1215" t="s">
        <v>418</v>
      </c>
      <c r="W1215" t="s">
        <v>946</v>
      </c>
      <c r="X1215" t="s">
        <v>947</v>
      </c>
      <c r="Z1215" t="s">
        <v>649</v>
      </c>
      <c r="AL1215" t="s">
        <v>2701</v>
      </c>
      <c r="AM1215" t="s">
        <v>258</v>
      </c>
      <c r="AN1215" t="s">
        <v>259</v>
      </c>
      <c r="AO1215" t="s">
        <v>260</v>
      </c>
      <c r="AP1215">
        <v>5</v>
      </c>
      <c r="AQ1215" t="s">
        <v>261</v>
      </c>
      <c r="AS1215">
        <v>5</v>
      </c>
      <c r="AX1215" t="s">
        <v>356</v>
      </c>
      <c r="BO1215" t="s">
        <v>261</v>
      </c>
      <c r="BQ1215">
        <v>5</v>
      </c>
      <c r="BV1215" t="s">
        <v>263</v>
      </c>
      <c r="CM1215" t="s">
        <v>264</v>
      </c>
      <c r="CN1215" t="s">
        <v>264</v>
      </c>
      <c r="CP1215" t="s">
        <v>265</v>
      </c>
      <c r="CQ1215" t="s">
        <v>394</v>
      </c>
      <c r="DB1215">
        <v>4</v>
      </c>
      <c r="DG1215" t="s">
        <v>267</v>
      </c>
      <c r="DI1215">
        <v>96</v>
      </c>
      <c r="DN1215" t="s">
        <v>268</v>
      </c>
      <c r="DP1215" t="s">
        <v>2554</v>
      </c>
      <c r="DR1215">
        <v>6689</v>
      </c>
      <c r="DS1215">
        <v>11779</v>
      </c>
      <c r="DT1215" t="s">
        <v>2702</v>
      </c>
      <c r="EW1215" t="s">
        <v>293</v>
      </c>
      <c r="FA1215" t="s">
        <v>2703</v>
      </c>
      <c r="FK1215" t="s">
        <v>2704</v>
      </c>
      <c r="FM1215">
        <v>27</v>
      </c>
      <c r="FR1215" t="s">
        <v>295</v>
      </c>
      <c r="GQ1215">
        <v>7.9</v>
      </c>
      <c r="GS1215">
        <v>8.1999999999999993</v>
      </c>
      <c r="GU1215">
        <v>35</v>
      </c>
      <c r="GZ1215" t="s">
        <v>296</v>
      </c>
      <c r="HH1215" t="s">
        <v>272</v>
      </c>
      <c r="ID1215" t="s">
        <v>2705</v>
      </c>
      <c r="IE1215" t="s">
        <v>2706</v>
      </c>
      <c r="IF1215">
        <v>79987</v>
      </c>
      <c r="IG1215" t="s">
        <v>2707</v>
      </c>
      <c r="IH1215" t="s">
        <v>2708</v>
      </c>
      <c r="II1215">
        <v>2004</v>
      </c>
      <c r="IJ1215" t="s">
        <v>2709</v>
      </c>
    </row>
    <row r="1216" spans="1:244" x14ac:dyDescent="0.45">
      <c r="A1216">
        <v>1303023</v>
      </c>
      <c r="B1216">
        <v>759479</v>
      </c>
      <c r="C1216">
        <v>7758987</v>
      </c>
      <c r="D1216" t="s">
        <v>2545</v>
      </c>
      <c r="F1216" t="s">
        <v>245</v>
      </c>
      <c r="G1216" t="s">
        <v>246</v>
      </c>
      <c r="N1216" t="s">
        <v>944</v>
      </c>
      <c r="O1216" t="s">
        <v>945</v>
      </c>
      <c r="P1216" t="s">
        <v>249</v>
      </c>
      <c r="Q1216" t="s">
        <v>250</v>
      </c>
      <c r="R1216" t="s">
        <v>251</v>
      </c>
      <c r="T1216" t="s">
        <v>252</v>
      </c>
      <c r="U1216" t="s">
        <v>253</v>
      </c>
      <c r="V1216" t="s">
        <v>418</v>
      </c>
      <c r="W1216" t="s">
        <v>946</v>
      </c>
      <c r="X1216" t="s">
        <v>947</v>
      </c>
      <c r="Z1216" t="s">
        <v>649</v>
      </c>
      <c r="AL1216" t="s">
        <v>2710</v>
      </c>
      <c r="AM1216" t="s">
        <v>258</v>
      </c>
      <c r="AN1216" t="s">
        <v>259</v>
      </c>
      <c r="AO1216" t="s">
        <v>260</v>
      </c>
      <c r="AP1216">
        <v>13</v>
      </c>
      <c r="AQ1216" t="s">
        <v>261</v>
      </c>
      <c r="AS1216">
        <v>47.23</v>
      </c>
      <c r="AU1216">
        <v>43.03</v>
      </c>
      <c r="AW1216">
        <v>51.2</v>
      </c>
      <c r="AX1216" t="s">
        <v>356</v>
      </c>
      <c r="BO1216" t="s">
        <v>261</v>
      </c>
      <c r="BQ1216">
        <v>47.23</v>
      </c>
      <c r="BS1216">
        <v>43.03</v>
      </c>
      <c r="BU1216">
        <v>51.2</v>
      </c>
      <c r="BV1216" t="s">
        <v>263</v>
      </c>
      <c r="CM1216" t="s">
        <v>264</v>
      </c>
      <c r="CN1216" t="s">
        <v>264</v>
      </c>
      <c r="CP1216" t="s">
        <v>265</v>
      </c>
      <c r="CQ1216" t="s">
        <v>394</v>
      </c>
      <c r="DB1216">
        <v>1</v>
      </c>
      <c r="DG1216" t="s">
        <v>267</v>
      </c>
      <c r="DI1216">
        <v>24</v>
      </c>
      <c r="DN1216" t="s">
        <v>268</v>
      </c>
      <c r="DP1216" t="s">
        <v>2554</v>
      </c>
      <c r="DR1216">
        <v>6689</v>
      </c>
      <c r="DS1216">
        <v>11779</v>
      </c>
      <c r="DT1216" t="s">
        <v>2711</v>
      </c>
      <c r="EW1216" t="s">
        <v>293</v>
      </c>
      <c r="FA1216" t="s">
        <v>397</v>
      </c>
      <c r="FK1216" t="s">
        <v>2712</v>
      </c>
      <c r="FM1216">
        <v>28</v>
      </c>
      <c r="FR1216" t="s">
        <v>295</v>
      </c>
      <c r="GH1216">
        <v>6.3</v>
      </c>
      <c r="GM1216" t="s">
        <v>356</v>
      </c>
      <c r="GO1216">
        <v>8.15</v>
      </c>
      <c r="GU1216">
        <v>25</v>
      </c>
      <c r="GZ1216" t="s">
        <v>296</v>
      </c>
      <c r="HH1216" t="s">
        <v>272</v>
      </c>
      <c r="ID1216" t="s">
        <v>2713</v>
      </c>
      <c r="IE1216" t="s">
        <v>2714</v>
      </c>
      <c r="IF1216">
        <v>117086</v>
      </c>
      <c r="IG1216" t="s">
        <v>2715</v>
      </c>
      <c r="IH1216" t="s">
        <v>2716</v>
      </c>
      <c r="II1216">
        <v>2008</v>
      </c>
      <c r="IJ1216" t="s">
        <v>2717</v>
      </c>
    </row>
    <row r="1217" spans="1:244" x14ac:dyDescent="0.45">
      <c r="A1217">
        <v>1303355</v>
      </c>
      <c r="B1217">
        <v>759852</v>
      </c>
      <c r="C1217">
        <v>7758987</v>
      </c>
      <c r="D1217" t="s">
        <v>2545</v>
      </c>
      <c r="E1217" t="s">
        <v>622</v>
      </c>
      <c r="F1217" t="s">
        <v>245</v>
      </c>
      <c r="G1217" t="s">
        <v>246</v>
      </c>
      <c r="N1217" t="s">
        <v>655</v>
      </c>
      <c r="O1217" t="s">
        <v>656</v>
      </c>
      <c r="P1217" t="s">
        <v>249</v>
      </c>
      <c r="Q1217" t="s">
        <v>250</v>
      </c>
      <c r="R1217" t="s">
        <v>251</v>
      </c>
      <c r="T1217" t="s">
        <v>252</v>
      </c>
      <c r="U1217" t="s">
        <v>253</v>
      </c>
      <c r="V1217" t="s">
        <v>657</v>
      </c>
      <c r="W1217" t="s">
        <v>658</v>
      </c>
      <c r="X1217" t="s">
        <v>659</v>
      </c>
      <c r="AL1217" t="s">
        <v>1792</v>
      </c>
      <c r="AM1217" t="s">
        <v>258</v>
      </c>
      <c r="AN1217" t="s">
        <v>259</v>
      </c>
      <c r="AO1217" t="s">
        <v>260</v>
      </c>
      <c r="AQ1217" t="s">
        <v>261</v>
      </c>
      <c r="AS1217">
        <v>0.38</v>
      </c>
      <c r="AU1217">
        <v>0.34</v>
      </c>
      <c r="AW1217">
        <v>0.43</v>
      </c>
      <c r="AX1217" t="s">
        <v>356</v>
      </c>
      <c r="BO1217" t="s">
        <v>261</v>
      </c>
      <c r="BQ1217">
        <v>0.38</v>
      </c>
      <c r="BS1217">
        <v>0.34</v>
      </c>
      <c r="BU1217">
        <v>0.43</v>
      </c>
      <c r="BV1217" t="s">
        <v>263</v>
      </c>
      <c r="CM1217" t="s">
        <v>264</v>
      </c>
      <c r="CN1217" t="s">
        <v>264</v>
      </c>
      <c r="CP1217" t="s">
        <v>265</v>
      </c>
      <c r="CQ1217" t="s">
        <v>394</v>
      </c>
      <c r="DB1217">
        <v>4</v>
      </c>
      <c r="DG1217" t="s">
        <v>267</v>
      </c>
      <c r="DI1217">
        <v>96</v>
      </c>
      <c r="DN1217" t="s">
        <v>268</v>
      </c>
      <c r="DP1217" t="s">
        <v>2607</v>
      </c>
      <c r="DS1217">
        <v>20193</v>
      </c>
      <c r="EW1217" t="s">
        <v>293</v>
      </c>
      <c r="FA1217" t="s">
        <v>1793</v>
      </c>
      <c r="FK1217" t="s">
        <v>2608</v>
      </c>
      <c r="FO1217">
        <v>22</v>
      </c>
      <c r="FQ1217">
        <v>24.5</v>
      </c>
      <c r="FR1217" t="s">
        <v>295</v>
      </c>
      <c r="GU1217">
        <v>15</v>
      </c>
      <c r="GZ1217" t="s">
        <v>296</v>
      </c>
      <c r="HH1217" t="s">
        <v>272</v>
      </c>
      <c r="ID1217" t="s">
        <v>2609</v>
      </c>
      <c r="IE1217" t="s">
        <v>1796</v>
      </c>
      <c r="IF1217">
        <v>117013</v>
      </c>
      <c r="IG1217" t="s">
        <v>1797</v>
      </c>
      <c r="IH1217" t="s">
        <v>1798</v>
      </c>
      <c r="II1217">
        <v>2003</v>
      </c>
      <c r="IJ1217" t="s">
        <v>1799</v>
      </c>
    </row>
    <row r="1218" spans="1:244" x14ac:dyDescent="0.45">
      <c r="A1218">
        <v>1303024</v>
      </c>
      <c r="B1218">
        <v>759480</v>
      </c>
      <c r="C1218">
        <v>7758987</v>
      </c>
      <c r="D1218" t="s">
        <v>2545</v>
      </c>
      <c r="F1218" t="s">
        <v>245</v>
      </c>
      <c r="G1218" t="s">
        <v>246</v>
      </c>
      <c r="N1218" t="s">
        <v>944</v>
      </c>
      <c r="O1218" t="s">
        <v>945</v>
      </c>
      <c r="P1218" t="s">
        <v>249</v>
      </c>
      <c r="Q1218" t="s">
        <v>250</v>
      </c>
      <c r="R1218" t="s">
        <v>251</v>
      </c>
      <c r="T1218" t="s">
        <v>252</v>
      </c>
      <c r="U1218" t="s">
        <v>253</v>
      </c>
      <c r="V1218" t="s">
        <v>418</v>
      </c>
      <c r="W1218" t="s">
        <v>946</v>
      </c>
      <c r="X1218" t="s">
        <v>947</v>
      </c>
      <c r="Z1218" t="s">
        <v>649</v>
      </c>
      <c r="AL1218" t="s">
        <v>2710</v>
      </c>
      <c r="AM1218" t="s">
        <v>258</v>
      </c>
      <c r="AN1218" t="s">
        <v>259</v>
      </c>
      <c r="AO1218" t="s">
        <v>260</v>
      </c>
      <c r="AP1218">
        <v>13</v>
      </c>
      <c r="AQ1218" t="s">
        <v>261</v>
      </c>
      <c r="AS1218">
        <v>39.15</v>
      </c>
      <c r="AU1218">
        <v>36.61</v>
      </c>
      <c r="AW1218">
        <v>41.59</v>
      </c>
      <c r="AX1218" t="s">
        <v>356</v>
      </c>
      <c r="BO1218" t="s">
        <v>261</v>
      </c>
      <c r="BQ1218">
        <v>39.15</v>
      </c>
      <c r="BS1218">
        <v>36.61</v>
      </c>
      <c r="BU1218">
        <v>41.59</v>
      </c>
      <c r="BV1218" t="s">
        <v>263</v>
      </c>
      <c r="CM1218" t="s">
        <v>264</v>
      </c>
      <c r="CN1218" t="s">
        <v>264</v>
      </c>
      <c r="CP1218" t="s">
        <v>265</v>
      </c>
      <c r="CQ1218" t="s">
        <v>394</v>
      </c>
      <c r="DB1218">
        <v>2</v>
      </c>
      <c r="DG1218" t="s">
        <v>267</v>
      </c>
      <c r="DI1218">
        <v>48</v>
      </c>
      <c r="DN1218" t="s">
        <v>268</v>
      </c>
      <c r="DP1218" t="s">
        <v>2554</v>
      </c>
      <c r="DR1218">
        <v>6689</v>
      </c>
      <c r="DS1218">
        <v>11779</v>
      </c>
      <c r="DT1218" t="s">
        <v>2711</v>
      </c>
      <c r="EW1218" t="s">
        <v>293</v>
      </c>
      <c r="FA1218" t="s">
        <v>397</v>
      </c>
      <c r="FK1218" t="s">
        <v>2712</v>
      </c>
      <c r="FM1218">
        <v>28</v>
      </c>
      <c r="FR1218" t="s">
        <v>295</v>
      </c>
      <c r="GH1218">
        <v>6.3</v>
      </c>
      <c r="GM1218" t="s">
        <v>356</v>
      </c>
      <c r="GO1218">
        <v>8.15</v>
      </c>
      <c r="GU1218">
        <v>25</v>
      </c>
      <c r="GZ1218" t="s">
        <v>296</v>
      </c>
      <c r="HH1218" t="s">
        <v>272</v>
      </c>
      <c r="ID1218" t="s">
        <v>2713</v>
      </c>
      <c r="IE1218" t="s">
        <v>2714</v>
      </c>
      <c r="IF1218">
        <v>117086</v>
      </c>
      <c r="IG1218" t="s">
        <v>2715</v>
      </c>
      <c r="IH1218" t="s">
        <v>2716</v>
      </c>
      <c r="II1218">
        <v>2008</v>
      </c>
      <c r="IJ1218" t="s">
        <v>2717</v>
      </c>
    </row>
    <row r="1219" spans="1:244" x14ac:dyDescent="0.45">
      <c r="A1219">
        <v>1246423</v>
      </c>
      <c r="B1219">
        <v>239773</v>
      </c>
      <c r="C1219">
        <v>7758987</v>
      </c>
      <c r="D1219" t="s">
        <v>2545</v>
      </c>
      <c r="F1219" t="s">
        <v>327</v>
      </c>
      <c r="G1219" t="s">
        <v>246</v>
      </c>
      <c r="N1219" t="s">
        <v>2419</v>
      </c>
      <c r="O1219" t="s">
        <v>2420</v>
      </c>
      <c r="P1219" t="s">
        <v>249</v>
      </c>
      <c r="Q1219" t="s">
        <v>250</v>
      </c>
      <c r="R1219" t="s">
        <v>251</v>
      </c>
      <c r="T1219" t="s">
        <v>252</v>
      </c>
      <c r="U1219" t="s">
        <v>1244</v>
      </c>
      <c r="V1219" t="s">
        <v>2421</v>
      </c>
      <c r="W1219" t="s">
        <v>2422</v>
      </c>
      <c r="X1219" t="s">
        <v>2423</v>
      </c>
      <c r="Z1219" t="s">
        <v>315</v>
      </c>
      <c r="AJ1219" t="s">
        <v>285</v>
      </c>
      <c r="AM1219" t="s">
        <v>258</v>
      </c>
      <c r="AN1219" t="s">
        <v>259</v>
      </c>
      <c r="AO1219" t="s">
        <v>260</v>
      </c>
      <c r="AP1219">
        <v>12</v>
      </c>
      <c r="AQ1219" t="s">
        <v>504</v>
      </c>
      <c r="AS1219">
        <v>12.606</v>
      </c>
      <c r="AX1219" t="s">
        <v>356</v>
      </c>
      <c r="BO1219" t="s">
        <v>504</v>
      </c>
      <c r="BQ1219">
        <v>12.606</v>
      </c>
      <c r="BV1219" t="s">
        <v>263</v>
      </c>
      <c r="CM1219" t="s">
        <v>264</v>
      </c>
      <c r="CN1219" t="s">
        <v>264</v>
      </c>
      <c r="CP1219" t="s">
        <v>265</v>
      </c>
      <c r="CQ1219" t="s">
        <v>394</v>
      </c>
      <c r="DB1219">
        <v>1.5</v>
      </c>
      <c r="DG1219" t="s">
        <v>267</v>
      </c>
      <c r="DI1219">
        <v>36</v>
      </c>
      <c r="DN1219" t="s">
        <v>268</v>
      </c>
      <c r="DS1219">
        <v>17323</v>
      </c>
      <c r="EW1219" t="s">
        <v>293</v>
      </c>
      <c r="FA1219" t="s">
        <v>1381</v>
      </c>
      <c r="FK1219" t="s">
        <v>2631</v>
      </c>
      <c r="HH1219" t="s">
        <v>272</v>
      </c>
      <c r="ID1219" t="s">
        <v>2632</v>
      </c>
      <c r="IE1219" t="s">
        <v>2328</v>
      </c>
      <c r="IF1219">
        <v>84114</v>
      </c>
      <c r="IG1219" t="s">
        <v>2329</v>
      </c>
      <c r="IH1219" t="s">
        <v>2330</v>
      </c>
      <c r="II1219">
        <v>1997</v>
      </c>
      <c r="IJ1219" t="s">
        <v>2331</v>
      </c>
    </row>
    <row r="1220" spans="1:244" x14ac:dyDescent="0.45">
      <c r="A1220">
        <v>1307924</v>
      </c>
      <c r="B1220">
        <v>764893</v>
      </c>
      <c r="C1220">
        <v>7758987</v>
      </c>
      <c r="D1220" t="s">
        <v>2545</v>
      </c>
      <c r="F1220" t="s">
        <v>245</v>
      </c>
      <c r="G1220" t="s">
        <v>246</v>
      </c>
      <c r="N1220" t="s">
        <v>2653</v>
      </c>
      <c r="O1220" t="s">
        <v>498</v>
      </c>
      <c r="P1220" t="s">
        <v>249</v>
      </c>
      <c r="Q1220" t="s">
        <v>250</v>
      </c>
      <c r="R1220" t="s">
        <v>251</v>
      </c>
      <c r="T1220" t="s">
        <v>252</v>
      </c>
      <c r="U1220" t="s">
        <v>499</v>
      </c>
      <c r="V1220" t="s">
        <v>500</v>
      </c>
      <c r="W1220" t="s">
        <v>893</v>
      </c>
      <c r="X1220" t="s">
        <v>2654</v>
      </c>
      <c r="AM1220" t="s">
        <v>287</v>
      </c>
      <c r="AN1220" t="s">
        <v>259</v>
      </c>
      <c r="AO1220" t="s">
        <v>260</v>
      </c>
      <c r="AP1220">
        <v>5</v>
      </c>
      <c r="AQ1220" t="s">
        <v>261</v>
      </c>
      <c r="AS1220">
        <v>2.5960000000000001</v>
      </c>
      <c r="AX1220" t="s">
        <v>356</v>
      </c>
      <c r="BO1220" t="s">
        <v>261</v>
      </c>
      <c r="BQ1220">
        <v>2.5960000000000001</v>
      </c>
      <c r="BV1220" t="s">
        <v>263</v>
      </c>
      <c r="CM1220" t="s">
        <v>264</v>
      </c>
      <c r="CN1220" t="s">
        <v>264</v>
      </c>
      <c r="CP1220" t="s">
        <v>265</v>
      </c>
      <c r="CQ1220" t="s">
        <v>394</v>
      </c>
      <c r="DB1220">
        <v>2</v>
      </c>
      <c r="DG1220" t="s">
        <v>267</v>
      </c>
      <c r="DI1220">
        <v>48</v>
      </c>
      <c r="DN1220" t="s">
        <v>268</v>
      </c>
      <c r="DP1220" t="s">
        <v>2598</v>
      </c>
      <c r="DR1220">
        <v>178002</v>
      </c>
      <c r="DS1220">
        <v>382</v>
      </c>
      <c r="DT1220" t="s">
        <v>2655</v>
      </c>
      <c r="EW1220" t="s">
        <v>293</v>
      </c>
      <c r="FA1220" t="s">
        <v>2656</v>
      </c>
      <c r="FK1220" t="s">
        <v>2657</v>
      </c>
      <c r="FM1220">
        <v>11</v>
      </c>
      <c r="FR1220" t="s">
        <v>295</v>
      </c>
      <c r="GU1220">
        <v>1.66</v>
      </c>
      <c r="GZ1220" t="s">
        <v>900</v>
      </c>
      <c r="HH1220" t="s">
        <v>272</v>
      </c>
      <c r="ID1220" t="s">
        <v>2658</v>
      </c>
      <c r="IE1220" t="s">
        <v>2659</v>
      </c>
      <c r="IF1220">
        <v>77803</v>
      </c>
      <c r="IG1220" t="s">
        <v>2660</v>
      </c>
      <c r="IH1220" t="s">
        <v>2661</v>
      </c>
      <c r="II1220">
        <v>1996</v>
      </c>
      <c r="IJ1220" t="s">
        <v>2662</v>
      </c>
    </row>
    <row r="1221" spans="1:244" x14ac:dyDescent="0.45">
      <c r="A1221">
        <v>1227292</v>
      </c>
      <c r="B1221">
        <v>221028</v>
      </c>
      <c r="C1221">
        <v>7758987</v>
      </c>
      <c r="D1221" t="s">
        <v>2545</v>
      </c>
      <c r="F1221" t="s">
        <v>245</v>
      </c>
      <c r="G1221" t="s">
        <v>246</v>
      </c>
      <c r="N1221" t="s">
        <v>2718</v>
      </c>
      <c r="O1221" t="s">
        <v>705</v>
      </c>
      <c r="P1221" t="s">
        <v>249</v>
      </c>
      <c r="Q1221" t="s">
        <v>250</v>
      </c>
      <c r="R1221" t="s">
        <v>251</v>
      </c>
      <c r="T1221" t="s">
        <v>252</v>
      </c>
      <c r="U1221" t="s">
        <v>499</v>
      </c>
      <c r="V1221" t="s">
        <v>591</v>
      </c>
      <c r="W1221" t="s">
        <v>592</v>
      </c>
      <c r="X1221" t="s">
        <v>2719</v>
      </c>
      <c r="Z1221" t="s">
        <v>649</v>
      </c>
      <c r="AB1221">
        <v>2</v>
      </c>
      <c r="AG1221" t="s">
        <v>267</v>
      </c>
      <c r="AM1221" t="s">
        <v>287</v>
      </c>
      <c r="AN1221" t="s">
        <v>259</v>
      </c>
      <c r="AO1221" t="s">
        <v>260</v>
      </c>
      <c r="AQ1221" t="s">
        <v>261</v>
      </c>
      <c r="AS1221">
        <v>305.5</v>
      </c>
      <c r="AX1221" t="s">
        <v>262</v>
      </c>
      <c r="BO1221" t="s">
        <v>261</v>
      </c>
      <c r="BQ1221">
        <v>0.30549999999999999</v>
      </c>
      <c r="BV1221" t="s">
        <v>263</v>
      </c>
      <c r="CM1221" t="s">
        <v>264</v>
      </c>
      <c r="CN1221" t="s">
        <v>264</v>
      </c>
      <c r="CP1221" t="s">
        <v>265</v>
      </c>
      <c r="DB1221">
        <v>2</v>
      </c>
      <c r="DG1221" t="s">
        <v>267</v>
      </c>
      <c r="DI1221">
        <v>48</v>
      </c>
      <c r="DN1221" t="s">
        <v>268</v>
      </c>
      <c r="DS1221">
        <v>11922</v>
      </c>
      <c r="DT1221" t="s">
        <v>2720</v>
      </c>
      <c r="EW1221" t="s">
        <v>293</v>
      </c>
      <c r="FM1221">
        <v>13</v>
      </c>
      <c r="FR1221" t="s">
        <v>295</v>
      </c>
      <c r="HH1221" t="s">
        <v>272</v>
      </c>
      <c r="IE1221" t="s">
        <v>2721</v>
      </c>
      <c r="IF1221">
        <v>54390</v>
      </c>
      <c r="IG1221" t="s">
        <v>2722</v>
      </c>
      <c r="IH1221" t="s">
        <v>2723</v>
      </c>
      <c r="II1221">
        <v>2000</v>
      </c>
      <c r="IJ1221" t="s">
        <v>2724</v>
      </c>
    </row>
    <row r="1222" spans="1:244" x14ac:dyDescent="0.45">
      <c r="A1222">
        <v>1312578</v>
      </c>
      <c r="B1222">
        <v>770042</v>
      </c>
      <c r="C1222">
        <v>7758987</v>
      </c>
      <c r="D1222" t="s">
        <v>2545</v>
      </c>
      <c r="F1222" t="s">
        <v>245</v>
      </c>
      <c r="G1222" t="s">
        <v>246</v>
      </c>
      <c r="H1222" t="s">
        <v>278</v>
      </c>
      <c r="I1222">
        <v>99.5</v>
      </c>
      <c r="N1222" t="s">
        <v>497</v>
      </c>
      <c r="O1222" t="s">
        <v>498</v>
      </c>
      <c r="P1222" t="s">
        <v>249</v>
      </c>
      <c r="Q1222" t="s">
        <v>250</v>
      </c>
      <c r="R1222" t="s">
        <v>251</v>
      </c>
      <c r="T1222" t="s">
        <v>252</v>
      </c>
      <c r="U1222" t="s">
        <v>499</v>
      </c>
      <c r="V1222" t="s">
        <v>500</v>
      </c>
      <c r="W1222" t="s">
        <v>501</v>
      </c>
      <c r="X1222" t="s">
        <v>502</v>
      </c>
      <c r="Z1222" t="s">
        <v>649</v>
      </c>
      <c r="AL1222" t="s">
        <v>2725</v>
      </c>
      <c r="AM1222" t="s">
        <v>258</v>
      </c>
      <c r="AN1222" t="s">
        <v>259</v>
      </c>
      <c r="AO1222" t="s">
        <v>260</v>
      </c>
      <c r="AP1222">
        <v>6</v>
      </c>
      <c r="AQ1222" t="s">
        <v>261</v>
      </c>
      <c r="AS1222">
        <v>110</v>
      </c>
      <c r="AU1222">
        <v>92</v>
      </c>
      <c r="AW1222">
        <v>130</v>
      </c>
      <c r="AX1222" t="s">
        <v>262</v>
      </c>
      <c r="BO1222" t="s">
        <v>261</v>
      </c>
      <c r="BQ1222">
        <v>0.11</v>
      </c>
      <c r="BS1222">
        <v>9.1999999999999998E-2</v>
      </c>
      <c r="BU1222">
        <v>0.13</v>
      </c>
      <c r="BV1222" t="s">
        <v>263</v>
      </c>
      <c r="CM1222" t="s">
        <v>264</v>
      </c>
      <c r="CN1222" t="s">
        <v>264</v>
      </c>
      <c r="CP1222" t="s">
        <v>265</v>
      </c>
      <c r="CQ1222" t="s">
        <v>394</v>
      </c>
      <c r="DB1222">
        <v>2</v>
      </c>
      <c r="DG1222" t="s">
        <v>267</v>
      </c>
      <c r="DI1222">
        <v>48</v>
      </c>
      <c r="DN1222" t="s">
        <v>268</v>
      </c>
      <c r="DO1222" t="s">
        <v>1587</v>
      </c>
      <c r="DP1222" t="s">
        <v>2598</v>
      </c>
      <c r="DR1222">
        <v>1400849</v>
      </c>
      <c r="DS1222">
        <v>4389</v>
      </c>
      <c r="DT1222" t="s">
        <v>2726</v>
      </c>
      <c r="EW1222" t="s">
        <v>293</v>
      </c>
      <c r="FA1222" t="s">
        <v>2727</v>
      </c>
      <c r="FK1222" t="s">
        <v>2728</v>
      </c>
      <c r="FM1222">
        <v>25</v>
      </c>
      <c r="FR1222" t="s">
        <v>295</v>
      </c>
      <c r="GQ1222">
        <v>8.1</v>
      </c>
      <c r="GS1222">
        <v>8.4</v>
      </c>
      <c r="GU1222">
        <v>33</v>
      </c>
      <c r="GZ1222" t="s">
        <v>296</v>
      </c>
      <c r="HH1222" t="s">
        <v>272</v>
      </c>
      <c r="ID1222" t="s">
        <v>2729</v>
      </c>
      <c r="IE1222" t="s">
        <v>2730</v>
      </c>
      <c r="IF1222">
        <v>111647</v>
      </c>
      <c r="IG1222" t="s">
        <v>2731</v>
      </c>
      <c r="IH1222" t="s">
        <v>2732</v>
      </c>
      <c r="II1222">
        <v>2008</v>
      </c>
      <c r="IJ1222" t="s">
        <v>2733</v>
      </c>
    </row>
    <row r="1223" spans="1:244" x14ac:dyDescent="0.45">
      <c r="A1223">
        <v>1292718</v>
      </c>
      <c r="B1223">
        <v>747605</v>
      </c>
      <c r="C1223">
        <v>7758987</v>
      </c>
      <c r="D1223" t="s">
        <v>2545</v>
      </c>
      <c r="F1223" t="s">
        <v>245</v>
      </c>
      <c r="G1223" t="s">
        <v>246</v>
      </c>
      <c r="N1223" t="s">
        <v>1216</v>
      </c>
      <c r="O1223" t="s">
        <v>578</v>
      </c>
      <c r="P1223" t="s">
        <v>249</v>
      </c>
      <c r="Q1223" t="s">
        <v>250</v>
      </c>
      <c r="R1223" t="s">
        <v>251</v>
      </c>
      <c r="T1223" t="s">
        <v>252</v>
      </c>
      <c r="U1223" t="s">
        <v>499</v>
      </c>
      <c r="V1223" t="s">
        <v>1217</v>
      </c>
      <c r="W1223" t="s">
        <v>1218</v>
      </c>
      <c r="X1223" t="s">
        <v>1219</v>
      </c>
      <c r="Z1223" t="s">
        <v>649</v>
      </c>
      <c r="AB1223">
        <v>5</v>
      </c>
      <c r="AG1223" t="s">
        <v>267</v>
      </c>
      <c r="AM1223" t="s">
        <v>317</v>
      </c>
      <c r="AN1223" t="s">
        <v>259</v>
      </c>
      <c r="AO1223" t="s">
        <v>260</v>
      </c>
      <c r="AQ1223" t="s">
        <v>504</v>
      </c>
      <c r="AS1223">
        <v>120</v>
      </c>
      <c r="AX1223" t="s">
        <v>262</v>
      </c>
      <c r="BO1223" t="s">
        <v>504</v>
      </c>
      <c r="BQ1223">
        <v>0.12</v>
      </c>
      <c r="BV1223" t="s">
        <v>263</v>
      </c>
      <c r="CM1223" t="s">
        <v>264</v>
      </c>
      <c r="CN1223" t="s">
        <v>264</v>
      </c>
      <c r="CO1223" t="s">
        <v>2734</v>
      </c>
      <c r="CP1223" t="s">
        <v>265</v>
      </c>
      <c r="CQ1223" t="s">
        <v>394</v>
      </c>
      <c r="DB1223">
        <v>4</v>
      </c>
      <c r="DG1223" t="s">
        <v>267</v>
      </c>
      <c r="DI1223">
        <v>4</v>
      </c>
      <c r="DN1223" t="s">
        <v>267</v>
      </c>
      <c r="DP1223" t="s">
        <v>2554</v>
      </c>
      <c r="DR1223">
        <v>764486</v>
      </c>
      <c r="DS1223">
        <v>18590</v>
      </c>
      <c r="DT1223" t="s">
        <v>2555</v>
      </c>
      <c r="EW1223" t="s">
        <v>293</v>
      </c>
      <c r="FA1223" t="s">
        <v>2735</v>
      </c>
      <c r="FK1223" t="s">
        <v>2736</v>
      </c>
      <c r="FM1223">
        <v>21</v>
      </c>
      <c r="FR1223" t="s">
        <v>295</v>
      </c>
      <c r="GG1223" t="s">
        <v>288</v>
      </c>
      <c r="GH1223">
        <v>85</v>
      </c>
      <c r="GM1223" t="s">
        <v>1224</v>
      </c>
      <c r="GQ1223">
        <v>8</v>
      </c>
      <c r="GS1223">
        <v>8.1999999999999993</v>
      </c>
      <c r="GU1223">
        <v>30</v>
      </c>
      <c r="GZ1223" t="s">
        <v>296</v>
      </c>
      <c r="HH1223" t="s">
        <v>272</v>
      </c>
      <c r="ID1223" t="s">
        <v>2737</v>
      </c>
      <c r="IE1223" t="s">
        <v>2559</v>
      </c>
      <c r="IF1223">
        <v>112230</v>
      </c>
      <c r="IG1223" t="s">
        <v>2560</v>
      </c>
      <c r="IH1223" t="s">
        <v>2561</v>
      </c>
      <c r="II1223">
        <v>2008</v>
      </c>
      <c r="IJ1223" t="s">
        <v>2562</v>
      </c>
    </row>
    <row r="1224" spans="1:244" x14ac:dyDescent="0.45">
      <c r="A1224">
        <v>1304663</v>
      </c>
      <c r="B1224">
        <v>761312</v>
      </c>
      <c r="C1224">
        <v>7758987</v>
      </c>
      <c r="D1224" t="s">
        <v>2545</v>
      </c>
      <c r="F1224" t="s">
        <v>327</v>
      </c>
      <c r="G1224" t="s">
        <v>246</v>
      </c>
      <c r="N1224" t="s">
        <v>1705</v>
      </c>
      <c r="O1224" t="s">
        <v>1706</v>
      </c>
      <c r="P1224" t="s">
        <v>249</v>
      </c>
      <c r="Q1224" t="s">
        <v>250</v>
      </c>
      <c r="R1224" t="s">
        <v>251</v>
      </c>
      <c r="T1224" t="s">
        <v>347</v>
      </c>
      <c r="U1224" t="s">
        <v>1707</v>
      </c>
      <c r="V1224" t="s">
        <v>1708</v>
      </c>
      <c r="W1224" t="s">
        <v>1709</v>
      </c>
      <c r="X1224" t="s">
        <v>1710</v>
      </c>
      <c r="Z1224" t="s">
        <v>1025</v>
      </c>
      <c r="AD1224">
        <v>12</v>
      </c>
      <c r="AF1224">
        <v>24</v>
      </c>
      <c r="AG1224" t="s">
        <v>268</v>
      </c>
      <c r="AM1224" t="s">
        <v>258</v>
      </c>
      <c r="AN1224" t="s">
        <v>259</v>
      </c>
      <c r="AO1224" t="s">
        <v>260</v>
      </c>
      <c r="AP1224">
        <v>7</v>
      </c>
      <c r="AQ1224" t="s">
        <v>504</v>
      </c>
      <c r="AS1224">
        <v>154.21</v>
      </c>
      <c r="AU1224">
        <v>135.5</v>
      </c>
      <c r="AW1224">
        <v>182.05</v>
      </c>
      <c r="AX1224" t="s">
        <v>262</v>
      </c>
      <c r="BO1224" t="s">
        <v>504</v>
      </c>
      <c r="BQ1224">
        <v>0.15421000000000001</v>
      </c>
      <c r="BS1224">
        <v>0.13550000000000001</v>
      </c>
      <c r="BU1224">
        <v>0.18204999999999999</v>
      </c>
      <c r="BV1224" t="s">
        <v>263</v>
      </c>
      <c r="CM1224" t="s">
        <v>264</v>
      </c>
      <c r="CN1224" t="s">
        <v>264</v>
      </c>
      <c r="CP1224" t="s">
        <v>265</v>
      </c>
      <c r="CQ1224" t="s">
        <v>394</v>
      </c>
      <c r="DB1224">
        <v>1</v>
      </c>
      <c r="DG1224" t="s">
        <v>267</v>
      </c>
      <c r="DI1224">
        <v>24</v>
      </c>
      <c r="DN1224" t="s">
        <v>268</v>
      </c>
      <c r="DP1224" t="s">
        <v>2598</v>
      </c>
      <c r="DR1224">
        <v>700594</v>
      </c>
      <c r="DS1224">
        <v>4630</v>
      </c>
      <c r="DT1224" t="s">
        <v>2738</v>
      </c>
      <c r="EW1224" t="s">
        <v>293</v>
      </c>
      <c r="FA1224" t="s">
        <v>397</v>
      </c>
      <c r="FK1224" t="s">
        <v>2739</v>
      </c>
      <c r="FM1224">
        <v>20</v>
      </c>
      <c r="FR1224" t="s">
        <v>295</v>
      </c>
      <c r="GG1224" t="s">
        <v>288</v>
      </c>
      <c r="GH1224">
        <v>80</v>
      </c>
      <c r="GM1224" t="s">
        <v>1224</v>
      </c>
      <c r="GQ1224">
        <v>8</v>
      </c>
      <c r="GS1224">
        <v>8.1999999999999993</v>
      </c>
      <c r="GU1224">
        <v>10</v>
      </c>
      <c r="GZ1224" t="s">
        <v>296</v>
      </c>
      <c r="HH1224" t="s">
        <v>272</v>
      </c>
      <c r="ID1224" t="s">
        <v>2740</v>
      </c>
      <c r="IE1224" t="s">
        <v>2741</v>
      </c>
      <c r="IF1224">
        <v>100633</v>
      </c>
      <c r="IG1224" t="s">
        <v>2742</v>
      </c>
      <c r="IH1224" t="s">
        <v>2743</v>
      </c>
      <c r="II1224">
        <v>2007</v>
      </c>
      <c r="IJ1224" t="s">
        <v>2744</v>
      </c>
    </row>
    <row r="1225" spans="1:244" x14ac:dyDescent="0.45">
      <c r="A1225">
        <v>1122236</v>
      </c>
      <c r="B1225">
        <v>126275</v>
      </c>
      <c r="C1225">
        <v>7758987</v>
      </c>
      <c r="D1225" t="s">
        <v>2545</v>
      </c>
      <c r="F1225" t="s">
        <v>245</v>
      </c>
      <c r="G1225" t="s">
        <v>246</v>
      </c>
      <c r="N1225" t="s">
        <v>1705</v>
      </c>
      <c r="O1225" t="s">
        <v>1706</v>
      </c>
      <c r="P1225" t="s">
        <v>249</v>
      </c>
      <c r="Q1225" t="s">
        <v>250</v>
      </c>
      <c r="R1225" t="s">
        <v>251</v>
      </c>
      <c r="T1225" t="s">
        <v>347</v>
      </c>
      <c r="U1225" t="s">
        <v>1707</v>
      </c>
      <c r="V1225" t="s">
        <v>1708</v>
      </c>
      <c r="W1225" t="s">
        <v>1709</v>
      </c>
      <c r="X1225" t="s">
        <v>1710</v>
      </c>
      <c r="AM1225" t="s">
        <v>287</v>
      </c>
      <c r="AN1225" t="s">
        <v>259</v>
      </c>
      <c r="AO1225" t="s">
        <v>260</v>
      </c>
      <c r="AQ1225" t="s">
        <v>261</v>
      </c>
      <c r="AS1225">
        <v>103.4</v>
      </c>
      <c r="AU1225">
        <v>95.3</v>
      </c>
      <c r="AW1225">
        <v>113</v>
      </c>
      <c r="AX1225" t="s">
        <v>262</v>
      </c>
      <c r="BO1225" t="s">
        <v>261</v>
      </c>
      <c r="BQ1225">
        <v>0.10340000000000001</v>
      </c>
      <c r="BS1225">
        <v>9.5299999999999996E-2</v>
      </c>
      <c r="BU1225">
        <v>0.113</v>
      </c>
      <c r="BV1225" t="s">
        <v>263</v>
      </c>
      <c r="CM1225" t="s">
        <v>264</v>
      </c>
      <c r="CN1225" t="s">
        <v>264</v>
      </c>
      <c r="CP1225" t="s">
        <v>265</v>
      </c>
      <c r="CQ1225" t="s">
        <v>394</v>
      </c>
      <c r="DB1225">
        <v>1</v>
      </c>
      <c r="DG1225" t="s">
        <v>267</v>
      </c>
      <c r="DI1225">
        <v>24</v>
      </c>
      <c r="DN1225" t="s">
        <v>268</v>
      </c>
      <c r="DR1225">
        <v>700594</v>
      </c>
      <c r="DS1225">
        <v>4630</v>
      </c>
      <c r="EW1225" t="s">
        <v>271</v>
      </c>
      <c r="FM1225">
        <v>25</v>
      </c>
      <c r="FR1225" t="s">
        <v>295</v>
      </c>
      <c r="GO1225">
        <v>7.85</v>
      </c>
      <c r="GU1225">
        <v>31.7</v>
      </c>
      <c r="GZ1225" t="s">
        <v>296</v>
      </c>
      <c r="HH1225" t="s">
        <v>272</v>
      </c>
      <c r="IE1225" t="s">
        <v>1711</v>
      </c>
      <c r="IF1225">
        <v>9624</v>
      </c>
      <c r="IG1225" t="s">
        <v>1712</v>
      </c>
      <c r="IH1225" t="s">
        <v>1713</v>
      </c>
      <c r="II1225">
        <v>1991</v>
      </c>
      <c r="IJ1225" t="s">
        <v>1714</v>
      </c>
    </row>
    <row r="1226" spans="1:244" x14ac:dyDescent="0.45">
      <c r="A1226">
        <v>1048996</v>
      </c>
      <c r="B1226">
        <v>114980</v>
      </c>
      <c r="C1226">
        <v>7758987</v>
      </c>
      <c r="D1226" t="s">
        <v>2545</v>
      </c>
      <c r="F1226" t="s">
        <v>245</v>
      </c>
      <c r="G1226" t="s">
        <v>246</v>
      </c>
      <c r="N1226" t="s">
        <v>690</v>
      </c>
      <c r="O1226" t="s">
        <v>691</v>
      </c>
      <c r="P1226" t="s">
        <v>249</v>
      </c>
      <c r="Q1226" t="s">
        <v>250</v>
      </c>
      <c r="R1226" t="s">
        <v>251</v>
      </c>
      <c r="T1226" t="s">
        <v>252</v>
      </c>
      <c r="U1226" t="s">
        <v>253</v>
      </c>
      <c r="V1226" t="s">
        <v>418</v>
      </c>
      <c r="W1226" t="s">
        <v>419</v>
      </c>
      <c r="X1226" t="s">
        <v>692</v>
      </c>
      <c r="Z1226" t="s">
        <v>284</v>
      </c>
      <c r="AM1226" t="s">
        <v>317</v>
      </c>
      <c r="AN1226" t="s">
        <v>259</v>
      </c>
      <c r="AO1226" t="s">
        <v>260</v>
      </c>
      <c r="AQ1226" t="s">
        <v>261</v>
      </c>
      <c r="AS1226">
        <v>10000</v>
      </c>
      <c r="AX1226" t="s">
        <v>262</v>
      </c>
      <c r="BO1226" t="s">
        <v>261</v>
      </c>
      <c r="BQ1226">
        <v>10</v>
      </c>
      <c r="BV1226" t="s">
        <v>263</v>
      </c>
      <c r="CM1226" t="s">
        <v>264</v>
      </c>
      <c r="CN1226" t="s">
        <v>264</v>
      </c>
      <c r="CP1226" t="s">
        <v>265</v>
      </c>
      <c r="CQ1226" t="s">
        <v>394</v>
      </c>
      <c r="DB1226">
        <v>1</v>
      </c>
      <c r="DG1226" t="s">
        <v>267</v>
      </c>
      <c r="DI1226">
        <v>24</v>
      </c>
      <c r="DN1226" t="s">
        <v>268</v>
      </c>
      <c r="DR1226">
        <v>139456</v>
      </c>
      <c r="DS1226">
        <v>3044</v>
      </c>
      <c r="EW1226" t="s">
        <v>271</v>
      </c>
      <c r="HH1226" t="s">
        <v>272</v>
      </c>
      <c r="IE1226" t="s">
        <v>1743</v>
      </c>
      <c r="IF1226">
        <v>3232</v>
      </c>
      <c r="IG1226" t="s">
        <v>1744</v>
      </c>
      <c r="IH1226" t="s">
        <v>1745</v>
      </c>
      <c r="II1226">
        <v>1988</v>
      </c>
      <c r="IJ1226" t="s">
        <v>1746</v>
      </c>
    </row>
    <row r="1227" spans="1:244" x14ac:dyDescent="0.45">
      <c r="A1227">
        <v>1073234</v>
      </c>
      <c r="B1227">
        <v>47464</v>
      </c>
      <c r="C1227">
        <v>7758987</v>
      </c>
      <c r="D1227" t="s">
        <v>2545</v>
      </c>
      <c r="F1227" t="s">
        <v>245</v>
      </c>
      <c r="G1227" t="s">
        <v>246</v>
      </c>
      <c r="N1227" t="s">
        <v>546</v>
      </c>
      <c r="O1227" t="s">
        <v>547</v>
      </c>
      <c r="P1227" t="s">
        <v>249</v>
      </c>
      <c r="Q1227" t="s">
        <v>250</v>
      </c>
      <c r="R1227" t="s">
        <v>251</v>
      </c>
      <c r="T1227" t="s">
        <v>252</v>
      </c>
      <c r="U1227" t="s">
        <v>253</v>
      </c>
      <c r="V1227" t="s">
        <v>548</v>
      </c>
      <c r="W1227" t="s">
        <v>549</v>
      </c>
      <c r="X1227" t="s">
        <v>550</v>
      </c>
      <c r="Z1227" t="s">
        <v>315</v>
      </c>
      <c r="AM1227" t="s">
        <v>317</v>
      </c>
      <c r="AN1227" t="s">
        <v>259</v>
      </c>
      <c r="AO1227" t="s">
        <v>260</v>
      </c>
      <c r="AQ1227" t="s">
        <v>261</v>
      </c>
      <c r="AS1227">
        <v>29500</v>
      </c>
      <c r="AX1227" t="s">
        <v>262</v>
      </c>
      <c r="BO1227" t="s">
        <v>261</v>
      </c>
      <c r="BQ1227">
        <v>29.5</v>
      </c>
      <c r="BV1227" t="s">
        <v>263</v>
      </c>
      <c r="CM1227" t="s">
        <v>264</v>
      </c>
      <c r="CN1227" t="s">
        <v>264</v>
      </c>
      <c r="CP1227" t="s">
        <v>265</v>
      </c>
      <c r="CQ1227" t="s">
        <v>394</v>
      </c>
      <c r="DB1227">
        <v>2</v>
      </c>
      <c r="DG1227" t="s">
        <v>267</v>
      </c>
      <c r="DI1227">
        <v>48</v>
      </c>
      <c r="DN1227" t="s">
        <v>268</v>
      </c>
      <c r="DR1227">
        <v>491138</v>
      </c>
      <c r="DS1227">
        <v>11</v>
      </c>
      <c r="DT1227" t="s">
        <v>1656</v>
      </c>
      <c r="EW1227" t="s">
        <v>333</v>
      </c>
      <c r="FK1227" t="s">
        <v>2745</v>
      </c>
      <c r="FM1227">
        <v>15</v>
      </c>
      <c r="FR1227" t="s">
        <v>295</v>
      </c>
      <c r="HH1227" t="s">
        <v>272</v>
      </c>
      <c r="ID1227" t="s">
        <v>2746</v>
      </c>
      <c r="IE1227" t="s">
        <v>1659</v>
      </c>
      <c r="IF1227">
        <v>5732</v>
      </c>
      <c r="IG1227" t="s">
        <v>1660</v>
      </c>
      <c r="IH1227" t="s">
        <v>1661</v>
      </c>
      <c r="II1227">
        <v>1972</v>
      </c>
      <c r="IJ1227" t="s">
        <v>1662</v>
      </c>
    </row>
    <row r="1228" spans="1:244" x14ac:dyDescent="0.45">
      <c r="A1228">
        <v>1292688</v>
      </c>
      <c r="B1228">
        <v>747575</v>
      </c>
      <c r="C1228">
        <v>7758987</v>
      </c>
      <c r="D1228" t="s">
        <v>2545</v>
      </c>
      <c r="F1228" t="s">
        <v>245</v>
      </c>
      <c r="G1228" t="s">
        <v>246</v>
      </c>
      <c r="N1228" t="s">
        <v>1216</v>
      </c>
      <c r="O1228" t="s">
        <v>578</v>
      </c>
      <c r="P1228" t="s">
        <v>249</v>
      </c>
      <c r="Q1228" t="s">
        <v>250</v>
      </c>
      <c r="R1228" t="s">
        <v>251</v>
      </c>
      <c r="T1228" t="s">
        <v>252</v>
      </c>
      <c r="U1228" t="s">
        <v>499</v>
      </c>
      <c r="V1228" t="s">
        <v>1217</v>
      </c>
      <c r="W1228" t="s">
        <v>1218</v>
      </c>
      <c r="X1228" t="s">
        <v>1219</v>
      </c>
      <c r="Z1228" t="s">
        <v>649</v>
      </c>
      <c r="AB1228">
        <v>8</v>
      </c>
      <c r="AG1228" t="s">
        <v>267</v>
      </c>
      <c r="AM1228" t="s">
        <v>317</v>
      </c>
      <c r="AN1228" t="s">
        <v>259</v>
      </c>
      <c r="AO1228" t="s">
        <v>260</v>
      </c>
      <c r="AQ1228" t="s">
        <v>504</v>
      </c>
      <c r="AS1228">
        <v>182</v>
      </c>
      <c r="AX1228" t="s">
        <v>262</v>
      </c>
      <c r="BO1228" t="s">
        <v>504</v>
      </c>
      <c r="BQ1228">
        <v>0.182</v>
      </c>
      <c r="BV1228" t="s">
        <v>263</v>
      </c>
      <c r="CM1228" t="s">
        <v>264</v>
      </c>
      <c r="CN1228" t="s">
        <v>264</v>
      </c>
      <c r="CP1228" t="s">
        <v>265</v>
      </c>
      <c r="CQ1228" t="s">
        <v>394</v>
      </c>
      <c r="DB1228">
        <v>4</v>
      </c>
      <c r="DG1228" t="s">
        <v>267</v>
      </c>
      <c r="DI1228">
        <v>4</v>
      </c>
      <c r="DN1228" t="s">
        <v>267</v>
      </c>
      <c r="DP1228" t="s">
        <v>2554</v>
      </c>
      <c r="DR1228">
        <v>764486</v>
      </c>
      <c r="DS1228">
        <v>18590</v>
      </c>
      <c r="DT1228" t="s">
        <v>2555</v>
      </c>
      <c r="EW1228" t="s">
        <v>293</v>
      </c>
      <c r="FA1228" t="s">
        <v>2735</v>
      </c>
      <c r="FK1228" t="s">
        <v>2747</v>
      </c>
      <c r="FM1228">
        <v>21</v>
      </c>
      <c r="FR1228" t="s">
        <v>295</v>
      </c>
      <c r="GG1228" t="s">
        <v>288</v>
      </c>
      <c r="GH1228">
        <v>85</v>
      </c>
      <c r="GM1228" t="s">
        <v>1224</v>
      </c>
      <c r="GQ1228">
        <v>8</v>
      </c>
      <c r="GS1228">
        <v>8.1999999999999993</v>
      </c>
      <c r="GU1228">
        <v>30</v>
      </c>
      <c r="GZ1228" t="s">
        <v>296</v>
      </c>
      <c r="HH1228" t="s">
        <v>272</v>
      </c>
      <c r="ID1228" t="s">
        <v>2748</v>
      </c>
      <c r="IE1228" t="s">
        <v>2559</v>
      </c>
      <c r="IF1228">
        <v>112230</v>
      </c>
      <c r="IG1228" t="s">
        <v>2560</v>
      </c>
      <c r="IH1228" t="s">
        <v>2561</v>
      </c>
      <c r="II1228">
        <v>2008</v>
      </c>
      <c r="IJ1228" t="s">
        <v>2562</v>
      </c>
    </row>
    <row r="1229" spans="1:244" x14ac:dyDescent="0.45">
      <c r="A1229">
        <v>1304321</v>
      </c>
      <c r="B1229">
        <v>760892</v>
      </c>
      <c r="C1229">
        <v>7758987</v>
      </c>
      <c r="D1229" t="s">
        <v>2545</v>
      </c>
      <c r="F1229" t="s">
        <v>245</v>
      </c>
      <c r="G1229" t="s">
        <v>246</v>
      </c>
      <c r="N1229" t="s">
        <v>2444</v>
      </c>
      <c r="O1229" t="s">
        <v>2445</v>
      </c>
      <c r="P1229" t="s">
        <v>249</v>
      </c>
      <c r="Q1229" t="s">
        <v>250</v>
      </c>
      <c r="R1229" t="s">
        <v>251</v>
      </c>
      <c r="T1229" t="s">
        <v>252</v>
      </c>
      <c r="U1229" t="s">
        <v>253</v>
      </c>
      <c r="V1229" t="s">
        <v>418</v>
      </c>
      <c r="W1229" t="s">
        <v>847</v>
      </c>
      <c r="X1229" t="s">
        <v>351</v>
      </c>
      <c r="AL1229" t="s">
        <v>2749</v>
      </c>
      <c r="AM1229" t="s">
        <v>258</v>
      </c>
      <c r="AN1229" t="s">
        <v>259</v>
      </c>
      <c r="AO1229" t="s">
        <v>260</v>
      </c>
      <c r="AP1229" t="s">
        <v>2368</v>
      </c>
      <c r="AQ1229" t="s">
        <v>261</v>
      </c>
      <c r="AS1229">
        <v>4.66</v>
      </c>
      <c r="AX1229" t="s">
        <v>356</v>
      </c>
      <c r="BO1229" t="s">
        <v>261</v>
      </c>
      <c r="BQ1229">
        <v>4.66</v>
      </c>
      <c r="BV1229" t="s">
        <v>263</v>
      </c>
      <c r="CM1229" t="s">
        <v>264</v>
      </c>
      <c r="CN1229" t="s">
        <v>264</v>
      </c>
      <c r="CP1229" t="s">
        <v>265</v>
      </c>
      <c r="CQ1229" t="s">
        <v>394</v>
      </c>
      <c r="DB1229">
        <v>2</v>
      </c>
      <c r="DG1229" t="s">
        <v>267</v>
      </c>
      <c r="DI1229">
        <v>48</v>
      </c>
      <c r="DN1229" t="s">
        <v>268</v>
      </c>
      <c r="DP1229" t="s">
        <v>2598</v>
      </c>
      <c r="DR1229">
        <v>32277</v>
      </c>
      <c r="DS1229">
        <v>18738</v>
      </c>
      <c r="EW1229" t="s">
        <v>293</v>
      </c>
      <c r="FK1229" t="s">
        <v>2750</v>
      </c>
      <c r="FM1229">
        <v>28</v>
      </c>
      <c r="FR1229" t="s">
        <v>295</v>
      </c>
      <c r="GO1229">
        <v>7.81</v>
      </c>
      <c r="GU1229">
        <v>38</v>
      </c>
      <c r="GZ1229" t="s">
        <v>296</v>
      </c>
      <c r="HH1229" t="s">
        <v>272</v>
      </c>
      <c r="ID1229" t="s">
        <v>2751</v>
      </c>
      <c r="IE1229" t="s">
        <v>2372</v>
      </c>
      <c r="IF1229">
        <v>62226</v>
      </c>
      <c r="IG1229" t="s">
        <v>2373</v>
      </c>
      <c r="IH1229" t="s">
        <v>2374</v>
      </c>
      <c r="II1229">
        <v>1999</v>
      </c>
      <c r="IJ1229" t="s">
        <v>2375</v>
      </c>
    </row>
    <row r="1230" spans="1:244" x14ac:dyDescent="0.45">
      <c r="A1230">
        <v>1141319</v>
      </c>
      <c r="B1230">
        <v>121233</v>
      </c>
      <c r="C1230">
        <v>7758987</v>
      </c>
      <c r="D1230" t="s">
        <v>2545</v>
      </c>
      <c r="F1230" t="s">
        <v>245</v>
      </c>
      <c r="G1230" t="s">
        <v>246</v>
      </c>
      <c r="N1230" t="s">
        <v>1800</v>
      </c>
      <c r="O1230" t="s">
        <v>1801</v>
      </c>
      <c r="P1230" t="s">
        <v>249</v>
      </c>
      <c r="Q1230" t="s">
        <v>250</v>
      </c>
      <c r="R1230" t="s">
        <v>251</v>
      </c>
      <c r="T1230" t="s">
        <v>252</v>
      </c>
      <c r="U1230" t="s">
        <v>253</v>
      </c>
      <c r="V1230" t="s">
        <v>418</v>
      </c>
      <c r="W1230" t="s">
        <v>847</v>
      </c>
      <c r="X1230" t="s">
        <v>1802</v>
      </c>
      <c r="AL1230" t="s">
        <v>1834</v>
      </c>
      <c r="AM1230" t="s">
        <v>258</v>
      </c>
      <c r="AN1230" t="s">
        <v>259</v>
      </c>
      <c r="AO1230" t="s">
        <v>260</v>
      </c>
      <c r="AQ1230" t="s">
        <v>261</v>
      </c>
      <c r="AS1230">
        <v>2250</v>
      </c>
      <c r="AU1230">
        <v>1438.9</v>
      </c>
      <c r="AW1230">
        <v>3518.1</v>
      </c>
      <c r="AX1230" t="s">
        <v>262</v>
      </c>
      <c r="BO1230" t="s">
        <v>261</v>
      </c>
      <c r="BQ1230">
        <v>2.25</v>
      </c>
      <c r="BS1230">
        <v>1.4389000000000001</v>
      </c>
      <c r="BU1230">
        <v>3.5181</v>
      </c>
      <c r="BV1230" t="s">
        <v>263</v>
      </c>
      <c r="CM1230" t="s">
        <v>264</v>
      </c>
      <c r="CN1230" t="s">
        <v>264</v>
      </c>
      <c r="CP1230" t="s">
        <v>265</v>
      </c>
      <c r="CQ1230" t="s">
        <v>394</v>
      </c>
      <c r="DB1230">
        <v>4</v>
      </c>
      <c r="DG1230" t="s">
        <v>267</v>
      </c>
      <c r="DI1230">
        <v>96</v>
      </c>
      <c r="DN1230" t="s">
        <v>268</v>
      </c>
      <c r="DP1230" t="s">
        <v>1804</v>
      </c>
      <c r="DR1230">
        <v>1378283</v>
      </c>
      <c r="DS1230">
        <v>4579</v>
      </c>
      <c r="EW1230" t="s">
        <v>271</v>
      </c>
      <c r="FM1230">
        <v>27.5</v>
      </c>
      <c r="FR1230" t="s">
        <v>295</v>
      </c>
      <c r="GG1230" t="s">
        <v>288</v>
      </c>
      <c r="GH1230">
        <v>60</v>
      </c>
      <c r="GM1230" t="s">
        <v>900</v>
      </c>
      <c r="GU1230">
        <v>15</v>
      </c>
      <c r="GZ1230" t="s">
        <v>296</v>
      </c>
      <c r="HH1230" t="s">
        <v>272</v>
      </c>
      <c r="IE1230" t="s">
        <v>1805</v>
      </c>
      <c r="IF1230">
        <v>11853</v>
      </c>
      <c r="IG1230" t="s">
        <v>1806</v>
      </c>
      <c r="IH1230" t="s">
        <v>1807</v>
      </c>
      <c r="II1230">
        <v>1986</v>
      </c>
      <c r="IJ1230" t="s">
        <v>1808</v>
      </c>
    </row>
    <row r="1231" spans="1:244" x14ac:dyDescent="0.45">
      <c r="A1231">
        <v>2145341</v>
      </c>
      <c r="B1231">
        <v>2273858</v>
      </c>
      <c r="C1231">
        <v>7758987</v>
      </c>
      <c r="D1231" t="s">
        <v>2545</v>
      </c>
      <c r="E1231" t="s">
        <v>622</v>
      </c>
      <c r="F1231" t="s">
        <v>245</v>
      </c>
      <c r="G1231" t="s">
        <v>2303</v>
      </c>
      <c r="N1231" t="s">
        <v>2304</v>
      </c>
      <c r="O1231" t="s">
        <v>656</v>
      </c>
      <c r="P1231" t="s">
        <v>249</v>
      </c>
      <c r="Q1231" t="s">
        <v>250</v>
      </c>
      <c r="R1231" t="s">
        <v>251</v>
      </c>
      <c r="T1231" t="s">
        <v>252</v>
      </c>
      <c r="U1231" t="s">
        <v>253</v>
      </c>
      <c r="V1231" t="s">
        <v>657</v>
      </c>
      <c r="W1231" t="s">
        <v>658</v>
      </c>
      <c r="X1231" t="s">
        <v>2305</v>
      </c>
      <c r="Z1231" t="s">
        <v>1057</v>
      </c>
      <c r="AJ1231" t="s">
        <v>285</v>
      </c>
      <c r="AL1231" t="s">
        <v>2306</v>
      </c>
      <c r="AM1231" t="s">
        <v>258</v>
      </c>
      <c r="AN1231" t="s">
        <v>259</v>
      </c>
      <c r="AO1231" t="s">
        <v>260</v>
      </c>
      <c r="AQ1231" t="s">
        <v>261</v>
      </c>
      <c r="AS1231">
        <v>8</v>
      </c>
      <c r="AX1231" t="s">
        <v>422</v>
      </c>
      <c r="BO1231" t="s">
        <v>261</v>
      </c>
      <c r="BQ1231">
        <v>8</v>
      </c>
      <c r="BV1231" t="s">
        <v>263</v>
      </c>
      <c r="CM1231" t="s">
        <v>264</v>
      </c>
      <c r="CN1231" t="s">
        <v>264</v>
      </c>
      <c r="CP1231" t="s">
        <v>265</v>
      </c>
      <c r="CQ1231" t="s">
        <v>394</v>
      </c>
      <c r="DB1231">
        <v>4</v>
      </c>
      <c r="DG1231" t="s">
        <v>267</v>
      </c>
      <c r="DI1231">
        <v>96</v>
      </c>
      <c r="DN1231" t="s">
        <v>268</v>
      </c>
      <c r="DP1231" t="s">
        <v>2622</v>
      </c>
      <c r="DR1231">
        <v>638975</v>
      </c>
      <c r="DS1231">
        <v>27994</v>
      </c>
      <c r="DV1231">
        <v>96</v>
      </c>
      <c r="EA1231" t="s">
        <v>268</v>
      </c>
      <c r="EC1231">
        <v>4</v>
      </c>
      <c r="EH1231" t="s">
        <v>267</v>
      </c>
      <c r="EJ1231">
        <v>96</v>
      </c>
      <c r="EO1231" t="s">
        <v>268</v>
      </c>
      <c r="EQ1231">
        <v>4</v>
      </c>
      <c r="EV1231" t="s">
        <v>267</v>
      </c>
      <c r="EW1231" t="s">
        <v>272</v>
      </c>
      <c r="EY1231" t="s">
        <v>377</v>
      </c>
      <c r="FM1231">
        <v>29.1</v>
      </c>
      <c r="FR1231" t="s">
        <v>295</v>
      </c>
      <c r="GH1231">
        <v>4.4000000000000004</v>
      </c>
      <c r="GM1231" t="s">
        <v>1766</v>
      </c>
      <c r="GO1231">
        <v>7.8</v>
      </c>
      <c r="GU1231">
        <v>27</v>
      </c>
      <c r="GZ1231" t="s">
        <v>900</v>
      </c>
      <c r="HH1231" t="s">
        <v>272</v>
      </c>
      <c r="IE1231" t="s">
        <v>2308</v>
      </c>
      <c r="IF1231">
        <v>154096</v>
      </c>
      <c r="IG1231" t="s">
        <v>2309</v>
      </c>
      <c r="IH1231" t="s">
        <v>2310</v>
      </c>
      <c r="II1231">
        <v>2011</v>
      </c>
      <c r="IJ1231" t="s">
        <v>2311</v>
      </c>
    </row>
    <row r="1232" spans="1:244" x14ac:dyDescent="0.45">
      <c r="A1232">
        <v>1026076</v>
      </c>
      <c r="B1232">
        <v>123822</v>
      </c>
      <c r="C1232">
        <v>7758987</v>
      </c>
      <c r="D1232" t="s">
        <v>2545</v>
      </c>
      <c r="F1232" t="s">
        <v>245</v>
      </c>
      <c r="G1232" t="s">
        <v>246</v>
      </c>
      <c r="N1232" t="s">
        <v>1845</v>
      </c>
      <c r="O1232" t="s">
        <v>1846</v>
      </c>
      <c r="P1232" t="s">
        <v>249</v>
      </c>
      <c r="Q1232" t="s">
        <v>250</v>
      </c>
      <c r="R1232" t="s">
        <v>251</v>
      </c>
      <c r="T1232" t="s">
        <v>252</v>
      </c>
      <c r="U1232" t="s">
        <v>253</v>
      </c>
      <c r="V1232" t="s">
        <v>1847</v>
      </c>
      <c r="W1232" t="s">
        <v>1848</v>
      </c>
      <c r="X1232" t="s">
        <v>1849</v>
      </c>
      <c r="Z1232" t="s">
        <v>315</v>
      </c>
      <c r="AM1232" t="s">
        <v>258</v>
      </c>
      <c r="AN1232" t="s">
        <v>259</v>
      </c>
      <c r="AO1232" t="s">
        <v>260</v>
      </c>
      <c r="AQ1232" t="s">
        <v>261</v>
      </c>
      <c r="AS1232">
        <v>140</v>
      </c>
      <c r="AX1232" t="s">
        <v>262</v>
      </c>
      <c r="BO1232" t="s">
        <v>261</v>
      </c>
      <c r="BQ1232">
        <v>0.14000000000000001</v>
      </c>
      <c r="BV1232" t="s">
        <v>263</v>
      </c>
      <c r="CM1232" t="s">
        <v>264</v>
      </c>
      <c r="CN1232" t="s">
        <v>264</v>
      </c>
      <c r="CP1232" t="s">
        <v>265</v>
      </c>
      <c r="CQ1232" t="s">
        <v>394</v>
      </c>
      <c r="DB1232">
        <v>2</v>
      </c>
      <c r="DG1232" t="s">
        <v>267</v>
      </c>
      <c r="DI1232">
        <v>48</v>
      </c>
      <c r="DN1232" t="s">
        <v>268</v>
      </c>
      <c r="DR1232">
        <v>397978</v>
      </c>
      <c r="DS1232">
        <v>37</v>
      </c>
      <c r="EW1232" t="s">
        <v>360</v>
      </c>
      <c r="FM1232">
        <v>15</v>
      </c>
      <c r="FR1232" t="s">
        <v>295</v>
      </c>
      <c r="HH1232" t="s">
        <v>272</v>
      </c>
      <c r="IE1232" t="s">
        <v>552</v>
      </c>
      <c r="IF1232">
        <v>906</v>
      </c>
      <c r="IG1232" t="s">
        <v>553</v>
      </c>
      <c r="IH1232" t="s">
        <v>554</v>
      </c>
      <c r="II1232">
        <v>1971</v>
      </c>
      <c r="IJ1232" t="s">
        <v>555</v>
      </c>
    </row>
    <row r="1233" spans="1:244" x14ac:dyDescent="0.45">
      <c r="A1233">
        <v>1312727</v>
      </c>
      <c r="B1233">
        <v>770195</v>
      </c>
      <c r="C1233">
        <v>7758987</v>
      </c>
      <c r="D1233" t="s">
        <v>2545</v>
      </c>
      <c r="E1233" t="s">
        <v>622</v>
      </c>
      <c r="F1233" t="s">
        <v>272</v>
      </c>
      <c r="G1233" t="s">
        <v>246</v>
      </c>
      <c r="N1233" t="s">
        <v>1298</v>
      </c>
      <c r="O1233" t="s">
        <v>1299</v>
      </c>
      <c r="P1233" t="s">
        <v>249</v>
      </c>
      <c r="Q1233" t="s">
        <v>250</v>
      </c>
      <c r="R1233" t="s">
        <v>251</v>
      </c>
      <c r="T1233" t="s">
        <v>252</v>
      </c>
      <c r="U1233" t="s">
        <v>371</v>
      </c>
      <c r="V1233" t="s">
        <v>372</v>
      </c>
      <c r="W1233" t="s">
        <v>1300</v>
      </c>
      <c r="X1233" t="s">
        <v>1301</v>
      </c>
      <c r="Z1233" t="s">
        <v>649</v>
      </c>
      <c r="AD1233">
        <v>2</v>
      </c>
      <c r="AF1233">
        <v>3</v>
      </c>
      <c r="AG1233" t="s">
        <v>267</v>
      </c>
      <c r="AM1233" t="s">
        <v>317</v>
      </c>
      <c r="AN1233" t="s">
        <v>259</v>
      </c>
      <c r="AO1233" t="s">
        <v>260</v>
      </c>
      <c r="AP1233" t="s">
        <v>559</v>
      </c>
      <c r="AQ1233" t="s">
        <v>261</v>
      </c>
      <c r="AS1233">
        <v>0.25</v>
      </c>
      <c r="AX1233" t="s">
        <v>356</v>
      </c>
      <c r="BO1233" t="s">
        <v>261</v>
      </c>
      <c r="BQ1233">
        <v>0.25</v>
      </c>
      <c r="BV1233" t="s">
        <v>263</v>
      </c>
      <c r="CM1233" t="s">
        <v>264</v>
      </c>
      <c r="CN1233" t="s">
        <v>264</v>
      </c>
      <c r="CP1233" t="s">
        <v>265</v>
      </c>
      <c r="DB1233">
        <v>4</v>
      </c>
      <c r="DG1233" t="s">
        <v>267</v>
      </c>
      <c r="DI1233">
        <v>96</v>
      </c>
      <c r="DN1233" t="s">
        <v>268</v>
      </c>
      <c r="DP1233" t="s">
        <v>2588</v>
      </c>
      <c r="DS1233">
        <v>20391</v>
      </c>
      <c r="DT1233" t="s">
        <v>1302</v>
      </c>
      <c r="EW1233" t="s">
        <v>293</v>
      </c>
      <c r="FA1233" t="s">
        <v>1303</v>
      </c>
      <c r="FK1233" t="s">
        <v>2752</v>
      </c>
      <c r="FM1233">
        <v>25</v>
      </c>
      <c r="FR1233" t="s">
        <v>295</v>
      </c>
      <c r="GG1233" t="s">
        <v>288</v>
      </c>
      <c r="GH1233">
        <v>80</v>
      </c>
      <c r="GM1233" t="s">
        <v>1224</v>
      </c>
      <c r="GQ1233">
        <v>7.5</v>
      </c>
      <c r="GS1233">
        <v>8.5</v>
      </c>
      <c r="GU1233">
        <v>25</v>
      </c>
      <c r="GZ1233" t="s">
        <v>900</v>
      </c>
      <c r="HH1233" t="s">
        <v>272</v>
      </c>
      <c r="ID1233" t="s">
        <v>2753</v>
      </c>
      <c r="IE1233" t="s">
        <v>1306</v>
      </c>
      <c r="IF1233">
        <v>117932</v>
      </c>
      <c r="IG1233" t="s">
        <v>1307</v>
      </c>
      <c r="IH1233" t="s">
        <v>1308</v>
      </c>
      <c r="II1233">
        <v>2008</v>
      </c>
      <c r="IJ1233" t="s">
        <v>1309</v>
      </c>
    </row>
    <row r="1234" spans="1:244" x14ac:dyDescent="0.45">
      <c r="A1234">
        <v>1124347</v>
      </c>
      <c r="B1234">
        <v>126245</v>
      </c>
      <c r="C1234">
        <v>7758987</v>
      </c>
      <c r="D1234" t="s">
        <v>2545</v>
      </c>
      <c r="E1234" t="s">
        <v>2689</v>
      </c>
      <c r="F1234" t="s">
        <v>327</v>
      </c>
      <c r="G1234" t="s">
        <v>246</v>
      </c>
      <c r="I1234">
        <v>98.1</v>
      </c>
      <c r="N1234" t="s">
        <v>2690</v>
      </c>
      <c r="O1234" t="s">
        <v>2691</v>
      </c>
      <c r="P1234" t="s">
        <v>249</v>
      </c>
      <c r="Q1234" t="s">
        <v>250</v>
      </c>
      <c r="R1234" t="s">
        <v>251</v>
      </c>
      <c r="T1234" t="s">
        <v>252</v>
      </c>
      <c r="U1234" t="s">
        <v>371</v>
      </c>
      <c r="V1234" t="s">
        <v>372</v>
      </c>
      <c r="W1234" t="s">
        <v>1427</v>
      </c>
      <c r="X1234" t="s">
        <v>2692</v>
      </c>
      <c r="Z1234" t="s">
        <v>649</v>
      </c>
      <c r="AA1234" t="s">
        <v>288</v>
      </c>
      <c r="AB1234">
        <v>15</v>
      </c>
      <c r="AG1234" t="s">
        <v>267</v>
      </c>
      <c r="AL1234" t="s">
        <v>2693</v>
      </c>
      <c r="AM1234" t="s">
        <v>307</v>
      </c>
      <c r="AN1234" t="s">
        <v>259</v>
      </c>
      <c r="AO1234" t="s">
        <v>260</v>
      </c>
      <c r="AQ1234" t="s">
        <v>261</v>
      </c>
      <c r="AS1234">
        <v>160</v>
      </c>
      <c r="AU1234">
        <v>140</v>
      </c>
      <c r="AW1234">
        <v>200</v>
      </c>
      <c r="AX1234" t="s">
        <v>262</v>
      </c>
      <c r="BO1234" t="s">
        <v>261</v>
      </c>
      <c r="BQ1234">
        <v>0.16</v>
      </c>
      <c r="BS1234">
        <v>0.14000000000000001</v>
      </c>
      <c r="BU1234">
        <v>0.2</v>
      </c>
      <c r="BV1234" t="s">
        <v>263</v>
      </c>
      <c r="CM1234" t="s">
        <v>264</v>
      </c>
      <c r="CN1234" t="s">
        <v>264</v>
      </c>
      <c r="CP1234" t="s">
        <v>265</v>
      </c>
      <c r="DB1234">
        <v>4</v>
      </c>
      <c r="DG1234" t="s">
        <v>267</v>
      </c>
      <c r="DI1234">
        <v>96</v>
      </c>
      <c r="DN1234" t="s">
        <v>268</v>
      </c>
      <c r="DO1234" t="s">
        <v>1587</v>
      </c>
      <c r="DS1234">
        <v>4633</v>
      </c>
      <c r="DT1234" t="s">
        <v>2694</v>
      </c>
      <c r="EW1234" t="s">
        <v>271</v>
      </c>
      <c r="FK1234" t="s">
        <v>2695</v>
      </c>
      <c r="FM1234">
        <v>17</v>
      </c>
      <c r="FR1234" t="s">
        <v>295</v>
      </c>
      <c r="GO1234">
        <v>8.1999999999999993</v>
      </c>
      <c r="GU1234">
        <v>2</v>
      </c>
      <c r="GZ1234" t="s">
        <v>296</v>
      </c>
      <c r="HH1234" t="s">
        <v>272</v>
      </c>
      <c r="ID1234" t="s">
        <v>2696</v>
      </c>
      <c r="IE1234" t="s">
        <v>2697</v>
      </c>
      <c r="IF1234">
        <v>9936</v>
      </c>
      <c r="IG1234" t="s">
        <v>2698</v>
      </c>
      <c r="IH1234" t="s">
        <v>2699</v>
      </c>
      <c r="II1234">
        <v>1993</v>
      </c>
      <c r="IJ1234" t="s">
        <v>2700</v>
      </c>
    </row>
    <row r="1235" spans="1:244" x14ac:dyDescent="0.45">
      <c r="A1235">
        <v>1078420</v>
      </c>
      <c r="B1235">
        <v>25184</v>
      </c>
      <c r="C1235">
        <v>7758987</v>
      </c>
      <c r="D1235" t="s">
        <v>2545</v>
      </c>
      <c r="F1235" t="s">
        <v>245</v>
      </c>
      <c r="G1235" t="s">
        <v>246</v>
      </c>
      <c r="N1235" t="s">
        <v>2754</v>
      </c>
      <c r="O1235" t="s">
        <v>2755</v>
      </c>
      <c r="P1235" t="s">
        <v>249</v>
      </c>
      <c r="Q1235" t="s">
        <v>250</v>
      </c>
      <c r="R1235" t="s">
        <v>251</v>
      </c>
      <c r="T1235" t="s">
        <v>252</v>
      </c>
      <c r="U1235" t="s">
        <v>2756</v>
      </c>
      <c r="V1235" t="s">
        <v>2757</v>
      </c>
      <c r="W1235" t="s">
        <v>2758</v>
      </c>
      <c r="X1235" t="s">
        <v>2759</v>
      </c>
      <c r="AJ1235" t="s">
        <v>285</v>
      </c>
      <c r="AM1235" t="s">
        <v>317</v>
      </c>
      <c r="AN1235" t="s">
        <v>259</v>
      </c>
      <c r="AO1235" t="s">
        <v>260</v>
      </c>
      <c r="AP1235" t="s">
        <v>1644</v>
      </c>
      <c r="AQ1235" t="s">
        <v>261</v>
      </c>
      <c r="AS1235">
        <v>30</v>
      </c>
      <c r="AX1235" t="s">
        <v>290</v>
      </c>
      <c r="BO1235" t="s">
        <v>261</v>
      </c>
      <c r="BQ1235">
        <v>0.03</v>
      </c>
      <c r="BV1235" t="s">
        <v>263</v>
      </c>
      <c r="CM1235" t="s">
        <v>264</v>
      </c>
      <c r="CN1235" t="s">
        <v>264</v>
      </c>
      <c r="CP1235" t="s">
        <v>265</v>
      </c>
      <c r="CQ1235" t="s">
        <v>394</v>
      </c>
      <c r="DB1235">
        <v>1</v>
      </c>
      <c r="DG1235" t="s">
        <v>267</v>
      </c>
      <c r="DI1235">
        <v>24</v>
      </c>
      <c r="DN1235" t="s">
        <v>268</v>
      </c>
      <c r="DR1235">
        <v>102976</v>
      </c>
      <c r="DS1235">
        <v>441</v>
      </c>
      <c r="EW1235" t="s">
        <v>293</v>
      </c>
      <c r="FA1235" t="s">
        <v>2760</v>
      </c>
      <c r="FK1235" t="s">
        <v>2761</v>
      </c>
      <c r="FO1235">
        <v>13</v>
      </c>
      <c r="FQ1235">
        <v>21</v>
      </c>
      <c r="FR1235" t="s">
        <v>295</v>
      </c>
      <c r="GW1235">
        <v>27</v>
      </c>
      <c r="GY1235">
        <v>36</v>
      </c>
      <c r="GZ1235" t="s">
        <v>296</v>
      </c>
      <c r="HH1235" t="s">
        <v>272</v>
      </c>
      <c r="ID1235" t="s">
        <v>2762</v>
      </c>
      <c r="IE1235" t="s">
        <v>1648</v>
      </c>
      <c r="IF1235">
        <v>6045</v>
      </c>
      <c r="IG1235" t="s">
        <v>1649</v>
      </c>
      <c r="IH1235" t="s">
        <v>1650</v>
      </c>
      <c r="II1235">
        <v>1976</v>
      </c>
      <c r="IJ1235" t="s">
        <v>1651</v>
      </c>
    </row>
    <row r="1236" spans="1:244" x14ac:dyDescent="0.45">
      <c r="A1236">
        <v>1078431</v>
      </c>
      <c r="B1236">
        <v>102405</v>
      </c>
      <c r="C1236">
        <v>7758987</v>
      </c>
      <c r="D1236" t="s">
        <v>2545</v>
      </c>
      <c r="F1236" t="s">
        <v>245</v>
      </c>
      <c r="G1236" t="s">
        <v>246</v>
      </c>
      <c r="N1236" t="s">
        <v>2763</v>
      </c>
      <c r="O1236" t="s">
        <v>631</v>
      </c>
      <c r="P1236" t="s">
        <v>249</v>
      </c>
      <c r="Q1236" t="s">
        <v>250</v>
      </c>
      <c r="R1236" t="s">
        <v>251</v>
      </c>
      <c r="T1236" t="s">
        <v>389</v>
      </c>
      <c r="U1236" t="s">
        <v>632</v>
      </c>
      <c r="V1236" t="s">
        <v>2764</v>
      </c>
      <c r="W1236" t="s">
        <v>2765</v>
      </c>
      <c r="X1236" t="s">
        <v>2759</v>
      </c>
      <c r="AJ1236" t="s">
        <v>285</v>
      </c>
      <c r="AM1236" t="s">
        <v>317</v>
      </c>
      <c r="AN1236" t="s">
        <v>259</v>
      </c>
      <c r="AO1236" t="s">
        <v>260</v>
      </c>
      <c r="AP1236" t="s">
        <v>1644</v>
      </c>
      <c r="AQ1236" t="s">
        <v>261</v>
      </c>
      <c r="AS1236">
        <v>176</v>
      </c>
      <c r="AX1236" t="s">
        <v>290</v>
      </c>
      <c r="BO1236" t="s">
        <v>261</v>
      </c>
      <c r="BQ1236">
        <v>0.17599999999999999</v>
      </c>
      <c r="BV1236" t="s">
        <v>263</v>
      </c>
      <c r="CM1236" t="s">
        <v>264</v>
      </c>
      <c r="CN1236" t="s">
        <v>264</v>
      </c>
      <c r="CP1236" t="s">
        <v>265</v>
      </c>
      <c r="CQ1236" t="s">
        <v>394</v>
      </c>
      <c r="DB1236">
        <v>1</v>
      </c>
      <c r="DG1236" t="s">
        <v>267</v>
      </c>
      <c r="DI1236">
        <v>24</v>
      </c>
      <c r="DN1236" t="s">
        <v>268</v>
      </c>
      <c r="DR1236">
        <v>114067</v>
      </c>
      <c r="DS1236">
        <v>440</v>
      </c>
      <c r="EW1236" t="s">
        <v>293</v>
      </c>
      <c r="FA1236" t="s">
        <v>2760</v>
      </c>
      <c r="FK1236" t="s">
        <v>2766</v>
      </c>
      <c r="FO1236">
        <v>13</v>
      </c>
      <c r="FQ1236">
        <v>21</v>
      </c>
      <c r="FR1236" t="s">
        <v>295</v>
      </c>
      <c r="GW1236">
        <v>27</v>
      </c>
      <c r="GY1236">
        <v>36</v>
      </c>
      <c r="GZ1236" t="s">
        <v>296</v>
      </c>
      <c r="HH1236" t="s">
        <v>272</v>
      </c>
      <c r="ID1236" t="s">
        <v>2767</v>
      </c>
      <c r="IE1236" t="s">
        <v>1648</v>
      </c>
      <c r="IF1236">
        <v>6045</v>
      </c>
      <c r="IG1236" t="s">
        <v>1649</v>
      </c>
      <c r="IH1236" t="s">
        <v>1650</v>
      </c>
      <c r="II1236">
        <v>1976</v>
      </c>
      <c r="IJ1236" t="s">
        <v>1651</v>
      </c>
    </row>
    <row r="1237" spans="1:244" x14ac:dyDescent="0.45">
      <c r="A1237">
        <v>1151171</v>
      </c>
      <c r="B1237">
        <v>104878</v>
      </c>
      <c r="C1237">
        <v>7758987</v>
      </c>
      <c r="D1237" t="s">
        <v>2545</v>
      </c>
      <c r="F1237" t="s">
        <v>245</v>
      </c>
      <c r="G1237" t="s">
        <v>246</v>
      </c>
      <c r="N1237" t="s">
        <v>247</v>
      </c>
      <c r="O1237" t="s">
        <v>248</v>
      </c>
      <c r="P1237" t="s">
        <v>249</v>
      </c>
      <c r="Q1237" t="s">
        <v>250</v>
      </c>
      <c r="R1237" t="s">
        <v>251</v>
      </c>
      <c r="T1237" t="s">
        <v>252</v>
      </c>
      <c r="U1237" t="s">
        <v>253</v>
      </c>
      <c r="V1237" t="s">
        <v>254</v>
      </c>
      <c r="W1237" t="s">
        <v>255</v>
      </c>
      <c r="X1237" t="s">
        <v>256</v>
      </c>
      <c r="Z1237" t="s">
        <v>1057</v>
      </c>
      <c r="AL1237" t="s">
        <v>1777</v>
      </c>
      <c r="AM1237" t="s">
        <v>317</v>
      </c>
      <c r="AN1237" t="s">
        <v>259</v>
      </c>
      <c r="AO1237" t="s">
        <v>260</v>
      </c>
      <c r="AQ1237" t="s">
        <v>261</v>
      </c>
      <c r="AS1237">
        <v>446700</v>
      </c>
      <c r="AX1237" t="s">
        <v>262</v>
      </c>
      <c r="BO1237" t="s">
        <v>261</v>
      </c>
      <c r="BQ1237">
        <v>446.7</v>
      </c>
      <c r="BV1237" t="s">
        <v>263</v>
      </c>
      <c r="CM1237" t="s">
        <v>264</v>
      </c>
      <c r="CN1237" t="s">
        <v>264</v>
      </c>
      <c r="CP1237" t="s">
        <v>265</v>
      </c>
      <c r="DB1237">
        <v>3</v>
      </c>
      <c r="DG1237" t="s">
        <v>267</v>
      </c>
      <c r="DI1237">
        <v>72</v>
      </c>
      <c r="DN1237" t="s">
        <v>268</v>
      </c>
      <c r="DR1237">
        <v>6761</v>
      </c>
      <c r="DS1237">
        <v>2461</v>
      </c>
      <c r="EW1237" t="s">
        <v>293</v>
      </c>
      <c r="HH1237" t="s">
        <v>272</v>
      </c>
      <c r="IE1237" t="s">
        <v>1778</v>
      </c>
      <c r="IF1237">
        <v>12895</v>
      </c>
      <c r="IG1237" t="s">
        <v>1779</v>
      </c>
      <c r="IH1237" t="s">
        <v>1780</v>
      </c>
      <c r="II1237">
        <v>1986</v>
      </c>
      <c r="IJ1237" t="s">
        <v>1781</v>
      </c>
    </row>
    <row r="1238" spans="1:244" x14ac:dyDescent="0.45">
      <c r="A1238">
        <v>1184282</v>
      </c>
      <c r="B1238">
        <v>141846</v>
      </c>
      <c r="C1238">
        <v>7758987</v>
      </c>
      <c r="D1238" t="s">
        <v>2545</v>
      </c>
      <c r="F1238" t="s">
        <v>245</v>
      </c>
      <c r="G1238" t="s">
        <v>246</v>
      </c>
      <c r="N1238" t="s">
        <v>2596</v>
      </c>
      <c r="O1238" t="s">
        <v>2597</v>
      </c>
      <c r="P1238" t="s">
        <v>249</v>
      </c>
      <c r="Q1238" t="s">
        <v>250</v>
      </c>
      <c r="R1238" t="s">
        <v>251</v>
      </c>
      <c r="T1238" t="s">
        <v>389</v>
      </c>
      <c r="U1238" t="s">
        <v>462</v>
      </c>
      <c r="V1238" t="s">
        <v>463</v>
      </c>
      <c r="W1238" t="s">
        <v>464</v>
      </c>
      <c r="X1238" t="s">
        <v>1291</v>
      </c>
      <c r="Z1238" t="s">
        <v>284</v>
      </c>
      <c r="AL1238" t="s">
        <v>2768</v>
      </c>
      <c r="AM1238" t="s">
        <v>317</v>
      </c>
      <c r="AN1238" t="s">
        <v>259</v>
      </c>
      <c r="AO1238" t="s">
        <v>260</v>
      </c>
      <c r="AQ1238" t="s">
        <v>261</v>
      </c>
      <c r="AS1238">
        <v>10000</v>
      </c>
      <c r="AX1238" t="s">
        <v>262</v>
      </c>
      <c r="BO1238" t="s">
        <v>261</v>
      </c>
      <c r="BQ1238">
        <v>10</v>
      </c>
      <c r="BV1238" t="s">
        <v>263</v>
      </c>
      <c r="CM1238" t="s">
        <v>264</v>
      </c>
      <c r="CN1238" t="s">
        <v>264</v>
      </c>
      <c r="CP1238" t="s">
        <v>265</v>
      </c>
      <c r="DB1238">
        <v>1</v>
      </c>
      <c r="DG1238" t="s">
        <v>267</v>
      </c>
      <c r="DI1238">
        <v>24</v>
      </c>
      <c r="DN1238" t="s">
        <v>268</v>
      </c>
      <c r="DP1238" t="s">
        <v>2769</v>
      </c>
      <c r="DR1238">
        <v>1232801</v>
      </c>
      <c r="DS1238">
        <v>1780</v>
      </c>
      <c r="DT1238" t="s">
        <v>2770</v>
      </c>
      <c r="EW1238" t="s">
        <v>272</v>
      </c>
      <c r="FM1238">
        <v>23</v>
      </c>
      <c r="FR1238" t="s">
        <v>295</v>
      </c>
      <c r="HH1238" t="s">
        <v>272</v>
      </c>
      <c r="IE1238" t="s">
        <v>2771</v>
      </c>
      <c r="IF1238">
        <v>16323</v>
      </c>
      <c r="IG1238" t="s">
        <v>2772</v>
      </c>
      <c r="IH1238" t="s">
        <v>2773</v>
      </c>
      <c r="II1238">
        <v>1994</v>
      </c>
      <c r="IJ1238" t="s">
        <v>2774</v>
      </c>
    </row>
    <row r="1239" spans="1:244" x14ac:dyDescent="0.45">
      <c r="A1239">
        <v>1186875</v>
      </c>
      <c r="B1239">
        <v>138566</v>
      </c>
      <c r="C1239">
        <v>7758987</v>
      </c>
      <c r="D1239" t="s">
        <v>2545</v>
      </c>
      <c r="F1239" t="s">
        <v>245</v>
      </c>
      <c r="G1239" t="s">
        <v>246</v>
      </c>
      <c r="N1239" t="s">
        <v>789</v>
      </c>
      <c r="O1239" t="s">
        <v>790</v>
      </c>
      <c r="P1239" t="s">
        <v>249</v>
      </c>
      <c r="Q1239" t="s">
        <v>250</v>
      </c>
      <c r="R1239" t="s">
        <v>251</v>
      </c>
      <c r="T1239" t="s">
        <v>252</v>
      </c>
      <c r="U1239" t="s">
        <v>253</v>
      </c>
      <c r="V1239" t="s">
        <v>418</v>
      </c>
      <c r="W1239" t="s">
        <v>791</v>
      </c>
      <c r="X1239" t="s">
        <v>792</v>
      </c>
      <c r="Z1239" t="s">
        <v>421</v>
      </c>
      <c r="AM1239" t="s">
        <v>258</v>
      </c>
      <c r="AN1239" t="s">
        <v>259</v>
      </c>
      <c r="AO1239" t="s">
        <v>260</v>
      </c>
      <c r="AQ1239" t="s">
        <v>261</v>
      </c>
      <c r="AS1239">
        <v>3392</v>
      </c>
      <c r="AX1239" t="s">
        <v>262</v>
      </c>
      <c r="BO1239" t="s">
        <v>261</v>
      </c>
      <c r="BQ1239">
        <v>3.3919999999999999</v>
      </c>
      <c r="BV1239" t="s">
        <v>263</v>
      </c>
      <c r="CM1239" t="s">
        <v>264</v>
      </c>
      <c r="CN1239" t="s">
        <v>264</v>
      </c>
      <c r="CP1239" t="s">
        <v>265</v>
      </c>
      <c r="DB1239">
        <v>1</v>
      </c>
      <c r="DG1239" t="s">
        <v>267</v>
      </c>
      <c r="DI1239">
        <v>24</v>
      </c>
      <c r="DN1239" t="s">
        <v>268</v>
      </c>
      <c r="DR1239">
        <v>161924</v>
      </c>
      <c r="DS1239">
        <v>3045</v>
      </c>
      <c r="EW1239" t="s">
        <v>272</v>
      </c>
      <c r="FM1239">
        <v>28</v>
      </c>
      <c r="FR1239" t="s">
        <v>295</v>
      </c>
      <c r="GO1239">
        <v>8.1999999999999993</v>
      </c>
      <c r="GU1239">
        <v>32</v>
      </c>
      <c r="GZ1239" t="s">
        <v>296</v>
      </c>
      <c r="HH1239" t="s">
        <v>272</v>
      </c>
      <c r="IE1239" t="s">
        <v>1652</v>
      </c>
      <c r="IF1239">
        <v>16613</v>
      </c>
      <c r="IG1239" t="s">
        <v>1653</v>
      </c>
      <c r="IH1239" t="s">
        <v>1654</v>
      </c>
      <c r="II1239">
        <v>1994</v>
      </c>
      <c r="IJ1239" t="s">
        <v>1655</v>
      </c>
    </row>
    <row r="1240" spans="1:244" x14ac:dyDescent="0.45">
      <c r="A1240">
        <v>1210393</v>
      </c>
      <c r="B1240">
        <v>195477</v>
      </c>
      <c r="C1240">
        <v>7758987</v>
      </c>
      <c r="D1240" t="s">
        <v>2545</v>
      </c>
      <c r="F1240" t="s">
        <v>272</v>
      </c>
      <c r="G1240" t="s">
        <v>246</v>
      </c>
      <c r="N1240" t="s">
        <v>345</v>
      </c>
      <c r="O1240" t="s">
        <v>346</v>
      </c>
      <c r="P1240" t="s">
        <v>249</v>
      </c>
      <c r="Q1240" t="s">
        <v>250</v>
      </c>
      <c r="R1240" t="s">
        <v>251</v>
      </c>
      <c r="T1240" t="s">
        <v>347</v>
      </c>
      <c r="U1240" t="s">
        <v>348</v>
      </c>
      <c r="V1240" t="s">
        <v>349</v>
      </c>
      <c r="W1240" t="s">
        <v>350</v>
      </c>
      <c r="X1240" t="s">
        <v>351</v>
      </c>
      <c r="Z1240" t="s">
        <v>284</v>
      </c>
      <c r="AM1240" t="s">
        <v>287</v>
      </c>
      <c r="AN1240" t="s">
        <v>259</v>
      </c>
      <c r="AO1240" t="s">
        <v>260</v>
      </c>
      <c r="AQ1240" t="s">
        <v>261</v>
      </c>
      <c r="AS1240">
        <v>0.38</v>
      </c>
      <c r="AU1240">
        <v>0.26700000000000002</v>
      </c>
      <c r="AW1240">
        <v>0.54100000000000004</v>
      </c>
      <c r="AX1240" t="s">
        <v>762</v>
      </c>
      <c r="BO1240" t="s">
        <v>261</v>
      </c>
      <c r="BQ1240">
        <v>0.38</v>
      </c>
      <c r="BS1240">
        <v>0.26700000000000002</v>
      </c>
      <c r="BU1240">
        <v>0.54100000000000004</v>
      </c>
      <c r="BV1240" t="s">
        <v>263</v>
      </c>
      <c r="CM1240" t="s">
        <v>264</v>
      </c>
      <c r="CN1240" t="s">
        <v>264</v>
      </c>
      <c r="CP1240" t="s">
        <v>265</v>
      </c>
      <c r="DB1240">
        <v>4</v>
      </c>
      <c r="DG1240" t="s">
        <v>267</v>
      </c>
      <c r="DI1240">
        <v>96</v>
      </c>
      <c r="DN1240" t="s">
        <v>268</v>
      </c>
      <c r="DR1240">
        <v>6660</v>
      </c>
      <c r="DS1240">
        <v>421</v>
      </c>
      <c r="EW1240" t="s">
        <v>272</v>
      </c>
      <c r="FM1240">
        <v>25</v>
      </c>
      <c r="FR1240" t="s">
        <v>295</v>
      </c>
      <c r="GO1240">
        <v>8.1</v>
      </c>
      <c r="HH1240" t="s">
        <v>272</v>
      </c>
      <c r="IE1240" t="s">
        <v>763</v>
      </c>
      <c r="IF1240">
        <v>19318</v>
      </c>
      <c r="IG1240" t="s">
        <v>764</v>
      </c>
      <c r="IH1240" t="s">
        <v>765</v>
      </c>
      <c r="II1240">
        <v>1994</v>
      </c>
      <c r="IJ1240" t="s">
        <v>766</v>
      </c>
    </row>
    <row r="1241" spans="1:244" x14ac:dyDescent="0.45">
      <c r="A1241">
        <v>1305734</v>
      </c>
      <c r="B1241">
        <v>762586</v>
      </c>
      <c r="C1241">
        <v>7758987</v>
      </c>
      <c r="D1241" t="s">
        <v>2545</v>
      </c>
      <c r="F1241" t="s">
        <v>327</v>
      </c>
      <c r="G1241" t="s">
        <v>246</v>
      </c>
      <c r="N1241" t="s">
        <v>2775</v>
      </c>
      <c r="O1241" t="s">
        <v>2776</v>
      </c>
      <c r="P1241" t="s">
        <v>249</v>
      </c>
      <c r="Q1241" t="s">
        <v>250</v>
      </c>
      <c r="R1241" t="s">
        <v>251</v>
      </c>
      <c r="T1241" t="s">
        <v>252</v>
      </c>
      <c r="U1241" t="s">
        <v>253</v>
      </c>
      <c r="V1241" t="s">
        <v>2777</v>
      </c>
      <c r="W1241" t="s">
        <v>2778</v>
      </c>
      <c r="X1241" t="s">
        <v>2779</v>
      </c>
      <c r="AL1241" t="s">
        <v>2780</v>
      </c>
      <c r="AM1241" t="s">
        <v>307</v>
      </c>
      <c r="AN1241" t="s">
        <v>259</v>
      </c>
      <c r="AO1241" t="s">
        <v>260</v>
      </c>
      <c r="AP1241">
        <v>7</v>
      </c>
      <c r="AQ1241" t="s">
        <v>261</v>
      </c>
      <c r="AS1241">
        <v>113</v>
      </c>
      <c r="AU1241">
        <v>89.8</v>
      </c>
      <c r="AW1241">
        <v>142</v>
      </c>
      <c r="AX1241" t="s">
        <v>356</v>
      </c>
      <c r="BO1241" t="s">
        <v>261</v>
      </c>
      <c r="BQ1241">
        <v>113</v>
      </c>
      <c r="BS1241">
        <v>89.8</v>
      </c>
      <c r="BU1241">
        <v>142</v>
      </c>
      <c r="BV1241" t="s">
        <v>263</v>
      </c>
      <c r="CM1241" t="s">
        <v>264</v>
      </c>
      <c r="CN1241" t="s">
        <v>264</v>
      </c>
      <c r="CP1241" t="s">
        <v>265</v>
      </c>
      <c r="CQ1241" t="s">
        <v>394</v>
      </c>
      <c r="CT1241" t="s">
        <v>2781</v>
      </c>
      <c r="DB1241">
        <v>4</v>
      </c>
      <c r="DG1241" t="s">
        <v>267</v>
      </c>
      <c r="DI1241">
        <v>96</v>
      </c>
      <c r="DN1241" t="s">
        <v>268</v>
      </c>
      <c r="DP1241" t="s">
        <v>2598</v>
      </c>
      <c r="DR1241">
        <v>903847</v>
      </c>
      <c r="DS1241">
        <v>20592</v>
      </c>
      <c r="DT1241" t="s">
        <v>2782</v>
      </c>
      <c r="EW1241" t="s">
        <v>293</v>
      </c>
      <c r="FK1241" t="s">
        <v>2783</v>
      </c>
      <c r="FM1241">
        <v>24.4</v>
      </c>
      <c r="FR1241" t="s">
        <v>295</v>
      </c>
      <c r="GH1241">
        <v>6.94</v>
      </c>
      <c r="GM1241" t="s">
        <v>356</v>
      </c>
      <c r="GO1241">
        <v>7.7</v>
      </c>
      <c r="HH1241" t="s">
        <v>272</v>
      </c>
      <c r="ID1241" t="s">
        <v>2784</v>
      </c>
      <c r="IE1241" t="s">
        <v>2785</v>
      </c>
      <c r="IF1241">
        <v>97380</v>
      </c>
      <c r="IG1241" t="s">
        <v>2786</v>
      </c>
      <c r="IH1241" t="s">
        <v>2787</v>
      </c>
      <c r="II1241">
        <v>2006</v>
      </c>
      <c r="IJ1241" t="s">
        <v>2788</v>
      </c>
    </row>
    <row r="1242" spans="1:244" x14ac:dyDescent="0.45">
      <c r="A1242">
        <v>1182150</v>
      </c>
      <c r="B1242">
        <v>160056</v>
      </c>
      <c r="C1242">
        <v>7758987</v>
      </c>
      <c r="D1242" t="s">
        <v>2545</v>
      </c>
      <c r="E1242" t="s">
        <v>439</v>
      </c>
      <c r="F1242" t="s">
        <v>245</v>
      </c>
      <c r="G1242" t="s">
        <v>246</v>
      </c>
      <c r="N1242" t="s">
        <v>345</v>
      </c>
      <c r="O1242" t="s">
        <v>346</v>
      </c>
      <c r="P1242" t="s">
        <v>249</v>
      </c>
      <c r="Q1242" t="s">
        <v>250</v>
      </c>
      <c r="R1242" t="s">
        <v>251</v>
      </c>
      <c r="T1242" t="s">
        <v>347</v>
      </c>
      <c r="U1242" t="s">
        <v>348</v>
      </c>
      <c r="V1242" t="s">
        <v>349</v>
      </c>
      <c r="W1242" t="s">
        <v>350</v>
      </c>
      <c r="X1242" t="s">
        <v>351</v>
      </c>
      <c r="Z1242" t="s">
        <v>1034</v>
      </c>
      <c r="AL1242" t="s">
        <v>2663</v>
      </c>
      <c r="AM1242" t="s">
        <v>317</v>
      </c>
      <c r="AN1242" t="s">
        <v>259</v>
      </c>
      <c r="AO1242" t="s">
        <v>260</v>
      </c>
      <c r="AQ1242" t="s">
        <v>261</v>
      </c>
      <c r="AS1242">
        <v>2100</v>
      </c>
      <c r="AX1242" t="s">
        <v>262</v>
      </c>
      <c r="BO1242" t="s">
        <v>261</v>
      </c>
      <c r="BQ1242">
        <v>2.1</v>
      </c>
      <c r="BV1242" t="s">
        <v>263</v>
      </c>
      <c r="CM1242" t="s">
        <v>264</v>
      </c>
      <c r="CN1242" t="s">
        <v>264</v>
      </c>
      <c r="CP1242" t="s">
        <v>265</v>
      </c>
      <c r="DB1242">
        <v>2</v>
      </c>
      <c r="DG1242" t="s">
        <v>267</v>
      </c>
      <c r="DI1242">
        <v>48</v>
      </c>
      <c r="DN1242" t="s">
        <v>268</v>
      </c>
      <c r="DP1242" t="s">
        <v>2664</v>
      </c>
      <c r="DR1242">
        <v>6660</v>
      </c>
      <c r="DS1242">
        <v>421</v>
      </c>
      <c r="DT1242" t="s">
        <v>2665</v>
      </c>
      <c r="EW1242" t="s">
        <v>293</v>
      </c>
      <c r="FA1242" t="s">
        <v>2666</v>
      </c>
      <c r="FM1242">
        <v>25</v>
      </c>
      <c r="FR1242" t="s">
        <v>295</v>
      </c>
      <c r="GU1242">
        <v>25</v>
      </c>
      <c r="GZ1242" t="s">
        <v>296</v>
      </c>
      <c r="HH1242" t="s">
        <v>272</v>
      </c>
      <c r="IE1242" t="s">
        <v>2667</v>
      </c>
      <c r="IF1242">
        <v>16031</v>
      </c>
      <c r="IG1242" t="s">
        <v>2668</v>
      </c>
      <c r="IH1242" t="s">
        <v>2669</v>
      </c>
      <c r="II1242">
        <v>1995</v>
      </c>
      <c r="IJ1242" t="s">
        <v>2670</v>
      </c>
    </row>
    <row r="1243" spans="1:244" x14ac:dyDescent="0.45">
      <c r="A1243">
        <v>1312281</v>
      </c>
      <c r="B1243">
        <v>769704</v>
      </c>
      <c r="C1243">
        <v>7758987</v>
      </c>
      <c r="D1243" t="s">
        <v>2545</v>
      </c>
      <c r="F1243" t="s">
        <v>245</v>
      </c>
      <c r="G1243" t="s">
        <v>246</v>
      </c>
      <c r="N1243" t="s">
        <v>958</v>
      </c>
      <c r="O1243" t="s">
        <v>959</v>
      </c>
      <c r="P1243" t="s">
        <v>249</v>
      </c>
      <c r="Q1243" t="s">
        <v>250</v>
      </c>
      <c r="R1243" t="s">
        <v>251</v>
      </c>
      <c r="T1243" t="s">
        <v>252</v>
      </c>
      <c r="U1243" t="s">
        <v>253</v>
      </c>
      <c r="V1243" t="s">
        <v>418</v>
      </c>
      <c r="W1243" t="s">
        <v>419</v>
      </c>
      <c r="X1243" t="s">
        <v>960</v>
      </c>
      <c r="Z1243" t="s">
        <v>649</v>
      </c>
      <c r="AL1243" t="s">
        <v>2587</v>
      </c>
      <c r="AM1243" t="s">
        <v>258</v>
      </c>
      <c r="AN1243" t="s">
        <v>259</v>
      </c>
      <c r="AO1243" t="s">
        <v>260</v>
      </c>
      <c r="AP1243">
        <v>7</v>
      </c>
      <c r="AQ1243" t="s">
        <v>261</v>
      </c>
      <c r="AS1243">
        <v>9.98</v>
      </c>
      <c r="AX1243" t="s">
        <v>356</v>
      </c>
      <c r="BO1243" t="s">
        <v>261</v>
      </c>
      <c r="BQ1243">
        <v>9.98</v>
      </c>
      <c r="BV1243" t="s">
        <v>263</v>
      </c>
      <c r="CM1243" t="s">
        <v>264</v>
      </c>
      <c r="CN1243" t="s">
        <v>264</v>
      </c>
      <c r="CP1243" t="s">
        <v>265</v>
      </c>
      <c r="CQ1243" t="s">
        <v>394</v>
      </c>
      <c r="DB1243">
        <v>1</v>
      </c>
      <c r="DG1243" t="s">
        <v>267</v>
      </c>
      <c r="DI1243">
        <v>24</v>
      </c>
      <c r="DN1243" t="s">
        <v>268</v>
      </c>
      <c r="DP1243" t="s">
        <v>2588</v>
      </c>
      <c r="DR1243">
        <v>6687</v>
      </c>
      <c r="DS1243">
        <v>252</v>
      </c>
      <c r="DT1243" t="s">
        <v>2589</v>
      </c>
      <c r="EW1243" t="s">
        <v>293</v>
      </c>
      <c r="FK1243" t="s">
        <v>2590</v>
      </c>
      <c r="FM1243">
        <v>26</v>
      </c>
      <c r="FR1243" t="s">
        <v>295</v>
      </c>
      <c r="GH1243">
        <v>6.09</v>
      </c>
      <c r="GM1243" t="s">
        <v>356</v>
      </c>
      <c r="GQ1243">
        <v>8.06</v>
      </c>
      <c r="GS1243">
        <v>8.24</v>
      </c>
      <c r="GU1243">
        <v>15</v>
      </c>
      <c r="GZ1243" t="s">
        <v>296</v>
      </c>
      <c r="HH1243" t="s">
        <v>272</v>
      </c>
      <c r="ID1243" t="s">
        <v>2591</v>
      </c>
      <c r="IE1243" t="s">
        <v>2592</v>
      </c>
      <c r="IF1243">
        <v>80017</v>
      </c>
      <c r="IG1243" t="s">
        <v>2593</v>
      </c>
      <c r="IH1243" t="s">
        <v>2594</v>
      </c>
      <c r="II1243">
        <v>2001</v>
      </c>
      <c r="IJ1243" t="s">
        <v>2595</v>
      </c>
    </row>
    <row r="1244" spans="1:244" x14ac:dyDescent="0.45">
      <c r="A1244">
        <v>1312288</v>
      </c>
      <c r="B1244">
        <v>769711</v>
      </c>
      <c r="C1244">
        <v>7758987</v>
      </c>
      <c r="D1244" t="s">
        <v>2545</v>
      </c>
      <c r="F1244" t="s">
        <v>245</v>
      </c>
      <c r="G1244" t="s">
        <v>246</v>
      </c>
      <c r="N1244" t="s">
        <v>958</v>
      </c>
      <c r="O1244" t="s">
        <v>959</v>
      </c>
      <c r="P1244" t="s">
        <v>249</v>
      </c>
      <c r="Q1244" t="s">
        <v>250</v>
      </c>
      <c r="R1244" t="s">
        <v>251</v>
      </c>
      <c r="T1244" t="s">
        <v>252</v>
      </c>
      <c r="U1244" t="s">
        <v>253</v>
      </c>
      <c r="V1244" t="s">
        <v>418</v>
      </c>
      <c r="W1244" t="s">
        <v>419</v>
      </c>
      <c r="X1244" t="s">
        <v>960</v>
      </c>
      <c r="Z1244" t="s">
        <v>649</v>
      </c>
      <c r="AL1244" t="s">
        <v>2587</v>
      </c>
      <c r="AM1244" t="s">
        <v>258</v>
      </c>
      <c r="AN1244" t="s">
        <v>259</v>
      </c>
      <c r="AO1244" t="s">
        <v>260</v>
      </c>
      <c r="AP1244">
        <v>7</v>
      </c>
      <c r="AQ1244" t="s">
        <v>261</v>
      </c>
      <c r="AS1244">
        <v>15.29</v>
      </c>
      <c r="AX1244" t="s">
        <v>356</v>
      </c>
      <c r="BO1244" t="s">
        <v>261</v>
      </c>
      <c r="BQ1244">
        <v>15.29</v>
      </c>
      <c r="BV1244" t="s">
        <v>263</v>
      </c>
      <c r="CM1244" t="s">
        <v>264</v>
      </c>
      <c r="CN1244" t="s">
        <v>264</v>
      </c>
      <c r="CP1244" t="s">
        <v>265</v>
      </c>
      <c r="CQ1244" t="s">
        <v>394</v>
      </c>
      <c r="DB1244">
        <v>1</v>
      </c>
      <c r="DG1244" t="s">
        <v>267</v>
      </c>
      <c r="DI1244">
        <v>24</v>
      </c>
      <c r="DN1244" t="s">
        <v>268</v>
      </c>
      <c r="DP1244" t="s">
        <v>2588</v>
      </c>
      <c r="DR1244">
        <v>6687</v>
      </c>
      <c r="DS1244">
        <v>252</v>
      </c>
      <c r="DT1244" t="s">
        <v>2589</v>
      </c>
      <c r="EW1244" t="s">
        <v>293</v>
      </c>
      <c r="FK1244" t="s">
        <v>2676</v>
      </c>
      <c r="FM1244">
        <v>26</v>
      </c>
      <c r="FR1244" t="s">
        <v>295</v>
      </c>
      <c r="GH1244">
        <v>6.09</v>
      </c>
      <c r="GM1244" t="s">
        <v>356</v>
      </c>
      <c r="GQ1244">
        <v>8.06</v>
      </c>
      <c r="GS1244">
        <v>8.24</v>
      </c>
      <c r="GU1244">
        <v>25</v>
      </c>
      <c r="GZ1244" t="s">
        <v>296</v>
      </c>
      <c r="HH1244" t="s">
        <v>272</v>
      </c>
      <c r="ID1244" t="s">
        <v>2677</v>
      </c>
      <c r="IE1244" t="s">
        <v>2592</v>
      </c>
      <c r="IF1244">
        <v>80017</v>
      </c>
      <c r="IG1244" t="s">
        <v>2593</v>
      </c>
      <c r="IH1244" t="s">
        <v>2594</v>
      </c>
      <c r="II1244">
        <v>2001</v>
      </c>
      <c r="IJ1244" t="s">
        <v>2595</v>
      </c>
    </row>
    <row r="1245" spans="1:244" x14ac:dyDescent="0.45">
      <c r="A1245">
        <v>1141316</v>
      </c>
      <c r="B1245">
        <v>121230</v>
      </c>
      <c r="C1245">
        <v>7758987</v>
      </c>
      <c r="D1245" t="s">
        <v>2545</v>
      </c>
      <c r="F1245" t="s">
        <v>245</v>
      </c>
      <c r="G1245" t="s">
        <v>246</v>
      </c>
      <c r="N1245" t="s">
        <v>1800</v>
      </c>
      <c r="O1245" t="s">
        <v>1801</v>
      </c>
      <c r="P1245" t="s">
        <v>249</v>
      </c>
      <c r="Q1245" t="s">
        <v>250</v>
      </c>
      <c r="R1245" t="s">
        <v>251</v>
      </c>
      <c r="T1245" t="s">
        <v>252</v>
      </c>
      <c r="U1245" t="s">
        <v>253</v>
      </c>
      <c r="V1245" t="s">
        <v>418</v>
      </c>
      <c r="W1245" t="s">
        <v>847</v>
      </c>
      <c r="X1245" t="s">
        <v>1802</v>
      </c>
      <c r="Z1245" t="s">
        <v>649</v>
      </c>
      <c r="AL1245" t="s">
        <v>1803</v>
      </c>
      <c r="AM1245" t="s">
        <v>258</v>
      </c>
      <c r="AN1245" t="s">
        <v>259</v>
      </c>
      <c r="AO1245" t="s">
        <v>260</v>
      </c>
      <c r="AQ1245" t="s">
        <v>261</v>
      </c>
      <c r="AS1245">
        <v>3000</v>
      </c>
      <c r="AU1245">
        <v>1820.6</v>
      </c>
      <c r="AW1245">
        <v>4943.3999999999996</v>
      </c>
      <c r="AX1245" t="s">
        <v>262</v>
      </c>
      <c r="BO1245" t="s">
        <v>261</v>
      </c>
      <c r="BQ1245">
        <v>3</v>
      </c>
      <c r="BS1245">
        <v>1.8206</v>
      </c>
      <c r="BU1245">
        <v>4.9433999999999996</v>
      </c>
      <c r="BV1245" t="s">
        <v>263</v>
      </c>
      <c r="CM1245" t="s">
        <v>264</v>
      </c>
      <c r="CN1245" t="s">
        <v>264</v>
      </c>
      <c r="CP1245" t="s">
        <v>265</v>
      </c>
      <c r="CQ1245" t="s">
        <v>394</v>
      </c>
      <c r="DB1245">
        <v>2</v>
      </c>
      <c r="DG1245" t="s">
        <v>267</v>
      </c>
      <c r="DI1245">
        <v>48</v>
      </c>
      <c r="DN1245" t="s">
        <v>268</v>
      </c>
      <c r="DP1245" t="s">
        <v>1804</v>
      </c>
      <c r="DR1245">
        <v>1378283</v>
      </c>
      <c r="DS1245">
        <v>4579</v>
      </c>
      <c r="EW1245" t="s">
        <v>271</v>
      </c>
      <c r="FM1245">
        <v>27.5</v>
      </c>
      <c r="FR1245" t="s">
        <v>295</v>
      </c>
      <c r="GG1245" t="s">
        <v>288</v>
      </c>
      <c r="GH1245">
        <v>60</v>
      </c>
      <c r="GM1245" t="s">
        <v>900</v>
      </c>
      <c r="GU1245">
        <v>15</v>
      </c>
      <c r="GZ1245" t="s">
        <v>296</v>
      </c>
      <c r="HH1245" t="s">
        <v>272</v>
      </c>
      <c r="IE1245" t="s">
        <v>1805</v>
      </c>
      <c r="IF1245">
        <v>11853</v>
      </c>
      <c r="IG1245" t="s">
        <v>1806</v>
      </c>
      <c r="IH1245" t="s">
        <v>1807</v>
      </c>
      <c r="II1245">
        <v>1986</v>
      </c>
      <c r="IJ1245" t="s">
        <v>1808</v>
      </c>
    </row>
    <row r="1246" spans="1:244" x14ac:dyDescent="0.45">
      <c r="A1246">
        <v>1182145</v>
      </c>
      <c r="B1246">
        <v>160051</v>
      </c>
      <c r="C1246">
        <v>7758987</v>
      </c>
      <c r="D1246" t="s">
        <v>2545</v>
      </c>
      <c r="E1246" t="s">
        <v>439</v>
      </c>
      <c r="F1246" t="s">
        <v>245</v>
      </c>
      <c r="G1246" t="s">
        <v>246</v>
      </c>
      <c r="N1246" t="s">
        <v>345</v>
      </c>
      <c r="O1246" t="s">
        <v>346</v>
      </c>
      <c r="P1246" t="s">
        <v>249</v>
      </c>
      <c r="Q1246" t="s">
        <v>250</v>
      </c>
      <c r="R1246" t="s">
        <v>251</v>
      </c>
      <c r="T1246" t="s">
        <v>347</v>
      </c>
      <c r="U1246" t="s">
        <v>348</v>
      </c>
      <c r="V1246" t="s">
        <v>349</v>
      </c>
      <c r="W1246" t="s">
        <v>350</v>
      </c>
      <c r="X1246" t="s">
        <v>351</v>
      </c>
      <c r="Z1246" t="s">
        <v>1034</v>
      </c>
      <c r="AL1246" t="s">
        <v>2663</v>
      </c>
      <c r="AM1246" t="s">
        <v>317</v>
      </c>
      <c r="AN1246" t="s">
        <v>259</v>
      </c>
      <c r="AO1246" t="s">
        <v>260</v>
      </c>
      <c r="AQ1246" t="s">
        <v>261</v>
      </c>
      <c r="AS1246">
        <v>3400</v>
      </c>
      <c r="AX1246" t="s">
        <v>262</v>
      </c>
      <c r="BO1246" t="s">
        <v>261</v>
      </c>
      <c r="BQ1246">
        <v>3.4</v>
      </c>
      <c r="BV1246" t="s">
        <v>263</v>
      </c>
      <c r="CM1246" t="s">
        <v>264</v>
      </c>
      <c r="CN1246" t="s">
        <v>264</v>
      </c>
      <c r="CP1246" t="s">
        <v>265</v>
      </c>
      <c r="DB1246">
        <v>2</v>
      </c>
      <c r="DG1246" t="s">
        <v>267</v>
      </c>
      <c r="DI1246">
        <v>48</v>
      </c>
      <c r="DN1246" t="s">
        <v>268</v>
      </c>
      <c r="DP1246" t="s">
        <v>2664</v>
      </c>
      <c r="DR1246">
        <v>6660</v>
      </c>
      <c r="DS1246">
        <v>421</v>
      </c>
      <c r="DT1246" t="s">
        <v>2665</v>
      </c>
      <c r="EW1246" t="s">
        <v>293</v>
      </c>
      <c r="FA1246" t="s">
        <v>2789</v>
      </c>
      <c r="FM1246">
        <v>25</v>
      </c>
      <c r="FR1246" t="s">
        <v>295</v>
      </c>
      <c r="GU1246">
        <v>35</v>
      </c>
      <c r="GZ1246" t="s">
        <v>296</v>
      </c>
      <c r="HH1246" t="s">
        <v>272</v>
      </c>
      <c r="IE1246" t="s">
        <v>2667</v>
      </c>
      <c r="IF1246">
        <v>16031</v>
      </c>
      <c r="IG1246" t="s">
        <v>2668</v>
      </c>
      <c r="IH1246" t="s">
        <v>2669</v>
      </c>
      <c r="II1246">
        <v>1995</v>
      </c>
      <c r="IJ1246" t="s">
        <v>2670</v>
      </c>
    </row>
    <row r="1247" spans="1:244" x14ac:dyDescent="0.45">
      <c r="A1247">
        <v>1210395</v>
      </c>
      <c r="B1247">
        <v>195479</v>
      </c>
      <c r="C1247">
        <v>7758987</v>
      </c>
      <c r="D1247" t="s">
        <v>2545</v>
      </c>
      <c r="F1247" t="s">
        <v>272</v>
      </c>
      <c r="G1247" t="s">
        <v>246</v>
      </c>
      <c r="N1247" t="s">
        <v>789</v>
      </c>
      <c r="O1247" t="s">
        <v>790</v>
      </c>
      <c r="P1247" t="s">
        <v>249</v>
      </c>
      <c r="Q1247" t="s">
        <v>250</v>
      </c>
      <c r="R1247" t="s">
        <v>251</v>
      </c>
      <c r="T1247" t="s">
        <v>252</v>
      </c>
      <c r="U1247" t="s">
        <v>253</v>
      </c>
      <c r="V1247" t="s">
        <v>418</v>
      </c>
      <c r="W1247" t="s">
        <v>791</v>
      </c>
      <c r="X1247" t="s">
        <v>792</v>
      </c>
      <c r="Z1247" t="s">
        <v>284</v>
      </c>
      <c r="AM1247" t="s">
        <v>287</v>
      </c>
      <c r="AN1247" t="s">
        <v>259</v>
      </c>
      <c r="AO1247" t="s">
        <v>260</v>
      </c>
      <c r="AQ1247" t="s">
        <v>261</v>
      </c>
      <c r="AS1247">
        <v>1.6E-2</v>
      </c>
      <c r="AU1247">
        <v>5.0000000000000001E-3</v>
      </c>
      <c r="AW1247">
        <v>0.05</v>
      </c>
      <c r="AX1247" t="s">
        <v>762</v>
      </c>
      <c r="BO1247" t="s">
        <v>261</v>
      </c>
      <c r="BQ1247">
        <v>1.6E-2</v>
      </c>
      <c r="BS1247">
        <v>5.0000000000000001E-3</v>
      </c>
      <c r="BU1247">
        <v>0.05</v>
      </c>
      <c r="BV1247" t="s">
        <v>263</v>
      </c>
      <c r="CM1247" t="s">
        <v>264</v>
      </c>
      <c r="CN1247" t="s">
        <v>264</v>
      </c>
      <c r="CP1247" t="s">
        <v>265</v>
      </c>
      <c r="DB1247">
        <v>2</v>
      </c>
      <c r="DG1247" t="s">
        <v>267</v>
      </c>
      <c r="DI1247">
        <v>48</v>
      </c>
      <c r="DN1247" t="s">
        <v>268</v>
      </c>
      <c r="DR1247">
        <v>161924</v>
      </c>
      <c r="DS1247">
        <v>3045</v>
      </c>
      <c r="EW1247" t="s">
        <v>272</v>
      </c>
      <c r="FM1247">
        <v>24</v>
      </c>
      <c r="FR1247" t="s">
        <v>295</v>
      </c>
      <c r="GO1247">
        <v>8.1</v>
      </c>
      <c r="HH1247" t="s">
        <v>272</v>
      </c>
      <c r="IE1247" t="s">
        <v>763</v>
      </c>
      <c r="IF1247">
        <v>19318</v>
      </c>
      <c r="IG1247" t="s">
        <v>764</v>
      </c>
      <c r="IH1247" t="s">
        <v>765</v>
      </c>
      <c r="II1247">
        <v>1994</v>
      </c>
      <c r="IJ1247" t="s">
        <v>766</v>
      </c>
    </row>
    <row r="1248" spans="1:244" x14ac:dyDescent="0.45">
      <c r="A1248">
        <v>2317090</v>
      </c>
      <c r="B1248">
        <v>2796444</v>
      </c>
      <c r="C1248">
        <v>7758987</v>
      </c>
      <c r="D1248" t="s">
        <v>2545</v>
      </c>
      <c r="E1248" t="s">
        <v>439</v>
      </c>
      <c r="F1248" t="s">
        <v>245</v>
      </c>
      <c r="G1248" t="s">
        <v>272</v>
      </c>
      <c r="N1248" t="s">
        <v>1492</v>
      </c>
      <c r="O1248" t="s">
        <v>1493</v>
      </c>
      <c r="P1248" t="s">
        <v>249</v>
      </c>
      <c r="Q1248" t="s">
        <v>250</v>
      </c>
      <c r="R1248" t="s">
        <v>251</v>
      </c>
      <c r="T1248" t="s">
        <v>252</v>
      </c>
      <c r="U1248" t="s">
        <v>253</v>
      </c>
      <c r="V1248" t="s">
        <v>281</v>
      </c>
      <c r="W1248" t="s">
        <v>282</v>
      </c>
      <c r="X1248" t="s">
        <v>1494</v>
      </c>
      <c r="Z1248" t="s">
        <v>1046</v>
      </c>
      <c r="AB1248">
        <v>1</v>
      </c>
      <c r="AG1248" t="s">
        <v>598</v>
      </c>
      <c r="AJ1248" t="s">
        <v>354</v>
      </c>
      <c r="AM1248" t="s">
        <v>287</v>
      </c>
      <c r="AN1248" t="s">
        <v>259</v>
      </c>
      <c r="AO1248" t="s">
        <v>260</v>
      </c>
      <c r="AQ1248" t="s">
        <v>261</v>
      </c>
      <c r="AS1248">
        <v>49</v>
      </c>
      <c r="AX1248" t="s">
        <v>262</v>
      </c>
      <c r="BO1248" t="s">
        <v>261</v>
      </c>
      <c r="BQ1248">
        <v>4.9000000000000002E-2</v>
      </c>
      <c r="BV1248" t="s">
        <v>263</v>
      </c>
      <c r="CM1248" t="s">
        <v>264</v>
      </c>
      <c r="CN1248" t="s">
        <v>264</v>
      </c>
      <c r="CP1248" t="s">
        <v>265</v>
      </c>
      <c r="CQ1248" t="s">
        <v>394</v>
      </c>
      <c r="DB1248">
        <v>4</v>
      </c>
      <c r="DG1248" t="s">
        <v>267</v>
      </c>
      <c r="DI1248">
        <v>96</v>
      </c>
      <c r="DN1248" t="s">
        <v>268</v>
      </c>
      <c r="DP1248" t="s">
        <v>2790</v>
      </c>
      <c r="DR1248">
        <v>29965</v>
      </c>
      <c r="DS1248">
        <v>339</v>
      </c>
      <c r="DT1248" t="s">
        <v>1771</v>
      </c>
      <c r="DV1248">
        <v>96</v>
      </c>
      <c r="EA1248" t="s">
        <v>268</v>
      </c>
      <c r="EC1248">
        <v>4</v>
      </c>
      <c r="EH1248" t="s">
        <v>267</v>
      </c>
      <c r="EJ1248">
        <v>96</v>
      </c>
      <c r="EO1248" t="s">
        <v>268</v>
      </c>
      <c r="EQ1248">
        <v>4</v>
      </c>
      <c r="EV1248" t="s">
        <v>267</v>
      </c>
      <c r="EW1248" t="s">
        <v>293</v>
      </c>
      <c r="EZ1248">
        <v>20</v>
      </c>
      <c r="FM1248">
        <v>15</v>
      </c>
      <c r="FR1248" t="s">
        <v>295</v>
      </c>
      <c r="GJ1248">
        <v>6.5</v>
      </c>
      <c r="GL1248">
        <v>8</v>
      </c>
      <c r="GM1248" t="s">
        <v>356</v>
      </c>
      <c r="GO1248">
        <v>8.1</v>
      </c>
      <c r="GU1248">
        <v>33.79</v>
      </c>
      <c r="GZ1248" t="s">
        <v>296</v>
      </c>
      <c r="HH1248" t="s">
        <v>272</v>
      </c>
      <c r="ID1248" t="s">
        <v>1772</v>
      </c>
      <c r="IE1248" t="s">
        <v>1773</v>
      </c>
      <c r="IF1248">
        <v>15497</v>
      </c>
      <c r="IG1248" t="s">
        <v>1774</v>
      </c>
      <c r="IH1248" t="s">
        <v>1775</v>
      </c>
      <c r="II1248">
        <v>1981</v>
      </c>
      <c r="IJ1248" t="s">
        <v>1776</v>
      </c>
    </row>
    <row r="1249" spans="1:244" x14ac:dyDescent="0.45">
      <c r="A1249">
        <v>1120050</v>
      </c>
      <c r="B1249">
        <v>104767</v>
      </c>
      <c r="C1249">
        <v>7758987</v>
      </c>
      <c r="D1249" t="s">
        <v>2545</v>
      </c>
      <c r="F1249" t="s">
        <v>245</v>
      </c>
      <c r="G1249" t="s">
        <v>246</v>
      </c>
      <c r="N1249" t="s">
        <v>452</v>
      </c>
      <c r="O1249" t="s">
        <v>346</v>
      </c>
      <c r="P1249" t="s">
        <v>249</v>
      </c>
      <c r="Q1249" t="s">
        <v>250</v>
      </c>
      <c r="R1249" t="s">
        <v>251</v>
      </c>
      <c r="T1249" t="s">
        <v>347</v>
      </c>
      <c r="U1249" t="s">
        <v>348</v>
      </c>
      <c r="V1249" t="s">
        <v>349</v>
      </c>
      <c r="W1249" t="s">
        <v>350</v>
      </c>
      <c r="X1249" t="s">
        <v>453</v>
      </c>
      <c r="Z1249" t="s">
        <v>315</v>
      </c>
      <c r="AB1249">
        <v>25</v>
      </c>
      <c r="AG1249" t="s">
        <v>267</v>
      </c>
      <c r="AL1249" t="s">
        <v>2791</v>
      </c>
      <c r="AM1249" t="s">
        <v>317</v>
      </c>
      <c r="AN1249" t="s">
        <v>259</v>
      </c>
      <c r="AO1249" t="s">
        <v>260</v>
      </c>
      <c r="AQ1249" t="s">
        <v>261</v>
      </c>
      <c r="AS1249">
        <v>485</v>
      </c>
      <c r="AX1249" t="s">
        <v>262</v>
      </c>
      <c r="BO1249" t="s">
        <v>261</v>
      </c>
      <c r="BQ1249">
        <v>0.48499999999999999</v>
      </c>
      <c r="BV1249" t="s">
        <v>263</v>
      </c>
      <c r="CM1249" t="s">
        <v>264</v>
      </c>
      <c r="CN1249" t="s">
        <v>264</v>
      </c>
      <c r="CP1249" t="s">
        <v>265</v>
      </c>
      <c r="CQ1249" t="s">
        <v>394</v>
      </c>
      <c r="DB1249">
        <v>2</v>
      </c>
      <c r="DG1249" t="s">
        <v>267</v>
      </c>
      <c r="DI1249">
        <v>48</v>
      </c>
      <c r="DN1249" t="s">
        <v>268</v>
      </c>
      <c r="DR1249">
        <v>85549</v>
      </c>
      <c r="DS1249">
        <v>366</v>
      </c>
      <c r="DT1249" t="s">
        <v>2792</v>
      </c>
      <c r="EW1249" t="s">
        <v>271</v>
      </c>
      <c r="FA1249" t="s">
        <v>477</v>
      </c>
      <c r="HH1249" t="s">
        <v>272</v>
      </c>
      <c r="IE1249" t="s">
        <v>2793</v>
      </c>
      <c r="IF1249">
        <v>9336</v>
      </c>
      <c r="IG1249" t="s">
        <v>2794</v>
      </c>
      <c r="IH1249" t="s">
        <v>2795</v>
      </c>
      <c r="II1249">
        <v>1987</v>
      </c>
      <c r="IJ1249" t="s">
        <v>2796</v>
      </c>
    </row>
    <row r="1250" spans="1:244" x14ac:dyDescent="0.45">
      <c r="A1250">
        <v>1057438</v>
      </c>
      <c r="B1250">
        <v>131424</v>
      </c>
      <c r="C1250">
        <v>7758987</v>
      </c>
      <c r="D1250" t="s">
        <v>2545</v>
      </c>
      <c r="E1250" t="s">
        <v>386</v>
      </c>
      <c r="F1250" t="s">
        <v>245</v>
      </c>
      <c r="G1250" t="s">
        <v>246</v>
      </c>
      <c r="N1250" t="s">
        <v>845</v>
      </c>
      <c r="O1250" t="s">
        <v>846</v>
      </c>
      <c r="P1250" t="s">
        <v>249</v>
      </c>
      <c r="Q1250" t="s">
        <v>250</v>
      </c>
      <c r="R1250" t="s">
        <v>251</v>
      </c>
      <c r="T1250" t="s">
        <v>252</v>
      </c>
      <c r="U1250" t="s">
        <v>253</v>
      </c>
      <c r="V1250" t="s">
        <v>418</v>
      </c>
      <c r="W1250" t="s">
        <v>847</v>
      </c>
      <c r="X1250" t="s">
        <v>848</v>
      </c>
      <c r="Z1250" t="s">
        <v>857</v>
      </c>
      <c r="AB1250">
        <v>3</v>
      </c>
      <c r="AG1250" t="s">
        <v>598</v>
      </c>
      <c r="AM1250" t="s">
        <v>258</v>
      </c>
      <c r="AN1250" t="s">
        <v>259</v>
      </c>
      <c r="AO1250" t="s">
        <v>260</v>
      </c>
      <c r="AQ1250" t="s">
        <v>261</v>
      </c>
      <c r="AS1250">
        <v>160</v>
      </c>
      <c r="AX1250" t="s">
        <v>262</v>
      </c>
      <c r="BO1250" t="s">
        <v>261</v>
      </c>
      <c r="BQ1250">
        <v>0.16</v>
      </c>
      <c r="BV1250" t="s">
        <v>263</v>
      </c>
      <c r="CM1250" t="s">
        <v>264</v>
      </c>
      <c r="CN1250" t="s">
        <v>264</v>
      </c>
      <c r="CP1250" t="s">
        <v>265</v>
      </c>
      <c r="CQ1250" t="s">
        <v>394</v>
      </c>
      <c r="DB1250">
        <v>2</v>
      </c>
      <c r="DG1250" t="s">
        <v>267</v>
      </c>
      <c r="DI1250">
        <v>48</v>
      </c>
      <c r="DN1250" t="s">
        <v>268</v>
      </c>
      <c r="DR1250">
        <v>32278</v>
      </c>
      <c r="DS1250">
        <v>4580</v>
      </c>
      <c r="DT1250" t="s">
        <v>850</v>
      </c>
      <c r="EW1250" t="s">
        <v>271</v>
      </c>
      <c r="FM1250">
        <v>28</v>
      </c>
      <c r="FR1250" t="s">
        <v>295</v>
      </c>
      <c r="GO1250">
        <v>8.6999999999999993</v>
      </c>
      <c r="GW1250">
        <v>30</v>
      </c>
      <c r="GY1250">
        <v>34</v>
      </c>
      <c r="GZ1250" t="s">
        <v>296</v>
      </c>
      <c r="HH1250" t="s">
        <v>272</v>
      </c>
      <c r="IE1250" t="s">
        <v>853</v>
      </c>
      <c r="IF1250">
        <v>4127</v>
      </c>
      <c r="IG1250" t="s">
        <v>854</v>
      </c>
      <c r="IH1250" t="s">
        <v>855</v>
      </c>
      <c r="II1250">
        <v>1993</v>
      </c>
      <c r="IJ1250" t="s">
        <v>856</v>
      </c>
    </row>
    <row r="1251" spans="1:244" x14ac:dyDescent="0.45">
      <c r="A1251">
        <v>1153350</v>
      </c>
      <c r="B1251">
        <v>160865</v>
      </c>
      <c r="C1251">
        <v>7758987</v>
      </c>
      <c r="D1251" t="s">
        <v>2545</v>
      </c>
      <c r="F1251" t="s">
        <v>245</v>
      </c>
      <c r="G1251" t="s">
        <v>246</v>
      </c>
      <c r="N1251" t="s">
        <v>1672</v>
      </c>
      <c r="O1251" t="s">
        <v>1673</v>
      </c>
      <c r="P1251" t="s">
        <v>249</v>
      </c>
      <c r="Q1251" t="s">
        <v>250</v>
      </c>
      <c r="R1251" t="s">
        <v>251</v>
      </c>
      <c r="T1251" t="s">
        <v>252</v>
      </c>
      <c r="U1251" t="s">
        <v>253</v>
      </c>
      <c r="V1251" t="s">
        <v>1674</v>
      </c>
      <c r="W1251" t="s">
        <v>1675</v>
      </c>
      <c r="X1251" t="s">
        <v>1676</v>
      </c>
      <c r="Z1251" t="s">
        <v>1677</v>
      </c>
      <c r="AL1251" t="s">
        <v>1678</v>
      </c>
      <c r="AM1251" t="s">
        <v>287</v>
      </c>
      <c r="AN1251" t="s">
        <v>259</v>
      </c>
      <c r="AO1251" t="s">
        <v>260</v>
      </c>
      <c r="AQ1251" t="s">
        <v>261</v>
      </c>
      <c r="AS1251">
        <v>84600</v>
      </c>
      <c r="AX1251" t="s">
        <v>262</v>
      </c>
      <c r="BO1251" t="s">
        <v>261</v>
      </c>
      <c r="BQ1251">
        <v>84.6</v>
      </c>
      <c r="BV1251" t="s">
        <v>263</v>
      </c>
      <c r="CM1251" t="s">
        <v>264</v>
      </c>
      <c r="CN1251" t="s">
        <v>264</v>
      </c>
      <c r="CP1251" t="s">
        <v>265</v>
      </c>
      <c r="DB1251">
        <v>4</v>
      </c>
      <c r="DG1251" t="s">
        <v>267</v>
      </c>
      <c r="DI1251">
        <v>96</v>
      </c>
      <c r="DN1251" t="s">
        <v>268</v>
      </c>
      <c r="DR1251">
        <v>1460405</v>
      </c>
      <c r="DS1251">
        <v>5936</v>
      </c>
      <c r="EW1251" t="s">
        <v>293</v>
      </c>
      <c r="FK1251" t="s">
        <v>1679</v>
      </c>
      <c r="HH1251" t="s">
        <v>272</v>
      </c>
      <c r="ID1251" t="s">
        <v>1680</v>
      </c>
      <c r="IE1251" t="s">
        <v>1681</v>
      </c>
      <c r="IF1251">
        <v>13233</v>
      </c>
      <c r="IG1251" t="s">
        <v>1682</v>
      </c>
      <c r="IH1251" t="s">
        <v>1683</v>
      </c>
      <c r="II1251">
        <v>1988</v>
      </c>
      <c r="IJ1251" t="s">
        <v>1684</v>
      </c>
    </row>
    <row r="1252" spans="1:244" x14ac:dyDescent="0.45">
      <c r="A1252">
        <v>2148404</v>
      </c>
      <c r="B1252">
        <v>2283208</v>
      </c>
      <c r="C1252">
        <v>7758987</v>
      </c>
      <c r="D1252" t="s">
        <v>2545</v>
      </c>
      <c r="F1252" t="s">
        <v>245</v>
      </c>
      <c r="G1252" t="s">
        <v>272</v>
      </c>
      <c r="N1252" t="s">
        <v>2797</v>
      </c>
      <c r="O1252" t="s">
        <v>1164</v>
      </c>
      <c r="P1252" t="s">
        <v>249</v>
      </c>
      <c r="Q1252" t="s">
        <v>250</v>
      </c>
      <c r="R1252" t="s">
        <v>251</v>
      </c>
      <c r="T1252" t="s">
        <v>389</v>
      </c>
      <c r="U1252" t="s">
        <v>390</v>
      </c>
      <c r="V1252" t="s">
        <v>1010</v>
      </c>
      <c r="W1252" t="s">
        <v>2798</v>
      </c>
      <c r="X1252" t="s">
        <v>2799</v>
      </c>
      <c r="Z1252" t="s">
        <v>315</v>
      </c>
      <c r="AJ1252" t="s">
        <v>285</v>
      </c>
      <c r="AL1252" t="s">
        <v>2800</v>
      </c>
      <c r="AM1252" t="s">
        <v>287</v>
      </c>
      <c r="AN1252" t="s">
        <v>259</v>
      </c>
      <c r="AO1252" t="s">
        <v>260</v>
      </c>
      <c r="AP1252">
        <v>5</v>
      </c>
      <c r="AQ1252" t="s">
        <v>504</v>
      </c>
      <c r="AS1252">
        <v>238</v>
      </c>
      <c r="AX1252" t="s">
        <v>262</v>
      </c>
      <c r="BO1252" t="s">
        <v>504</v>
      </c>
      <c r="BQ1252">
        <v>0.23799999999999999</v>
      </c>
      <c r="BV1252" t="s">
        <v>263</v>
      </c>
      <c r="CM1252" t="s">
        <v>264</v>
      </c>
      <c r="CN1252" t="s">
        <v>264</v>
      </c>
      <c r="CP1252" t="s">
        <v>265</v>
      </c>
      <c r="CQ1252" t="s">
        <v>394</v>
      </c>
      <c r="DB1252">
        <v>4</v>
      </c>
      <c r="DG1252" t="s">
        <v>267</v>
      </c>
      <c r="DI1252">
        <v>96</v>
      </c>
      <c r="DN1252" t="s">
        <v>268</v>
      </c>
      <c r="DP1252" t="s">
        <v>2622</v>
      </c>
      <c r="DS1252">
        <v>29010</v>
      </c>
      <c r="DT1252" t="s">
        <v>2801</v>
      </c>
      <c r="DU1252" t="s">
        <v>352</v>
      </c>
      <c r="DV1252">
        <v>7</v>
      </c>
      <c r="EA1252" t="s">
        <v>267</v>
      </c>
      <c r="EB1252" t="s">
        <v>352</v>
      </c>
      <c r="EC1252">
        <v>7</v>
      </c>
      <c r="EH1252" t="s">
        <v>267</v>
      </c>
      <c r="EI1252" t="s">
        <v>352</v>
      </c>
      <c r="EJ1252">
        <v>7</v>
      </c>
      <c r="EO1252" t="s">
        <v>267</v>
      </c>
      <c r="EP1252" t="s">
        <v>352</v>
      </c>
      <c r="EQ1252">
        <v>7</v>
      </c>
      <c r="EV1252" t="s">
        <v>267</v>
      </c>
      <c r="EW1252" t="s">
        <v>293</v>
      </c>
      <c r="EZ1252">
        <v>15</v>
      </c>
      <c r="FM1252">
        <v>21</v>
      </c>
      <c r="FR1252" t="s">
        <v>295</v>
      </c>
      <c r="GU1252">
        <v>30</v>
      </c>
      <c r="GZ1252" t="s">
        <v>362</v>
      </c>
      <c r="HH1252" t="s">
        <v>272</v>
      </c>
      <c r="ID1252" t="s">
        <v>2802</v>
      </c>
      <c r="IE1252" t="s">
        <v>2803</v>
      </c>
      <c r="IF1252">
        <v>156333</v>
      </c>
      <c r="IG1252" t="s">
        <v>2804</v>
      </c>
      <c r="IH1252" t="s">
        <v>2805</v>
      </c>
      <c r="II1252">
        <v>2011</v>
      </c>
      <c r="IJ1252" t="s">
        <v>2806</v>
      </c>
    </row>
    <row r="1253" spans="1:244" x14ac:dyDescent="0.45">
      <c r="A1253">
        <v>1293107</v>
      </c>
      <c r="B1253">
        <v>748048</v>
      </c>
      <c r="C1253">
        <v>7758987</v>
      </c>
      <c r="D1253" t="s">
        <v>2545</v>
      </c>
      <c r="F1253" t="s">
        <v>245</v>
      </c>
      <c r="G1253" t="s">
        <v>246</v>
      </c>
      <c r="N1253" t="s">
        <v>1216</v>
      </c>
      <c r="O1253" t="s">
        <v>578</v>
      </c>
      <c r="P1253" t="s">
        <v>249</v>
      </c>
      <c r="Q1253" t="s">
        <v>250</v>
      </c>
      <c r="R1253" t="s">
        <v>251</v>
      </c>
      <c r="T1253" t="s">
        <v>252</v>
      </c>
      <c r="U1253" t="s">
        <v>499</v>
      </c>
      <c r="V1253" t="s">
        <v>1217</v>
      </c>
      <c r="W1253" t="s">
        <v>1218</v>
      </c>
      <c r="X1253" t="s">
        <v>1219</v>
      </c>
      <c r="Z1253" t="s">
        <v>649</v>
      </c>
      <c r="AB1253">
        <v>14</v>
      </c>
      <c r="AG1253" t="s">
        <v>267</v>
      </c>
      <c r="AM1253" t="s">
        <v>317</v>
      </c>
      <c r="AN1253" t="s">
        <v>259</v>
      </c>
      <c r="AO1253" t="s">
        <v>260</v>
      </c>
      <c r="AQ1253" t="s">
        <v>504</v>
      </c>
      <c r="AS1253">
        <v>230</v>
      </c>
      <c r="AX1253" t="s">
        <v>262</v>
      </c>
      <c r="BO1253" t="s">
        <v>504</v>
      </c>
      <c r="BQ1253">
        <v>0.23</v>
      </c>
      <c r="BV1253" t="s">
        <v>263</v>
      </c>
      <c r="CM1253" t="s">
        <v>264</v>
      </c>
      <c r="CN1253" t="s">
        <v>264</v>
      </c>
      <c r="CP1253" t="s">
        <v>265</v>
      </c>
      <c r="CQ1253" t="s">
        <v>394</v>
      </c>
      <c r="DB1253">
        <v>4</v>
      </c>
      <c r="DG1253" t="s">
        <v>267</v>
      </c>
      <c r="DI1253">
        <v>4</v>
      </c>
      <c r="DN1253" t="s">
        <v>267</v>
      </c>
      <c r="DP1253" t="s">
        <v>2554</v>
      </c>
      <c r="DR1253">
        <v>764486</v>
      </c>
      <c r="DS1253">
        <v>18590</v>
      </c>
      <c r="DT1253" t="s">
        <v>2555</v>
      </c>
      <c r="EW1253" t="s">
        <v>293</v>
      </c>
      <c r="FA1253" t="s">
        <v>2735</v>
      </c>
      <c r="FK1253" t="s">
        <v>2807</v>
      </c>
      <c r="FM1253">
        <v>21</v>
      </c>
      <c r="FR1253" t="s">
        <v>295</v>
      </c>
      <c r="GG1253" t="s">
        <v>288</v>
      </c>
      <c r="GH1253">
        <v>85</v>
      </c>
      <c r="GM1253" t="s">
        <v>1224</v>
      </c>
      <c r="GQ1253">
        <v>8</v>
      </c>
      <c r="GS1253">
        <v>8.1999999999999993</v>
      </c>
      <c r="GU1253">
        <v>30</v>
      </c>
      <c r="GZ1253" t="s">
        <v>296</v>
      </c>
      <c r="HH1253" t="s">
        <v>272</v>
      </c>
      <c r="ID1253" t="s">
        <v>2808</v>
      </c>
      <c r="IE1253" t="s">
        <v>2559</v>
      </c>
      <c r="IF1253">
        <v>112230</v>
      </c>
      <c r="IG1253" t="s">
        <v>2560</v>
      </c>
      <c r="IH1253" t="s">
        <v>2561</v>
      </c>
      <c r="II1253">
        <v>2008</v>
      </c>
      <c r="IJ1253" t="s">
        <v>2562</v>
      </c>
    </row>
    <row r="1254" spans="1:244" x14ac:dyDescent="0.45">
      <c r="A1254">
        <v>1182151</v>
      </c>
      <c r="B1254">
        <v>160057</v>
      </c>
      <c r="C1254">
        <v>7758987</v>
      </c>
      <c r="D1254" t="s">
        <v>2545</v>
      </c>
      <c r="E1254" t="s">
        <v>439</v>
      </c>
      <c r="F1254" t="s">
        <v>245</v>
      </c>
      <c r="G1254" t="s">
        <v>246</v>
      </c>
      <c r="N1254" t="s">
        <v>345</v>
      </c>
      <c r="O1254" t="s">
        <v>346</v>
      </c>
      <c r="P1254" t="s">
        <v>249</v>
      </c>
      <c r="Q1254" t="s">
        <v>250</v>
      </c>
      <c r="R1254" t="s">
        <v>251</v>
      </c>
      <c r="T1254" t="s">
        <v>347</v>
      </c>
      <c r="U1254" t="s">
        <v>348</v>
      </c>
      <c r="V1254" t="s">
        <v>349</v>
      </c>
      <c r="W1254" t="s">
        <v>350</v>
      </c>
      <c r="X1254" t="s">
        <v>351</v>
      </c>
      <c r="Z1254" t="s">
        <v>1034</v>
      </c>
      <c r="AL1254" t="s">
        <v>2663</v>
      </c>
      <c r="AM1254" t="s">
        <v>317</v>
      </c>
      <c r="AN1254" t="s">
        <v>259</v>
      </c>
      <c r="AO1254" t="s">
        <v>260</v>
      </c>
      <c r="AQ1254" t="s">
        <v>261</v>
      </c>
      <c r="AS1254">
        <v>1300</v>
      </c>
      <c r="AX1254" t="s">
        <v>262</v>
      </c>
      <c r="BO1254" t="s">
        <v>261</v>
      </c>
      <c r="BQ1254">
        <v>1.3</v>
      </c>
      <c r="BV1254" t="s">
        <v>263</v>
      </c>
      <c r="CM1254" t="s">
        <v>264</v>
      </c>
      <c r="CN1254" t="s">
        <v>264</v>
      </c>
      <c r="CP1254" t="s">
        <v>265</v>
      </c>
      <c r="DB1254">
        <v>2</v>
      </c>
      <c r="DG1254" t="s">
        <v>267</v>
      </c>
      <c r="DI1254">
        <v>48</v>
      </c>
      <c r="DN1254" t="s">
        <v>268</v>
      </c>
      <c r="DP1254" t="s">
        <v>2664</v>
      </c>
      <c r="DR1254">
        <v>6660</v>
      </c>
      <c r="DS1254">
        <v>421</v>
      </c>
      <c r="DT1254" t="s">
        <v>2665</v>
      </c>
      <c r="EW1254" t="s">
        <v>293</v>
      </c>
      <c r="FA1254" t="s">
        <v>2666</v>
      </c>
      <c r="FM1254">
        <v>25</v>
      </c>
      <c r="FR1254" t="s">
        <v>295</v>
      </c>
      <c r="GU1254">
        <v>15</v>
      </c>
      <c r="GZ1254" t="s">
        <v>296</v>
      </c>
      <c r="HH1254" t="s">
        <v>272</v>
      </c>
      <c r="IE1254" t="s">
        <v>2667</v>
      </c>
      <c r="IF1254">
        <v>16031</v>
      </c>
      <c r="IG1254" t="s">
        <v>2668</v>
      </c>
      <c r="IH1254" t="s">
        <v>2669</v>
      </c>
      <c r="II1254">
        <v>1995</v>
      </c>
      <c r="IJ1254" t="s">
        <v>2670</v>
      </c>
    </row>
    <row r="1255" spans="1:244" x14ac:dyDescent="0.45">
      <c r="A1255">
        <v>1078425</v>
      </c>
      <c r="B1255">
        <v>89398</v>
      </c>
      <c r="C1255">
        <v>7758987</v>
      </c>
      <c r="D1255" t="s">
        <v>2545</v>
      </c>
      <c r="F1255" t="s">
        <v>245</v>
      </c>
      <c r="G1255" t="s">
        <v>246</v>
      </c>
      <c r="N1255" t="s">
        <v>2809</v>
      </c>
      <c r="O1255" t="s">
        <v>631</v>
      </c>
      <c r="P1255" t="s">
        <v>249</v>
      </c>
      <c r="Q1255" t="s">
        <v>250</v>
      </c>
      <c r="R1255" t="s">
        <v>251</v>
      </c>
      <c r="T1255" t="s">
        <v>389</v>
      </c>
      <c r="U1255" t="s">
        <v>632</v>
      </c>
      <c r="V1255" t="s">
        <v>2810</v>
      </c>
      <c r="W1255" t="s">
        <v>2811</v>
      </c>
      <c r="X1255" t="s">
        <v>2812</v>
      </c>
      <c r="AJ1255" t="s">
        <v>285</v>
      </c>
      <c r="AM1255" t="s">
        <v>317</v>
      </c>
      <c r="AN1255" t="s">
        <v>259</v>
      </c>
      <c r="AO1255" t="s">
        <v>260</v>
      </c>
      <c r="AP1255" t="s">
        <v>1644</v>
      </c>
      <c r="AQ1255" t="s">
        <v>261</v>
      </c>
      <c r="AS1255">
        <v>2778</v>
      </c>
      <c r="AX1255" t="s">
        <v>290</v>
      </c>
      <c r="BO1255" t="s">
        <v>261</v>
      </c>
      <c r="BQ1255">
        <v>2.778</v>
      </c>
      <c r="BV1255" t="s">
        <v>263</v>
      </c>
      <c r="CM1255" t="s">
        <v>264</v>
      </c>
      <c r="CN1255" t="s">
        <v>264</v>
      </c>
      <c r="CP1255" t="s">
        <v>265</v>
      </c>
      <c r="CQ1255" t="s">
        <v>394</v>
      </c>
      <c r="DB1255">
        <v>1</v>
      </c>
      <c r="DG1255" t="s">
        <v>267</v>
      </c>
      <c r="DI1255">
        <v>24</v>
      </c>
      <c r="DN1255" t="s">
        <v>268</v>
      </c>
      <c r="DS1255">
        <v>439</v>
      </c>
      <c r="EW1255" t="s">
        <v>293</v>
      </c>
      <c r="FA1255" t="s">
        <v>2760</v>
      </c>
      <c r="FK1255" t="s">
        <v>2813</v>
      </c>
      <c r="FO1255">
        <v>13</v>
      </c>
      <c r="FQ1255">
        <v>21</v>
      </c>
      <c r="FR1255" t="s">
        <v>295</v>
      </c>
      <c r="GW1255">
        <v>27</v>
      </c>
      <c r="GY1255">
        <v>36</v>
      </c>
      <c r="GZ1255" t="s">
        <v>296</v>
      </c>
      <c r="HH1255" t="s">
        <v>272</v>
      </c>
      <c r="ID1255" t="s">
        <v>2814</v>
      </c>
      <c r="IE1255" t="s">
        <v>1648</v>
      </c>
      <c r="IF1255">
        <v>6045</v>
      </c>
      <c r="IG1255" t="s">
        <v>1649</v>
      </c>
      <c r="IH1255" t="s">
        <v>1650</v>
      </c>
      <c r="II1255">
        <v>1976</v>
      </c>
      <c r="IJ1255" t="s">
        <v>1651</v>
      </c>
    </row>
    <row r="1256" spans="1:244" x14ac:dyDescent="0.45">
      <c r="A1256">
        <v>1078432</v>
      </c>
      <c r="B1256">
        <v>102452</v>
      </c>
      <c r="C1256">
        <v>7758987</v>
      </c>
      <c r="D1256" t="s">
        <v>2545</v>
      </c>
      <c r="F1256" t="s">
        <v>245</v>
      </c>
      <c r="G1256" t="s">
        <v>246</v>
      </c>
      <c r="N1256" t="s">
        <v>2754</v>
      </c>
      <c r="O1256" t="s">
        <v>2755</v>
      </c>
      <c r="P1256" t="s">
        <v>249</v>
      </c>
      <c r="Q1256" t="s">
        <v>250</v>
      </c>
      <c r="R1256" t="s">
        <v>251</v>
      </c>
      <c r="T1256" t="s">
        <v>252</v>
      </c>
      <c r="U1256" t="s">
        <v>2756</v>
      </c>
      <c r="V1256" t="s">
        <v>2757</v>
      </c>
      <c r="W1256" t="s">
        <v>2758</v>
      </c>
      <c r="X1256" t="s">
        <v>2759</v>
      </c>
      <c r="AJ1256" t="s">
        <v>285</v>
      </c>
      <c r="AM1256" t="s">
        <v>317</v>
      </c>
      <c r="AN1256" t="s">
        <v>259</v>
      </c>
      <c r="AO1256" t="s">
        <v>260</v>
      </c>
      <c r="AP1256" t="s">
        <v>1644</v>
      </c>
      <c r="AQ1256" t="s">
        <v>261</v>
      </c>
      <c r="AS1256">
        <v>14</v>
      </c>
      <c r="AX1256" t="s">
        <v>290</v>
      </c>
      <c r="BO1256" t="s">
        <v>261</v>
      </c>
      <c r="BQ1256">
        <v>1.4E-2</v>
      </c>
      <c r="BV1256" t="s">
        <v>263</v>
      </c>
      <c r="CM1256" t="s">
        <v>264</v>
      </c>
      <c r="CN1256" t="s">
        <v>264</v>
      </c>
      <c r="CP1256" t="s">
        <v>265</v>
      </c>
      <c r="CQ1256" t="s">
        <v>394</v>
      </c>
      <c r="DB1256">
        <v>1</v>
      </c>
      <c r="DG1256" t="s">
        <v>267</v>
      </c>
      <c r="DI1256">
        <v>24</v>
      </c>
      <c r="DN1256" t="s">
        <v>268</v>
      </c>
      <c r="DR1256">
        <v>102976</v>
      </c>
      <c r="DS1256">
        <v>441</v>
      </c>
      <c r="EW1256" t="s">
        <v>293</v>
      </c>
      <c r="FA1256" t="s">
        <v>2760</v>
      </c>
      <c r="FK1256" t="s">
        <v>2815</v>
      </c>
      <c r="FO1256">
        <v>13</v>
      </c>
      <c r="FQ1256">
        <v>21</v>
      </c>
      <c r="FR1256" t="s">
        <v>295</v>
      </c>
      <c r="GW1256">
        <v>27</v>
      </c>
      <c r="GY1256">
        <v>36</v>
      </c>
      <c r="GZ1256" t="s">
        <v>296</v>
      </c>
      <c r="HH1256" t="s">
        <v>272</v>
      </c>
      <c r="ID1256" t="s">
        <v>2816</v>
      </c>
      <c r="IE1256" t="s">
        <v>1648</v>
      </c>
      <c r="IF1256">
        <v>6045</v>
      </c>
      <c r="IG1256" t="s">
        <v>1649</v>
      </c>
      <c r="IH1256" t="s">
        <v>1650</v>
      </c>
      <c r="II1256">
        <v>1976</v>
      </c>
      <c r="IJ1256" t="s">
        <v>1651</v>
      </c>
    </row>
    <row r="1257" spans="1:244" x14ac:dyDescent="0.45">
      <c r="A1257">
        <v>1000008</v>
      </c>
      <c r="B1257">
        <v>29399</v>
      </c>
      <c r="C1257">
        <v>7758987</v>
      </c>
      <c r="D1257" t="s">
        <v>2545</v>
      </c>
      <c r="F1257" t="s">
        <v>245</v>
      </c>
      <c r="G1257" t="s">
        <v>246</v>
      </c>
      <c r="N1257" t="s">
        <v>838</v>
      </c>
      <c r="O1257" t="s">
        <v>839</v>
      </c>
      <c r="P1257" t="s">
        <v>249</v>
      </c>
      <c r="Q1257" t="s">
        <v>250</v>
      </c>
      <c r="R1257" t="s">
        <v>251</v>
      </c>
      <c r="T1257" t="s">
        <v>347</v>
      </c>
      <c r="U1257" t="s">
        <v>348</v>
      </c>
      <c r="V1257" t="s">
        <v>349</v>
      </c>
      <c r="W1257" t="s">
        <v>350</v>
      </c>
      <c r="X1257" t="s">
        <v>840</v>
      </c>
      <c r="Z1257" t="s">
        <v>558</v>
      </c>
      <c r="AM1257" t="s">
        <v>317</v>
      </c>
      <c r="AN1257" t="s">
        <v>259</v>
      </c>
      <c r="AO1257" t="s">
        <v>260</v>
      </c>
      <c r="AQ1257" t="s">
        <v>261</v>
      </c>
      <c r="AU1257">
        <v>64</v>
      </c>
      <c r="AW1257">
        <v>6400</v>
      </c>
      <c r="AX1257" t="s">
        <v>262</v>
      </c>
      <c r="BO1257" t="s">
        <v>261</v>
      </c>
      <c r="BS1257">
        <v>6.4000000000000001E-2</v>
      </c>
      <c r="BU1257">
        <v>6.4</v>
      </c>
      <c r="BV1257" t="s">
        <v>263</v>
      </c>
      <c r="CM1257" t="s">
        <v>264</v>
      </c>
      <c r="CN1257" t="s">
        <v>264</v>
      </c>
      <c r="CP1257" t="s">
        <v>265</v>
      </c>
      <c r="CQ1257" t="s">
        <v>394</v>
      </c>
      <c r="DB1257">
        <v>3</v>
      </c>
      <c r="DG1257" t="s">
        <v>267</v>
      </c>
      <c r="DI1257">
        <v>72</v>
      </c>
      <c r="DN1257" t="s">
        <v>268</v>
      </c>
      <c r="DR1257">
        <v>6661</v>
      </c>
      <c r="DS1257">
        <v>3004</v>
      </c>
      <c r="DT1257" t="s">
        <v>2229</v>
      </c>
      <c r="EW1257" t="s">
        <v>333</v>
      </c>
      <c r="FM1257">
        <v>28</v>
      </c>
      <c r="FR1257" t="s">
        <v>295</v>
      </c>
      <c r="HH1257" t="s">
        <v>272</v>
      </c>
      <c r="IE1257" t="s">
        <v>2230</v>
      </c>
      <c r="IF1257">
        <v>4</v>
      </c>
      <c r="IG1257" t="s">
        <v>2231</v>
      </c>
      <c r="IH1257" t="s">
        <v>2232</v>
      </c>
      <c r="II1257">
        <v>1991</v>
      </c>
      <c r="IJ1257" t="s">
        <v>2233</v>
      </c>
    </row>
    <row r="1258" spans="1:244" x14ac:dyDescent="0.45">
      <c r="A1258">
        <v>1186872</v>
      </c>
      <c r="B1258">
        <v>138563</v>
      </c>
      <c r="C1258">
        <v>7758987</v>
      </c>
      <c r="D1258" t="s">
        <v>2545</v>
      </c>
      <c r="F1258" t="s">
        <v>245</v>
      </c>
      <c r="G1258" t="s">
        <v>246</v>
      </c>
      <c r="N1258" t="s">
        <v>789</v>
      </c>
      <c r="O1258" t="s">
        <v>790</v>
      </c>
      <c r="P1258" t="s">
        <v>249</v>
      </c>
      <c r="Q1258" t="s">
        <v>250</v>
      </c>
      <c r="R1258" t="s">
        <v>251</v>
      </c>
      <c r="T1258" t="s">
        <v>252</v>
      </c>
      <c r="U1258" t="s">
        <v>253</v>
      </c>
      <c r="V1258" t="s">
        <v>418</v>
      </c>
      <c r="W1258" t="s">
        <v>791</v>
      </c>
      <c r="X1258" t="s">
        <v>792</v>
      </c>
      <c r="Z1258" t="s">
        <v>284</v>
      </c>
      <c r="AL1258" t="s">
        <v>1742</v>
      </c>
      <c r="AM1258" t="s">
        <v>258</v>
      </c>
      <c r="AN1258" t="s">
        <v>259</v>
      </c>
      <c r="AO1258" t="s">
        <v>260</v>
      </c>
      <c r="AQ1258" t="s">
        <v>261</v>
      </c>
      <c r="AS1258">
        <v>23.6</v>
      </c>
      <c r="AX1258" t="s">
        <v>262</v>
      </c>
      <c r="BO1258" t="s">
        <v>261</v>
      </c>
      <c r="BQ1258">
        <v>2.3599999999999999E-2</v>
      </c>
      <c r="BV1258" t="s">
        <v>263</v>
      </c>
      <c r="CM1258" t="s">
        <v>264</v>
      </c>
      <c r="CN1258" t="s">
        <v>264</v>
      </c>
      <c r="CP1258" t="s">
        <v>265</v>
      </c>
      <c r="DB1258">
        <v>2</v>
      </c>
      <c r="DG1258" t="s">
        <v>267</v>
      </c>
      <c r="DI1258">
        <v>48</v>
      </c>
      <c r="DN1258" t="s">
        <v>268</v>
      </c>
      <c r="DR1258">
        <v>161924</v>
      </c>
      <c r="DS1258">
        <v>3045</v>
      </c>
      <c r="EW1258" t="s">
        <v>272</v>
      </c>
      <c r="FM1258">
        <v>28</v>
      </c>
      <c r="FR1258" t="s">
        <v>295</v>
      </c>
      <c r="GO1258">
        <v>8.1999999999999993</v>
      </c>
      <c r="GU1258">
        <v>32</v>
      </c>
      <c r="GZ1258" t="s">
        <v>296</v>
      </c>
      <c r="HH1258" t="s">
        <v>272</v>
      </c>
      <c r="IE1258" t="s">
        <v>1652</v>
      </c>
      <c r="IF1258">
        <v>16613</v>
      </c>
      <c r="IG1258" t="s">
        <v>1653</v>
      </c>
      <c r="IH1258" t="s">
        <v>1654</v>
      </c>
      <c r="II1258">
        <v>1994</v>
      </c>
      <c r="IJ1258" t="s">
        <v>1655</v>
      </c>
    </row>
    <row r="1259" spans="1:244" x14ac:dyDescent="0.45">
      <c r="A1259">
        <v>1182142</v>
      </c>
      <c r="B1259">
        <v>160048</v>
      </c>
      <c r="C1259">
        <v>7758987</v>
      </c>
      <c r="D1259" t="s">
        <v>2545</v>
      </c>
      <c r="E1259" t="s">
        <v>439</v>
      </c>
      <c r="F1259" t="s">
        <v>245</v>
      </c>
      <c r="G1259" t="s">
        <v>246</v>
      </c>
      <c r="N1259" t="s">
        <v>345</v>
      </c>
      <c r="O1259" t="s">
        <v>346</v>
      </c>
      <c r="P1259" t="s">
        <v>249</v>
      </c>
      <c r="Q1259" t="s">
        <v>250</v>
      </c>
      <c r="R1259" t="s">
        <v>251</v>
      </c>
      <c r="T1259" t="s">
        <v>347</v>
      </c>
      <c r="U1259" t="s">
        <v>348</v>
      </c>
      <c r="V1259" t="s">
        <v>349</v>
      </c>
      <c r="W1259" t="s">
        <v>350</v>
      </c>
      <c r="X1259" t="s">
        <v>351</v>
      </c>
      <c r="Z1259" t="s">
        <v>1034</v>
      </c>
      <c r="AL1259" t="s">
        <v>2663</v>
      </c>
      <c r="AM1259" t="s">
        <v>317</v>
      </c>
      <c r="AN1259" t="s">
        <v>259</v>
      </c>
      <c r="AO1259" t="s">
        <v>260</v>
      </c>
      <c r="AQ1259" t="s">
        <v>261</v>
      </c>
      <c r="AS1259">
        <v>2600</v>
      </c>
      <c r="AX1259" t="s">
        <v>262</v>
      </c>
      <c r="BO1259" t="s">
        <v>261</v>
      </c>
      <c r="BQ1259">
        <v>2.6</v>
      </c>
      <c r="BV1259" t="s">
        <v>263</v>
      </c>
      <c r="CM1259" t="s">
        <v>264</v>
      </c>
      <c r="CN1259" t="s">
        <v>264</v>
      </c>
      <c r="CP1259" t="s">
        <v>265</v>
      </c>
      <c r="DB1259">
        <v>1</v>
      </c>
      <c r="DG1259" t="s">
        <v>267</v>
      </c>
      <c r="DI1259">
        <v>24</v>
      </c>
      <c r="DN1259" t="s">
        <v>268</v>
      </c>
      <c r="DP1259" t="s">
        <v>2664</v>
      </c>
      <c r="DR1259">
        <v>6660</v>
      </c>
      <c r="DS1259">
        <v>421</v>
      </c>
      <c r="DT1259" t="s">
        <v>2665</v>
      </c>
      <c r="EW1259" t="s">
        <v>293</v>
      </c>
      <c r="FA1259" t="s">
        <v>2789</v>
      </c>
      <c r="FM1259">
        <v>25</v>
      </c>
      <c r="FR1259" t="s">
        <v>295</v>
      </c>
      <c r="GU1259">
        <v>15</v>
      </c>
      <c r="GZ1259" t="s">
        <v>296</v>
      </c>
      <c r="HH1259" t="s">
        <v>272</v>
      </c>
      <c r="IE1259" t="s">
        <v>2667</v>
      </c>
      <c r="IF1259">
        <v>16031</v>
      </c>
      <c r="IG1259" t="s">
        <v>2668</v>
      </c>
      <c r="IH1259" t="s">
        <v>2669</v>
      </c>
      <c r="II1259">
        <v>1995</v>
      </c>
      <c r="IJ1259" t="s">
        <v>2670</v>
      </c>
    </row>
    <row r="1260" spans="1:244" x14ac:dyDescent="0.45">
      <c r="A1260">
        <v>1272682</v>
      </c>
      <c r="B1260">
        <v>723981</v>
      </c>
      <c r="C1260">
        <v>7758987</v>
      </c>
      <c r="D1260" t="s">
        <v>2545</v>
      </c>
      <c r="F1260" t="s">
        <v>245</v>
      </c>
      <c r="G1260" t="s">
        <v>246</v>
      </c>
      <c r="N1260" t="s">
        <v>1982</v>
      </c>
      <c r="O1260" t="s">
        <v>656</v>
      </c>
      <c r="P1260" t="s">
        <v>249</v>
      </c>
      <c r="Q1260" t="s">
        <v>250</v>
      </c>
      <c r="R1260" t="s">
        <v>251</v>
      </c>
      <c r="T1260" t="s">
        <v>252</v>
      </c>
      <c r="U1260" t="s">
        <v>253</v>
      </c>
      <c r="V1260" t="s">
        <v>657</v>
      </c>
      <c r="W1260" t="s">
        <v>1983</v>
      </c>
      <c r="X1260" t="s">
        <v>1984</v>
      </c>
      <c r="Z1260" t="s">
        <v>315</v>
      </c>
      <c r="AL1260" t="s">
        <v>1985</v>
      </c>
      <c r="AM1260" t="s">
        <v>317</v>
      </c>
      <c r="AN1260" t="s">
        <v>259</v>
      </c>
      <c r="AO1260" t="s">
        <v>260</v>
      </c>
      <c r="AP1260">
        <v>7</v>
      </c>
      <c r="AQ1260" t="s">
        <v>261</v>
      </c>
      <c r="AS1260">
        <v>4.0999999999999996</v>
      </c>
      <c r="AU1260">
        <v>3.35</v>
      </c>
      <c r="AW1260">
        <v>4.8499999999999996</v>
      </c>
      <c r="AX1260" t="s">
        <v>356</v>
      </c>
      <c r="BO1260" t="s">
        <v>261</v>
      </c>
      <c r="BQ1260">
        <v>4.0999999999999996</v>
      </c>
      <c r="BS1260">
        <v>3.35</v>
      </c>
      <c r="BU1260">
        <v>4.8499999999999996</v>
      </c>
      <c r="BV1260" t="s">
        <v>263</v>
      </c>
      <c r="CM1260" t="s">
        <v>264</v>
      </c>
      <c r="CN1260" t="s">
        <v>264</v>
      </c>
      <c r="CP1260" t="s">
        <v>265</v>
      </c>
      <c r="CQ1260" t="s">
        <v>394</v>
      </c>
      <c r="DB1260">
        <v>4</v>
      </c>
      <c r="DG1260" t="s">
        <v>267</v>
      </c>
      <c r="DI1260">
        <v>96</v>
      </c>
      <c r="DN1260" t="s">
        <v>268</v>
      </c>
      <c r="DP1260" t="s">
        <v>2607</v>
      </c>
      <c r="DR1260">
        <v>1436025</v>
      </c>
      <c r="DS1260">
        <v>18545</v>
      </c>
      <c r="EW1260" t="s">
        <v>293</v>
      </c>
      <c r="FA1260" t="s">
        <v>1986</v>
      </c>
      <c r="FK1260" t="s">
        <v>2817</v>
      </c>
      <c r="FM1260">
        <v>24</v>
      </c>
      <c r="FR1260" t="s">
        <v>295</v>
      </c>
      <c r="GH1260">
        <v>68</v>
      </c>
      <c r="GM1260" t="s">
        <v>900</v>
      </c>
      <c r="GO1260">
        <v>7.33</v>
      </c>
      <c r="GU1260">
        <v>17</v>
      </c>
      <c r="GZ1260" t="s">
        <v>296</v>
      </c>
      <c r="HH1260" t="s">
        <v>272</v>
      </c>
      <c r="ID1260" t="s">
        <v>2818</v>
      </c>
      <c r="IE1260" t="s">
        <v>1989</v>
      </c>
      <c r="IF1260">
        <v>47360</v>
      </c>
      <c r="IG1260" t="s">
        <v>1990</v>
      </c>
      <c r="IH1260" t="s">
        <v>1991</v>
      </c>
      <c r="II1260">
        <v>1998</v>
      </c>
      <c r="IJ1260" t="s">
        <v>1992</v>
      </c>
    </row>
    <row r="1261" spans="1:244" x14ac:dyDescent="0.45">
      <c r="A1261">
        <v>1204315</v>
      </c>
      <c r="B1261">
        <v>209166</v>
      </c>
      <c r="C1261">
        <v>7758987</v>
      </c>
      <c r="D1261" t="s">
        <v>2545</v>
      </c>
      <c r="E1261" t="s">
        <v>622</v>
      </c>
      <c r="F1261" t="s">
        <v>245</v>
      </c>
      <c r="G1261" t="s">
        <v>246</v>
      </c>
      <c r="N1261" t="s">
        <v>2437</v>
      </c>
      <c r="O1261" t="s">
        <v>248</v>
      </c>
      <c r="P1261" t="s">
        <v>249</v>
      </c>
      <c r="Q1261" t="s">
        <v>250</v>
      </c>
      <c r="R1261" t="s">
        <v>251</v>
      </c>
      <c r="T1261" t="s">
        <v>252</v>
      </c>
      <c r="U1261" t="s">
        <v>253</v>
      </c>
      <c r="V1261" t="s">
        <v>2438</v>
      </c>
      <c r="W1261" t="s">
        <v>2439</v>
      </c>
      <c r="X1261" t="s">
        <v>351</v>
      </c>
      <c r="Z1261" t="s">
        <v>284</v>
      </c>
      <c r="AB1261">
        <v>8</v>
      </c>
      <c r="AG1261" t="s">
        <v>268</v>
      </c>
      <c r="AL1261" t="s">
        <v>2440</v>
      </c>
      <c r="AM1261" t="s">
        <v>258</v>
      </c>
      <c r="AN1261" t="s">
        <v>259</v>
      </c>
      <c r="AO1261" t="s">
        <v>260</v>
      </c>
      <c r="AQ1261" t="s">
        <v>261</v>
      </c>
      <c r="AS1261">
        <v>52</v>
      </c>
      <c r="AU1261">
        <v>30.59</v>
      </c>
      <c r="AW1261">
        <v>88.4</v>
      </c>
      <c r="AX1261" t="s">
        <v>262</v>
      </c>
      <c r="BO1261" t="s">
        <v>261</v>
      </c>
      <c r="BQ1261">
        <v>5.1999999999999998E-2</v>
      </c>
      <c r="BS1261">
        <v>3.0589999999999999E-2</v>
      </c>
      <c r="BU1261">
        <v>8.8400000000000006E-2</v>
      </c>
      <c r="BV1261" t="s">
        <v>263</v>
      </c>
      <c r="CM1261" t="s">
        <v>264</v>
      </c>
      <c r="CN1261" t="s">
        <v>264</v>
      </c>
      <c r="CP1261" t="s">
        <v>265</v>
      </c>
      <c r="DB1261">
        <v>4</v>
      </c>
      <c r="DG1261" t="s">
        <v>267</v>
      </c>
      <c r="DI1261">
        <v>96</v>
      </c>
      <c r="DN1261" t="s">
        <v>268</v>
      </c>
      <c r="DR1261">
        <v>1550662</v>
      </c>
      <c r="DS1261">
        <v>10967</v>
      </c>
      <c r="EW1261" t="s">
        <v>293</v>
      </c>
      <c r="GU1261">
        <v>25</v>
      </c>
      <c r="GZ1261" t="s">
        <v>296</v>
      </c>
      <c r="HH1261" t="s">
        <v>272</v>
      </c>
      <c r="IE1261" t="s">
        <v>1820</v>
      </c>
      <c r="IF1261">
        <v>18580</v>
      </c>
      <c r="IG1261" t="s">
        <v>1821</v>
      </c>
      <c r="IH1261" t="s">
        <v>1822</v>
      </c>
      <c r="II1261">
        <v>1996</v>
      </c>
      <c r="IJ1261" t="s">
        <v>1823</v>
      </c>
    </row>
    <row r="1262" spans="1:244" x14ac:dyDescent="0.45">
      <c r="A1262">
        <v>1310647</v>
      </c>
      <c r="B1262">
        <v>767830</v>
      </c>
      <c r="C1262">
        <v>7758987</v>
      </c>
      <c r="D1262" t="s">
        <v>2545</v>
      </c>
      <c r="F1262" t="s">
        <v>245</v>
      </c>
      <c r="G1262" t="s">
        <v>246</v>
      </c>
      <c r="N1262" t="s">
        <v>471</v>
      </c>
      <c r="O1262" t="s">
        <v>388</v>
      </c>
      <c r="P1262" t="s">
        <v>249</v>
      </c>
      <c r="Q1262" t="s">
        <v>250</v>
      </c>
      <c r="R1262" t="s">
        <v>251</v>
      </c>
      <c r="T1262" t="s">
        <v>389</v>
      </c>
      <c r="U1262" t="s">
        <v>390</v>
      </c>
      <c r="V1262" t="s">
        <v>472</v>
      </c>
      <c r="W1262" t="s">
        <v>473</v>
      </c>
      <c r="X1262" t="s">
        <v>474</v>
      </c>
      <c r="Z1262" t="s">
        <v>315</v>
      </c>
      <c r="AL1262" t="s">
        <v>2819</v>
      </c>
      <c r="AM1262" t="s">
        <v>317</v>
      </c>
      <c r="AN1262" t="s">
        <v>259</v>
      </c>
      <c r="AO1262" t="s">
        <v>260</v>
      </c>
      <c r="AQ1262" t="s">
        <v>261</v>
      </c>
      <c r="AS1262">
        <v>0.44729999999999998</v>
      </c>
      <c r="AX1262" t="s">
        <v>356</v>
      </c>
      <c r="BO1262" t="s">
        <v>261</v>
      </c>
      <c r="BQ1262">
        <v>0.44729999999999998</v>
      </c>
      <c r="BV1262" t="s">
        <v>263</v>
      </c>
      <c r="CM1262" t="s">
        <v>264</v>
      </c>
      <c r="CN1262" t="s">
        <v>264</v>
      </c>
      <c r="CP1262" t="s">
        <v>265</v>
      </c>
      <c r="CQ1262" t="s">
        <v>394</v>
      </c>
      <c r="DB1262">
        <v>2</v>
      </c>
      <c r="DG1262" t="s">
        <v>267</v>
      </c>
      <c r="DI1262">
        <v>48</v>
      </c>
      <c r="DN1262" t="s">
        <v>268</v>
      </c>
      <c r="DP1262" t="s">
        <v>2598</v>
      </c>
      <c r="DR1262">
        <v>2056173</v>
      </c>
      <c r="DS1262">
        <v>1053</v>
      </c>
      <c r="EW1262" t="s">
        <v>293</v>
      </c>
      <c r="FK1262" t="s">
        <v>2820</v>
      </c>
      <c r="HH1262" t="s">
        <v>272</v>
      </c>
      <c r="ID1262" t="s">
        <v>2821</v>
      </c>
      <c r="IE1262" t="s">
        <v>2685</v>
      </c>
      <c r="IF1262">
        <v>14474</v>
      </c>
      <c r="IG1262" t="s">
        <v>2686</v>
      </c>
      <c r="IH1262" t="s">
        <v>2687</v>
      </c>
      <c r="II1262">
        <v>1986</v>
      </c>
      <c r="IJ1262" t="s">
        <v>2688</v>
      </c>
    </row>
    <row r="1263" spans="1:244" x14ac:dyDescent="0.45">
      <c r="A1263">
        <v>2136233</v>
      </c>
      <c r="B1263">
        <v>2252278</v>
      </c>
      <c r="C1263">
        <v>7758987</v>
      </c>
      <c r="D1263" t="s">
        <v>2545</v>
      </c>
      <c r="F1263" t="s">
        <v>245</v>
      </c>
      <c r="G1263" t="s">
        <v>272</v>
      </c>
      <c r="H1263" t="s">
        <v>288</v>
      </c>
      <c r="I1263">
        <v>99</v>
      </c>
      <c r="N1263" t="s">
        <v>2822</v>
      </c>
      <c r="O1263" t="s">
        <v>1164</v>
      </c>
      <c r="P1263" t="s">
        <v>249</v>
      </c>
      <c r="Q1263" t="s">
        <v>250</v>
      </c>
      <c r="R1263" t="s">
        <v>251</v>
      </c>
      <c r="T1263" t="s">
        <v>389</v>
      </c>
      <c r="U1263" t="s">
        <v>2537</v>
      </c>
      <c r="V1263" t="s">
        <v>2823</v>
      </c>
      <c r="W1263" t="s">
        <v>2824</v>
      </c>
      <c r="X1263" t="s">
        <v>2825</v>
      </c>
      <c r="Z1263" t="s">
        <v>315</v>
      </c>
      <c r="AM1263" t="s">
        <v>258</v>
      </c>
      <c r="AN1263" t="s">
        <v>259</v>
      </c>
      <c r="AO1263" t="s">
        <v>260</v>
      </c>
      <c r="AQ1263" t="s">
        <v>261</v>
      </c>
      <c r="AS1263">
        <v>0.8</v>
      </c>
      <c r="AU1263">
        <v>0.76</v>
      </c>
      <c r="AW1263">
        <v>0.91</v>
      </c>
      <c r="AX1263" t="s">
        <v>356</v>
      </c>
      <c r="BO1263" t="s">
        <v>261</v>
      </c>
      <c r="BQ1263">
        <v>0.8</v>
      </c>
      <c r="BS1263">
        <v>0.76</v>
      </c>
      <c r="BU1263">
        <v>0.91</v>
      </c>
      <c r="BV1263" t="s">
        <v>263</v>
      </c>
      <c r="CM1263" t="s">
        <v>264</v>
      </c>
      <c r="CN1263" t="s">
        <v>264</v>
      </c>
      <c r="CP1263" t="s">
        <v>265</v>
      </c>
      <c r="CQ1263" t="s">
        <v>394</v>
      </c>
      <c r="DB1263">
        <v>4</v>
      </c>
      <c r="DG1263" t="s">
        <v>267</v>
      </c>
      <c r="DI1263">
        <v>96</v>
      </c>
      <c r="DN1263" t="s">
        <v>268</v>
      </c>
      <c r="DP1263" t="s">
        <v>2664</v>
      </c>
      <c r="DR1263">
        <v>565004</v>
      </c>
      <c r="DS1263">
        <v>27410</v>
      </c>
      <c r="DT1263" t="s">
        <v>2826</v>
      </c>
      <c r="DV1263">
        <v>96</v>
      </c>
      <c r="EA1263" t="s">
        <v>268</v>
      </c>
      <c r="EC1263">
        <v>4</v>
      </c>
      <c r="EH1263" t="s">
        <v>267</v>
      </c>
      <c r="EJ1263">
        <v>96</v>
      </c>
      <c r="EO1263" t="s">
        <v>268</v>
      </c>
      <c r="EQ1263">
        <v>4</v>
      </c>
      <c r="EV1263" t="s">
        <v>267</v>
      </c>
      <c r="EW1263" t="s">
        <v>293</v>
      </c>
      <c r="FM1263">
        <v>25</v>
      </c>
      <c r="FR1263" t="s">
        <v>295</v>
      </c>
      <c r="GU1263">
        <v>15</v>
      </c>
      <c r="GZ1263" t="s">
        <v>296</v>
      </c>
      <c r="HH1263" t="s">
        <v>272</v>
      </c>
      <c r="IE1263" t="s">
        <v>2827</v>
      </c>
      <c r="IF1263">
        <v>153073</v>
      </c>
      <c r="IG1263" t="s">
        <v>2828</v>
      </c>
      <c r="IH1263" t="s">
        <v>2829</v>
      </c>
      <c r="II1263">
        <v>2010</v>
      </c>
      <c r="IJ1263" t="s">
        <v>2830</v>
      </c>
    </row>
    <row r="1264" spans="1:244" x14ac:dyDescent="0.45">
      <c r="A1264">
        <v>1151169</v>
      </c>
      <c r="B1264">
        <v>104876</v>
      </c>
      <c r="C1264">
        <v>7758987</v>
      </c>
      <c r="D1264" t="s">
        <v>2545</v>
      </c>
      <c r="F1264" t="s">
        <v>245</v>
      </c>
      <c r="G1264" t="s">
        <v>246</v>
      </c>
      <c r="N1264" t="s">
        <v>247</v>
      </c>
      <c r="O1264" t="s">
        <v>248</v>
      </c>
      <c r="P1264" t="s">
        <v>249</v>
      </c>
      <c r="Q1264" t="s">
        <v>250</v>
      </c>
      <c r="R1264" t="s">
        <v>251</v>
      </c>
      <c r="T1264" t="s">
        <v>252</v>
      </c>
      <c r="U1264" t="s">
        <v>253</v>
      </c>
      <c r="V1264" t="s">
        <v>254</v>
      </c>
      <c r="W1264" t="s">
        <v>255</v>
      </c>
      <c r="X1264" t="s">
        <v>256</v>
      </c>
      <c r="Z1264" t="s">
        <v>1057</v>
      </c>
      <c r="AL1264" t="s">
        <v>1777</v>
      </c>
      <c r="AM1264" t="s">
        <v>317</v>
      </c>
      <c r="AN1264" t="s">
        <v>259</v>
      </c>
      <c r="AO1264" t="s">
        <v>260</v>
      </c>
      <c r="AQ1264" t="s">
        <v>261</v>
      </c>
      <c r="AS1264">
        <v>645700</v>
      </c>
      <c r="AX1264" t="s">
        <v>262</v>
      </c>
      <c r="BO1264" t="s">
        <v>261</v>
      </c>
      <c r="BQ1264">
        <v>645.70000000000005</v>
      </c>
      <c r="BV1264" t="s">
        <v>263</v>
      </c>
      <c r="CM1264" t="s">
        <v>264</v>
      </c>
      <c r="CN1264" t="s">
        <v>264</v>
      </c>
      <c r="CP1264" t="s">
        <v>265</v>
      </c>
      <c r="DB1264">
        <v>1</v>
      </c>
      <c r="DG1264" t="s">
        <v>267</v>
      </c>
      <c r="DI1264">
        <v>24</v>
      </c>
      <c r="DN1264" t="s">
        <v>268</v>
      </c>
      <c r="DR1264">
        <v>6761</v>
      </c>
      <c r="DS1264">
        <v>2461</v>
      </c>
      <c r="EW1264" t="s">
        <v>293</v>
      </c>
      <c r="HH1264" t="s">
        <v>272</v>
      </c>
      <c r="IE1264" t="s">
        <v>1778</v>
      </c>
      <c r="IF1264">
        <v>12895</v>
      </c>
      <c r="IG1264" t="s">
        <v>1779</v>
      </c>
      <c r="IH1264" t="s">
        <v>1780</v>
      </c>
      <c r="II1264">
        <v>1986</v>
      </c>
      <c r="IJ1264" t="s">
        <v>1781</v>
      </c>
    </row>
    <row r="1265" spans="1:244" x14ac:dyDescent="0.45">
      <c r="A1265">
        <v>1304664</v>
      </c>
      <c r="B1265">
        <v>761313</v>
      </c>
      <c r="C1265">
        <v>7758987</v>
      </c>
      <c r="D1265" t="s">
        <v>2545</v>
      </c>
      <c r="F1265" t="s">
        <v>327</v>
      </c>
      <c r="G1265" t="s">
        <v>246</v>
      </c>
      <c r="N1265" t="s">
        <v>1705</v>
      </c>
      <c r="O1265" t="s">
        <v>1706</v>
      </c>
      <c r="P1265" t="s">
        <v>249</v>
      </c>
      <c r="Q1265" t="s">
        <v>250</v>
      </c>
      <c r="R1265" t="s">
        <v>251</v>
      </c>
      <c r="T1265" t="s">
        <v>347</v>
      </c>
      <c r="U1265" t="s">
        <v>1707</v>
      </c>
      <c r="V1265" t="s">
        <v>1708</v>
      </c>
      <c r="W1265" t="s">
        <v>1709</v>
      </c>
      <c r="X1265" t="s">
        <v>1710</v>
      </c>
      <c r="Z1265" t="s">
        <v>1025</v>
      </c>
      <c r="AD1265">
        <v>12</v>
      </c>
      <c r="AF1265">
        <v>24</v>
      </c>
      <c r="AG1265" t="s">
        <v>268</v>
      </c>
      <c r="AM1265" t="s">
        <v>258</v>
      </c>
      <c r="AN1265" t="s">
        <v>259</v>
      </c>
      <c r="AO1265" t="s">
        <v>260</v>
      </c>
      <c r="AP1265">
        <v>7</v>
      </c>
      <c r="AQ1265" t="s">
        <v>504</v>
      </c>
      <c r="AS1265">
        <v>106.07</v>
      </c>
      <c r="AU1265">
        <v>99.77</v>
      </c>
      <c r="AW1265">
        <v>112.36</v>
      </c>
      <c r="AX1265" t="s">
        <v>262</v>
      </c>
      <c r="BO1265" t="s">
        <v>504</v>
      </c>
      <c r="BQ1265">
        <v>0.10607</v>
      </c>
      <c r="BS1265">
        <v>9.9769999999999998E-2</v>
      </c>
      <c r="BU1265">
        <v>0.11236</v>
      </c>
      <c r="BV1265" t="s">
        <v>263</v>
      </c>
      <c r="CM1265" t="s">
        <v>264</v>
      </c>
      <c r="CN1265" t="s">
        <v>264</v>
      </c>
      <c r="CP1265" t="s">
        <v>265</v>
      </c>
      <c r="CQ1265" t="s">
        <v>394</v>
      </c>
      <c r="DB1265">
        <v>2</v>
      </c>
      <c r="DG1265" t="s">
        <v>267</v>
      </c>
      <c r="DI1265">
        <v>48</v>
      </c>
      <c r="DN1265" t="s">
        <v>268</v>
      </c>
      <c r="DP1265" t="s">
        <v>2598</v>
      </c>
      <c r="DR1265">
        <v>700594</v>
      </c>
      <c r="DS1265">
        <v>4630</v>
      </c>
      <c r="DT1265" t="s">
        <v>2738</v>
      </c>
      <c r="EW1265" t="s">
        <v>293</v>
      </c>
      <c r="FA1265" t="s">
        <v>397</v>
      </c>
      <c r="FK1265" t="s">
        <v>2739</v>
      </c>
      <c r="FM1265">
        <v>20</v>
      </c>
      <c r="FR1265" t="s">
        <v>295</v>
      </c>
      <c r="GG1265" t="s">
        <v>288</v>
      </c>
      <c r="GH1265">
        <v>80</v>
      </c>
      <c r="GM1265" t="s">
        <v>1224</v>
      </c>
      <c r="GQ1265">
        <v>8</v>
      </c>
      <c r="GS1265">
        <v>8.1999999999999993</v>
      </c>
      <c r="GU1265">
        <v>10</v>
      </c>
      <c r="GZ1265" t="s">
        <v>296</v>
      </c>
      <c r="HH1265" t="s">
        <v>272</v>
      </c>
      <c r="ID1265" t="s">
        <v>2740</v>
      </c>
      <c r="IE1265" t="s">
        <v>2741</v>
      </c>
      <c r="IF1265">
        <v>100633</v>
      </c>
      <c r="IG1265" t="s">
        <v>2742</v>
      </c>
      <c r="IH1265" t="s">
        <v>2743</v>
      </c>
      <c r="II1265">
        <v>2007</v>
      </c>
      <c r="IJ1265" t="s">
        <v>2744</v>
      </c>
    </row>
    <row r="1266" spans="1:244" x14ac:dyDescent="0.45">
      <c r="A1266">
        <v>1111443</v>
      </c>
      <c r="B1266">
        <v>106631</v>
      </c>
      <c r="C1266">
        <v>7758987</v>
      </c>
      <c r="D1266" t="s">
        <v>2545</v>
      </c>
      <c r="F1266" t="s">
        <v>327</v>
      </c>
      <c r="G1266" t="s">
        <v>246</v>
      </c>
      <c r="N1266" t="s">
        <v>606</v>
      </c>
      <c r="O1266" t="s">
        <v>607</v>
      </c>
      <c r="P1266" t="s">
        <v>249</v>
      </c>
      <c r="Q1266" t="s">
        <v>250</v>
      </c>
      <c r="R1266" t="s">
        <v>251</v>
      </c>
      <c r="T1266" t="s">
        <v>252</v>
      </c>
      <c r="U1266" t="s">
        <v>253</v>
      </c>
      <c r="V1266" t="s">
        <v>608</v>
      </c>
      <c r="W1266" t="s">
        <v>609</v>
      </c>
      <c r="X1266" t="s">
        <v>610</v>
      </c>
      <c r="AL1266" t="s">
        <v>2573</v>
      </c>
      <c r="AM1266" t="s">
        <v>307</v>
      </c>
      <c r="AN1266" t="s">
        <v>259</v>
      </c>
      <c r="AO1266" t="s">
        <v>260</v>
      </c>
      <c r="AQ1266" t="s">
        <v>261</v>
      </c>
      <c r="AS1266">
        <v>560</v>
      </c>
      <c r="AX1266" t="s">
        <v>262</v>
      </c>
      <c r="BO1266" t="s">
        <v>261</v>
      </c>
      <c r="BQ1266">
        <v>0.56000000000000005</v>
      </c>
      <c r="BV1266" t="s">
        <v>263</v>
      </c>
      <c r="CM1266" t="s">
        <v>264</v>
      </c>
      <c r="CN1266" t="s">
        <v>264</v>
      </c>
      <c r="CP1266" t="s">
        <v>265</v>
      </c>
      <c r="CQ1266" t="s">
        <v>394</v>
      </c>
      <c r="DB1266">
        <v>4</v>
      </c>
      <c r="DG1266" t="s">
        <v>267</v>
      </c>
      <c r="DI1266">
        <v>96</v>
      </c>
      <c r="DN1266" t="s">
        <v>268</v>
      </c>
      <c r="DR1266">
        <v>6706</v>
      </c>
      <c r="DS1266">
        <v>346</v>
      </c>
      <c r="DT1266" t="s">
        <v>2574</v>
      </c>
      <c r="EW1266" t="s">
        <v>333</v>
      </c>
      <c r="FM1266">
        <v>5</v>
      </c>
      <c r="FR1266" t="s">
        <v>295</v>
      </c>
      <c r="GH1266">
        <v>11</v>
      </c>
      <c r="GJ1266">
        <v>9</v>
      </c>
      <c r="GL1266">
        <v>11</v>
      </c>
      <c r="GM1266" t="s">
        <v>356</v>
      </c>
      <c r="GO1266">
        <v>8</v>
      </c>
      <c r="GQ1266">
        <v>7.8</v>
      </c>
      <c r="GS1266">
        <v>8.1</v>
      </c>
      <c r="GW1266">
        <v>20</v>
      </c>
      <c r="GY1266">
        <v>30</v>
      </c>
      <c r="GZ1266" t="s">
        <v>296</v>
      </c>
      <c r="HH1266" t="s">
        <v>272</v>
      </c>
      <c r="IE1266" t="s">
        <v>911</v>
      </c>
      <c r="IF1266">
        <v>8399</v>
      </c>
      <c r="IG1266" t="s">
        <v>2575</v>
      </c>
      <c r="IH1266" t="s">
        <v>2576</v>
      </c>
      <c r="II1266">
        <v>1974</v>
      </c>
      <c r="IJ1266" t="s">
        <v>2577</v>
      </c>
    </row>
    <row r="1267" spans="1:244" x14ac:dyDescent="0.45">
      <c r="A1267">
        <v>1153349</v>
      </c>
      <c r="B1267">
        <v>160864</v>
      </c>
      <c r="C1267">
        <v>7758987</v>
      </c>
      <c r="D1267" t="s">
        <v>2545</v>
      </c>
      <c r="F1267" t="s">
        <v>245</v>
      </c>
      <c r="G1267" t="s">
        <v>246</v>
      </c>
      <c r="N1267" t="s">
        <v>1672</v>
      </c>
      <c r="O1267" t="s">
        <v>1673</v>
      </c>
      <c r="P1267" t="s">
        <v>249</v>
      </c>
      <c r="Q1267" t="s">
        <v>250</v>
      </c>
      <c r="R1267" t="s">
        <v>251</v>
      </c>
      <c r="T1267" t="s">
        <v>252</v>
      </c>
      <c r="U1267" t="s">
        <v>253</v>
      </c>
      <c r="V1267" t="s">
        <v>1674</v>
      </c>
      <c r="W1267" t="s">
        <v>1675</v>
      </c>
      <c r="X1267" t="s">
        <v>1676</v>
      </c>
      <c r="Z1267" t="s">
        <v>1677</v>
      </c>
      <c r="AL1267" t="s">
        <v>1678</v>
      </c>
      <c r="AM1267" t="s">
        <v>287</v>
      </c>
      <c r="AN1267" t="s">
        <v>259</v>
      </c>
      <c r="AO1267" t="s">
        <v>260</v>
      </c>
      <c r="AQ1267" t="s">
        <v>261</v>
      </c>
      <c r="AS1267">
        <v>97500</v>
      </c>
      <c r="AX1267" t="s">
        <v>262</v>
      </c>
      <c r="BO1267" t="s">
        <v>261</v>
      </c>
      <c r="BQ1267">
        <v>97.5</v>
      </c>
      <c r="BV1267" t="s">
        <v>263</v>
      </c>
      <c r="CM1267" t="s">
        <v>264</v>
      </c>
      <c r="CN1267" t="s">
        <v>264</v>
      </c>
      <c r="CP1267" t="s">
        <v>265</v>
      </c>
      <c r="DB1267">
        <v>3</v>
      </c>
      <c r="DG1267" t="s">
        <v>267</v>
      </c>
      <c r="DI1267">
        <v>72</v>
      </c>
      <c r="DN1267" t="s">
        <v>268</v>
      </c>
      <c r="DR1267">
        <v>1460405</v>
      </c>
      <c r="DS1267">
        <v>5936</v>
      </c>
      <c r="EW1267" t="s">
        <v>293</v>
      </c>
      <c r="FK1267" t="s">
        <v>1679</v>
      </c>
      <c r="HH1267" t="s">
        <v>272</v>
      </c>
      <c r="ID1267" t="s">
        <v>1680</v>
      </c>
      <c r="IE1267" t="s">
        <v>1681</v>
      </c>
      <c r="IF1267">
        <v>13233</v>
      </c>
      <c r="IG1267" t="s">
        <v>1682</v>
      </c>
      <c r="IH1267" t="s">
        <v>1683</v>
      </c>
      <c r="II1267">
        <v>1988</v>
      </c>
      <c r="IJ1267" t="s">
        <v>1684</v>
      </c>
    </row>
    <row r="1268" spans="1:244" x14ac:dyDescent="0.45">
      <c r="A1268">
        <v>1299807</v>
      </c>
      <c r="B1268">
        <v>755406</v>
      </c>
      <c r="C1268">
        <v>7758987</v>
      </c>
      <c r="D1268" t="s">
        <v>2545</v>
      </c>
      <c r="F1268" t="s">
        <v>245</v>
      </c>
      <c r="G1268" t="s">
        <v>246</v>
      </c>
      <c r="N1268" t="s">
        <v>2831</v>
      </c>
      <c r="O1268" t="s">
        <v>646</v>
      </c>
      <c r="P1268" t="s">
        <v>249</v>
      </c>
      <c r="Q1268" t="s">
        <v>250</v>
      </c>
      <c r="R1268" t="s">
        <v>251</v>
      </c>
      <c r="T1268" t="s">
        <v>252</v>
      </c>
      <c r="U1268" t="s">
        <v>253</v>
      </c>
      <c r="V1268" t="s">
        <v>1696</v>
      </c>
      <c r="W1268" t="s">
        <v>2832</v>
      </c>
      <c r="X1268" t="s">
        <v>351</v>
      </c>
      <c r="AM1268" t="s">
        <v>317</v>
      </c>
      <c r="AN1268" t="s">
        <v>259</v>
      </c>
      <c r="AO1268" t="s">
        <v>260</v>
      </c>
      <c r="AQ1268" t="s">
        <v>261</v>
      </c>
      <c r="AS1268">
        <v>1.02</v>
      </c>
      <c r="AX1268" t="s">
        <v>356</v>
      </c>
      <c r="BO1268" t="s">
        <v>261</v>
      </c>
      <c r="BQ1268">
        <v>1.02</v>
      </c>
      <c r="BV1268" t="s">
        <v>263</v>
      </c>
      <c r="CM1268" t="s">
        <v>264</v>
      </c>
      <c r="CN1268" t="s">
        <v>264</v>
      </c>
      <c r="CP1268" t="s">
        <v>265</v>
      </c>
      <c r="DB1268">
        <v>1</v>
      </c>
      <c r="DG1268" t="s">
        <v>267</v>
      </c>
      <c r="DI1268">
        <v>24</v>
      </c>
      <c r="DN1268" t="s">
        <v>268</v>
      </c>
      <c r="DP1268" t="s">
        <v>2580</v>
      </c>
      <c r="DR1268">
        <v>439395</v>
      </c>
      <c r="DS1268">
        <v>20147</v>
      </c>
      <c r="EW1268" t="s">
        <v>293</v>
      </c>
      <c r="FK1268" t="s">
        <v>2833</v>
      </c>
      <c r="GJ1268">
        <v>6.5</v>
      </c>
      <c r="GL1268">
        <v>7</v>
      </c>
      <c r="GM1268" t="s">
        <v>356</v>
      </c>
      <c r="GQ1268">
        <v>8</v>
      </c>
      <c r="GS1268">
        <v>8.1999999999999993</v>
      </c>
      <c r="HH1268" t="s">
        <v>272</v>
      </c>
      <c r="ID1268" t="s">
        <v>2834</v>
      </c>
      <c r="IE1268" t="s">
        <v>2583</v>
      </c>
      <c r="IF1268">
        <v>12327</v>
      </c>
      <c r="IG1268" t="s">
        <v>2584</v>
      </c>
      <c r="IH1268" t="s">
        <v>2585</v>
      </c>
      <c r="II1268">
        <v>1985</v>
      </c>
      <c r="IJ1268" t="s">
        <v>2586</v>
      </c>
    </row>
    <row r="1269" spans="1:244" x14ac:dyDescent="0.45">
      <c r="A1269">
        <v>1312282</v>
      </c>
      <c r="B1269">
        <v>769705</v>
      </c>
      <c r="C1269">
        <v>7758987</v>
      </c>
      <c r="D1269" t="s">
        <v>2545</v>
      </c>
      <c r="F1269" t="s">
        <v>245</v>
      </c>
      <c r="G1269" t="s">
        <v>246</v>
      </c>
      <c r="N1269" t="s">
        <v>958</v>
      </c>
      <c r="O1269" t="s">
        <v>959</v>
      </c>
      <c r="P1269" t="s">
        <v>249</v>
      </c>
      <c r="Q1269" t="s">
        <v>250</v>
      </c>
      <c r="R1269" t="s">
        <v>251</v>
      </c>
      <c r="T1269" t="s">
        <v>252</v>
      </c>
      <c r="U1269" t="s">
        <v>253</v>
      </c>
      <c r="V1269" t="s">
        <v>418</v>
      </c>
      <c r="W1269" t="s">
        <v>419</v>
      </c>
      <c r="X1269" t="s">
        <v>960</v>
      </c>
      <c r="Z1269" t="s">
        <v>649</v>
      </c>
      <c r="AL1269" t="s">
        <v>2587</v>
      </c>
      <c r="AM1269" t="s">
        <v>258</v>
      </c>
      <c r="AN1269" t="s">
        <v>259</v>
      </c>
      <c r="AO1269" t="s">
        <v>260</v>
      </c>
      <c r="AP1269">
        <v>7</v>
      </c>
      <c r="AQ1269" t="s">
        <v>261</v>
      </c>
      <c r="AS1269">
        <v>6.92</v>
      </c>
      <c r="AX1269" t="s">
        <v>356</v>
      </c>
      <c r="BO1269" t="s">
        <v>261</v>
      </c>
      <c r="BQ1269">
        <v>6.92</v>
      </c>
      <c r="BV1269" t="s">
        <v>263</v>
      </c>
      <c r="CM1269" t="s">
        <v>264</v>
      </c>
      <c r="CN1269" t="s">
        <v>264</v>
      </c>
      <c r="CP1269" t="s">
        <v>265</v>
      </c>
      <c r="CQ1269" t="s">
        <v>394</v>
      </c>
      <c r="DB1269">
        <v>2</v>
      </c>
      <c r="DG1269" t="s">
        <v>267</v>
      </c>
      <c r="DI1269">
        <v>48</v>
      </c>
      <c r="DN1269" t="s">
        <v>268</v>
      </c>
      <c r="DP1269" t="s">
        <v>2588</v>
      </c>
      <c r="DR1269">
        <v>6687</v>
      </c>
      <c r="DS1269">
        <v>252</v>
      </c>
      <c r="DT1269" t="s">
        <v>2589</v>
      </c>
      <c r="EW1269" t="s">
        <v>293</v>
      </c>
      <c r="FK1269" t="s">
        <v>2590</v>
      </c>
      <c r="FM1269">
        <v>26</v>
      </c>
      <c r="FR1269" t="s">
        <v>295</v>
      </c>
      <c r="GH1269">
        <v>6.09</v>
      </c>
      <c r="GM1269" t="s">
        <v>356</v>
      </c>
      <c r="GQ1269">
        <v>8.06</v>
      </c>
      <c r="GS1269">
        <v>8.24</v>
      </c>
      <c r="GU1269">
        <v>15</v>
      </c>
      <c r="GZ1269" t="s">
        <v>296</v>
      </c>
      <c r="HH1269" t="s">
        <v>272</v>
      </c>
      <c r="ID1269" t="s">
        <v>2591</v>
      </c>
      <c r="IE1269" t="s">
        <v>2592</v>
      </c>
      <c r="IF1269">
        <v>80017</v>
      </c>
      <c r="IG1269" t="s">
        <v>2593</v>
      </c>
      <c r="IH1269" t="s">
        <v>2594</v>
      </c>
      <c r="II1269">
        <v>2001</v>
      </c>
      <c r="IJ1269" t="s">
        <v>2595</v>
      </c>
    </row>
    <row r="1270" spans="1:244" x14ac:dyDescent="0.45">
      <c r="A1270">
        <v>1111442</v>
      </c>
      <c r="B1270">
        <v>106630</v>
      </c>
      <c r="C1270">
        <v>7758987</v>
      </c>
      <c r="D1270" t="s">
        <v>2545</v>
      </c>
      <c r="F1270" t="s">
        <v>327</v>
      </c>
      <c r="G1270" t="s">
        <v>246</v>
      </c>
      <c r="N1270" t="s">
        <v>606</v>
      </c>
      <c r="O1270" t="s">
        <v>607</v>
      </c>
      <c r="P1270" t="s">
        <v>249</v>
      </c>
      <c r="Q1270" t="s">
        <v>250</v>
      </c>
      <c r="R1270" t="s">
        <v>251</v>
      </c>
      <c r="T1270" t="s">
        <v>252</v>
      </c>
      <c r="U1270" t="s">
        <v>253</v>
      </c>
      <c r="V1270" t="s">
        <v>608</v>
      </c>
      <c r="W1270" t="s">
        <v>609</v>
      </c>
      <c r="X1270" t="s">
        <v>610</v>
      </c>
      <c r="AL1270" t="s">
        <v>2573</v>
      </c>
      <c r="AM1270" t="s">
        <v>307</v>
      </c>
      <c r="AN1270" t="s">
        <v>259</v>
      </c>
      <c r="AO1270" t="s">
        <v>260</v>
      </c>
      <c r="AQ1270" t="s">
        <v>261</v>
      </c>
      <c r="AS1270">
        <v>100</v>
      </c>
      <c r="AX1270" t="s">
        <v>262</v>
      </c>
      <c r="BO1270" t="s">
        <v>261</v>
      </c>
      <c r="BQ1270">
        <v>0.1</v>
      </c>
      <c r="BV1270" t="s">
        <v>263</v>
      </c>
      <c r="CM1270" t="s">
        <v>264</v>
      </c>
      <c r="CN1270" t="s">
        <v>264</v>
      </c>
      <c r="CP1270" t="s">
        <v>265</v>
      </c>
      <c r="CQ1270" t="s">
        <v>394</v>
      </c>
      <c r="DB1270">
        <v>4</v>
      </c>
      <c r="DG1270" t="s">
        <v>267</v>
      </c>
      <c r="DI1270">
        <v>96</v>
      </c>
      <c r="DN1270" t="s">
        <v>268</v>
      </c>
      <c r="DR1270">
        <v>6706</v>
      </c>
      <c r="DS1270">
        <v>346</v>
      </c>
      <c r="DT1270" t="s">
        <v>2574</v>
      </c>
      <c r="EW1270" t="s">
        <v>333</v>
      </c>
      <c r="FM1270">
        <v>13</v>
      </c>
      <c r="FR1270" t="s">
        <v>295</v>
      </c>
      <c r="GH1270">
        <v>9</v>
      </c>
      <c r="GJ1270">
        <v>7</v>
      </c>
      <c r="GL1270">
        <v>10</v>
      </c>
      <c r="GM1270" t="s">
        <v>356</v>
      </c>
      <c r="GO1270">
        <v>8</v>
      </c>
      <c r="GQ1270">
        <v>7.8</v>
      </c>
      <c r="GS1270">
        <v>8.1</v>
      </c>
      <c r="GW1270">
        <v>20</v>
      </c>
      <c r="GY1270">
        <v>30</v>
      </c>
      <c r="GZ1270" t="s">
        <v>296</v>
      </c>
      <c r="HH1270" t="s">
        <v>272</v>
      </c>
      <c r="IE1270" t="s">
        <v>911</v>
      </c>
      <c r="IF1270">
        <v>8399</v>
      </c>
      <c r="IG1270" t="s">
        <v>2575</v>
      </c>
      <c r="IH1270" t="s">
        <v>2576</v>
      </c>
      <c r="II1270">
        <v>1974</v>
      </c>
      <c r="IJ1270" t="s">
        <v>2577</v>
      </c>
    </row>
    <row r="1271" spans="1:244" x14ac:dyDescent="0.45">
      <c r="A1271">
        <v>1310648</v>
      </c>
      <c r="B1271">
        <v>767831</v>
      </c>
      <c r="C1271">
        <v>7758987</v>
      </c>
      <c r="D1271" t="s">
        <v>2545</v>
      </c>
      <c r="F1271" t="s">
        <v>245</v>
      </c>
      <c r="G1271" t="s">
        <v>246</v>
      </c>
      <c r="N1271" t="s">
        <v>471</v>
      </c>
      <c r="O1271" t="s">
        <v>388</v>
      </c>
      <c r="P1271" t="s">
        <v>249</v>
      </c>
      <c r="Q1271" t="s">
        <v>250</v>
      </c>
      <c r="R1271" t="s">
        <v>251</v>
      </c>
      <c r="T1271" t="s">
        <v>389</v>
      </c>
      <c r="U1271" t="s">
        <v>390</v>
      </c>
      <c r="V1271" t="s">
        <v>472</v>
      </c>
      <c r="W1271" t="s">
        <v>473</v>
      </c>
      <c r="X1271" t="s">
        <v>474</v>
      </c>
      <c r="AL1271" t="s">
        <v>2835</v>
      </c>
      <c r="AM1271" t="s">
        <v>317</v>
      </c>
      <c r="AN1271" t="s">
        <v>259</v>
      </c>
      <c r="AO1271" t="s">
        <v>260</v>
      </c>
      <c r="AQ1271" t="s">
        <v>261</v>
      </c>
      <c r="AS1271">
        <v>0.42809999999999998</v>
      </c>
      <c r="AX1271" t="s">
        <v>356</v>
      </c>
      <c r="BO1271" t="s">
        <v>261</v>
      </c>
      <c r="BQ1271">
        <v>0.42809999999999998</v>
      </c>
      <c r="BV1271" t="s">
        <v>263</v>
      </c>
      <c r="CM1271" t="s">
        <v>264</v>
      </c>
      <c r="CN1271" t="s">
        <v>264</v>
      </c>
      <c r="CP1271" t="s">
        <v>265</v>
      </c>
      <c r="CQ1271" t="s">
        <v>394</v>
      </c>
      <c r="DB1271">
        <v>2</v>
      </c>
      <c r="DG1271" t="s">
        <v>267</v>
      </c>
      <c r="DI1271">
        <v>48</v>
      </c>
      <c r="DN1271" t="s">
        <v>268</v>
      </c>
      <c r="DP1271" t="s">
        <v>2598</v>
      </c>
      <c r="DR1271">
        <v>2056173</v>
      </c>
      <c r="DS1271">
        <v>1053</v>
      </c>
      <c r="EW1271" t="s">
        <v>293</v>
      </c>
      <c r="FK1271" t="s">
        <v>2836</v>
      </c>
      <c r="HH1271" t="s">
        <v>272</v>
      </c>
      <c r="ID1271" t="s">
        <v>2837</v>
      </c>
      <c r="IE1271" t="s">
        <v>2685</v>
      </c>
      <c r="IF1271">
        <v>14474</v>
      </c>
      <c r="IG1271" t="s">
        <v>2686</v>
      </c>
      <c r="IH1271" t="s">
        <v>2687</v>
      </c>
      <c r="II1271">
        <v>1986</v>
      </c>
      <c r="IJ1271" t="s">
        <v>2688</v>
      </c>
    </row>
    <row r="1272" spans="1:244" x14ac:dyDescent="0.45">
      <c r="A1272">
        <v>1311423</v>
      </c>
      <c r="B1272">
        <v>768762</v>
      </c>
      <c r="C1272">
        <v>7758987</v>
      </c>
      <c r="D1272" t="s">
        <v>2545</v>
      </c>
      <c r="E1272" t="s">
        <v>386</v>
      </c>
      <c r="F1272" t="s">
        <v>245</v>
      </c>
      <c r="G1272" t="s">
        <v>246</v>
      </c>
      <c r="N1272" t="s">
        <v>2596</v>
      </c>
      <c r="O1272" t="s">
        <v>2597</v>
      </c>
      <c r="P1272" t="s">
        <v>249</v>
      </c>
      <c r="Q1272" t="s">
        <v>250</v>
      </c>
      <c r="R1272" t="s">
        <v>251</v>
      </c>
      <c r="T1272" t="s">
        <v>389</v>
      </c>
      <c r="U1272" t="s">
        <v>462</v>
      </c>
      <c r="V1272" t="s">
        <v>463</v>
      </c>
      <c r="W1272" t="s">
        <v>464</v>
      </c>
      <c r="X1272" t="s">
        <v>1291</v>
      </c>
      <c r="Z1272" t="s">
        <v>525</v>
      </c>
      <c r="AB1272">
        <v>6</v>
      </c>
      <c r="AG1272" t="s">
        <v>598</v>
      </c>
      <c r="AM1272" t="s">
        <v>287</v>
      </c>
      <c r="AN1272" t="s">
        <v>259</v>
      </c>
      <c r="AO1272" t="s">
        <v>260</v>
      </c>
      <c r="AP1272">
        <v>9</v>
      </c>
      <c r="AQ1272" t="s">
        <v>261</v>
      </c>
      <c r="AS1272">
        <v>213</v>
      </c>
      <c r="AX1272" t="s">
        <v>262</v>
      </c>
      <c r="BO1272" t="s">
        <v>261</v>
      </c>
      <c r="BQ1272">
        <v>0.21299999999999999</v>
      </c>
      <c r="BV1272" t="s">
        <v>263</v>
      </c>
      <c r="CM1272" t="s">
        <v>264</v>
      </c>
      <c r="CN1272" t="s">
        <v>264</v>
      </c>
      <c r="CP1272" t="s">
        <v>265</v>
      </c>
      <c r="CQ1272" t="s">
        <v>394</v>
      </c>
      <c r="DB1272">
        <v>2</v>
      </c>
      <c r="DG1272" t="s">
        <v>267</v>
      </c>
      <c r="DI1272">
        <v>48</v>
      </c>
      <c r="DN1272" t="s">
        <v>268</v>
      </c>
      <c r="DP1272" t="s">
        <v>2598</v>
      </c>
      <c r="DR1272">
        <v>1232801</v>
      </c>
      <c r="DS1272">
        <v>1780</v>
      </c>
      <c r="DT1272" t="s">
        <v>2599</v>
      </c>
      <c r="EW1272" t="s">
        <v>293</v>
      </c>
      <c r="FA1272" t="s">
        <v>2600</v>
      </c>
      <c r="FK1272" t="s">
        <v>2838</v>
      </c>
      <c r="FM1272">
        <v>24</v>
      </c>
      <c r="FR1272" t="s">
        <v>295</v>
      </c>
      <c r="GU1272">
        <v>34</v>
      </c>
      <c r="GZ1272" t="s">
        <v>362</v>
      </c>
      <c r="HH1272" t="s">
        <v>272</v>
      </c>
      <c r="ID1272" t="s">
        <v>2839</v>
      </c>
      <c r="IE1272" t="s">
        <v>2603</v>
      </c>
      <c r="IF1272">
        <v>105012</v>
      </c>
      <c r="IG1272" t="s">
        <v>2604</v>
      </c>
      <c r="IH1272" t="s">
        <v>2605</v>
      </c>
      <c r="II1272">
        <v>2005</v>
      </c>
      <c r="IJ1272" t="s">
        <v>2606</v>
      </c>
    </row>
    <row r="1273" spans="1:244" x14ac:dyDescent="0.45">
      <c r="A1273">
        <v>1299777</v>
      </c>
      <c r="B1273">
        <v>755376</v>
      </c>
      <c r="C1273">
        <v>7758987</v>
      </c>
      <c r="D1273" t="s">
        <v>2545</v>
      </c>
      <c r="F1273" t="s">
        <v>245</v>
      </c>
      <c r="G1273" t="s">
        <v>246</v>
      </c>
      <c r="N1273" t="s">
        <v>371</v>
      </c>
      <c r="O1273" t="s">
        <v>2840</v>
      </c>
      <c r="P1273" t="s">
        <v>249</v>
      </c>
      <c r="Q1273" t="s">
        <v>250</v>
      </c>
      <c r="R1273" t="s">
        <v>251</v>
      </c>
      <c r="T1273" t="s">
        <v>252</v>
      </c>
      <c r="U1273" t="s">
        <v>371</v>
      </c>
      <c r="AM1273" t="s">
        <v>317</v>
      </c>
      <c r="AN1273" t="s">
        <v>259</v>
      </c>
      <c r="AO1273" t="s">
        <v>260</v>
      </c>
      <c r="AQ1273" t="s">
        <v>261</v>
      </c>
      <c r="AS1273">
        <v>1.1200000000000001</v>
      </c>
      <c r="AX1273" t="s">
        <v>356</v>
      </c>
      <c r="BO1273" t="s">
        <v>261</v>
      </c>
      <c r="BQ1273">
        <v>1.1200000000000001</v>
      </c>
      <c r="BV1273" t="s">
        <v>263</v>
      </c>
      <c r="CM1273" t="s">
        <v>264</v>
      </c>
      <c r="CN1273" t="s">
        <v>264</v>
      </c>
      <c r="CP1273" t="s">
        <v>265</v>
      </c>
      <c r="DB1273">
        <v>1</v>
      </c>
      <c r="DG1273" t="s">
        <v>267</v>
      </c>
      <c r="DI1273">
        <v>24</v>
      </c>
      <c r="DN1273" t="s">
        <v>268</v>
      </c>
      <c r="DP1273" t="s">
        <v>2580</v>
      </c>
      <c r="DR1273">
        <v>75399</v>
      </c>
      <c r="DS1273">
        <v>1984</v>
      </c>
      <c r="EW1273" t="s">
        <v>293</v>
      </c>
      <c r="FK1273" t="s">
        <v>2841</v>
      </c>
      <c r="GJ1273">
        <v>6.5</v>
      </c>
      <c r="GL1273">
        <v>7</v>
      </c>
      <c r="GM1273" t="s">
        <v>356</v>
      </c>
      <c r="GQ1273">
        <v>8</v>
      </c>
      <c r="GS1273">
        <v>8.1999999999999993</v>
      </c>
      <c r="HH1273" t="s">
        <v>272</v>
      </c>
      <c r="ID1273" t="s">
        <v>2842</v>
      </c>
      <c r="IE1273" t="s">
        <v>2583</v>
      </c>
      <c r="IF1273">
        <v>12327</v>
      </c>
      <c r="IG1273" t="s">
        <v>2584</v>
      </c>
      <c r="IH1273" t="s">
        <v>2585</v>
      </c>
      <c r="II1273">
        <v>1985</v>
      </c>
      <c r="IJ1273" t="s">
        <v>2586</v>
      </c>
    </row>
    <row r="1274" spans="1:244" x14ac:dyDescent="0.45">
      <c r="A1274">
        <v>1269763</v>
      </c>
      <c r="B1274">
        <v>721061</v>
      </c>
      <c r="C1274">
        <v>7758987</v>
      </c>
      <c r="D1274" t="s">
        <v>2545</v>
      </c>
      <c r="F1274" t="s">
        <v>327</v>
      </c>
      <c r="G1274" t="s">
        <v>246</v>
      </c>
      <c r="N1274" t="s">
        <v>2157</v>
      </c>
      <c r="O1274" t="s">
        <v>578</v>
      </c>
      <c r="P1274" t="s">
        <v>249</v>
      </c>
      <c r="Q1274" t="s">
        <v>250</v>
      </c>
      <c r="R1274" t="s">
        <v>251</v>
      </c>
      <c r="T1274" t="s">
        <v>252</v>
      </c>
      <c r="U1274" t="s">
        <v>499</v>
      </c>
      <c r="V1274" t="s">
        <v>1217</v>
      </c>
      <c r="W1274" t="s">
        <v>1218</v>
      </c>
      <c r="X1274" t="s">
        <v>351</v>
      </c>
      <c r="Z1274" t="s">
        <v>649</v>
      </c>
      <c r="AA1274" t="s">
        <v>289</v>
      </c>
      <c r="AB1274">
        <v>7</v>
      </c>
      <c r="AG1274" t="s">
        <v>267</v>
      </c>
      <c r="AL1274" t="s">
        <v>2178</v>
      </c>
      <c r="AM1274" t="s">
        <v>317</v>
      </c>
      <c r="AN1274" t="s">
        <v>259</v>
      </c>
      <c r="AO1274" t="s">
        <v>260</v>
      </c>
      <c r="AP1274">
        <v>5</v>
      </c>
      <c r="AQ1274" t="s">
        <v>504</v>
      </c>
      <c r="AS1274">
        <v>120</v>
      </c>
      <c r="AX1274" t="s">
        <v>262</v>
      </c>
      <c r="BO1274" t="s">
        <v>504</v>
      </c>
      <c r="BQ1274">
        <v>0.12</v>
      </c>
      <c r="BV1274" t="s">
        <v>263</v>
      </c>
      <c r="CM1274" t="s">
        <v>264</v>
      </c>
      <c r="CN1274" t="s">
        <v>264</v>
      </c>
      <c r="CP1274" t="s">
        <v>265</v>
      </c>
      <c r="CQ1274" t="s">
        <v>394</v>
      </c>
      <c r="DB1274">
        <v>4</v>
      </c>
      <c r="DG1274" t="s">
        <v>267</v>
      </c>
      <c r="DI1274">
        <v>96</v>
      </c>
      <c r="DN1274" t="s">
        <v>268</v>
      </c>
      <c r="DP1274" t="s">
        <v>2554</v>
      </c>
      <c r="DR1274">
        <v>315597</v>
      </c>
      <c r="DS1274">
        <v>18408</v>
      </c>
      <c r="DT1274" t="s">
        <v>2160</v>
      </c>
      <c r="EW1274" t="s">
        <v>293</v>
      </c>
      <c r="FA1274" t="s">
        <v>2843</v>
      </c>
      <c r="FK1274" t="s">
        <v>2844</v>
      </c>
      <c r="FO1274">
        <v>20.5</v>
      </c>
      <c r="FQ1274">
        <v>21.2</v>
      </c>
      <c r="FR1274" t="s">
        <v>295</v>
      </c>
      <c r="GG1274" t="s">
        <v>288</v>
      </c>
      <c r="GH1274">
        <v>95</v>
      </c>
      <c r="GM1274" t="s">
        <v>900</v>
      </c>
      <c r="GQ1274">
        <v>8</v>
      </c>
      <c r="GS1274">
        <v>8.1999999999999993</v>
      </c>
      <c r="GW1274">
        <v>30</v>
      </c>
      <c r="GY1274">
        <v>32</v>
      </c>
      <c r="GZ1274" t="s">
        <v>296</v>
      </c>
      <c r="HH1274" t="s">
        <v>272</v>
      </c>
      <c r="ID1274" t="s">
        <v>2845</v>
      </c>
      <c r="IE1274" t="s">
        <v>2164</v>
      </c>
      <c r="IF1274">
        <v>100591</v>
      </c>
      <c r="IG1274" t="s">
        <v>2165</v>
      </c>
      <c r="IH1274" t="s">
        <v>2166</v>
      </c>
      <c r="II1274">
        <v>2006</v>
      </c>
      <c r="IJ1274" t="s">
        <v>2167</v>
      </c>
    </row>
    <row r="1275" spans="1:244" x14ac:dyDescent="0.45">
      <c r="A1275">
        <v>1272681</v>
      </c>
      <c r="B1275">
        <v>723980</v>
      </c>
      <c r="C1275">
        <v>7758987</v>
      </c>
      <c r="D1275" t="s">
        <v>2545</v>
      </c>
      <c r="F1275" t="s">
        <v>245</v>
      </c>
      <c r="G1275" t="s">
        <v>246</v>
      </c>
      <c r="N1275" t="s">
        <v>1982</v>
      </c>
      <c r="O1275" t="s">
        <v>656</v>
      </c>
      <c r="P1275" t="s">
        <v>249</v>
      </c>
      <c r="Q1275" t="s">
        <v>250</v>
      </c>
      <c r="R1275" t="s">
        <v>251</v>
      </c>
      <c r="T1275" t="s">
        <v>252</v>
      </c>
      <c r="U1275" t="s">
        <v>253</v>
      </c>
      <c r="V1275" t="s">
        <v>657</v>
      </c>
      <c r="W1275" t="s">
        <v>1983</v>
      </c>
      <c r="X1275" t="s">
        <v>1984</v>
      </c>
      <c r="Z1275" t="s">
        <v>315</v>
      </c>
      <c r="AL1275" t="s">
        <v>1985</v>
      </c>
      <c r="AM1275" t="s">
        <v>317</v>
      </c>
      <c r="AN1275" t="s">
        <v>259</v>
      </c>
      <c r="AO1275" t="s">
        <v>260</v>
      </c>
      <c r="AP1275">
        <v>7</v>
      </c>
      <c r="AQ1275" t="s">
        <v>261</v>
      </c>
      <c r="AS1275">
        <v>2</v>
      </c>
      <c r="AU1275">
        <v>1.65</v>
      </c>
      <c r="AW1275">
        <v>2.35</v>
      </c>
      <c r="AX1275" t="s">
        <v>356</v>
      </c>
      <c r="BO1275" t="s">
        <v>261</v>
      </c>
      <c r="BQ1275">
        <v>2</v>
      </c>
      <c r="BS1275">
        <v>1.65</v>
      </c>
      <c r="BU1275">
        <v>2.35</v>
      </c>
      <c r="BV1275" t="s">
        <v>263</v>
      </c>
      <c r="CM1275" t="s">
        <v>264</v>
      </c>
      <c r="CN1275" t="s">
        <v>264</v>
      </c>
      <c r="CP1275" t="s">
        <v>265</v>
      </c>
      <c r="CQ1275" t="s">
        <v>394</v>
      </c>
      <c r="DB1275">
        <v>4</v>
      </c>
      <c r="DG1275" t="s">
        <v>267</v>
      </c>
      <c r="DI1275">
        <v>96</v>
      </c>
      <c r="DN1275" t="s">
        <v>268</v>
      </c>
      <c r="DP1275" t="s">
        <v>2607</v>
      </c>
      <c r="DR1275">
        <v>1436025</v>
      </c>
      <c r="DS1275">
        <v>18545</v>
      </c>
      <c r="EW1275" t="s">
        <v>293</v>
      </c>
      <c r="FA1275" t="s">
        <v>2024</v>
      </c>
      <c r="FK1275" t="s">
        <v>2846</v>
      </c>
      <c r="FM1275">
        <v>24</v>
      </c>
      <c r="FR1275" t="s">
        <v>295</v>
      </c>
      <c r="GH1275">
        <v>68</v>
      </c>
      <c r="GM1275" t="s">
        <v>900</v>
      </c>
      <c r="GO1275">
        <v>7.33</v>
      </c>
      <c r="GU1275">
        <v>17</v>
      </c>
      <c r="GZ1275" t="s">
        <v>296</v>
      </c>
      <c r="HH1275" t="s">
        <v>272</v>
      </c>
      <c r="ID1275" t="s">
        <v>2847</v>
      </c>
      <c r="IE1275" t="s">
        <v>1989</v>
      </c>
      <c r="IF1275">
        <v>47360</v>
      </c>
      <c r="IG1275" t="s">
        <v>1990</v>
      </c>
      <c r="IH1275" t="s">
        <v>1991</v>
      </c>
      <c r="II1275">
        <v>1998</v>
      </c>
      <c r="IJ1275" t="s">
        <v>1992</v>
      </c>
    </row>
    <row r="1276" spans="1:244" x14ac:dyDescent="0.45">
      <c r="A1276">
        <v>1204313</v>
      </c>
      <c r="B1276">
        <v>209164</v>
      </c>
      <c r="C1276">
        <v>7758987</v>
      </c>
      <c r="D1276" t="s">
        <v>2545</v>
      </c>
      <c r="E1276" t="s">
        <v>622</v>
      </c>
      <c r="F1276" t="s">
        <v>245</v>
      </c>
      <c r="G1276" t="s">
        <v>246</v>
      </c>
      <c r="N1276" t="s">
        <v>1817</v>
      </c>
      <c r="O1276" t="s">
        <v>248</v>
      </c>
      <c r="P1276" t="s">
        <v>249</v>
      </c>
      <c r="Q1276" t="s">
        <v>250</v>
      </c>
      <c r="R1276" t="s">
        <v>251</v>
      </c>
      <c r="T1276" t="s">
        <v>252</v>
      </c>
      <c r="U1276" t="s">
        <v>253</v>
      </c>
      <c r="V1276" t="s">
        <v>1231</v>
      </c>
      <c r="W1276" t="s">
        <v>1818</v>
      </c>
      <c r="X1276" t="s">
        <v>351</v>
      </c>
      <c r="Z1276" t="s">
        <v>284</v>
      </c>
      <c r="AA1276" t="s">
        <v>289</v>
      </c>
      <c r="AB1276">
        <v>8</v>
      </c>
      <c r="AG1276" t="s">
        <v>268</v>
      </c>
      <c r="AL1276" t="s">
        <v>1819</v>
      </c>
      <c r="AM1276" t="s">
        <v>258</v>
      </c>
      <c r="AN1276" t="s">
        <v>259</v>
      </c>
      <c r="AO1276" t="s">
        <v>260</v>
      </c>
      <c r="AQ1276" t="s">
        <v>261</v>
      </c>
      <c r="AS1276">
        <v>150</v>
      </c>
      <c r="AU1276">
        <v>111.11</v>
      </c>
      <c r="AW1276">
        <v>202.5</v>
      </c>
      <c r="AX1276" t="s">
        <v>262</v>
      </c>
      <c r="BO1276" t="s">
        <v>261</v>
      </c>
      <c r="BQ1276">
        <v>0.15</v>
      </c>
      <c r="BS1276">
        <v>0.11111</v>
      </c>
      <c r="BU1276">
        <v>0.20250000000000001</v>
      </c>
      <c r="BV1276" t="s">
        <v>263</v>
      </c>
      <c r="CM1276" t="s">
        <v>264</v>
      </c>
      <c r="CN1276" t="s">
        <v>264</v>
      </c>
      <c r="CP1276" t="s">
        <v>265</v>
      </c>
      <c r="DB1276">
        <v>4</v>
      </c>
      <c r="DG1276" t="s">
        <v>267</v>
      </c>
      <c r="DI1276">
        <v>96</v>
      </c>
      <c r="DN1276" t="s">
        <v>268</v>
      </c>
      <c r="DR1276">
        <v>1041454</v>
      </c>
      <c r="DS1276">
        <v>10965</v>
      </c>
      <c r="EW1276" t="s">
        <v>293</v>
      </c>
      <c r="GU1276">
        <v>25</v>
      </c>
      <c r="GZ1276" t="s">
        <v>296</v>
      </c>
      <c r="HH1276" t="s">
        <v>272</v>
      </c>
      <c r="IE1276" t="s">
        <v>1820</v>
      </c>
      <c r="IF1276">
        <v>18580</v>
      </c>
      <c r="IG1276" t="s">
        <v>1821</v>
      </c>
      <c r="IH1276" t="s">
        <v>1822</v>
      </c>
      <c r="II1276">
        <v>1996</v>
      </c>
      <c r="IJ1276" t="s">
        <v>1823</v>
      </c>
    </row>
    <row r="1277" spans="1:244" x14ac:dyDescent="0.45">
      <c r="A1277">
        <v>1196479</v>
      </c>
      <c r="B1277">
        <v>149554</v>
      </c>
      <c r="C1277">
        <v>7758987</v>
      </c>
      <c r="D1277" t="s">
        <v>2545</v>
      </c>
      <c r="F1277" t="s">
        <v>272</v>
      </c>
      <c r="G1277" t="s">
        <v>246</v>
      </c>
      <c r="N1277" t="s">
        <v>789</v>
      </c>
      <c r="O1277" t="s">
        <v>790</v>
      </c>
      <c r="P1277" t="s">
        <v>249</v>
      </c>
      <c r="Q1277" t="s">
        <v>250</v>
      </c>
      <c r="R1277" t="s">
        <v>251</v>
      </c>
      <c r="T1277" t="s">
        <v>252</v>
      </c>
      <c r="U1277" t="s">
        <v>253</v>
      </c>
      <c r="V1277" t="s">
        <v>418</v>
      </c>
      <c r="W1277" t="s">
        <v>791</v>
      </c>
      <c r="X1277" t="s">
        <v>792</v>
      </c>
      <c r="Z1277" t="s">
        <v>421</v>
      </c>
      <c r="AM1277" t="s">
        <v>287</v>
      </c>
      <c r="AN1277" t="s">
        <v>259</v>
      </c>
      <c r="AO1277" t="s">
        <v>260</v>
      </c>
      <c r="AQ1277" t="s">
        <v>261</v>
      </c>
      <c r="AS1277">
        <v>319000</v>
      </c>
      <c r="AU1277">
        <v>279000</v>
      </c>
      <c r="AW1277">
        <v>364000</v>
      </c>
      <c r="AX1277" t="s">
        <v>262</v>
      </c>
      <c r="BO1277" t="s">
        <v>261</v>
      </c>
      <c r="BQ1277">
        <v>319</v>
      </c>
      <c r="BS1277">
        <v>279</v>
      </c>
      <c r="BU1277">
        <v>364</v>
      </c>
      <c r="BV1277" t="s">
        <v>263</v>
      </c>
      <c r="CM1277" t="s">
        <v>264</v>
      </c>
      <c r="CN1277" t="s">
        <v>264</v>
      </c>
      <c r="CO1277" t="s">
        <v>2549</v>
      </c>
      <c r="CP1277" t="s">
        <v>265</v>
      </c>
      <c r="DB1277">
        <v>1</v>
      </c>
      <c r="DG1277" t="s">
        <v>267</v>
      </c>
      <c r="DI1277">
        <v>24</v>
      </c>
      <c r="DN1277" t="s">
        <v>268</v>
      </c>
      <c r="DR1277">
        <v>161924</v>
      </c>
      <c r="DS1277">
        <v>3045</v>
      </c>
      <c r="EW1277" t="s">
        <v>272</v>
      </c>
      <c r="FO1277">
        <v>25.2</v>
      </c>
      <c r="FQ1277">
        <v>29.5</v>
      </c>
      <c r="FR1277" t="s">
        <v>295</v>
      </c>
      <c r="GQ1277">
        <v>7.7</v>
      </c>
      <c r="GS1277">
        <v>8.3000000000000007</v>
      </c>
      <c r="GW1277">
        <v>26</v>
      </c>
      <c r="GY1277">
        <v>34</v>
      </c>
      <c r="GZ1277" t="s">
        <v>296</v>
      </c>
      <c r="HH1277" t="s">
        <v>272</v>
      </c>
      <c r="IE1277" t="s">
        <v>2550</v>
      </c>
      <c r="IF1277">
        <v>17681</v>
      </c>
      <c r="IG1277" t="s">
        <v>2551</v>
      </c>
      <c r="IH1277" t="s">
        <v>2552</v>
      </c>
      <c r="II1277">
        <v>1990</v>
      </c>
      <c r="IJ1277" t="s">
        <v>2553</v>
      </c>
    </row>
    <row r="1278" spans="1:244" x14ac:dyDescent="0.45">
      <c r="A1278">
        <v>1153348</v>
      </c>
      <c r="B1278">
        <v>160863</v>
      </c>
      <c r="C1278">
        <v>7758987</v>
      </c>
      <c r="D1278" t="s">
        <v>2545</v>
      </c>
      <c r="F1278" t="s">
        <v>245</v>
      </c>
      <c r="G1278" t="s">
        <v>246</v>
      </c>
      <c r="N1278" t="s">
        <v>1672</v>
      </c>
      <c r="O1278" t="s">
        <v>1673</v>
      </c>
      <c r="P1278" t="s">
        <v>249</v>
      </c>
      <c r="Q1278" t="s">
        <v>250</v>
      </c>
      <c r="R1278" t="s">
        <v>251</v>
      </c>
      <c r="T1278" t="s">
        <v>252</v>
      </c>
      <c r="U1278" t="s">
        <v>253</v>
      </c>
      <c r="V1278" t="s">
        <v>1674</v>
      </c>
      <c r="W1278" t="s">
        <v>1675</v>
      </c>
      <c r="X1278" t="s">
        <v>1676</v>
      </c>
      <c r="Z1278" t="s">
        <v>1677</v>
      </c>
      <c r="AL1278" t="s">
        <v>1678</v>
      </c>
      <c r="AM1278" t="s">
        <v>287</v>
      </c>
      <c r="AN1278" t="s">
        <v>259</v>
      </c>
      <c r="AO1278" t="s">
        <v>260</v>
      </c>
      <c r="AQ1278" t="s">
        <v>261</v>
      </c>
      <c r="AS1278">
        <v>112400</v>
      </c>
      <c r="AX1278" t="s">
        <v>262</v>
      </c>
      <c r="BO1278" t="s">
        <v>261</v>
      </c>
      <c r="BQ1278">
        <v>112.4</v>
      </c>
      <c r="BV1278" t="s">
        <v>263</v>
      </c>
      <c r="CM1278" t="s">
        <v>264</v>
      </c>
      <c r="CN1278" t="s">
        <v>264</v>
      </c>
      <c r="CP1278" t="s">
        <v>265</v>
      </c>
      <c r="DB1278">
        <v>2</v>
      </c>
      <c r="DG1278" t="s">
        <v>267</v>
      </c>
      <c r="DI1278">
        <v>48</v>
      </c>
      <c r="DN1278" t="s">
        <v>268</v>
      </c>
      <c r="DR1278">
        <v>1460405</v>
      </c>
      <c r="DS1278">
        <v>5936</v>
      </c>
      <c r="EW1278" t="s">
        <v>293</v>
      </c>
      <c r="FK1278" t="s">
        <v>1679</v>
      </c>
      <c r="HH1278" t="s">
        <v>272</v>
      </c>
      <c r="ID1278" t="s">
        <v>1680</v>
      </c>
      <c r="IE1278" t="s">
        <v>1681</v>
      </c>
      <c r="IF1278">
        <v>13233</v>
      </c>
      <c r="IG1278" t="s">
        <v>1682</v>
      </c>
      <c r="IH1278" t="s">
        <v>1683</v>
      </c>
      <c r="II1278">
        <v>1988</v>
      </c>
      <c r="IJ1278" t="s">
        <v>1684</v>
      </c>
    </row>
    <row r="1279" spans="1:244" x14ac:dyDescent="0.45">
      <c r="A1279">
        <v>1312289</v>
      </c>
      <c r="B1279">
        <v>769712</v>
      </c>
      <c r="C1279">
        <v>7758987</v>
      </c>
      <c r="D1279" t="s">
        <v>2545</v>
      </c>
      <c r="F1279" t="s">
        <v>245</v>
      </c>
      <c r="G1279" t="s">
        <v>246</v>
      </c>
      <c r="N1279" t="s">
        <v>958</v>
      </c>
      <c r="O1279" t="s">
        <v>959</v>
      </c>
      <c r="P1279" t="s">
        <v>249</v>
      </c>
      <c r="Q1279" t="s">
        <v>250</v>
      </c>
      <c r="R1279" t="s">
        <v>251</v>
      </c>
      <c r="T1279" t="s">
        <v>252</v>
      </c>
      <c r="U1279" t="s">
        <v>253</v>
      </c>
      <c r="V1279" t="s">
        <v>418</v>
      </c>
      <c r="W1279" t="s">
        <v>419</v>
      </c>
      <c r="X1279" t="s">
        <v>960</v>
      </c>
      <c r="Z1279" t="s">
        <v>649</v>
      </c>
      <c r="AL1279" t="s">
        <v>2587</v>
      </c>
      <c r="AM1279" t="s">
        <v>258</v>
      </c>
      <c r="AN1279" t="s">
        <v>259</v>
      </c>
      <c r="AO1279" t="s">
        <v>260</v>
      </c>
      <c r="AP1279">
        <v>7</v>
      </c>
      <c r="AQ1279" t="s">
        <v>261</v>
      </c>
      <c r="AS1279">
        <v>13.15</v>
      </c>
      <c r="AX1279" t="s">
        <v>356</v>
      </c>
      <c r="BO1279" t="s">
        <v>261</v>
      </c>
      <c r="BQ1279">
        <v>13.15</v>
      </c>
      <c r="BV1279" t="s">
        <v>263</v>
      </c>
      <c r="CM1279" t="s">
        <v>264</v>
      </c>
      <c r="CN1279" t="s">
        <v>264</v>
      </c>
      <c r="CP1279" t="s">
        <v>265</v>
      </c>
      <c r="CQ1279" t="s">
        <v>394</v>
      </c>
      <c r="DB1279">
        <v>2</v>
      </c>
      <c r="DG1279" t="s">
        <v>267</v>
      </c>
      <c r="DI1279">
        <v>48</v>
      </c>
      <c r="DN1279" t="s">
        <v>268</v>
      </c>
      <c r="DP1279" t="s">
        <v>2588</v>
      </c>
      <c r="DR1279">
        <v>6687</v>
      </c>
      <c r="DS1279">
        <v>252</v>
      </c>
      <c r="DT1279" t="s">
        <v>2589</v>
      </c>
      <c r="EW1279" t="s">
        <v>293</v>
      </c>
      <c r="FK1279" t="s">
        <v>2676</v>
      </c>
      <c r="FM1279">
        <v>26</v>
      </c>
      <c r="FR1279" t="s">
        <v>295</v>
      </c>
      <c r="GH1279">
        <v>6.09</v>
      </c>
      <c r="GM1279" t="s">
        <v>356</v>
      </c>
      <c r="GQ1279">
        <v>8.06</v>
      </c>
      <c r="GS1279">
        <v>8.24</v>
      </c>
      <c r="GU1279">
        <v>25</v>
      </c>
      <c r="GZ1279" t="s">
        <v>296</v>
      </c>
      <c r="HH1279" t="s">
        <v>272</v>
      </c>
      <c r="ID1279" t="s">
        <v>2677</v>
      </c>
      <c r="IE1279" t="s">
        <v>2592</v>
      </c>
      <c r="IF1279">
        <v>80017</v>
      </c>
      <c r="IG1279" t="s">
        <v>2593</v>
      </c>
      <c r="IH1279" t="s">
        <v>2594</v>
      </c>
      <c r="II1279">
        <v>2001</v>
      </c>
      <c r="IJ1279" t="s">
        <v>2595</v>
      </c>
    </row>
    <row r="1280" spans="1:244" x14ac:dyDescent="0.45">
      <c r="A1280">
        <v>1111444</v>
      </c>
      <c r="B1280">
        <v>106632</v>
      </c>
      <c r="C1280">
        <v>7758987</v>
      </c>
      <c r="D1280" t="s">
        <v>2545</v>
      </c>
      <c r="F1280" t="s">
        <v>327</v>
      </c>
      <c r="G1280" t="s">
        <v>246</v>
      </c>
      <c r="N1280" t="s">
        <v>606</v>
      </c>
      <c r="O1280" t="s">
        <v>607</v>
      </c>
      <c r="P1280" t="s">
        <v>249</v>
      </c>
      <c r="Q1280" t="s">
        <v>250</v>
      </c>
      <c r="R1280" t="s">
        <v>251</v>
      </c>
      <c r="T1280" t="s">
        <v>252</v>
      </c>
      <c r="U1280" t="s">
        <v>253</v>
      </c>
      <c r="V1280" t="s">
        <v>608</v>
      </c>
      <c r="W1280" t="s">
        <v>609</v>
      </c>
      <c r="X1280" t="s">
        <v>610</v>
      </c>
      <c r="AL1280" t="s">
        <v>2573</v>
      </c>
      <c r="AM1280" t="s">
        <v>307</v>
      </c>
      <c r="AN1280" t="s">
        <v>259</v>
      </c>
      <c r="AO1280" t="s">
        <v>260</v>
      </c>
      <c r="AQ1280" t="s">
        <v>261</v>
      </c>
      <c r="AS1280">
        <v>560</v>
      </c>
      <c r="AX1280" t="s">
        <v>262</v>
      </c>
      <c r="BO1280" t="s">
        <v>261</v>
      </c>
      <c r="BQ1280">
        <v>0.56000000000000005</v>
      </c>
      <c r="BV1280" t="s">
        <v>263</v>
      </c>
      <c r="CM1280" t="s">
        <v>264</v>
      </c>
      <c r="CN1280" t="s">
        <v>264</v>
      </c>
      <c r="CP1280" t="s">
        <v>265</v>
      </c>
      <c r="CQ1280" t="s">
        <v>394</v>
      </c>
      <c r="DB1280">
        <v>2</v>
      </c>
      <c r="DG1280" t="s">
        <v>267</v>
      </c>
      <c r="DI1280">
        <v>48</v>
      </c>
      <c r="DN1280" t="s">
        <v>268</v>
      </c>
      <c r="DR1280">
        <v>6706</v>
      </c>
      <c r="DS1280">
        <v>346</v>
      </c>
      <c r="DT1280" t="s">
        <v>2574</v>
      </c>
      <c r="EW1280" t="s">
        <v>333</v>
      </c>
      <c r="FM1280">
        <v>13</v>
      </c>
      <c r="FR1280" t="s">
        <v>295</v>
      </c>
      <c r="GH1280">
        <v>9</v>
      </c>
      <c r="GJ1280">
        <v>7</v>
      </c>
      <c r="GL1280">
        <v>10</v>
      </c>
      <c r="GM1280" t="s">
        <v>356</v>
      </c>
      <c r="GO1280">
        <v>8</v>
      </c>
      <c r="GQ1280">
        <v>7.8</v>
      </c>
      <c r="GS1280">
        <v>8.1</v>
      </c>
      <c r="GW1280">
        <v>20</v>
      </c>
      <c r="GY1280">
        <v>30</v>
      </c>
      <c r="GZ1280" t="s">
        <v>296</v>
      </c>
      <c r="HH1280" t="s">
        <v>272</v>
      </c>
      <c r="IE1280" t="s">
        <v>911</v>
      </c>
      <c r="IF1280">
        <v>8399</v>
      </c>
      <c r="IG1280" t="s">
        <v>2575</v>
      </c>
      <c r="IH1280" t="s">
        <v>2576</v>
      </c>
      <c r="II1280">
        <v>1974</v>
      </c>
      <c r="IJ1280" t="s">
        <v>2577</v>
      </c>
    </row>
    <row r="1281" spans="1:244" x14ac:dyDescent="0.45">
      <c r="A1281">
        <v>1151172</v>
      </c>
      <c r="B1281">
        <v>104879</v>
      </c>
      <c r="C1281">
        <v>7758987</v>
      </c>
      <c r="D1281" t="s">
        <v>2545</v>
      </c>
      <c r="F1281" t="s">
        <v>245</v>
      </c>
      <c r="G1281" t="s">
        <v>246</v>
      </c>
      <c r="N1281" t="s">
        <v>247</v>
      </c>
      <c r="O1281" t="s">
        <v>248</v>
      </c>
      <c r="P1281" t="s">
        <v>249</v>
      </c>
      <c r="Q1281" t="s">
        <v>250</v>
      </c>
      <c r="R1281" t="s">
        <v>251</v>
      </c>
      <c r="T1281" t="s">
        <v>252</v>
      </c>
      <c r="U1281" t="s">
        <v>253</v>
      </c>
      <c r="V1281" t="s">
        <v>254</v>
      </c>
      <c r="W1281" t="s">
        <v>255</v>
      </c>
      <c r="X1281" t="s">
        <v>256</v>
      </c>
      <c r="Z1281" t="s">
        <v>1057</v>
      </c>
      <c r="AL1281" t="s">
        <v>1777</v>
      </c>
      <c r="AM1281" t="s">
        <v>317</v>
      </c>
      <c r="AN1281" t="s">
        <v>259</v>
      </c>
      <c r="AO1281" t="s">
        <v>260</v>
      </c>
      <c r="AQ1281" t="s">
        <v>261</v>
      </c>
      <c r="AS1281">
        <v>346700</v>
      </c>
      <c r="AX1281" t="s">
        <v>262</v>
      </c>
      <c r="BO1281" t="s">
        <v>261</v>
      </c>
      <c r="BQ1281">
        <v>346.7</v>
      </c>
      <c r="BV1281" t="s">
        <v>263</v>
      </c>
      <c r="CM1281" t="s">
        <v>264</v>
      </c>
      <c r="CN1281" t="s">
        <v>264</v>
      </c>
      <c r="CP1281" t="s">
        <v>265</v>
      </c>
      <c r="DB1281">
        <v>4</v>
      </c>
      <c r="DG1281" t="s">
        <v>267</v>
      </c>
      <c r="DI1281">
        <v>96</v>
      </c>
      <c r="DN1281" t="s">
        <v>268</v>
      </c>
      <c r="DR1281">
        <v>6761</v>
      </c>
      <c r="DS1281">
        <v>2461</v>
      </c>
      <c r="EW1281" t="s">
        <v>293</v>
      </c>
      <c r="HH1281" t="s">
        <v>272</v>
      </c>
      <c r="IE1281" t="s">
        <v>1778</v>
      </c>
      <c r="IF1281">
        <v>12895</v>
      </c>
      <c r="IG1281" t="s">
        <v>1779</v>
      </c>
      <c r="IH1281" t="s">
        <v>1780</v>
      </c>
      <c r="II1281">
        <v>1986</v>
      </c>
      <c r="IJ1281" t="s">
        <v>1781</v>
      </c>
    </row>
    <row r="1282" spans="1:244" x14ac:dyDescent="0.45">
      <c r="A1282">
        <v>1292692</v>
      </c>
      <c r="B1282">
        <v>747579</v>
      </c>
      <c r="C1282">
        <v>7758987</v>
      </c>
      <c r="D1282" t="s">
        <v>2545</v>
      </c>
      <c r="F1282" t="s">
        <v>245</v>
      </c>
      <c r="G1282" t="s">
        <v>246</v>
      </c>
      <c r="N1282" t="s">
        <v>1216</v>
      </c>
      <c r="O1282" t="s">
        <v>578</v>
      </c>
      <c r="P1282" t="s">
        <v>249</v>
      </c>
      <c r="Q1282" t="s">
        <v>250</v>
      </c>
      <c r="R1282" t="s">
        <v>251</v>
      </c>
      <c r="T1282" t="s">
        <v>252</v>
      </c>
      <c r="U1282" t="s">
        <v>499</v>
      </c>
      <c r="V1282" t="s">
        <v>1217</v>
      </c>
      <c r="W1282" t="s">
        <v>1218</v>
      </c>
      <c r="X1282" t="s">
        <v>1219</v>
      </c>
      <c r="Z1282" t="s">
        <v>649</v>
      </c>
      <c r="AB1282">
        <v>18</v>
      </c>
      <c r="AG1282" t="s">
        <v>267</v>
      </c>
      <c r="AM1282" t="s">
        <v>317</v>
      </c>
      <c r="AN1282" t="s">
        <v>259</v>
      </c>
      <c r="AO1282" t="s">
        <v>260</v>
      </c>
      <c r="AQ1282" t="s">
        <v>504</v>
      </c>
      <c r="AS1282">
        <v>308</v>
      </c>
      <c r="AX1282" t="s">
        <v>262</v>
      </c>
      <c r="BO1282" t="s">
        <v>504</v>
      </c>
      <c r="BQ1282">
        <v>0.308</v>
      </c>
      <c r="BV1282" t="s">
        <v>263</v>
      </c>
      <c r="CM1282" t="s">
        <v>264</v>
      </c>
      <c r="CN1282" t="s">
        <v>264</v>
      </c>
      <c r="CP1282" t="s">
        <v>265</v>
      </c>
      <c r="CQ1282" t="s">
        <v>394</v>
      </c>
      <c r="DB1282">
        <v>4</v>
      </c>
      <c r="DG1282" t="s">
        <v>267</v>
      </c>
      <c r="DI1282">
        <v>4</v>
      </c>
      <c r="DN1282" t="s">
        <v>267</v>
      </c>
      <c r="DP1282" t="s">
        <v>2554</v>
      </c>
      <c r="DR1282">
        <v>764486</v>
      </c>
      <c r="DS1282">
        <v>18590</v>
      </c>
      <c r="DT1282" t="s">
        <v>2555</v>
      </c>
      <c r="EW1282" t="s">
        <v>293</v>
      </c>
      <c r="FA1282" t="s">
        <v>2735</v>
      </c>
      <c r="FK1282" t="s">
        <v>2848</v>
      </c>
      <c r="FM1282">
        <v>21</v>
      </c>
      <c r="FR1282" t="s">
        <v>295</v>
      </c>
      <c r="GG1282" t="s">
        <v>288</v>
      </c>
      <c r="GH1282">
        <v>85</v>
      </c>
      <c r="GM1282" t="s">
        <v>1224</v>
      </c>
      <c r="GQ1282">
        <v>8</v>
      </c>
      <c r="GS1282">
        <v>8.1999999999999993</v>
      </c>
      <c r="GU1282">
        <v>30</v>
      </c>
      <c r="GZ1282" t="s">
        <v>296</v>
      </c>
      <c r="HH1282" t="s">
        <v>272</v>
      </c>
      <c r="ID1282" t="s">
        <v>2849</v>
      </c>
      <c r="IE1282" t="s">
        <v>2559</v>
      </c>
      <c r="IF1282">
        <v>112230</v>
      </c>
      <c r="IG1282" t="s">
        <v>2560</v>
      </c>
      <c r="IH1282" t="s">
        <v>2561</v>
      </c>
      <c r="II1282">
        <v>2008</v>
      </c>
      <c r="IJ1282" t="s">
        <v>2562</v>
      </c>
    </row>
    <row r="1283" spans="1:244" x14ac:dyDescent="0.45">
      <c r="A1283">
        <v>2307642</v>
      </c>
      <c r="B1283">
        <v>2747393</v>
      </c>
      <c r="C1283">
        <v>7758987</v>
      </c>
      <c r="D1283" t="s">
        <v>2545</v>
      </c>
      <c r="E1283" t="s">
        <v>415</v>
      </c>
      <c r="F1283" t="s">
        <v>245</v>
      </c>
      <c r="G1283" t="s">
        <v>272</v>
      </c>
      <c r="N1283" t="s">
        <v>2850</v>
      </c>
      <c r="O1283" t="s">
        <v>2851</v>
      </c>
      <c r="P1283" t="s">
        <v>249</v>
      </c>
      <c r="Q1283" t="s">
        <v>250</v>
      </c>
      <c r="R1283" t="s">
        <v>251</v>
      </c>
      <c r="T1283" t="s">
        <v>252</v>
      </c>
      <c r="U1283" t="s">
        <v>253</v>
      </c>
      <c r="V1283" t="s">
        <v>304</v>
      </c>
      <c r="W1283" t="s">
        <v>1066</v>
      </c>
      <c r="X1283" t="s">
        <v>2852</v>
      </c>
      <c r="AI1283">
        <v>3</v>
      </c>
      <c r="AJ1283" t="s">
        <v>285</v>
      </c>
      <c r="AM1283" t="s">
        <v>258</v>
      </c>
      <c r="AN1283" t="s">
        <v>259</v>
      </c>
      <c r="AO1283" t="s">
        <v>260</v>
      </c>
      <c r="AP1283">
        <v>4</v>
      </c>
      <c r="AQ1283" t="s">
        <v>261</v>
      </c>
      <c r="AS1283">
        <v>6.4000000000000001E-2</v>
      </c>
      <c r="AU1283">
        <v>3.5000000000000003E-2</v>
      </c>
      <c r="AW1283">
        <v>0.11600000000000001</v>
      </c>
      <c r="AX1283" t="s">
        <v>422</v>
      </c>
      <c r="BO1283" t="s">
        <v>261</v>
      </c>
      <c r="BQ1283">
        <v>6.4000000000000001E-2</v>
      </c>
      <c r="BS1283">
        <v>3.5000000000000003E-2</v>
      </c>
      <c r="BU1283">
        <v>0.11600000000000001</v>
      </c>
      <c r="BV1283" t="s">
        <v>263</v>
      </c>
      <c r="CM1283" t="s">
        <v>264</v>
      </c>
      <c r="CN1283" t="s">
        <v>264</v>
      </c>
      <c r="CP1283" t="s">
        <v>265</v>
      </c>
      <c r="CQ1283" t="s">
        <v>394</v>
      </c>
      <c r="DB1283">
        <v>4</v>
      </c>
      <c r="DG1283" t="s">
        <v>267</v>
      </c>
      <c r="DI1283">
        <v>96</v>
      </c>
      <c r="DN1283" t="s">
        <v>268</v>
      </c>
      <c r="DP1283" t="s">
        <v>2622</v>
      </c>
      <c r="DR1283">
        <v>1305686</v>
      </c>
      <c r="DS1283">
        <v>5939</v>
      </c>
      <c r="DV1283">
        <v>96</v>
      </c>
      <c r="EA1283" t="s">
        <v>268</v>
      </c>
      <c r="EC1283">
        <v>4</v>
      </c>
      <c r="EH1283" t="s">
        <v>267</v>
      </c>
      <c r="EJ1283">
        <v>96</v>
      </c>
      <c r="EO1283" t="s">
        <v>268</v>
      </c>
      <c r="EQ1283">
        <v>4</v>
      </c>
      <c r="EV1283" t="s">
        <v>267</v>
      </c>
      <c r="EW1283" t="s">
        <v>293</v>
      </c>
      <c r="EZ1283">
        <v>1</v>
      </c>
      <c r="FA1283" t="s">
        <v>2853</v>
      </c>
      <c r="HH1283" t="s">
        <v>272</v>
      </c>
      <c r="ID1283" t="s">
        <v>2854</v>
      </c>
      <c r="IE1283" t="s">
        <v>2855</v>
      </c>
      <c r="IF1283">
        <v>117566</v>
      </c>
      <c r="IG1283" t="s">
        <v>2856</v>
      </c>
      <c r="IH1283" t="s">
        <v>2857</v>
      </c>
      <c r="II1283">
        <v>1996</v>
      </c>
      <c r="IJ1283" t="s">
        <v>2858</v>
      </c>
    </row>
    <row r="1284" spans="1:244" x14ac:dyDescent="0.45">
      <c r="A1284">
        <v>1026078</v>
      </c>
      <c r="B1284">
        <v>123824</v>
      </c>
      <c r="C1284">
        <v>7758987</v>
      </c>
      <c r="D1284" t="s">
        <v>2545</v>
      </c>
      <c r="F1284" t="s">
        <v>245</v>
      </c>
      <c r="G1284" t="s">
        <v>246</v>
      </c>
      <c r="N1284" t="s">
        <v>546</v>
      </c>
      <c r="O1284" t="s">
        <v>547</v>
      </c>
      <c r="P1284" t="s">
        <v>249</v>
      </c>
      <c r="Q1284" t="s">
        <v>250</v>
      </c>
      <c r="R1284" t="s">
        <v>251</v>
      </c>
      <c r="T1284" t="s">
        <v>252</v>
      </c>
      <c r="U1284" t="s">
        <v>253</v>
      </c>
      <c r="V1284" t="s">
        <v>548</v>
      </c>
      <c r="W1284" t="s">
        <v>549</v>
      </c>
      <c r="X1284" t="s">
        <v>550</v>
      </c>
      <c r="Z1284" t="s">
        <v>315</v>
      </c>
      <c r="AM1284" t="s">
        <v>258</v>
      </c>
      <c r="AN1284" t="s">
        <v>259</v>
      </c>
      <c r="AO1284" t="s">
        <v>260</v>
      </c>
      <c r="AQ1284" t="s">
        <v>261</v>
      </c>
      <c r="AS1284">
        <v>19000</v>
      </c>
      <c r="AX1284" t="s">
        <v>262</v>
      </c>
      <c r="BO1284" t="s">
        <v>261</v>
      </c>
      <c r="BQ1284">
        <v>19</v>
      </c>
      <c r="BV1284" t="s">
        <v>263</v>
      </c>
      <c r="CM1284" t="s">
        <v>264</v>
      </c>
      <c r="CN1284" t="s">
        <v>264</v>
      </c>
      <c r="CP1284" t="s">
        <v>265</v>
      </c>
      <c r="CQ1284" t="s">
        <v>394</v>
      </c>
      <c r="DB1284">
        <v>4</v>
      </c>
      <c r="DG1284" t="s">
        <v>267</v>
      </c>
      <c r="DI1284">
        <v>96</v>
      </c>
      <c r="DN1284" t="s">
        <v>268</v>
      </c>
      <c r="DR1284">
        <v>491138</v>
      </c>
      <c r="DS1284">
        <v>11</v>
      </c>
      <c r="EW1284" t="s">
        <v>360</v>
      </c>
      <c r="FM1284">
        <v>15</v>
      </c>
      <c r="FR1284" t="s">
        <v>295</v>
      </c>
      <c r="HH1284" t="s">
        <v>272</v>
      </c>
      <c r="IE1284" t="s">
        <v>552</v>
      </c>
      <c r="IF1284">
        <v>906</v>
      </c>
      <c r="IG1284" t="s">
        <v>553</v>
      </c>
      <c r="IH1284" t="s">
        <v>554</v>
      </c>
      <c r="II1284">
        <v>1971</v>
      </c>
      <c r="IJ1284" t="s">
        <v>555</v>
      </c>
    </row>
    <row r="1285" spans="1:244" x14ac:dyDescent="0.45">
      <c r="A1285">
        <v>1135996</v>
      </c>
      <c r="B1285">
        <v>90928</v>
      </c>
      <c r="C1285">
        <v>7758987</v>
      </c>
      <c r="D1285" t="s">
        <v>2545</v>
      </c>
      <c r="F1285" t="s">
        <v>245</v>
      </c>
      <c r="G1285" t="s">
        <v>246</v>
      </c>
      <c r="N1285" t="s">
        <v>471</v>
      </c>
      <c r="O1285" t="s">
        <v>388</v>
      </c>
      <c r="P1285" t="s">
        <v>249</v>
      </c>
      <c r="Q1285" t="s">
        <v>250</v>
      </c>
      <c r="R1285" t="s">
        <v>251</v>
      </c>
      <c r="T1285" t="s">
        <v>389</v>
      </c>
      <c r="U1285" t="s">
        <v>390</v>
      </c>
      <c r="V1285" t="s">
        <v>472</v>
      </c>
      <c r="W1285" t="s">
        <v>473</v>
      </c>
      <c r="X1285" t="s">
        <v>474</v>
      </c>
      <c r="Z1285" t="s">
        <v>2426</v>
      </c>
      <c r="AB1285">
        <v>10</v>
      </c>
      <c r="AG1285" t="s">
        <v>267</v>
      </c>
      <c r="AM1285" t="s">
        <v>317</v>
      </c>
      <c r="AN1285" t="s">
        <v>259</v>
      </c>
      <c r="AO1285" t="s">
        <v>260</v>
      </c>
      <c r="AQ1285" t="s">
        <v>261</v>
      </c>
      <c r="AS1285">
        <v>528.9</v>
      </c>
      <c r="AX1285" t="s">
        <v>262</v>
      </c>
      <c r="BO1285" t="s">
        <v>261</v>
      </c>
      <c r="BQ1285">
        <v>0.52890000000000004</v>
      </c>
      <c r="BV1285" t="s">
        <v>263</v>
      </c>
      <c r="CM1285" t="s">
        <v>264</v>
      </c>
      <c r="CN1285" t="s">
        <v>264</v>
      </c>
      <c r="CP1285" t="s">
        <v>265</v>
      </c>
      <c r="CQ1285" t="s">
        <v>394</v>
      </c>
      <c r="DB1285">
        <v>2</v>
      </c>
      <c r="DG1285" t="s">
        <v>267</v>
      </c>
      <c r="DI1285">
        <v>48</v>
      </c>
      <c r="DN1285" t="s">
        <v>268</v>
      </c>
      <c r="DR1285">
        <v>2056173</v>
      </c>
      <c r="DS1285">
        <v>1053</v>
      </c>
      <c r="DT1285" t="s">
        <v>2671</v>
      </c>
      <c r="EW1285" t="s">
        <v>271</v>
      </c>
      <c r="FA1285" t="s">
        <v>2672</v>
      </c>
      <c r="FM1285">
        <v>18</v>
      </c>
      <c r="FR1285" t="s">
        <v>295</v>
      </c>
      <c r="GU1285">
        <v>38</v>
      </c>
      <c r="GZ1285" t="s">
        <v>296</v>
      </c>
      <c r="HH1285" t="s">
        <v>272</v>
      </c>
      <c r="IE1285" t="s">
        <v>2299</v>
      </c>
      <c r="IF1285">
        <v>11097</v>
      </c>
      <c r="IG1285" t="s">
        <v>2673</v>
      </c>
      <c r="IH1285" t="s">
        <v>2674</v>
      </c>
      <c r="II1285">
        <v>1982</v>
      </c>
      <c r="IJ1285" t="s">
        <v>2675</v>
      </c>
    </row>
    <row r="1286" spans="1:244" x14ac:dyDescent="0.45">
      <c r="A1286">
        <v>1182147</v>
      </c>
      <c r="B1286">
        <v>160053</v>
      </c>
      <c r="C1286">
        <v>7758987</v>
      </c>
      <c r="D1286" t="s">
        <v>2545</v>
      </c>
      <c r="E1286" t="s">
        <v>439</v>
      </c>
      <c r="F1286" t="s">
        <v>245</v>
      </c>
      <c r="G1286" t="s">
        <v>246</v>
      </c>
      <c r="N1286" t="s">
        <v>345</v>
      </c>
      <c r="O1286" t="s">
        <v>346</v>
      </c>
      <c r="P1286" t="s">
        <v>249</v>
      </c>
      <c r="Q1286" t="s">
        <v>250</v>
      </c>
      <c r="R1286" t="s">
        <v>251</v>
      </c>
      <c r="T1286" t="s">
        <v>347</v>
      </c>
      <c r="U1286" t="s">
        <v>348</v>
      </c>
      <c r="V1286" t="s">
        <v>349</v>
      </c>
      <c r="W1286" t="s">
        <v>350</v>
      </c>
      <c r="X1286" t="s">
        <v>351</v>
      </c>
      <c r="Z1286" t="s">
        <v>1034</v>
      </c>
      <c r="AL1286" t="s">
        <v>2663</v>
      </c>
      <c r="AM1286" t="s">
        <v>317</v>
      </c>
      <c r="AN1286" t="s">
        <v>259</v>
      </c>
      <c r="AO1286" t="s">
        <v>260</v>
      </c>
      <c r="AQ1286" t="s">
        <v>261</v>
      </c>
      <c r="AS1286">
        <v>3200</v>
      </c>
      <c r="AX1286" t="s">
        <v>262</v>
      </c>
      <c r="BO1286" t="s">
        <v>261</v>
      </c>
      <c r="BQ1286">
        <v>3.2</v>
      </c>
      <c r="BV1286" t="s">
        <v>263</v>
      </c>
      <c r="CM1286" t="s">
        <v>264</v>
      </c>
      <c r="CN1286" t="s">
        <v>264</v>
      </c>
      <c r="CP1286" t="s">
        <v>265</v>
      </c>
      <c r="DB1286">
        <v>1</v>
      </c>
      <c r="DG1286" t="s">
        <v>267</v>
      </c>
      <c r="DI1286">
        <v>24</v>
      </c>
      <c r="DN1286" t="s">
        <v>268</v>
      </c>
      <c r="DP1286" t="s">
        <v>2664</v>
      </c>
      <c r="DR1286">
        <v>6660</v>
      </c>
      <c r="DS1286">
        <v>421</v>
      </c>
      <c r="DT1286" t="s">
        <v>2665</v>
      </c>
      <c r="EW1286" t="s">
        <v>293</v>
      </c>
      <c r="FA1286" t="s">
        <v>2666</v>
      </c>
      <c r="FM1286">
        <v>25</v>
      </c>
      <c r="FR1286" t="s">
        <v>295</v>
      </c>
      <c r="GU1286">
        <v>25</v>
      </c>
      <c r="GZ1286" t="s">
        <v>296</v>
      </c>
      <c r="HH1286" t="s">
        <v>272</v>
      </c>
      <c r="IE1286" t="s">
        <v>2667</v>
      </c>
      <c r="IF1286">
        <v>16031</v>
      </c>
      <c r="IG1286" t="s">
        <v>2668</v>
      </c>
      <c r="IH1286" t="s">
        <v>2669</v>
      </c>
      <c r="II1286">
        <v>1995</v>
      </c>
      <c r="IJ1286" t="s">
        <v>2670</v>
      </c>
    </row>
    <row r="1287" spans="1:244" x14ac:dyDescent="0.45">
      <c r="A1287">
        <v>1057124</v>
      </c>
      <c r="B1287">
        <v>126090</v>
      </c>
      <c r="C1287">
        <v>7758987</v>
      </c>
      <c r="D1287" t="s">
        <v>2545</v>
      </c>
      <c r="F1287" t="s">
        <v>245</v>
      </c>
      <c r="G1287" t="s">
        <v>246</v>
      </c>
      <c r="N1287" t="s">
        <v>1183</v>
      </c>
      <c r="O1287" t="s">
        <v>1184</v>
      </c>
      <c r="P1287" t="s">
        <v>249</v>
      </c>
      <c r="Q1287" t="s">
        <v>250</v>
      </c>
      <c r="R1287" t="s">
        <v>251</v>
      </c>
      <c r="T1287" t="s">
        <v>252</v>
      </c>
      <c r="U1287" t="s">
        <v>253</v>
      </c>
      <c r="V1287" t="s">
        <v>418</v>
      </c>
      <c r="W1287" t="s">
        <v>419</v>
      </c>
      <c r="X1287" t="s">
        <v>393</v>
      </c>
      <c r="AL1287" t="s">
        <v>2859</v>
      </c>
      <c r="AM1287" t="s">
        <v>287</v>
      </c>
      <c r="AN1287" t="s">
        <v>259</v>
      </c>
      <c r="AO1287" t="s">
        <v>260</v>
      </c>
      <c r="AQ1287" t="s">
        <v>261</v>
      </c>
      <c r="AS1287">
        <v>14756</v>
      </c>
      <c r="AX1287" t="s">
        <v>262</v>
      </c>
      <c r="BO1287" t="s">
        <v>261</v>
      </c>
      <c r="BQ1287">
        <v>14.756</v>
      </c>
      <c r="BV1287" t="s">
        <v>263</v>
      </c>
      <c r="CM1287" t="s">
        <v>264</v>
      </c>
      <c r="CN1287" t="s">
        <v>264</v>
      </c>
      <c r="CP1287" t="s">
        <v>265</v>
      </c>
      <c r="DB1287">
        <v>3</v>
      </c>
      <c r="DG1287" t="s">
        <v>267</v>
      </c>
      <c r="DI1287">
        <v>72</v>
      </c>
      <c r="DN1287" t="s">
        <v>268</v>
      </c>
      <c r="DS1287">
        <v>388</v>
      </c>
      <c r="EW1287" t="s">
        <v>271</v>
      </c>
      <c r="FA1287" t="s">
        <v>2860</v>
      </c>
      <c r="GI1287" t="s">
        <v>288</v>
      </c>
      <c r="GJ1287">
        <v>5.5</v>
      </c>
      <c r="GK1287" t="s">
        <v>289</v>
      </c>
      <c r="GL1287">
        <v>8.5</v>
      </c>
      <c r="GM1287" t="s">
        <v>356</v>
      </c>
      <c r="HH1287" t="s">
        <v>272</v>
      </c>
      <c r="IE1287" t="s">
        <v>2861</v>
      </c>
      <c r="IF1287">
        <v>4076</v>
      </c>
      <c r="IG1287" t="s">
        <v>2862</v>
      </c>
      <c r="IH1287" t="s">
        <v>2863</v>
      </c>
      <c r="II1287">
        <v>1992</v>
      </c>
      <c r="IJ1287" t="s">
        <v>2864</v>
      </c>
    </row>
    <row r="1288" spans="1:244" x14ac:dyDescent="0.45">
      <c r="A1288">
        <v>1182143</v>
      </c>
      <c r="B1288">
        <v>160049</v>
      </c>
      <c r="C1288">
        <v>7758987</v>
      </c>
      <c r="D1288" t="s">
        <v>2545</v>
      </c>
      <c r="E1288" t="s">
        <v>439</v>
      </c>
      <c r="F1288" t="s">
        <v>245</v>
      </c>
      <c r="G1288" t="s">
        <v>246</v>
      </c>
      <c r="N1288" t="s">
        <v>345</v>
      </c>
      <c r="O1288" t="s">
        <v>346</v>
      </c>
      <c r="P1288" t="s">
        <v>249</v>
      </c>
      <c r="Q1288" t="s">
        <v>250</v>
      </c>
      <c r="R1288" t="s">
        <v>251</v>
      </c>
      <c r="T1288" t="s">
        <v>347</v>
      </c>
      <c r="U1288" t="s">
        <v>348</v>
      </c>
      <c r="V1288" t="s">
        <v>349</v>
      </c>
      <c r="W1288" t="s">
        <v>350</v>
      </c>
      <c r="X1288" t="s">
        <v>351</v>
      </c>
      <c r="Z1288" t="s">
        <v>1034</v>
      </c>
      <c r="AL1288" t="s">
        <v>2663</v>
      </c>
      <c r="AM1288" t="s">
        <v>317</v>
      </c>
      <c r="AN1288" t="s">
        <v>259</v>
      </c>
      <c r="AO1288" t="s">
        <v>260</v>
      </c>
      <c r="AQ1288" t="s">
        <v>261</v>
      </c>
      <c r="AS1288">
        <v>1400</v>
      </c>
      <c r="AX1288" t="s">
        <v>262</v>
      </c>
      <c r="BO1288" t="s">
        <v>261</v>
      </c>
      <c r="BQ1288">
        <v>1.4</v>
      </c>
      <c r="BV1288" t="s">
        <v>263</v>
      </c>
      <c r="CM1288" t="s">
        <v>264</v>
      </c>
      <c r="CN1288" t="s">
        <v>264</v>
      </c>
      <c r="CP1288" t="s">
        <v>265</v>
      </c>
      <c r="DB1288">
        <v>2</v>
      </c>
      <c r="DG1288" t="s">
        <v>267</v>
      </c>
      <c r="DI1288">
        <v>48</v>
      </c>
      <c r="DN1288" t="s">
        <v>268</v>
      </c>
      <c r="DP1288" t="s">
        <v>2664</v>
      </c>
      <c r="DR1288">
        <v>6660</v>
      </c>
      <c r="DS1288">
        <v>421</v>
      </c>
      <c r="DT1288" t="s">
        <v>2665</v>
      </c>
      <c r="EW1288" t="s">
        <v>293</v>
      </c>
      <c r="FA1288" t="s">
        <v>2789</v>
      </c>
      <c r="FM1288">
        <v>25</v>
      </c>
      <c r="FR1288" t="s">
        <v>295</v>
      </c>
      <c r="GU1288">
        <v>15</v>
      </c>
      <c r="GZ1288" t="s">
        <v>296</v>
      </c>
      <c r="HH1288" t="s">
        <v>272</v>
      </c>
      <c r="IE1288" t="s">
        <v>2667</v>
      </c>
      <c r="IF1288">
        <v>16031</v>
      </c>
      <c r="IG1288" t="s">
        <v>2668</v>
      </c>
      <c r="IH1288" t="s">
        <v>2669</v>
      </c>
      <c r="II1288">
        <v>1995</v>
      </c>
      <c r="IJ1288" t="s">
        <v>2670</v>
      </c>
    </row>
    <row r="1289" spans="1:244" x14ac:dyDescent="0.45">
      <c r="A1289">
        <v>1311987</v>
      </c>
      <c r="B1289">
        <v>769381</v>
      </c>
      <c r="C1289">
        <v>7758987</v>
      </c>
      <c r="D1289" t="s">
        <v>2545</v>
      </c>
      <c r="F1289" t="s">
        <v>245</v>
      </c>
      <c r="G1289" t="s">
        <v>246</v>
      </c>
      <c r="N1289" t="s">
        <v>2610</v>
      </c>
      <c r="O1289" t="s">
        <v>2611</v>
      </c>
      <c r="P1289" t="s">
        <v>249</v>
      </c>
      <c r="Q1289" t="s">
        <v>250</v>
      </c>
      <c r="R1289" t="s">
        <v>251</v>
      </c>
      <c r="T1289" t="s">
        <v>252</v>
      </c>
      <c r="U1289" t="s">
        <v>253</v>
      </c>
      <c r="V1289" t="s">
        <v>2612</v>
      </c>
      <c r="W1289" t="s">
        <v>2613</v>
      </c>
      <c r="X1289" t="s">
        <v>2614</v>
      </c>
      <c r="Z1289" t="s">
        <v>1057</v>
      </c>
      <c r="AL1289" t="s">
        <v>2615</v>
      </c>
      <c r="AM1289" t="s">
        <v>317</v>
      </c>
      <c r="AN1289" t="s">
        <v>259</v>
      </c>
      <c r="AO1289" t="s">
        <v>260</v>
      </c>
      <c r="AP1289">
        <v>8</v>
      </c>
      <c r="AQ1289" t="s">
        <v>261</v>
      </c>
      <c r="AS1289">
        <v>125.9</v>
      </c>
      <c r="AU1289">
        <v>105.3</v>
      </c>
      <c r="AW1289">
        <v>150.6</v>
      </c>
      <c r="AX1289" t="s">
        <v>262</v>
      </c>
      <c r="BO1289" t="s">
        <v>261</v>
      </c>
      <c r="BQ1289">
        <v>0.12590000000000001</v>
      </c>
      <c r="BS1289">
        <v>0.1053</v>
      </c>
      <c r="BU1289">
        <v>0.15060000000000001</v>
      </c>
      <c r="BV1289" t="s">
        <v>263</v>
      </c>
      <c r="CM1289" t="s">
        <v>264</v>
      </c>
      <c r="CN1289" t="s">
        <v>264</v>
      </c>
      <c r="CP1289" t="s">
        <v>265</v>
      </c>
      <c r="CQ1289" t="s">
        <v>394</v>
      </c>
      <c r="DB1289">
        <v>2</v>
      </c>
      <c r="DG1289" t="s">
        <v>267</v>
      </c>
      <c r="DI1289">
        <v>48</v>
      </c>
      <c r="DN1289" t="s">
        <v>268</v>
      </c>
      <c r="DP1289" t="s">
        <v>2598</v>
      </c>
      <c r="DR1289">
        <v>150425</v>
      </c>
      <c r="DS1289">
        <v>20372</v>
      </c>
      <c r="EW1289" t="s">
        <v>293</v>
      </c>
      <c r="FA1289" t="s">
        <v>397</v>
      </c>
      <c r="FK1289" t="s">
        <v>2616</v>
      </c>
      <c r="FM1289">
        <v>27</v>
      </c>
      <c r="FR1289" t="s">
        <v>295</v>
      </c>
      <c r="GU1289">
        <v>32</v>
      </c>
      <c r="GZ1289" t="s">
        <v>296</v>
      </c>
      <c r="HH1289" t="s">
        <v>272</v>
      </c>
      <c r="ID1289" t="s">
        <v>2617</v>
      </c>
      <c r="IE1289" t="s">
        <v>2618</v>
      </c>
      <c r="IF1289">
        <v>78850</v>
      </c>
      <c r="IG1289" t="s">
        <v>2619</v>
      </c>
      <c r="IH1289" t="s">
        <v>2620</v>
      </c>
      <c r="II1289">
        <v>2004</v>
      </c>
      <c r="IJ1289" t="s">
        <v>2621</v>
      </c>
    </row>
    <row r="1290" spans="1:244" x14ac:dyDescent="0.45">
      <c r="A1290">
        <v>1303025</v>
      </c>
      <c r="B1290">
        <v>759481</v>
      </c>
      <c r="C1290">
        <v>7758987</v>
      </c>
      <c r="D1290" t="s">
        <v>2545</v>
      </c>
      <c r="F1290" t="s">
        <v>245</v>
      </c>
      <c r="G1290" t="s">
        <v>246</v>
      </c>
      <c r="N1290" t="s">
        <v>944</v>
      </c>
      <c r="O1290" t="s">
        <v>945</v>
      </c>
      <c r="P1290" t="s">
        <v>249</v>
      </c>
      <c r="Q1290" t="s">
        <v>250</v>
      </c>
      <c r="R1290" t="s">
        <v>251</v>
      </c>
      <c r="T1290" t="s">
        <v>252</v>
      </c>
      <c r="U1290" t="s">
        <v>253</v>
      </c>
      <c r="V1290" t="s">
        <v>418</v>
      </c>
      <c r="W1290" t="s">
        <v>946</v>
      </c>
      <c r="X1290" t="s">
        <v>947</v>
      </c>
      <c r="Z1290" t="s">
        <v>649</v>
      </c>
      <c r="AL1290" t="s">
        <v>2710</v>
      </c>
      <c r="AM1290" t="s">
        <v>258</v>
      </c>
      <c r="AN1290" t="s">
        <v>259</v>
      </c>
      <c r="AO1290" t="s">
        <v>260</v>
      </c>
      <c r="AP1290">
        <v>13</v>
      </c>
      <c r="AQ1290" t="s">
        <v>261</v>
      </c>
      <c r="AS1290">
        <v>39.15</v>
      </c>
      <c r="AU1290">
        <v>36.61</v>
      </c>
      <c r="AW1290">
        <v>41.59</v>
      </c>
      <c r="AX1290" t="s">
        <v>356</v>
      </c>
      <c r="BO1290" t="s">
        <v>261</v>
      </c>
      <c r="BQ1290">
        <v>39.15</v>
      </c>
      <c r="BS1290">
        <v>36.61</v>
      </c>
      <c r="BU1290">
        <v>41.59</v>
      </c>
      <c r="BV1290" t="s">
        <v>263</v>
      </c>
      <c r="CM1290" t="s">
        <v>264</v>
      </c>
      <c r="CN1290" t="s">
        <v>264</v>
      </c>
      <c r="CP1290" t="s">
        <v>265</v>
      </c>
      <c r="CQ1290" t="s">
        <v>394</v>
      </c>
      <c r="DB1290">
        <v>3</v>
      </c>
      <c r="DG1290" t="s">
        <v>267</v>
      </c>
      <c r="DI1290">
        <v>72</v>
      </c>
      <c r="DN1290" t="s">
        <v>268</v>
      </c>
      <c r="DP1290" t="s">
        <v>2554</v>
      </c>
      <c r="DR1290">
        <v>6689</v>
      </c>
      <c r="DS1290">
        <v>11779</v>
      </c>
      <c r="DT1290" t="s">
        <v>2711</v>
      </c>
      <c r="EW1290" t="s">
        <v>293</v>
      </c>
      <c r="FA1290" t="s">
        <v>397</v>
      </c>
      <c r="FK1290" t="s">
        <v>2712</v>
      </c>
      <c r="FM1290">
        <v>28</v>
      </c>
      <c r="FR1290" t="s">
        <v>295</v>
      </c>
      <c r="GH1290">
        <v>6.3</v>
      </c>
      <c r="GM1290" t="s">
        <v>356</v>
      </c>
      <c r="GO1290">
        <v>8.15</v>
      </c>
      <c r="GU1290">
        <v>25</v>
      </c>
      <c r="GZ1290" t="s">
        <v>296</v>
      </c>
      <c r="HH1290" t="s">
        <v>272</v>
      </c>
      <c r="ID1290" t="s">
        <v>2713</v>
      </c>
      <c r="IE1290" t="s">
        <v>2714</v>
      </c>
      <c r="IF1290">
        <v>117086</v>
      </c>
      <c r="IG1290" t="s">
        <v>2715</v>
      </c>
      <c r="IH1290" t="s">
        <v>2716</v>
      </c>
      <c r="II1290">
        <v>2008</v>
      </c>
      <c r="IJ1290" t="s">
        <v>2717</v>
      </c>
    </row>
    <row r="1291" spans="1:244" x14ac:dyDescent="0.45">
      <c r="A1291">
        <v>1166793</v>
      </c>
      <c r="B1291">
        <v>158130</v>
      </c>
      <c r="C1291">
        <v>7758987</v>
      </c>
      <c r="D1291" t="s">
        <v>2545</v>
      </c>
      <c r="F1291" t="s">
        <v>245</v>
      </c>
      <c r="G1291" t="s">
        <v>246</v>
      </c>
      <c r="N1291" t="s">
        <v>452</v>
      </c>
      <c r="O1291" t="s">
        <v>346</v>
      </c>
      <c r="P1291" t="s">
        <v>249</v>
      </c>
      <c r="Q1291" t="s">
        <v>250</v>
      </c>
      <c r="R1291" t="s">
        <v>251</v>
      </c>
      <c r="T1291" t="s">
        <v>347</v>
      </c>
      <c r="U1291" t="s">
        <v>348</v>
      </c>
      <c r="V1291" t="s">
        <v>349</v>
      </c>
      <c r="W1291" t="s">
        <v>350</v>
      </c>
      <c r="X1291" t="s">
        <v>453</v>
      </c>
      <c r="Z1291" t="s">
        <v>1025</v>
      </c>
      <c r="AL1291" t="s">
        <v>2633</v>
      </c>
      <c r="AM1291" t="s">
        <v>317</v>
      </c>
      <c r="AN1291" t="s">
        <v>259</v>
      </c>
      <c r="AO1291" t="s">
        <v>260</v>
      </c>
      <c r="AQ1291" t="s">
        <v>261</v>
      </c>
      <c r="AS1291">
        <v>3500</v>
      </c>
      <c r="AX1291" t="s">
        <v>262</v>
      </c>
      <c r="BO1291" t="s">
        <v>261</v>
      </c>
      <c r="BQ1291">
        <v>3.5</v>
      </c>
      <c r="BV1291" t="s">
        <v>263</v>
      </c>
      <c r="CM1291" t="s">
        <v>264</v>
      </c>
      <c r="CN1291" t="s">
        <v>264</v>
      </c>
      <c r="CO1291" t="s">
        <v>2865</v>
      </c>
      <c r="CP1291" t="s">
        <v>265</v>
      </c>
      <c r="CQ1291" t="s">
        <v>394</v>
      </c>
      <c r="DB1291">
        <v>1</v>
      </c>
      <c r="DG1291" t="s">
        <v>267</v>
      </c>
      <c r="DI1291">
        <v>24</v>
      </c>
      <c r="DN1291" t="s">
        <v>268</v>
      </c>
      <c r="DR1291">
        <v>85549</v>
      </c>
      <c r="DS1291">
        <v>366</v>
      </c>
      <c r="EW1291" t="s">
        <v>293</v>
      </c>
      <c r="FA1291" t="s">
        <v>2450</v>
      </c>
      <c r="HH1291" t="s">
        <v>272</v>
      </c>
      <c r="IE1291" t="s">
        <v>2635</v>
      </c>
      <c r="IF1291">
        <v>14874</v>
      </c>
      <c r="IG1291" t="s">
        <v>2636</v>
      </c>
      <c r="IH1291" t="s">
        <v>2637</v>
      </c>
      <c r="II1291">
        <v>1993</v>
      </c>
      <c r="IJ1291" t="s">
        <v>2638</v>
      </c>
    </row>
    <row r="1292" spans="1:244" x14ac:dyDescent="0.45">
      <c r="A1292">
        <v>1311422</v>
      </c>
      <c r="B1292">
        <v>768761</v>
      </c>
      <c r="C1292">
        <v>7758987</v>
      </c>
      <c r="D1292" t="s">
        <v>2545</v>
      </c>
      <c r="E1292" t="s">
        <v>386</v>
      </c>
      <c r="F1292" t="s">
        <v>245</v>
      </c>
      <c r="G1292" t="s">
        <v>246</v>
      </c>
      <c r="N1292" t="s">
        <v>2596</v>
      </c>
      <c r="O1292" t="s">
        <v>2597</v>
      </c>
      <c r="P1292" t="s">
        <v>249</v>
      </c>
      <c r="Q1292" t="s">
        <v>250</v>
      </c>
      <c r="R1292" t="s">
        <v>251</v>
      </c>
      <c r="T1292" t="s">
        <v>389</v>
      </c>
      <c r="U1292" t="s">
        <v>462</v>
      </c>
      <c r="V1292" t="s">
        <v>463</v>
      </c>
      <c r="W1292" t="s">
        <v>464</v>
      </c>
      <c r="X1292" t="s">
        <v>1291</v>
      </c>
      <c r="Z1292" t="s">
        <v>525</v>
      </c>
      <c r="AB1292">
        <v>4</v>
      </c>
      <c r="AG1292" t="s">
        <v>598</v>
      </c>
      <c r="AM1292" t="s">
        <v>287</v>
      </c>
      <c r="AN1292" t="s">
        <v>259</v>
      </c>
      <c r="AO1292" t="s">
        <v>260</v>
      </c>
      <c r="AP1292">
        <v>9</v>
      </c>
      <c r="AQ1292" t="s">
        <v>261</v>
      </c>
      <c r="AS1292">
        <v>156</v>
      </c>
      <c r="AX1292" t="s">
        <v>262</v>
      </c>
      <c r="BO1292" t="s">
        <v>261</v>
      </c>
      <c r="BQ1292">
        <v>0.156</v>
      </c>
      <c r="BV1292" t="s">
        <v>263</v>
      </c>
      <c r="CM1292" t="s">
        <v>264</v>
      </c>
      <c r="CN1292" t="s">
        <v>264</v>
      </c>
      <c r="CP1292" t="s">
        <v>265</v>
      </c>
      <c r="CQ1292" t="s">
        <v>394</v>
      </c>
      <c r="DB1292">
        <v>2</v>
      </c>
      <c r="DG1292" t="s">
        <v>267</v>
      </c>
      <c r="DI1292">
        <v>48</v>
      </c>
      <c r="DN1292" t="s">
        <v>268</v>
      </c>
      <c r="DP1292" t="s">
        <v>2598</v>
      </c>
      <c r="DR1292">
        <v>1232801</v>
      </c>
      <c r="DS1292">
        <v>1780</v>
      </c>
      <c r="DT1292" t="s">
        <v>2599</v>
      </c>
      <c r="EW1292" t="s">
        <v>293</v>
      </c>
      <c r="FA1292" t="s">
        <v>2600</v>
      </c>
      <c r="FK1292" t="s">
        <v>2866</v>
      </c>
      <c r="FM1292">
        <v>24</v>
      </c>
      <c r="FR1292" t="s">
        <v>295</v>
      </c>
      <c r="GU1292">
        <v>34</v>
      </c>
      <c r="GZ1292" t="s">
        <v>362</v>
      </c>
      <c r="HH1292" t="s">
        <v>272</v>
      </c>
      <c r="ID1292" t="s">
        <v>2867</v>
      </c>
      <c r="IE1292" t="s">
        <v>2603</v>
      </c>
      <c r="IF1292">
        <v>105012</v>
      </c>
      <c r="IG1292" t="s">
        <v>2604</v>
      </c>
      <c r="IH1292" t="s">
        <v>2605</v>
      </c>
      <c r="II1292">
        <v>2005</v>
      </c>
      <c r="IJ1292" t="s">
        <v>2606</v>
      </c>
    </row>
    <row r="1293" spans="1:244" x14ac:dyDescent="0.45">
      <c r="A1293">
        <v>1192588</v>
      </c>
      <c r="B1293">
        <v>155458</v>
      </c>
      <c r="C1293">
        <v>7758987</v>
      </c>
      <c r="D1293" t="s">
        <v>2545</v>
      </c>
      <c r="E1293" t="s">
        <v>439</v>
      </c>
      <c r="F1293" t="s">
        <v>245</v>
      </c>
      <c r="G1293" t="s">
        <v>246</v>
      </c>
      <c r="N1293" t="s">
        <v>452</v>
      </c>
      <c r="O1293" t="s">
        <v>346</v>
      </c>
      <c r="P1293" t="s">
        <v>249</v>
      </c>
      <c r="Q1293" t="s">
        <v>250</v>
      </c>
      <c r="R1293" t="s">
        <v>251</v>
      </c>
      <c r="T1293" t="s">
        <v>347</v>
      </c>
      <c r="U1293" t="s">
        <v>348</v>
      </c>
      <c r="V1293" t="s">
        <v>349</v>
      </c>
      <c r="W1293" t="s">
        <v>350</v>
      </c>
      <c r="X1293" t="s">
        <v>453</v>
      </c>
      <c r="Z1293" t="s">
        <v>284</v>
      </c>
      <c r="AM1293" t="s">
        <v>287</v>
      </c>
      <c r="AN1293" t="s">
        <v>259</v>
      </c>
      <c r="AO1293" t="s">
        <v>260</v>
      </c>
      <c r="AQ1293" t="s">
        <v>261</v>
      </c>
      <c r="AS1293">
        <v>4230</v>
      </c>
      <c r="AU1293">
        <v>3490</v>
      </c>
      <c r="AW1293">
        <v>6190</v>
      </c>
      <c r="AX1293" t="s">
        <v>262</v>
      </c>
      <c r="BO1293" t="s">
        <v>261</v>
      </c>
      <c r="BQ1293">
        <v>4.2300000000000004</v>
      </c>
      <c r="BS1293">
        <v>3.49</v>
      </c>
      <c r="BU1293">
        <v>6.19</v>
      </c>
      <c r="BV1293" t="s">
        <v>263</v>
      </c>
      <c r="CM1293" t="s">
        <v>264</v>
      </c>
      <c r="CN1293" t="s">
        <v>264</v>
      </c>
      <c r="CP1293" t="s">
        <v>265</v>
      </c>
      <c r="CQ1293" t="s">
        <v>394</v>
      </c>
      <c r="DB1293">
        <v>1</v>
      </c>
      <c r="DG1293" t="s">
        <v>267</v>
      </c>
      <c r="DI1293">
        <v>24</v>
      </c>
      <c r="DN1293" t="s">
        <v>268</v>
      </c>
      <c r="DR1293">
        <v>85549</v>
      </c>
      <c r="DS1293">
        <v>366</v>
      </c>
      <c r="DT1293" t="s">
        <v>2449</v>
      </c>
      <c r="EW1293" t="s">
        <v>272</v>
      </c>
      <c r="FA1293" t="s">
        <v>2450</v>
      </c>
      <c r="FM1293">
        <v>25</v>
      </c>
      <c r="FR1293" t="s">
        <v>295</v>
      </c>
      <c r="GU1293">
        <v>35</v>
      </c>
      <c r="GZ1293" t="s">
        <v>296</v>
      </c>
      <c r="HH1293" t="s">
        <v>272</v>
      </c>
      <c r="IE1293" t="s">
        <v>2451</v>
      </c>
      <c r="IF1293">
        <v>17289</v>
      </c>
      <c r="IG1293" t="s">
        <v>2452</v>
      </c>
      <c r="IH1293" t="s">
        <v>2453</v>
      </c>
      <c r="II1293">
        <v>1994</v>
      </c>
      <c r="IJ1293" t="s">
        <v>2454</v>
      </c>
    </row>
    <row r="1294" spans="1:244" x14ac:dyDescent="0.45">
      <c r="A1294">
        <v>1246424</v>
      </c>
      <c r="B1294">
        <v>239774</v>
      </c>
      <c r="C1294">
        <v>7758987</v>
      </c>
      <c r="D1294" t="s">
        <v>2545</v>
      </c>
      <c r="F1294" t="s">
        <v>327</v>
      </c>
      <c r="G1294" t="s">
        <v>246</v>
      </c>
      <c r="N1294" t="s">
        <v>1242</v>
      </c>
      <c r="O1294" t="s">
        <v>1243</v>
      </c>
      <c r="P1294" t="s">
        <v>249</v>
      </c>
      <c r="Q1294" t="s">
        <v>250</v>
      </c>
      <c r="R1294" t="s">
        <v>251</v>
      </c>
      <c r="T1294" t="s">
        <v>252</v>
      </c>
      <c r="U1294" t="s">
        <v>1244</v>
      </c>
      <c r="V1294" t="s">
        <v>1245</v>
      </c>
      <c r="W1294" t="s">
        <v>1246</v>
      </c>
      <c r="X1294" t="s">
        <v>1247</v>
      </c>
      <c r="Z1294" t="s">
        <v>315</v>
      </c>
      <c r="AJ1294" t="s">
        <v>285</v>
      </c>
      <c r="AM1294" t="s">
        <v>258</v>
      </c>
      <c r="AN1294" t="s">
        <v>259</v>
      </c>
      <c r="AO1294" t="s">
        <v>260</v>
      </c>
      <c r="AP1294">
        <v>9</v>
      </c>
      <c r="AQ1294" t="s">
        <v>504</v>
      </c>
      <c r="AS1294">
        <v>1.2</v>
      </c>
      <c r="AX1294" t="s">
        <v>356</v>
      </c>
      <c r="BO1294" t="s">
        <v>504</v>
      </c>
      <c r="BQ1294">
        <v>1.2</v>
      </c>
      <c r="BV1294" t="s">
        <v>263</v>
      </c>
      <c r="CM1294" t="s">
        <v>264</v>
      </c>
      <c r="CN1294" t="s">
        <v>264</v>
      </c>
      <c r="CP1294" t="s">
        <v>265</v>
      </c>
      <c r="CQ1294" t="s">
        <v>394</v>
      </c>
      <c r="DB1294">
        <v>4</v>
      </c>
      <c r="DG1294" t="s">
        <v>267</v>
      </c>
      <c r="DI1294">
        <v>96</v>
      </c>
      <c r="DN1294" t="s">
        <v>268</v>
      </c>
      <c r="DR1294">
        <v>82763</v>
      </c>
      <c r="DS1294">
        <v>1070</v>
      </c>
      <c r="EW1294" t="s">
        <v>293</v>
      </c>
      <c r="FA1294" t="s">
        <v>1381</v>
      </c>
      <c r="FK1294" t="s">
        <v>2868</v>
      </c>
      <c r="HH1294" t="s">
        <v>272</v>
      </c>
      <c r="ID1294" t="s">
        <v>2869</v>
      </c>
      <c r="IE1294" t="s">
        <v>2328</v>
      </c>
      <c r="IF1294">
        <v>84114</v>
      </c>
      <c r="IG1294" t="s">
        <v>2329</v>
      </c>
      <c r="IH1294" t="s">
        <v>2330</v>
      </c>
      <c r="II1294">
        <v>1997</v>
      </c>
      <c r="IJ1294" t="s">
        <v>2331</v>
      </c>
    </row>
    <row r="1295" spans="1:244" x14ac:dyDescent="0.45">
      <c r="A1295">
        <v>1310618</v>
      </c>
      <c r="B1295">
        <v>767801</v>
      </c>
      <c r="C1295">
        <v>7758987</v>
      </c>
      <c r="D1295" t="s">
        <v>2545</v>
      </c>
      <c r="F1295" t="s">
        <v>245</v>
      </c>
      <c r="G1295" t="s">
        <v>246</v>
      </c>
      <c r="N1295" t="s">
        <v>471</v>
      </c>
      <c r="O1295" t="s">
        <v>388</v>
      </c>
      <c r="P1295" t="s">
        <v>249</v>
      </c>
      <c r="Q1295" t="s">
        <v>250</v>
      </c>
      <c r="R1295" t="s">
        <v>251</v>
      </c>
      <c r="T1295" t="s">
        <v>389</v>
      </c>
      <c r="U1295" t="s">
        <v>390</v>
      </c>
      <c r="V1295" t="s">
        <v>472</v>
      </c>
      <c r="W1295" t="s">
        <v>473</v>
      </c>
      <c r="X1295" t="s">
        <v>474</v>
      </c>
      <c r="AM1295" t="s">
        <v>317</v>
      </c>
      <c r="AN1295" t="s">
        <v>259</v>
      </c>
      <c r="AO1295" t="s">
        <v>260</v>
      </c>
      <c r="AP1295">
        <v>4</v>
      </c>
      <c r="AQ1295" t="s">
        <v>261</v>
      </c>
      <c r="AS1295">
        <v>0.41870000000000002</v>
      </c>
      <c r="AX1295" t="s">
        <v>356</v>
      </c>
      <c r="BO1295" t="s">
        <v>261</v>
      </c>
      <c r="BQ1295">
        <v>0.41870000000000002</v>
      </c>
      <c r="BV1295" t="s">
        <v>263</v>
      </c>
      <c r="CM1295" t="s">
        <v>264</v>
      </c>
      <c r="CN1295" t="s">
        <v>264</v>
      </c>
      <c r="CO1295" t="s">
        <v>2870</v>
      </c>
      <c r="CP1295" t="s">
        <v>265</v>
      </c>
      <c r="CQ1295" t="s">
        <v>394</v>
      </c>
      <c r="DB1295">
        <v>2</v>
      </c>
      <c r="DG1295" t="s">
        <v>267</v>
      </c>
      <c r="DI1295">
        <v>48</v>
      </c>
      <c r="DN1295" t="s">
        <v>268</v>
      </c>
      <c r="DP1295" t="s">
        <v>2598</v>
      </c>
      <c r="DR1295">
        <v>2056173</v>
      </c>
      <c r="DS1295">
        <v>1053</v>
      </c>
      <c r="EW1295" t="s">
        <v>293</v>
      </c>
      <c r="FA1295" t="s">
        <v>2871</v>
      </c>
      <c r="FK1295" t="s">
        <v>2872</v>
      </c>
      <c r="HH1295" t="s">
        <v>272</v>
      </c>
      <c r="ID1295" t="s">
        <v>2873</v>
      </c>
      <c r="IE1295" t="s">
        <v>2685</v>
      </c>
      <c r="IF1295">
        <v>14474</v>
      </c>
      <c r="IG1295" t="s">
        <v>2686</v>
      </c>
      <c r="IH1295" t="s">
        <v>2687</v>
      </c>
      <c r="II1295">
        <v>1986</v>
      </c>
      <c r="IJ1295" t="s">
        <v>2688</v>
      </c>
    </row>
    <row r="1296" spans="1:244" x14ac:dyDescent="0.45">
      <c r="A1296">
        <v>1194076</v>
      </c>
      <c r="B1296">
        <v>166695</v>
      </c>
      <c r="C1296">
        <v>7758987</v>
      </c>
      <c r="D1296" t="s">
        <v>2545</v>
      </c>
      <c r="F1296" t="s">
        <v>245</v>
      </c>
      <c r="G1296" t="s">
        <v>246</v>
      </c>
      <c r="N1296" t="s">
        <v>1914</v>
      </c>
      <c r="O1296" t="s">
        <v>248</v>
      </c>
      <c r="P1296" t="s">
        <v>249</v>
      </c>
      <c r="Q1296" t="s">
        <v>250</v>
      </c>
      <c r="R1296" t="s">
        <v>251</v>
      </c>
      <c r="T1296" t="s">
        <v>252</v>
      </c>
      <c r="U1296" t="s">
        <v>253</v>
      </c>
      <c r="V1296" t="s">
        <v>254</v>
      </c>
      <c r="W1296" t="s">
        <v>1915</v>
      </c>
      <c r="X1296" t="s">
        <v>1916</v>
      </c>
      <c r="Z1296" t="s">
        <v>1677</v>
      </c>
      <c r="AL1296" t="s">
        <v>2443</v>
      </c>
      <c r="AM1296" t="s">
        <v>317</v>
      </c>
      <c r="AN1296" t="s">
        <v>259</v>
      </c>
      <c r="AO1296" t="s">
        <v>260</v>
      </c>
      <c r="AQ1296" t="s">
        <v>261</v>
      </c>
      <c r="AS1296">
        <v>1040</v>
      </c>
      <c r="AX1296" t="s">
        <v>262</v>
      </c>
      <c r="BO1296" t="s">
        <v>261</v>
      </c>
      <c r="BQ1296">
        <v>1.04</v>
      </c>
      <c r="BV1296" t="s">
        <v>263</v>
      </c>
      <c r="CM1296" t="s">
        <v>264</v>
      </c>
      <c r="CN1296" t="s">
        <v>264</v>
      </c>
      <c r="CP1296" t="s">
        <v>265</v>
      </c>
      <c r="CQ1296" t="s">
        <v>394</v>
      </c>
      <c r="DB1296">
        <v>4</v>
      </c>
      <c r="DG1296" t="s">
        <v>267</v>
      </c>
      <c r="DI1296">
        <v>96</v>
      </c>
      <c r="DN1296" t="s">
        <v>268</v>
      </c>
      <c r="DR1296">
        <v>80836</v>
      </c>
      <c r="DS1296">
        <v>2488</v>
      </c>
      <c r="EW1296" t="s">
        <v>293</v>
      </c>
      <c r="FM1296">
        <v>17</v>
      </c>
      <c r="FR1296" t="s">
        <v>295</v>
      </c>
      <c r="GH1296">
        <v>81</v>
      </c>
      <c r="GM1296" t="s">
        <v>900</v>
      </c>
      <c r="GU1296">
        <v>36.700000000000003</v>
      </c>
      <c r="GZ1296" t="s">
        <v>900</v>
      </c>
      <c r="HH1296" t="s">
        <v>272</v>
      </c>
      <c r="IE1296" t="s">
        <v>2267</v>
      </c>
      <c r="IF1296">
        <v>17415</v>
      </c>
      <c r="IG1296" t="s">
        <v>2268</v>
      </c>
      <c r="IH1296" t="s">
        <v>2269</v>
      </c>
      <c r="II1296">
        <v>1985</v>
      </c>
      <c r="IJ1296" t="s">
        <v>2270</v>
      </c>
    </row>
    <row r="1297" spans="1:244" x14ac:dyDescent="0.45">
      <c r="A1297">
        <v>1182149</v>
      </c>
      <c r="B1297">
        <v>160055</v>
      </c>
      <c r="C1297">
        <v>7758987</v>
      </c>
      <c r="D1297" t="s">
        <v>2545</v>
      </c>
      <c r="E1297" t="s">
        <v>439</v>
      </c>
      <c r="F1297" t="s">
        <v>245</v>
      </c>
      <c r="G1297" t="s">
        <v>246</v>
      </c>
      <c r="N1297" t="s">
        <v>345</v>
      </c>
      <c r="O1297" t="s">
        <v>346</v>
      </c>
      <c r="P1297" t="s">
        <v>249</v>
      </c>
      <c r="Q1297" t="s">
        <v>250</v>
      </c>
      <c r="R1297" t="s">
        <v>251</v>
      </c>
      <c r="T1297" t="s">
        <v>347</v>
      </c>
      <c r="U1297" t="s">
        <v>348</v>
      </c>
      <c r="V1297" t="s">
        <v>349</v>
      </c>
      <c r="W1297" t="s">
        <v>350</v>
      </c>
      <c r="X1297" t="s">
        <v>351</v>
      </c>
      <c r="Z1297" t="s">
        <v>1034</v>
      </c>
      <c r="AL1297" t="s">
        <v>2663</v>
      </c>
      <c r="AM1297" t="s">
        <v>317</v>
      </c>
      <c r="AN1297" t="s">
        <v>259</v>
      </c>
      <c r="AO1297" t="s">
        <v>260</v>
      </c>
      <c r="AQ1297" t="s">
        <v>261</v>
      </c>
      <c r="AS1297">
        <v>3000</v>
      </c>
      <c r="AX1297" t="s">
        <v>262</v>
      </c>
      <c r="BO1297" t="s">
        <v>261</v>
      </c>
      <c r="BQ1297">
        <v>3</v>
      </c>
      <c r="BV1297" t="s">
        <v>263</v>
      </c>
      <c r="CM1297" t="s">
        <v>264</v>
      </c>
      <c r="CN1297" t="s">
        <v>264</v>
      </c>
      <c r="CP1297" t="s">
        <v>265</v>
      </c>
      <c r="DB1297">
        <v>2</v>
      </c>
      <c r="DG1297" t="s">
        <v>267</v>
      </c>
      <c r="DI1297">
        <v>48</v>
      </c>
      <c r="DN1297" t="s">
        <v>268</v>
      </c>
      <c r="DP1297" t="s">
        <v>2664</v>
      </c>
      <c r="DR1297">
        <v>6660</v>
      </c>
      <c r="DS1297">
        <v>421</v>
      </c>
      <c r="DT1297" t="s">
        <v>2665</v>
      </c>
      <c r="EW1297" t="s">
        <v>293</v>
      </c>
      <c r="FA1297" t="s">
        <v>2666</v>
      </c>
      <c r="FM1297">
        <v>25</v>
      </c>
      <c r="FR1297" t="s">
        <v>295</v>
      </c>
      <c r="GU1297">
        <v>35</v>
      </c>
      <c r="GZ1297" t="s">
        <v>296</v>
      </c>
      <c r="HH1297" t="s">
        <v>272</v>
      </c>
      <c r="IE1297" t="s">
        <v>2667</v>
      </c>
      <c r="IF1297">
        <v>16031</v>
      </c>
      <c r="IG1297" t="s">
        <v>2668</v>
      </c>
      <c r="IH1297" t="s">
        <v>2669</v>
      </c>
      <c r="II1297">
        <v>1995</v>
      </c>
      <c r="IJ1297" t="s">
        <v>2670</v>
      </c>
    </row>
    <row r="1298" spans="1:244" x14ac:dyDescent="0.45">
      <c r="A1298">
        <v>1310619</v>
      </c>
      <c r="B1298">
        <v>767802</v>
      </c>
      <c r="C1298">
        <v>7758987</v>
      </c>
      <c r="D1298" t="s">
        <v>2545</v>
      </c>
      <c r="F1298" t="s">
        <v>245</v>
      </c>
      <c r="G1298" t="s">
        <v>246</v>
      </c>
      <c r="N1298" t="s">
        <v>471</v>
      </c>
      <c r="O1298" t="s">
        <v>388</v>
      </c>
      <c r="P1298" t="s">
        <v>249</v>
      </c>
      <c r="Q1298" t="s">
        <v>250</v>
      </c>
      <c r="R1298" t="s">
        <v>251</v>
      </c>
      <c r="T1298" t="s">
        <v>389</v>
      </c>
      <c r="U1298" t="s">
        <v>390</v>
      </c>
      <c r="V1298" t="s">
        <v>472</v>
      </c>
      <c r="W1298" t="s">
        <v>473</v>
      </c>
      <c r="X1298" t="s">
        <v>474</v>
      </c>
      <c r="AM1298" t="s">
        <v>317</v>
      </c>
      <c r="AN1298" t="s">
        <v>259</v>
      </c>
      <c r="AO1298" t="s">
        <v>260</v>
      </c>
      <c r="AP1298">
        <v>4</v>
      </c>
      <c r="AQ1298" t="s">
        <v>261</v>
      </c>
      <c r="AS1298">
        <v>0.4451</v>
      </c>
      <c r="AX1298" t="s">
        <v>356</v>
      </c>
      <c r="BO1298" t="s">
        <v>261</v>
      </c>
      <c r="BQ1298">
        <v>0.4451</v>
      </c>
      <c r="BV1298" t="s">
        <v>263</v>
      </c>
      <c r="CM1298" t="s">
        <v>264</v>
      </c>
      <c r="CN1298" t="s">
        <v>264</v>
      </c>
      <c r="CO1298" t="s">
        <v>2870</v>
      </c>
      <c r="CP1298" t="s">
        <v>265</v>
      </c>
      <c r="CQ1298" t="s">
        <v>394</v>
      </c>
      <c r="DB1298">
        <v>2</v>
      </c>
      <c r="DG1298" t="s">
        <v>267</v>
      </c>
      <c r="DI1298">
        <v>48</v>
      </c>
      <c r="DN1298" t="s">
        <v>268</v>
      </c>
      <c r="DP1298" t="s">
        <v>2598</v>
      </c>
      <c r="DR1298">
        <v>2056173</v>
      </c>
      <c r="DS1298">
        <v>1053</v>
      </c>
      <c r="EW1298" t="s">
        <v>293</v>
      </c>
      <c r="FA1298" t="s">
        <v>2874</v>
      </c>
      <c r="FK1298" t="s">
        <v>2875</v>
      </c>
      <c r="HH1298" t="s">
        <v>272</v>
      </c>
      <c r="ID1298" t="s">
        <v>2876</v>
      </c>
      <c r="IE1298" t="s">
        <v>2685</v>
      </c>
      <c r="IF1298">
        <v>14474</v>
      </c>
      <c r="IG1298" t="s">
        <v>2686</v>
      </c>
      <c r="IH1298" t="s">
        <v>2687</v>
      </c>
      <c r="II1298">
        <v>1986</v>
      </c>
      <c r="IJ1298" t="s">
        <v>2688</v>
      </c>
    </row>
    <row r="1299" spans="1:244" x14ac:dyDescent="0.45">
      <c r="A1299">
        <v>1057440</v>
      </c>
      <c r="B1299">
        <v>131426</v>
      </c>
      <c r="C1299">
        <v>7758987</v>
      </c>
      <c r="D1299" t="s">
        <v>2545</v>
      </c>
      <c r="E1299" t="s">
        <v>386</v>
      </c>
      <c r="F1299" t="s">
        <v>245</v>
      </c>
      <c r="G1299" t="s">
        <v>246</v>
      </c>
      <c r="N1299" t="s">
        <v>845</v>
      </c>
      <c r="O1299" t="s">
        <v>846</v>
      </c>
      <c r="P1299" t="s">
        <v>249</v>
      </c>
      <c r="Q1299" t="s">
        <v>250</v>
      </c>
      <c r="R1299" t="s">
        <v>251</v>
      </c>
      <c r="T1299" t="s">
        <v>252</v>
      </c>
      <c r="U1299" t="s">
        <v>253</v>
      </c>
      <c r="V1299" t="s">
        <v>418</v>
      </c>
      <c r="W1299" t="s">
        <v>847</v>
      </c>
      <c r="X1299" t="s">
        <v>848</v>
      </c>
      <c r="Z1299" t="s">
        <v>421</v>
      </c>
      <c r="AB1299">
        <v>3</v>
      </c>
      <c r="AG1299" t="s">
        <v>598</v>
      </c>
      <c r="AM1299" t="s">
        <v>258</v>
      </c>
      <c r="AN1299" t="s">
        <v>259</v>
      </c>
      <c r="AO1299" t="s">
        <v>260</v>
      </c>
      <c r="AQ1299" t="s">
        <v>261</v>
      </c>
      <c r="AS1299">
        <v>4760</v>
      </c>
      <c r="AX1299" t="s">
        <v>262</v>
      </c>
      <c r="BO1299" t="s">
        <v>261</v>
      </c>
      <c r="BQ1299">
        <v>4.76</v>
      </c>
      <c r="BV1299" t="s">
        <v>263</v>
      </c>
      <c r="CM1299" t="s">
        <v>264</v>
      </c>
      <c r="CN1299" t="s">
        <v>264</v>
      </c>
      <c r="CP1299" t="s">
        <v>265</v>
      </c>
      <c r="CQ1299" t="s">
        <v>394</v>
      </c>
      <c r="DB1299">
        <v>2</v>
      </c>
      <c r="DG1299" t="s">
        <v>267</v>
      </c>
      <c r="DI1299">
        <v>48</v>
      </c>
      <c r="DN1299" t="s">
        <v>268</v>
      </c>
      <c r="DR1299">
        <v>32278</v>
      </c>
      <c r="DS1299">
        <v>4580</v>
      </c>
      <c r="DT1299" t="s">
        <v>850</v>
      </c>
      <c r="EW1299" t="s">
        <v>271</v>
      </c>
      <c r="FM1299">
        <v>28</v>
      </c>
      <c r="FR1299" t="s">
        <v>295</v>
      </c>
      <c r="GO1299">
        <v>8.6999999999999993</v>
      </c>
      <c r="GW1299">
        <v>30</v>
      </c>
      <c r="GY1299">
        <v>34</v>
      </c>
      <c r="GZ1299" t="s">
        <v>296</v>
      </c>
      <c r="HH1299" t="s">
        <v>272</v>
      </c>
      <c r="IE1299" t="s">
        <v>853</v>
      </c>
      <c r="IF1299">
        <v>4127</v>
      </c>
      <c r="IG1299" t="s">
        <v>854</v>
      </c>
      <c r="IH1299" t="s">
        <v>855</v>
      </c>
      <c r="II1299">
        <v>1993</v>
      </c>
      <c r="IJ1299" t="s">
        <v>856</v>
      </c>
    </row>
    <row r="1300" spans="1:244" x14ac:dyDescent="0.45">
      <c r="A1300">
        <v>1278721</v>
      </c>
      <c r="B1300">
        <v>732002</v>
      </c>
      <c r="C1300">
        <v>7758987</v>
      </c>
      <c r="D1300" t="s">
        <v>2545</v>
      </c>
      <c r="F1300" t="s">
        <v>245</v>
      </c>
      <c r="G1300" t="s">
        <v>246</v>
      </c>
      <c r="N1300" t="s">
        <v>535</v>
      </c>
      <c r="O1300" t="s">
        <v>536</v>
      </c>
      <c r="P1300" t="s">
        <v>249</v>
      </c>
      <c r="Q1300" t="s">
        <v>250</v>
      </c>
      <c r="R1300" t="s">
        <v>251</v>
      </c>
      <c r="T1300" t="s">
        <v>252</v>
      </c>
      <c r="U1300" t="s">
        <v>253</v>
      </c>
      <c r="V1300" t="s">
        <v>304</v>
      </c>
      <c r="W1300" t="s">
        <v>305</v>
      </c>
      <c r="X1300" t="s">
        <v>537</v>
      </c>
      <c r="AL1300" t="s">
        <v>2433</v>
      </c>
      <c r="AM1300" t="s">
        <v>317</v>
      </c>
      <c r="AN1300" t="s">
        <v>259</v>
      </c>
      <c r="AO1300" t="s">
        <v>260</v>
      </c>
      <c r="AP1300">
        <v>6</v>
      </c>
      <c r="AQ1300" t="s">
        <v>261</v>
      </c>
      <c r="AS1300">
        <v>1.6</v>
      </c>
      <c r="AX1300" t="s">
        <v>356</v>
      </c>
      <c r="BO1300" t="s">
        <v>261</v>
      </c>
      <c r="BQ1300">
        <v>1.6</v>
      </c>
      <c r="BV1300" t="s">
        <v>263</v>
      </c>
      <c r="CM1300" t="s">
        <v>264</v>
      </c>
      <c r="CN1300" t="s">
        <v>264</v>
      </c>
      <c r="CP1300" t="s">
        <v>265</v>
      </c>
      <c r="CQ1300" t="s">
        <v>394</v>
      </c>
      <c r="DB1300">
        <v>2</v>
      </c>
      <c r="DG1300" t="s">
        <v>267</v>
      </c>
      <c r="DI1300">
        <v>48</v>
      </c>
      <c r="DN1300" t="s">
        <v>268</v>
      </c>
      <c r="DP1300" t="s">
        <v>2607</v>
      </c>
      <c r="DR1300">
        <v>661414</v>
      </c>
      <c r="DS1300">
        <v>16591</v>
      </c>
      <c r="EW1300" t="s">
        <v>293</v>
      </c>
      <c r="FK1300" t="s">
        <v>2877</v>
      </c>
      <c r="FO1300">
        <v>26.1</v>
      </c>
      <c r="FQ1300">
        <v>27</v>
      </c>
      <c r="FR1300" t="s">
        <v>295</v>
      </c>
      <c r="GG1300" t="s">
        <v>288</v>
      </c>
      <c r="GH1300">
        <v>4</v>
      </c>
      <c r="GM1300" t="s">
        <v>422</v>
      </c>
      <c r="GQ1300">
        <v>7.85</v>
      </c>
      <c r="GS1300">
        <v>8.01</v>
      </c>
      <c r="GU1300">
        <v>36</v>
      </c>
      <c r="GZ1300" t="s">
        <v>296</v>
      </c>
      <c r="HH1300" t="s">
        <v>272</v>
      </c>
      <c r="ID1300" t="s">
        <v>2878</v>
      </c>
      <c r="IE1300" t="s">
        <v>542</v>
      </c>
      <c r="IF1300">
        <v>48249</v>
      </c>
      <c r="IG1300" t="s">
        <v>543</v>
      </c>
      <c r="IH1300" t="s">
        <v>544</v>
      </c>
      <c r="II1300">
        <v>1980</v>
      </c>
      <c r="IJ1300" t="s">
        <v>545</v>
      </c>
    </row>
    <row r="1301" spans="1:244" x14ac:dyDescent="0.45">
      <c r="A1301">
        <v>1246425</v>
      </c>
      <c r="B1301">
        <v>239775</v>
      </c>
      <c r="C1301">
        <v>7758987</v>
      </c>
      <c r="D1301" t="s">
        <v>2545</v>
      </c>
      <c r="F1301" t="s">
        <v>327</v>
      </c>
      <c r="G1301" t="s">
        <v>246</v>
      </c>
      <c r="N1301" t="s">
        <v>1242</v>
      </c>
      <c r="O1301" t="s">
        <v>1243</v>
      </c>
      <c r="P1301" t="s">
        <v>249</v>
      </c>
      <c r="Q1301" t="s">
        <v>250</v>
      </c>
      <c r="R1301" t="s">
        <v>251</v>
      </c>
      <c r="T1301" t="s">
        <v>252</v>
      </c>
      <c r="U1301" t="s">
        <v>1244</v>
      </c>
      <c r="V1301" t="s">
        <v>1245</v>
      </c>
      <c r="W1301" t="s">
        <v>1246</v>
      </c>
      <c r="X1301" t="s">
        <v>1247</v>
      </c>
      <c r="Z1301" t="s">
        <v>315</v>
      </c>
      <c r="AJ1301" t="s">
        <v>285</v>
      </c>
      <c r="AM1301" t="s">
        <v>258</v>
      </c>
      <c r="AN1301" t="s">
        <v>259</v>
      </c>
      <c r="AO1301" t="s">
        <v>260</v>
      </c>
      <c r="AP1301">
        <v>9</v>
      </c>
      <c r="AQ1301" t="s">
        <v>504</v>
      </c>
      <c r="AS1301">
        <v>2.6059999999999999</v>
      </c>
      <c r="AX1301" t="s">
        <v>356</v>
      </c>
      <c r="BO1301" t="s">
        <v>504</v>
      </c>
      <c r="BQ1301">
        <v>2.6059999999999999</v>
      </c>
      <c r="BV1301" t="s">
        <v>263</v>
      </c>
      <c r="CM1301" t="s">
        <v>264</v>
      </c>
      <c r="CN1301" t="s">
        <v>264</v>
      </c>
      <c r="CP1301" t="s">
        <v>265</v>
      </c>
      <c r="CQ1301" t="s">
        <v>394</v>
      </c>
      <c r="DB1301">
        <v>3</v>
      </c>
      <c r="DG1301" t="s">
        <v>267</v>
      </c>
      <c r="DI1301">
        <v>72</v>
      </c>
      <c r="DN1301" t="s">
        <v>268</v>
      </c>
      <c r="DR1301">
        <v>82763</v>
      </c>
      <c r="DS1301">
        <v>1070</v>
      </c>
      <c r="EW1301" t="s">
        <v>293</v>
      </c>
      <c r="FA1301" t="s">
        <v>1381</v>
      </c>
      <c r="FK1301" t="s">
        <v>2868</v>
      </c>
      <c r="HH1301" t="s">
        <v>272</v>
      </c>
      <c r="ID1301" t="s">
        <v>2869</v>
      </c>
      <c r="IE1301" t="s">
        <v>2328</v>
      </c>
      <c r="IF1301">
        <v>84114</v>
      </c>
      <c r="IG1301" t="s">
        <v>2329</v>
      </c>
      <c r="IH1301" t="s">
        <v>2330</v>
      </c>
      <c r="II1301">
        <v>1997</v>
      </c>
      <c r="IJ1301" t="s">
        <v>2331</v>
      </c>
    </row>
    <row r="1302" spans="1:244" x14ac:dyDescent="0.45">
      <c r="A1302">
        <v>1245229</v>
      </c>
      <c r="B1302">
        <v>236618</v>
      </c>
      <c r="C1302">
        <v>7758987</v>
      </c>
      <c r="D1302" t="s">
        <v>2545</v>
      </c>
      <c r="F1302" t="s">
        <v>245</v>
      </c>
      <c r="G1302" t="s">
        <v>246</v>
      </c>
      <c r="N1302" t="s">
        <v>302</v>
      </c>
      <c r="O1302" t="s">
        <v>303</v>
      </c>
      <c r="P1302" t="s">
        <v>249</v>
      </c>
      <c r="Q1302" t="s">
        <v>250</v>
      </c>
      <c r="R1302" t="s">
        <v>251</v>
      </c>
      <c r="T1302" t="s">
        <v>252</v>
      </c>
      <c r="U1302" t="s">
        <v>253</v>
      </c>
      <c r="V1302" t="s">
        <v>304</v>
      </c>
      <c r="W1302" t="s">
        <v>305</v>
      </c>
      <c r="X1302" t="s">
        <v>306</v>
      </c>
      <c r="AJ1302" t="s">
        <v>285</v>
      </c>
      <c r="AM1302" t="s">
        <v>317</v>
      </c>
      <c r="AN1302" t="s">
        <v>259</v>
      </c>
      <c r="AO1302" t="s">
        <v>260</v>
      </c>
      <c r="AP1302">
        <v>6</v>
      </c>
      <c r="AQ1302" t="s">
        <v>261</v>
      </c>
      <c r="AS1302">
        <v>2.52</v>
      </c>
      <c r="AU1302">
        <v>2.1800000000000002</v>
      </c>
      <c r="AW1302">
        <v>2.91</v>
      </c>
      <c r="AX1302" t="s">
        <v>356</v>
      </c>
      <c r="BO1302" t="s">
        <v>261</v>
      </c>
      <c r="BQ1302">
        <v>2.52</v>
      </c>
      <c r="BS1302">
        <v>2.1800000000000002</v>
      </c>
      <c r="BU1302">
        <v>2.91</v>
      </c>
      <c r="BV1302" t="s">
        <v>263</v>
      </c>
      <c r="CM1302" t="s">
        <v>264</v>
      </c>
      <c r="CN1302" t="s">
        <v>264</v>
      </c>
      <c r="CP1302" t="s">
        <v>265</v>
      </c>
      <c r="CQ1302" t="s">
        <v>394</v>
      </c>
      <c r="DB1302">
        <v>4</v>
      </c>
      <c r="DG1302" t="s">
        <v>267</v>
      </c>
      <c r="DI1302">
        <v>96</v>
      </c>
      <c r="DN1302" t="s">
        <v>268</v>
      </c>
      <c r="DR1302">
        <v>338212</v>
      </c>
      <c r="DS1302">
        <v>732</v>
      </c>
      <c r="EW1302" t="s">
        <v>293</v>
      </c>
      <c r="FK1302" t="s">
        <v>2879</v>
      </c>
      <c r="FM1302">
        <v>15</v>
      </c>
      <c r="FR1302" t="s">
        <v>295</v>
      </c>
      <c r="GH1302">
        <v>85</v>
      </c>
      <c r="GM1302" t="s">
        <v>900</v>
      </c>
      <c r="GO1302">
        <v>8.1</v>
      </c>
      <c r="GU1302">
        <v>17</v>
      </c>
      <c r="GZ1302" t="s">
        <v>900</v>
      </c>
      <c r="HH1302" t="s">
        <v>272</v>
      </c>
      <c r="ID1302" t="s">
        <v>2880</v>
      </c>
      <c r="IE1302" t="s">
        <v>1907</v>
      </c>
      <c r="IF1302">
        <v>82993</v>
      </c>
      <c r="IG1302" t="s">
        <v>1908</v>
      </c>
      <c r="IH1302" t="s">
        <v>1909</v>
      </c>
      <c r="II1302">
        <v>1999</v>
      </c>
      <c r="IJ1302" t="s">
        <v>1910</v>
      </c>
    </row>
    <row r="1303" spans="1:244" x14ac:dyDescent="0.45">
      <c r="A1303">
        <v>1041003</v>
      </c>
      <c r="B1303">
        <v>24916</v>
      </c>
      <c r="C1303">
        <v>7758987</v>
      </c>
      <c r="D1303" t="s">
        <v>2545</v>
      </c>
      <c r="F1303" t="s">
        <v>245</v>
      </c>
      <c r="G1303" t="s">
        <v>246</v>
      </c>
      <c r="N1303" t="s">
        <v>1782</v>
      </c>
      <c r="O1303" t="s">
        <v>1783</v>
      </c>
      <c r="P1303" t="s">
        <v>249</v>
      </c>
      <c r="Q1303" t="s">
        <v>250</v>
      </c>
      <c r="R1303" t="s">
        <v>251</v>
      </c>
      <c r="T1303" t="s">
        <v>252</v>
      </c>
      <c r="U1303" t="s">
        <v>253</v>
      </c>
      <c r="V1303" t="s">
        <v>1735</v>
      </c>
      <c r="W1303" t="s">
        <v>1784</v>
      </c>
      <c r="X1303" t="s">
        <v>1785</v>
      </c>
      <c r="Z1303" t="s">
        <v>1677</v>
      </c>
      <c r="AL1303" t="s">
        <v>1786</v>
      </c>
      <c r="AM1303" t="s">
        <v>258</v>
      </c>
      <c r="AN1303" t="s">
        <v>259</v>
      </c>
      <c r="AO1303" t="s">
        <v>260</v>
      </c>
      <c r="AQ1303" t="s">
        <v>261</v>
      </c>
      <c r="AS1303">
        <v>9420</v>
      </c>
      <c r="AU1303">
        <v>4930</v>
      </c>
      <c r="AW1303">
        <v>13910</v>
      </c>
      <c r="AX1303" t="s">
        <v>262</v>
      </c>
      <c r="BO1303" t="s">
        <v>261</v>
      </c>
      <c r="BQ1303">
        <v>9.42</v>
      </c>
      <c r="BS1303">
        <v>4.93</v>
      </c>
      <c r="BU1303">
        <v>13.91</v>
      </c>
      <c r="BV1303" t="s">
        <v>263</v>
      </c>
      <c r="CM1303" t="s">
        <v>264</v>
      </c>
      <c r="CN1303" t="s">
        <v>264</v>
      </c>
      <c r="CP1303" t="s">
        <v>265</v>
      </c>
      <c r="CQ1303" t="s">
        <v>394</v>
      </c>
      <c r="DB1303">
        <v>4</v>
      </c>
      <c r="DG1303" t="s">
        <v>267</v>
      </c>
      <c r="DI1303">
        <v>96</v>
      </c>
      <c r="DN1303" t="s">
        <v>268</v>
      </c>
      <c r="DP1303" t="s">
        <v>977</v>
      </c>
      <c r="DS1303">
        <v>2838</v>
      </c>
      <c r="DT1303" t="s">
        <v>1787</v>
      </c>
      <c r="EW1303" t="s">
        <v>333</v>
      </c>
      <c r="FM1303">
        <v>29</v>
      </c>
      <c r="FR1303" t="s">
        <v>295</v>
      </c>
      <c r="GU1303">
        <v>25</v>
      </c>
      <c r="GZ1303" t="s">
        <v>296</v>
      </c>
      <c r="HH1303" t="s">
        <v>272</v>
      </c>
      <c r="IE1303" t="s">
        <v>1788</v>
      </c>
      <c r="IF1303">
        <v>2602</v>
      </c>
      <c r="IG1303" t="s">
        <v>1789</v>
      </c>
      <c r="IH1303" t="s">
        <v>1790</v>
      </c>
      <c r="II1303">
        <v>1987</v>
      </c>
      <c r="IJ1303" t="s">
        <v>1791</v>
      </c>
    </row>
    <row r="1304" spans="1:244" x14ac:dyDescent="0.45">
      <c r="A1304">
        <v>1078436</v>
      </c>
      <c r="B1304">
        <v>102816</v>
      </c>
      <c r="C1304">
        <v>7758987</v>
      </c>
      <c r="D1304" t="s">
        <v>2545</v>
      </c>
      <c r="F1304" t="s">
        <v>245</v>
      </c>
      <c r="G1304" t="s">
        <v>246</v>
      </c>
      <c r="N1304" t="s">
        <v>2881</v>
      </c>
      <c r="O1304" t="s">
        <v>631</v>
      </c>
      <c r="P1304" t="s">
        <v>249</v>
      </c>
      <c r="Q1304" t="s">
        <v>250</v>
      </c>
      <c r="R1304" t="s">
        <v>251</v>
      </c>
      <c r="T1304" t="s">
        <v>389</v>
      </c>
      <c r="U1304" t="s">
        <v>632</v>
      </c>
      <c r="V1304" t="s">
        <v>2810</v>
      </c>
      <c r="W1304" t="s">
        <v>2882</v>
      </c>
      <c r="X1304" t="s">
        <v>331</v>
      </c>
      <c r="AJ1304" t="s">
        <v>285</v>
      </c>
      <c r="AM1304" t="s">
        <v>317</v>
      </c>
      <c r="AN1304" t="s">
        <v>259</v>
      </c>
      <c r="AO1304" t="s">
        <v>260</v>
      </c>
      <c r="AP1304" t="s">
        <v>1644</v>
      </c>
      <c r="AQ1304" t="s">
        <v>261</v>
      </c>
      <c r="AS1304">
        <v>192</v>
      </c>
      <c r="AX1304" t="s">
        <v>290</v>
      </c>
      <c r="BO1304" t="s">
        <v>261</v>
      </c>
      <c r="BQ1304">
        <v>0.192</v>
      </c>
      <c r="BV1304" t="s">
        <v>263</v>
      </c>
      <c r="CM1304" t="s">
        <v>264</v>
      </c>
      <c r="CN1304" t="s">
        <v>264</v>
      </c>
      <c r="CP1304" t="s">
        <v>265</v>
      </c>
      <c r="CQ1304" t="s">
        <v>394</v>
      </c>
      <c r="DB1304">
        <v>1</v>
      </c>
      <c r="DG1304" t="s">
        <v>267</v>
      </c>
      <c r="DI1304">
        <v>24</v>
      </c>
      <c r="DN1304" t="s">
        <v>268</v>
      </c>
      <c r="DR1304">
        <v>184747</v>
      </c>
      <c r="DS1304">
        <v>573</v>
      </c>
      <c r="EW1304" t="s">
        <v>293</v>
      </c>
      <c r="FA1304" t="s">
        <v>2760</v>
      </c>
      <c r="FK1304" t="s">
        <v>2883</v>
      </c>
      <c r="FO1304">
        <v>13</v>
      </c>
      <c r="FQ1304">
        <v>21</v>
      </c>
      <c r="FR1304" t="s">
        <v>295</v>
      </c>
      <c r="GW1304">
        <v>27</v>
      </c>
      <c r="GY1304">
        <v>36</v>
      </c>
      <c r="GZ1304" t="s">
        <v>296</v>
      </c>
      <c r="HH1304" t="s">
        <v>272</v>
      </c>
      <c r="ID1304" t="s">
        <v>2884</v>
      </c>
      <c r="IE1304" t="s">
        <v>1648</v>
      </c>
      <c r="IF1304">
        <v>6045</v>
      </c>
      <c r="IG1304" t="s">
        <v>1649</v>
      </c>
      <c r="IH1304" t="s">
        <v>1650</v>
      </c>
      <c r="II1304">
        <v>1976</v>
      </c>
      <c r="IJ1304" t="s">
        <v>1651</v>
      </c>
    </row>
    <row r="1305" spans="1:244" x14ac:dyDescent="0.45">
      <c r="A1305">
        <v>1182148</v>
      </c>
      <c r="B1305">
        <v>160054</v>
      </c>
      <c r="C1305">
        <v>7758987</v>
      </c>
      <c r="D1305" t="s">
        <v>2545</v>
      </c>
      <c r="E1305" t="s">
        <v>439</v>
      </c>
      <c r="F1305" t="s">
        <v>245</v>
      </c>
      <c r="G1305" t="s">
        <v>246</v>
      </c>
      <c r="N1305" t="s">
        <v>345</v>
      </c>
      <c r="O1305" t="s">
        <v>346</v>
      </c>
      <c r="P1305" t="s">
        <v>249</v>
      </c>
      <c r="Q1305" t="s">
        <v>250</v>
      </c>
      <c r="R1305" t="s">
        <v>251</v>
      </c>
      <c r="T1305" t="s">
        <v>347</v>
      </c>
      <c r="U1305" t="s">
        <v>348</v>
      </c>
      <c r="V1305" t="s">
        <v>349</v>
      </c>
      <c r="W1305" t="s">
        <v>350</v>
      </c>
      <c r="X1305" t="s">
        <v>351</v>
      </c>
      <c r="Z1305" t="s">
        <v>1034</v>
      </c>
      <c r="AL1305" t="s">
        <v>2663</v>
      </c>
      <c r="AM1305" t="s">
        <v>317</v>
      </c>
      <c r="AN1305" t="s">
        <v>259</v>
      </c>
      <c r="AO1305" t="s">
        <v>260</v>
      </c>
      <c r="AQ1305" t="s">
        <v>261</v>
      </c>
      <c r="AS1305">
        <v>3700</v>
      </c>
      <c r="AX1305" t="s">
        <v>262</v>
      </c>
      <c r="BO1305" t="s">
        <v>261</v>
      </c>
      <c r="BQ1305">
        <v>3.7</v>
      </c>
      <c r="BV1305" t="s">
        <v>263</v>
      </c>
      <c r="CM1305" t="s">
        <v>264</v>
      </c>
      <c r="CN1305" t="s">
        <v>264</v>
      </c>
      <c r="CP1305" t="s">
        <v>265</v>
      </c>
      <c r="DB1305">
        <v>1</v>
      </c>
      <c r="DG1305" t="s">
        <v>267</v>
      </c>
      <c r="DI1305">
        <v>24</v>
      </c>
      <c r="DN1305" t="s">
        <v>268</v>
      </c>
      <c r="DP1305" t="s">
        <v>2664</v>
      </c>
      <c r="DR1305">
        <v>6660</v>
      </c>
      <c r="DS1305">
        <v>421</v>
      </c>
      <c r="DT1305" t="s">
        <v>2665</v>
      </c>
      <c r="EW1305" t="s">
        <v>293</v>
      </c>
      <c r="FA1305" t="s">
        <v>2666</v>
      </c>
      <c r="FM1305">
        <v>25</v>
      </c>
      <c r="FR1305" t="s">
        <v>295</v>
      </c>
      <c r="GU1305">
        <v>35</v>
      </c>
      <c r="GZ1305" t="s">
        <v>296</v>
      </c>
      <c r="HH1305" t="s">
        <v>272</v>
      </c>
      <c r="IE1305" t="s">
        <v>2667</v>
      </c>
      <c r="IF1305">
        <v>16031</v>
      </c>
      <c r="IG1305" t="s">
        <v>2668</v>
      </c>
      <c r="IH1305" t="s">
        <v>2669</v>
      </c>
      <c r="II1305">
        <v>1995</v>
      </c>
      <c r="IJ1305" t="s">
        <v>2670</v>
      </c>
    </row>
    <row r="1306" spans="1:244" x14ac:dyDescent="0.45">
      <c r="A1306">
        <v>1304323</v>
      </c>
      <c r="B1306">
        <v>760894</v>
      </c>
      <c r="C1306">
        <v>7758987</v>
      </c>
      <c r="D1306" t="s">
        <v>2545</v>
      </c>
      <c r="F1306" t="s">
        <v>245</v>
      </c>
      <c r="G1306" t="s">
        <v>246</v>
      </c>
      <c r="N1306" t="s">
        <v>2362</v>
      </c>
      <c r="O1306" t="s">
        <v>2363</v>
      </c>
      <c r="P1306" t="s">
        <v>249</v>
      </c>
      <c r="Q1306" t="s">
        <v>250</v>
      </c>
      <c r="R1306" t="s">
        <v>251</v>
      </c>
      <c r="T1306" t="s">
        <v>252</v>
      </c>
      <c r="U1306" t="s">
        <v>253</v>
      </c>
      <c r="V1306" t="s">
        <v>2364</v>
      </c>
      <c r="W1306" t="s">
        <v>2365</v>
      </c>
      <c r="X1306" t="s">
        <v>2366</v>
      </c>
      <c r="AL1306" t="s">
        <v>2885</v>
      </c>
      <c r="AM1306" t="s">
        <v>258</v>
      </c>
      <c r="AN1306" t="s">
        <v>259</v>
      </c>
      <c r="AO1306" t="s">
        <v>260</v>
      </c>
      <c r="AP1306" t="s">
        <v>2368</v>
      </c>
      <c r="AQ1306" t="s">
        <v>261</v>
      </c>
      <c r="AS1306">
        <v>0.79</v>
      </c>
      <c r="AX1306" t="s">
        <v>356</v>
      </c>
      <c r="BO1306" t="s">
        <v>261</v>
      </c>
      <c r="BQ1306">
        <v>0.79</v>
      </c>
      <c r="BV1306" t="s">
        <v>263</v>
      </c>
      <c r="CM1306" t="s">
        <v>264</v>
      </c>
      <c r="CN1306" t="s">
        <v>264</v>
      </c>
      <c r="CP1306" t="s">
        <v>265</v>
      </c>
      <c r="CQ1306" t="s">
        <v>394</v>
      </c>
      <c r="DB1306">
        <v>2</v>
      </c>
      <c r="DG1306" t="s">
        <v>267</v>
      </c>
      <c r="DI1306">
        <v>48</v>
      </c>
      <c r="DN1306" t="s">
        <v>268</v>
      </c>
      <c r="DP1306" t="s">
        <v>2598</v>
      </c>
      <c r="DR1306">
        <v>373433</v>
      </c>
      <c r="DS1306">
        <v>18732</v>
      </c>
      <c r="EW1306" t="s">
        <v>293</v>
      </c>
      <c r="FK1306" t="s">
        <v>2886</v>
      </c>
      <c r="FM1306">
        <v>28</v>
      </c>
      <c r="FR1306" t="s">
        <v>295</v>
      </c>
      <c r="GH1306">
        <v>3.1</v>
      </c>
      <c r="GM1306" t="s">
        <v>356</v>
      </c>
      <c r="GO1306">
        <v>8.07</v>
      </c>
      <c r="GU1306">
        <v>37.659999999999997</v>
      </c>
      <c r="GZ1306" t="s">
        <v>296</v>
      </c>
      <c r="HH1306" t="s">
        <v>272</v>
      </c>
      <c r="ID1306" t="s">
        <v>2887</v>
      </c>
      <c r="IE1306" t="s">
        <v>2372</v>
      </c>
      <c r="IF1306">
        <v>62226</v>
      </c>
      <c r="IG1306" t="s">
        <v>2373</v>
      </c>
      <c r="IH1306" t="s">
        <v>2374</v>
      </c>
      <c r="II1306">
        <v>1999</v>
      </c>
      <c r="IJ1306" t="s">
        <v>2375</v>
      </c>
    </row>
    <row r="1307" spans="1:244" x14ac:dyDescent="0.45">
      <c r="A1307">
        <v>1314111</v>
      </c>
      <c r="B1307">
        <v>772172</v>
      </c>
      <c r="C1307">
        <v>7758987</v>
      </c>
      <c r="D1307" t="s">
        <v>2545</v>
      </c>
      <c r="F1307" t="s">
        <v>245</v>
      </c>
      <c r="G1307" t="s">
        <v>246</v>
      </c>
      <c r="N1307" t="s">
        <v>789</v>
      </c>
      <c r="O1307" t="s">
        <v>790</v>
      </c>
      <c r="P1307" t="s">
        <v>249</v>
      </c>
      <c r="Q1307" t="s">
        <v>250</v>
      </c>
      <c r="R1307" t="s">
        <v>251</v>
      </c>
      <c r="T1307" t="s">
        <v>252</v>
      </c>
      <c r="U1307" t="s">
        <v>253</v>
      </c>
      <c r="V1307" t="s">
        <v>418</v>
      </c>
      <c r="W1307" t="s">
        <v>791</v>
      </c>
      <c r="X1307" t="s">
        <v>792</v>
      </c>
      <c r="Z1307" t="s">
        <v>421</v>
      </c>
      <c r="AM1307" t="s">
        <v>317</v>
      </c>
      <c r="AN1307" t="s">
        <v>259</v>
      </c>
      <c r="AO1307" t="s">
        <v>260</v>
      </c>
      <c r="AP1307">
        <v>10</v>
      </c>
      <c r="AQ1307" t="s">
        <v>261</v>
      </c>
      <c r="AS1307">
        <v>3500</v>
      </c>
      <c r="AX1307" t="s">
        <v>262</v>
      </c>
      <c r="BO1307" t="s">
        <v>261</v>
      </c>
      <c r="BQ1307">
        <v>3.5</v>
      </c>
      <c r="BV1307" t="s">
        <v>263</v>
      </c>
      <c r="CM1307" t="s">
        <v>264</v>
      </c>
      <c r="CN1307" t="s">
        <v>264</v>
      </c>
      <c r="CP1307" t="s">
        <v>265</v>
      </c>
      <c r="CQ1307" t="s">
        <v>394</v>
      </c>
      <c r="DB1307">
        <v>1</v>
      </c>
      <c r="DG1307" t="s">
        <v>267</v>
      </c>
      <c r="DI1307">
        <v>24</v>
      </c>
      <c r="DN1307" t="s">
        <v>268</v>
      </c>
      <c r="DP1307" t="s">
        <v>2598</v>
      </c>
      <c r="DR1307">
        <v>161924</v>
      </c>
      <c r="DS1307">
        <v>3045</v>
      </c>
      <c r="DT1307" t="s">
        <v>2888</v>
      </c>
      <c r="EW1307" t="s">
        <v>293</v>
      </c>
      <c r="FA1307" t="s">
        <v>2889</v>
      </c>
      <c r="FK1307" t="s">
        <v>2890</v>
      </c>
      <c r="FM1307">
        <v>30</v>
      </c>
      <c r="FR1307" t="s">
        <v>295</v>
      </c>
      <c r="HH1307" t="s">
        <v>272</v>
      </c>
      <c r="ID1307" t="s">
        <v>2891</v>
      </c>
      <c r="IE1307" t="s">
        <v>2892</v>
      </c>
      <c r="IF1307">
        <v>60029</v>
      </c>
      <c r="IG1307" t="s">
        <v>2893</v>
      </c>
      <c r="IH1307" t="s">
        <v>2894</v>
      </c>
      <c r="II1307">
        <v>1996</v>
      </c>
      <c r="IJ1307" t="s">
        <v>2895</v>
      </c>
    </row>
    <row r="1308" spans="1:244" x14ac:dyDescent="0.45">
      <c r="A1308">
        <v>1312291</v>
      </c>
      <c r="B1308">
        <v>769714</v>
      </c>
      <c r="C1308">
        <v>7758987</v>
      </c>
      <c r="D1308" t="s">
        <v>2545</v>
      </c>
      <c r="F1308" t="s">
        <v>245</v>
      </c>
      <c r="G1308" t="s">
        <v>246</v>
      </c>
      <c r="N1308" t="s">
        <v>958</v>
      </c>
      <c r="O1308" t="s">
        <v>959</v>
      </c>
      <c r="P1308" t="s">
        <v>249</v>
      </c>
      <c r="Q1308" t="s">
        <v>250</v>
      </c>
      <c r="R1308" t="s">
        <v>251</v>
      </c>
      <c r="T1308" t="s">
        <v>252</v>
      </c>
      <c r="U1308" t="s">
        <v>253</v>
      </c>
      <c r="V1308" t="s">
        <v>418</v>
      </c>
      <c r="W1308" t="s">
        <v>419</v>
      </c>
      <c r="X1308" t="s">
        <v>960</v>
      </c>
      <c r="Z1308" t="s">
        <v>649</v>
      </c>
      <c r="AL1308" t="s">
        <v>2587</v>
      </c>
      <c r="AM1308" t="s">
        <v>258</v>
      </c>
      <c r="AN1308" t="s">
        <v>259</v>
      </c>
      <c r="AO1308" t="s">
        <v>260</v>
      </c>
      <c r="AP1308">
        <v>7</v>
      </c>
      <c r="AQ1308" t="s">
        <v>261</v>
      </c>
      <c r="AS1308">
        <v>7.73</v>
      </c>
      <c r="AX1308" t="s">
        <v>356</v>
      </c>
      <c r="BO1308" t="s">
        <v>261</v>
      </c>
      <c r="BQ1308">
        <v>7.73</v>
      </c>
      <c r="BV1308" t="s">
        <v>263</v>
      </c>
      <c r="CM1308" t="s">
        <v>264</v>
      </c>
      <c r="CN1308" t="s">
        <v>264</v>
      </c>
      <c r="CP1308" t="s">
        <v>265</v>
      </c>
      <c r="CQ1308" t="s">
        <v>394</v>
      </c>
      <c r="DB1308">
        <v>4</v>
      </c>
      <c r="DG1308" t="s">
        <v>267</v>
      </c>
      <c r="DI1308">
        <v>96</v>
      </c>
      <c r="DN1308" t="s">
        <v>268</v>
      </c>
      <c r="DP1308" t="s">
        <v>2588</v>
      </c>
      <c r="DR1308">
        <v>6687</v>
      </c>
      <c r="DS1308">
        <v>252</v>
      </c>
      <c r="DT1308" t="s">
        <v>2589</v>
      </c>
      <c r="EW1308" t="s">
        <v>293</v>
      </c>
      <c r="FK1308" t="s">
        <v>2676</v>
      </c>
      <c r="FM1308">
        <v>26</v>
      </c>
      <c r="FR1308" t="s">
        <v>295</v>
      </c>
      <c r="GH1308">
        <v>6.09</v>
      </c>
      <c r="GM1308" t="s">
        <v>356</v>
      </c>
      <c r="GQ1308">
        <v>8.06</v>
      </c>
      <c r="GS1308">
        <v>8.24</v>
      </c>
      <c r="GU1308">
        <v>25</v>
      </c>
      <c r="GZ1308" t="s">
        <v>296</v>
      </c>
      <c r="HH1308" t="s">
        <v>272</v>
      </c>
      <c r="ID1308" t="s">
        <v>2677</v>
      </c>
      <c r="IE1308" t="s">
        <v>2592</v>
      </c>
      <c r="IF1308">
        <v>80017</v>
      </c>
      <c r="IG1308" t="s">
        <v>2593</v>
      </c>
      <c r="IH1308" t="s">
        <v>2594</v>
      </c>
      <c r="II1308">
        <v>2001</v>
      </c>
      <c r="IJ1308" t="s">
        <v>2595</v>
      </c>
    </row>
    <row r="1309" spans="1:244" x14ac:dyDescent="0.45">
      <c r="A1309">
        <v>1269753</v>
      </c>
      <c r="B1309">
        <v>721051</v>
      </c>
      <c r="C1309">
        <v>7758987</v>
      </c>
      <c r="D1309" t="s">
        <v>2545</v>
      </c>
      <c r="F1309" t="s">
        <v>327</v>
      </c>
      <c r="G1309" t="s">
        <v>246</v>
      </c>
      <c r="N1309" t="s">
        <v>2157</v>
      </c>
      <c r="O1309" t="s">
        <v>578</v>
      </c>
      <c r="P1309" t="s">
        <v>249</v>
      </c>
      <c r="Q1309" t="s">
        <v>250</v>
      </c>
      <c r="R1309" t="s">
        <v>251</v>
      </c>
      <c r="T1309" t="s">
        <v>252</v>
      </c>
      <c r="U1309" t="s">
        <v>499</v>
      </c>
      <c r="V1309" t="s">
        <v>1217</v>
      </c>
      <c r="W1309" t="s">
        <v>1218</v>
      </c>
      <c r="X1309" t="s">
        <v>351</v>
      </c>
      <c r="Z1309" t="s">
        <v>315</v>
      </c>
      <c r="AD1309">
        <v>2</v>
      </c>
      <c r="AF1309">
        <v>3</v>
      </c>
      <c r="AG1309" t="s">
        <v>1271</v>
      </c>
      <c r="AL1309" t="s">
        <v>2158</v>
      </c>
      <c r="AM1309" t="s">
        <v>317</v>
      </c>
      <c r="AN1309" t="s">
        <v>259</v>
      </c>
      <c r="AO1309" t="s">
        <v>260</v>
      </c>
      <c r="AP1309">
        <v>5</v>
      </c>
      <c r="AQ1309" t="s">
        <v>504</v>
      </c>
      <c r="AR1309" t="s">
        <v>288</v>
      </c>
      <c r="AS1309">
        <v>340</v>
      </c>
      <c r="AX1309" t="s">
        <v>262</v>
      </c>
      <c r="BO1309" t="s">
        <v>504</v>
      </c>
      <c r="BP1309" t="s">
        <v>288</v>
      </c>
      <c r="BQ1309">
        <v>0.34</v>
      </c>
      <c r="BV1309" t="s">
        <v>263</v>
      </c>
      <c r="CM1309" t="s">
        <v>264</v>
      </c>
      <c r="CN1309" t="s">
        <v>264</v>
      </c>
      <c r="CP1309" t="s">
        <v>265</v>
      </c>
      <c r="CQ1309" t="s">
        <v>394</v>
      </c>
      <c r="DB1309">
        <v>4</v>
      </c>
      <c r="DG1309" t="s">
        <v>267</v>
      </c>
      <c r="DI1309">
        <v>96</v>
      </c>
      <c r="DN1309" t="s">
        <v>268</v>
      </c>
      <c r="DP1309" t="s">
        <v>2554</v>
      </c>
      <c r="DR1309">
        <v>315597</v>
      </c>
      <c r="DS1309">
        <v>18408</v>
      </c>
      <c r="DT1309" t="s">
        <v>2160</v>
      </c>
      <c r="EW1309" t="s">
        <v>293</v>
      </c>
      <c r="FA1309" t="s">
        <v>2161</v>
      </c>
      <c r="FK1309" t="s">
        <v>2896</v>
      </c>
      <c r="FO1309">
        <v>20.5</v>
      </c>
      <c r="FQ1309">
        <v>21.2</v>
      </c>
      <c r="FR1309" t="s">
        <v>295</v>
      </c>
      <c r="GG1309" t="s">
        <v>288</v>
      </c>
      <c r="GH1309">
        <v>95</v>
      </c>
      <c r="GM1309" t="s">
        <v>900</v>
      </c>
      <c r="GQ1309">
        <v>8</v>
      </c>
      <c r="GS1309">
        <v>8.1999999999999993</v>
      </c>
      <c r="GW1309">
        <v>30</v>
      </c>
      <c r="GY1309">
        <v>32</v>
      </c>
      <c r="GZ1309" t="s">
        <v>296</v>
      </c>
      <c r="HH1309" t="s">
        <v>272</v>
      </c>
      <c r="ID1309" t="s">
        <v>2897</v>
      </c>
      <c r="IE1309" t="s">
        <v>2164</v>
      </c>
      <c r="IF1309">
        <v>100591</v>
      </c>
      <c r="IG1309" t="s">
        <v>2165</v>
      </c>
      <c r="IH1309" t="s">
        <v>2166</v>
      </c>
      <c r="II1309">
        <v>2006</v>
      </c>
      <c r="IJ1309" t="s">
        <v>2167</v>
      </c>
    </row>
    <row r="1310" spans="1:244" x14ac:dyDescent="0.45">
      <c r="A1310">
        <v>1272005</v>
      </c>
      <c r="B1310">
        <v>723303</v>
      </c>
      <c r="C1310">
        <v>7758987</v>
      </c>
      <c r="D1310" t="s">
        <v>2545</v>
      </c>
      <c r="F1310" t="s">
        <v>327</v>
      </c>
      <c r="G1310" t="s">
        <v>246</v>
      </c>
      <c r="N1310" t="s">
        <v>1914</v>
      </c>
      <c r="O1310" t="s">
        <v>248</v>
      </c>
      <c r="P1310" t="s">
        <v>249</v>
      </c>
      <c r="Q1310" t="s">
        <v>250</v>
      </c>
      <c r="R1310" t="s">
        <v>251</v>
      </c>
      <c r="T1310" t="s">
        <v>252</v>
      </c>
      <c r="U1310" t="s">
        <v>253</v>
      </c>
      <c r="V1310" t="s">
        <v>254</v>
      </c>
      <c r="W1310" t="s">
        <v>1915</v>
      </c>
      <c r="X1310" t="s">
        <v>1916</v>
      </c>
      <c r="AL1310" t="s">
        <v>2898</v>
      </c>
      <c r="AM1310" t="s">
        <v>317</v>
      </c>
      <c r="AN1310" t="s">
        <v>259</v>
      </c>
      <c r="AO1310" t="s">
        <v>260</v>
      </c>
      <c r="AP1310">
        <v>3</v>
      </c>
      <c r="AQ1310" t="s">
        <v>261</v>
      </c>
      <c r="AS1310">
        <v>14</v>
      </c>
      <c r="AX1310" t="s">
        <v>356</v>
      </c>
      <c r="BO1310" t="s">
        <v>261</v>
      </c>
      <c r="BQ1310">
        <v>14</v>
      </c>
      <c r="BV1310" t="s">
        <v>263</v>
      </c>
      <c r="CM1310" t="s">
        <v>264</v>
      </c>
      <c r="CN1310" t="s">
        <v>264</v>
      </c>
      <c r="CP1310" t="s">
        <v>265</v>
      </c>
      <c r="CQ1310" t="s">
        <v>394</v>
      </c>
      <c r="DB1310">
        <v>4</v>
      </c>
      <c r="DG1310" t="s">
        <v>267</v>
      </c>
      <c r="DI1310">
        <v>96</v>
      </c>
      <c r="DN1310" t="s">
        <v>268</v>
      </c>
      <c r="DP1310" t="s">
        <v>2899</v>
      </c>
      <c r="DR1310">
        <v>80836</v>
      </c>
      <c r="DS1310">
        <v>2488</v>
      </c>
      <c r="EW1310" t="s">
        <v>272</v>
      </c>
      <c r="FA1310" t="s">
        <v>2252</v>
      </c>
      <c r="FK1310" t="s">
        <v>2900</v>
      </c>
      <c r="FM1310">
        <v>22</v>
      </c>
      <c r="FR1310" t="s">
        <v>295</v>
      </c>
      <c r="GO1310">
        <v>8.1999999999999993</v>
      </c>
      <c r="GU1310">
        <v>36</v>
      </c>
      <c r="GZ1310" t="s">
        <v>296</v>
      </c>
      <c r="HH1310" t="s">
        <v>272</v>
      </c>
      <c r="ID1310" t="s">
        <v>2901</v>
      </c>
      <c r="IE1310" t="s">
        <v>2255</v>
      </c>
      <c r="IF1310">
        <v>14467</v>
      </c>
      <c r="IG1310" t="s">
        <v>2256</v>
      </c>
      <c r="IH1310" t="s">
        <v>2257</v>
      </c>
      <c r="II1310">
        <v>1986</v>
      </c>
      <c r="IJ1310" t="s">
        <v>2258</v>
      </c>
    </row>
    <row r="1311" spans="1:244" x14ac:dyDescent="0.45">
      <c r="A1311">
        <v>1186870</v>
      </c>
      <c r="B1311">
        <v>138561</v>
      </c>
      <c r="C1311">
        <v>7758987</v>
      </c>
      <c r="D1311" t="s">
        <v>2545</v>
      </c>
      <c r="F1311" t="s">
        <v>245</v>
      </c>
      <c r="G1311" t="s">
        <v>246</v>
      </c>
      <c r="N1311" t="s">
        <v>789</v>
      </c>
      <c r="O1311" t="s">
        <v>790</v>
      </c>
      <c r="P1311" t="s">
        <v>249</v>
      </c>
      <c r="Q1311" t="s">
        <v>250</v>
      </c>
      <c r="R1311" t="s">
        <v>251</v>
      </c>
      <c r="T1311" t="s">
        <v>252</v>
      </c>
      <c r="U1311" t="s">
        <v>253</v>
      </c>
      <c r="V1311" t="s">
        <v>418</v>
      </c>
      <c r="W1311" t="s">
        <v>791</v>
      </c>
      <c r="X1311" t="s">
        <v>792</v>
      </c>
      <c r="Z1311" t="s">
        <v>284</v>
      </c>
      <c r="AL1311" t="s">
        <v>1816</v>
      </c>
      <c r="AM1311" t="s">
        <v>258</v>
      </c>
      <c r="AN1311" t="s">
        <v>259</v>
      </c>
      <c r="AO1311" t="s">
        <v>260</v>
      </c>
      <c r="AQ1311" t="s">
        <v>261</v>
      </c>
      <c r="AS1311">
        <v>12.7</v>
      </c>
      <c r="AX1311" t="s">
        <v>262</v>
      </c>
      <c r="BO1311" t="s">
        <v>261</v>
      </c>
      <c r="BQ1311">
        <v>1.2699999999999999E-2</v>
      </c>
      <c r="BV1311" t="s">
        <v>263</v>
      </c>
      <c r="CM1311" t="s">
        <v>264</v>
      </c>
      <c r="CN1311" t="s">
        <v>264</v>
      </c>
      <c r="CP1311" t="s">
        <v>265</v>
      </c>
      <c r="DB1311">
        <v>1</v>
      </c>
      <c r="DG1311" t="s">
        <v>267</v>
      </c>
      <c r="DI1311">
        <v>24</v>
      </c>
      <c r="DN1311" t="s">
        <v>268</v>
      </c>
      <c r="DR1311">
        <v>161924</v>
      </c>
      <c r="DS1311">
        <v>3045</v>
      </c>
      <c r="EW1311" t="s">
        <v>272</v>
      </c>
      <c r="FM1311">
        <v>28</v>
      </c>
      <c r="FR1311" t="s">
        <v>295</v>
      </c>
      <c r="GO1311">
        <v>8.1999999999999993</v>
      </c>
      <c r="GU1311">
        <v>32</v>
      </c>
      <c r="GZ1311" t="s">
        <v>296</v>
      </c>
      <c r="HH1311" t="s">
        <v>272</v>
      </c>
      <c r="IE1311" t="s">
        <v>1652</v>
      </c>
      <c r="IF1311">
        <v>16613</v>
      </c>
      <c r="IG1311" t="s">
        <v>1653</v>
      </c>
      <c r="IH1311" t="s">
        <v>1654</v>
      </c>
      <c r="II1311">
        <v>1994</v>
      </c>
      <c r="IJ1311" t="s">
        <v>1655</v>
      </c>
    </row>
    <row r="1312" spans="1:244" x14ac:dyDescent="0.45">
      <c r="A1312">
        <v>1310621</v>
      </c>
      <c r="B1312">
        <v>767804</v>
      </c>
      <c r="C1312">
        <v>7758987</v>
      </c>
      <c r="D1312" t="s">
        <v>2545</v>
      </c>
      <c r="F1312" t="s">
        <v>245</v>
      </c>
      <c r="G1312" t="s">
        <v>246</v>
      </c>
      <c r="N1312" t="s">
        <v>471</v>
      </c>
      <c r="O1312" t="s">
        <v>388</v>
      </c>
      <c r="P1312" t="s">
        <v>249</v>
      </c>
      <c r="Q1312" t="s">
        <v>250</v>
      </c>
      <c r="R1312" t="s">
        <v>251</v>
      </c>
      <c r="T1312" t="s">
        <v>389</v>
      </c>
      <c r="U1312" t="s">
        <v>390</v>
      </c>
      <c r="V1312" t="s">
        <v>472</v>
      </c>
      <c r="W1312" t="s">
        <v>473</v>
      </c>
      <c r="X1312" t="s">
        <v>474</v>
      </c>
      <c r="AM1312" t="s">
        <v>317</v>
      </c>
      <c r="AN1312" t="s">
        <v>259</v>
      </c>
      <c r="AO1312" t="s">
        <v>260</v>
      </c>
      <c r="AP1312">
        <v>4</v>
      </c>
      <c r="AQ1312" t="s">
        <v>261</v>
      </c>
      <c r="AS1312">
        <v>0.42809999999999998</v>
      </c>
      <c r="AX1312" t="s">
        <v>356</v>
      </c>
      <c r="BO1312" t="s">
        <v>261</v>
      </c>
      <c r="BQ1312">
        <v>0.42809999999999998</v>
      </c>
      <c r="BV1312" t="s">
        <v>263</v>
      </c>
      <c r="CM1312" t="s">
        <v>264</v>
      </c>
      <c r="CN1312" t="s">
        <v>264</v>
      </c>
      <c r="CO1312" t="s">
        <v>2870</v>
      </c>
      <c r="CP1312" t="s">
        <v>265</v>
      </c>
      <c r="CQ1312" t="s">
        <v>394</v>
      </c>
      <c r="DB1312">
        <v>2</v>
      </c>
      <c r="DG1312" t="s">
        <v>267</v>
      </c>
      <c r="DI1312">
        <v>48</v>
      </c>
      <c r="DN1312" t="s">
        <v>268</v>
      </c>
      <c r="DP1312" t="s">
        <v>2598</v>
      </c>
      <c r="DR1312">
        <v>2056173</v>
      </c>
      <c r="DS1312">
        <v>1053</v>
      </c>
      <c r="EW1312" t="s">
        <v>293</v>
      </c>
      <c r="FK1312" t="s">
        <v>2902</v>
      </c>
      <c r="HH1312" t="s">
        <v>272</v>
      </c>
      <c r="ID1312" t="s">
        <v>2903</v>
      </c>
      <c r="IE1312" t="s">
        <v>2685</v>
      </c>
      <c r="IF1312">
        <v>14474</v>
      </c>
      <c r="IG1312" t="s">
        <v>2686</v>
      </c>
      <c r="IH1312" t="s">
        <v>2687</v>
      </c>
      <c r="II1312">
        <v>1986</v>
      </c>
      <c r="IJ1312" t="s">
        <v>2688</v>
      </c>
    </row>
    <row r="1313" spans="1:244" x14ac:dyDescent="0.45">
      <c r="A1313">
        <v>1312577</v>
      </c>
      <c r="B1313">
        <v>770041</v>
      </c>
      <c r="C1313">
        <v>7758987</v>
      </c>
      <c r="D1313" t="s">
        <v>2545</v>
      </c>
      <c r="F1313" t="s">
        <v>245</v>
      </c>
      <c r="G1313" t="s">
        <v>246</v>
      </c>
      <c r="H1313" t="s">
        <v>278</v>
      </c>
      <c r="I1313">
        <v>99.5</v>
      </c>
      <c r="N1313" t="s">
        <v>497</v>
      </c>
      <c r="O1313" t="s">
        <v>498</v>
      </c>
      <c r="P1313" t="s">
        <v>249</v>
      </c>
      <c r="Q1313" t="s">
        <v>250</v>
      </c>
      <c r="R1313" t="s">
        <v>251</v>
      </c>
      <c r="T1313" t="s">
        <v>252</v>
      </c>
      <c r="U1313" t="s">
        <v>499</v>
      </c>
      <c r="V1313" t="s">
        <v>500</v>
      </c>
      <c r="W1313" t="s">
        <v>501</v>
      </c>
      <c r="X1313" t="s">
        <v>502</v>
      </c>
      <c r="Z1313" t="s">
        <v>649</v>
      </c>
      <c r="AL1313" t="s">
        <v>2725</v>
      </c>
      <c r="AM1313" t="s">
        <v>258</v>
      </c>
      <c r="AN1313" t="s">
        <v>259</v>
      </c>
      <c r="AO1313" t="s">
        <v>260</v>
      </c>
      <c r="AP1313">
        <v>6</v>
      </c>
      <c r="AQ1313" t="s">
        <v>261</v>
      </c>
      <c r="AS1313">
        <v>180</v>
      </c>
      <c r="AU1313">
        <v>140</v>
      </c>
      <c r="AW1313">
        <v>240</v>
      </c>
      <c r="AX1313" t="s">
        <v>262</v>
      </c>
      <c r="BO1313" t="s">
        <v>261</v>
      </c>
      <c r="BQ1313">
        <v>0.18</v>
      </c>
      <c r="BS1313">
        <v>0.14000000000000001</v>
      </c>
      <c r="BU1313">
        <v>0.24</v>
      </c>
      <c r="BV1313" t="s">
        <v>263</v>
      </c>
      <c r="CM1313" t="s">
        <v>264</v>
      </c>
      <c r="CN1313" t="s">
        <v>264</v>
      </c>
      <c r="CP1313" t="s">
        <v>265</v>
      </c>
      <c r="CQ1313" t="s">
        <v>394</v>
      </c>
      <c r="DB1313">
        <v>1</v>
      </c>
      <c r="DG1313" t="s">
        <v>267</v>
      </c>
      <c r="DI1313">
        <v>24</v>
      </c>
      <c r="DN1313" t="s">
        <v>268</v>
      </c>
      <c r="DO1313" t="s">
        <v>1587</v>
      </c>
      <c r="DP1313" t="s">
        <v>2598</v>
      </c>
      <c r="DR1313">
        <v>1400849</v>
      </c>
      <c r="DS1313">
        <v>4389</v>
      </c>
      <c r="DT1313" t="s">
        <v>2726</v>
      </c>
      <c r="EW1313" t="s">
        <v>293</v>
      </c>
      <c r="FA1313" t="s">
        <v>2727</v>
      </c>
      <c r="FK1313" t="s">
        <v>2728</v>
      </c>
      <c r="FM1313">
        <v>25</v>
      </c>
      <c r="FR1313" t="s">
        <v>295</v>
      </c>
      <c r="GQ1313">
        <v>8.1</v>
      </c>
      <c r="GS1313">
        <v>8.4</v>
      </c>
      <c r="GU1313">
        <v>33</v>
      </c>
      <c r="GZ1313" t="s">
        <v>296</v>
      </c>
      <c r="HH1313" t="s">
        <v>272</v>
      </c>
      <c r="ID1313" t="s">
        <v>2729</v>
      </c>
      <c r="IE1313" t="s">
        <v>2730</v>
      </c>
      <c r="IF1313">
        <v>111647</v>
      </c>
      <c r="IG1313" t="s">
        <v>2731</v>
      </c>
      <c r="IH1313" t="s">
        <v>2732</v>
      </c>
      <c r="II1313">
        <v>2008</v>
      </c>
      <c r="IJ1313" t="s">
        <v>2733</v>
      </c>
    </row>
    <row r="1314" spans="1:244" x14ac:dyDescent="0.45">
      <c r="A1314">
        <v>1303026</v>
      </c>
      <c r="B1314">
        <v>759482</v>
      </c>
      <c r="C1314">
        <v>7758987</v>
      </c>
      <c r="D1314" t="s">
        <v>2545</v>
      </c>
      <c r="F1314" t="s">
        <v>245</v>
      </c>
      <c r="G1314" t="s">
        <v>246</v>
      </c>
      <c r="N1314" t="s">
        <v>944</v>
      </c>
      <c r="O1314" t="s">
        <v>945</v>
      </c>
      <c r="P1314" t="s">
        <v>249</v>
      </c>
      <c r="Q1314" t="s">
        <v>250</v>
      </c>
      <c r="R1314" t="s">
        <v>251</v>
      </c>
      <c r="T1314" t="s">
        <v>252</v>
      </c>
      <c r="U1314" t="s">
        <v>253</v>
      </c>
      <c r="V1314" t="s">
        <v>418</v>
      </c>
      <c r="W1314" t="s">
        <v>946</v>
      </c>
      <c r="X1314" t="s">
        <v>947</v>
      </c>
      <c r="Z1314" t="s">
        <v>649</v>
      </c>
      <c r="AL1314" t="s">
        <v>2710</v>
      </c>
      <c r="AM1314" t="s">
        <v>258</v>
      </c>
      <c r="AN1314" t="s">
        <v>259</v>
      </c>
      <c r="AO1314" t="s">
        <v>260</v>
      </c>
      <c r="AP1314">
        <v>13</v>
      </c>
      <c r="AQ1314" t="s">
        <v>261</v>
      </c>
      <c r="AS1314">
        <v>35.119999999999997</v>
      </c>
      <c r="AU1314">
        <v>30.12</v>
      </c>
      <c r="AW1314">
        <v>36.770000000000003</v>
      </c>
      <c r="AX1314" t="s">
        <v>356</v>
      </c>
      <c r="BO1314" t="s">
        <v>261</v>
      </c>
      <c r="BQ1314">
        <v>35.119999999999997</v>
      </c>
      <c r="BS1314">
        <v>30.12</v>
      </c>
      <c r="BU1314">
        <v>36.770000000000003</v>
      </c>
      <c r="BV1314" t="s">
        <v>263</v>
      </c>
      <c r="CM1314" t="s">
        <v>264</v>
      </c>
      <c r="CN1314" t="s">
        <v>264</v>
      </c>
      <c r="CP1314" t="s">
        <v>265</v>
      </c>
      <c r="CQ1314" t="s">
        <v>394</v>
      </c>
      <c r="DB1314">
        <v>4</v>
      </c>
      <c r="DG1314" t="s">
        <v>267</v>
      </c>
      <c r="DI1314">
        <v>96</v>
      </c>
      <c r="DN1314" t="s">
        <v>268</v>
      </c>
      <c r="DP1314" t="s">
        <v>2554</v>
      </c>
      <c r="DR1314">
        <v>6689</v>
      </c>
      <c r="DS1314">
        <v>11779</v>
      </c>
      <c r="DT1314" t="s">
        <v>2711</v>
      </c>
      <c r="EW1314" t="s">
        <v>293</v>
      </c>
      <c r="FA1314" t="s">
        <v>397</v>
      </c>
      <c r="FK1314" t="s">
        <v>2712</v>
      </c>
      <c r="FM1314">
        <v>28</v>
      </c>
      <c r="FR1314" t="s">
        <v>295</v>
      </c>
      <c r="GH1314">
        <v>6.3</v>
      </c>
      <c r="GM1314" t="s">
        <v>356</v>
      </c>
      <c r="GO1314">
        <v>8.15</v>
      </c>
      <c r="GU1314">
        <v>25</v>
      </c>
      <c r="GZ1314" t="s">
        <v>296</v>
      </c>
      <c r="HH1314" t="s">
        <v>272</v>
      </c>
      <c r="ID1314" t="s">
        <v>2713</v>
      </c>
      <c r="IE1314" t="s">
        <v>2714</v>
      </c>
      <c r="IF1314">
        <v>117086</v>
      </c>
      <c r="IG1314" t="s">
        <v>2715</v>
      </c>
      <c r="IH1314" t="s">
        <v>2716</v>
      </c>
      <c r="II1314">
        <v>2008</v>
      </c>
      <c r="IJ1314" t="s">
        <v>2717</v>
      </c>
    </row>
    <row r="1315" spans="1:244" x14ac:dyDescent="0.45">
      <c r="A1315">
        <v>1179974</v>
      </c>
      <c r="B1315">
        <v>82523</v>
      </c>
      <c r="C1315">
        <v>7758987</v>
      </c>
      <c r="D1315" t="s">
        <v>2545</v>
      </c>
      <c r="F1315" t="s">
        <v>245</v>
      </c>
      <c r="G1315" t="s">
        <v>246</v>
      </c>
      <c r="N1315" t="s">
        <v>471</v>
      </c>
      <c r="O1315" t="s">
        <v>388</v>
      </c>
      <c r="P1315" t="s">
        <v>249</v>
      </c>
      <c r="Q1315" t="s">
        <v>250</v>
      </c>
      <c r="R1315" t="s">
        <v>251</v>
      </c>
      <c r="T1315" t="s">
        <v>389</v>
      </c>
      <c r="U1315" t="s">
        <v>390</v>
      </c>
      <c r="V1315" t="s">
        <v>472</v>
      </c>
      <c r="W1315" t="s">
        <v>473</v>
      </c>
      <c r="X1315" t="s">
        <v>474</v>
      </c>
      <c r="Z1315" t="s">
        <v>315</v>
      </c>
      <c r="AL1315" t="s">
        <v>475</v>
      </c>
      <c r="AM1315" t="s">
        <v>317</v>
      </c>
      <c r="AN1315" t="s">
        <v>259</v>
      </c>
      <c r="AO1315" t="s">
        <v>260</v>
      </c>
      <c r="AQ1315" t="s">
        <v>261</v>
      </c>
      <c r="AS1315">
        <v>80</v>
      </c>
      <c r="AX1315" t="s">
        <v>262</v>
      </c>
      <c r="BO1315" t="s">
        <v>261</v>
      </c>
      <c r="BQ1315">
        <v>0.08</v>
      </c>
      <c r="BV1315" t="s">
        <v>263</v>
      </c>
      <c r="CM1315" t="s">
        <v>264</v>
      </c>
      <c r="CN1315" t="s">
        <v>264</v>
      </c>
      <c r="CP1315" t="s">
        <v>265</v>
      </c>
      <c r="CQ1315" t="s">
        <v>394</v>
      </c>
      <c r="DB1315">
        <v>2</v>
      </c>
      <c r="DG1315" t="s">
        <v>267</v>
      </c>
      <c r="DI1315">
        <v>48</v>
      </c>
      <c r="DN1315" t="s">
        <v>268</v>
      </c>
      <c r="DR1315">
        <v>2056173</v>
      </c>
      <c r="DS1315">
        <v>1053</v>
      </c>
      <c r="DT1315" t="s">
        <v>2904</v>
      </c>
      <c r="EW1315" t="s">
        <v>271</v>
      </c>
      <c r="FM1315">
        <v>24</v>
      </c>
      <c r="FR1315" t="s">
        <v>295</v>
      </c>
      <c r="HH1315" t="s">
        <v>272</v>
      </c>
      <c r="IE1315" t="s">
        <v>2685</v>
      </c>
      <c r="IF1315">
        <v>15726</v>
      </c>
      <c r="IG1315" t="s">
        <v>2905</v>
      </c>
      <c r="IH1315" t="s">
        <v>2906</v>
      </c>
      <c r="II1315">
        <v>1982</v>
      </c>
      <c r="IJ1315" t="s">
        <v>2907</v>
      </c>
    </row>
    <row r="1316" spans="1:244" x14ac:dyDescent="0.45">
      <c r="A1316">
        <v>1292723</v>
      </c>
      <c r="B1316">
        <v>747613</v>
      </c>
      <c r="C1316">
        <v>7758987</v>
      </c>
      <c r="D1316" t="s">
        <v>2545</v>
      </c>
      <c r="F1316" t="s">
        <v>245</v>
      </c>
      <c r="G1316" t="s">
        <v>246</v>
      </c>
      <c r="N1316" t="s">
        <v>1216</v>
      </c>
      <c r="O1316" t="s">
        <v>578</v>
      </c>
      <c r="P1316" t="s">
        <v>249</v>
      </c>
      <c r="Q1316" t="s">
        <v>250</v>
      </c>
      <c r="R1316" t="s">
        <v>251</v>
      </c>
      <c r="T1316" t="s">
        <v>252</v>
      </c>
      <c r="U1316" t="s">
        <v>499</v>
      </c>
      <c r="V1316" t="s">
        <v>1217</v>
      </c>
      <c r="W1316" t="s">
        <v>1218</v>
      </c>
      <c r="X1316" t="s">
        <v>1219</v>
      </c>
      <c r="Z1316" t="s">
        <v>649</v>
      </c>
      <c r="AB1316">
        <v>30</v>
      </c>
      <c r="AG1316" t="s">
        <v>267</v>
      </c>
      <c r="AM1316" t="s">
        <v>317</v>
      </c>
      <c r="AN1316" t="s">
        <v>259</v>
      </c>
      <c r="AO1316" t="s">
        <v>260</v>
      </c>
      <c r="AQ1316" t="s">
        <v>504</v>
      </c>
      <c r="AS1316">
        <v>470</v>
      </c>
      <c r="AX1316" t="s">
        <v>262</v>
      </c>
      <c r="BO1316" t="s">
        <v>504</v>
      </c>
      <c r="BQ1316">
        <v>0.47</v>
      </c>
      <c r="BV1316" t="s">
        <v>263</v>
      </c>
      <c r="CM1316" t="s">
        <v>264</v>
      </c>
      <c r="CN1316" t="s">
        <v>264</v>
      </c>
      <c r="CP1316" t="s">
        <v>265</v>
      </c>
      <c r="CQ1316" t="s">
        <v>394</v>
      </c>
      <c r="DB1316">
        <v>4</v>
      </c>
      <c r="DG1316" t="s">
        <v>267</v>
      </c>
      <c r="DI1316">
        <v>4</v>
      </c>
      <c r="DN1316" t="s">
        <v>267</v>
      </c>
      <c r="DP1316" t="s">
        <v>2554</v>
      </c>
      <c r="DR1316">
        <v>764486</v>
      </c>
      <c r="DS1316">
        <v>18590</v>
      </c>
      <c r="DT1316" t="s">
        <v>2555</v>
      </c>
      <c r="EW1316" t="s">
        <v>293</v>
      </c>
      <c r="FA1316" t="s">
        <v>2735</v>
      </c>
      <c r="FK1316" t="s">
        <v>2908</v>
      </c>
      <c r="FM1316">
        <v>21</v>
      </c>
      <c r="FR1316" t="s">
        <v>295</v>
      </c>
      <c r="GG1316" t="s">
        <v>288</v>
      </c>
      <c r="GH1316">
        <v>85</v>
      </c>
      <c r="GM1316" t="s">
        <v>1224</v>
      </c>
      <c r="GQ1316">
        <v>8</v>
      </c>
      <c r="GS1316">
        <v>8.1999999999999993</v>
      </c>
      <c r="GU1316">
        <v>30</v>
      </c>
      <c r="GZ1316" t="s">
        <v>296</v>
      </c>
      <c r="HH1316" t="s">
        <v>272</v>
      </c>
      <c r="ID1316" t="s">
        <v>2909</v>
      </c>
      <c r="IE1316" t="s">
        <v>2559</v>
      </c>
      <c r="IF1316">
        <v>112230</v>
      </c>
      <c r="IG1316" t="s">
        <v>2560</v>
      </c>
      <c r="IH1316" t="s">
        <v>2561</v>
      </c>
      <c r="II1316">
        <v>2008</v>
      </c>
      <c r="IJ1316" t="s">
        <v>2562</v>
      </c>
    </row>
    <row r="1317" spans="1:244" x14ac:dyDescent="0.45">
      <c r="A1317">
        <v>1304322</v>
      </c>
      <c r="B1317">
        <v>760893</v>
      </c>
      <c r="C1317">
        <v>7758987</v>
      </c>
      <c r="D1317" t="s">
        <v>2545</v>
      </c>
      <c r="F1317" t="s">
        <v>245</v>
      </c>
      <c r="G1317" t="s">
        <v>246</v>
      </c>
      <c r="N1317" t="s">
        <v>2444</v>
      </c>
      <c r="O1317" t="s">
        <v>2445</v>
      </c>
      <c r="P1317" t="s">
        <v>249</v>
      </c>
      <c r="Q1317" t="s">
        <v>250</v>
      </c>
      <c r="R1317" t="s">
        <v>251</v>
      </c>
      <c r="T1317" t="s">
        <v>252</v>
      </c>
      <c r="U1317" t="s">
        <v>253</v>
      </c>
      <c r="V1317" t="s">
        <v>418</v>
      </c>
      <c r="W1317" t="s">
        <v>847</v>
      </c>
      <c r="X1317" t="s">
        <v>351</v>
      </c>
      <c r="AL1317" t="s">
        <v>2749</v>
      </c>
      <c r="AM1317" t="s">
        <v>258</v>
      </c>
      <c r="AN1317" t="s">
        <v>259</v>
      </c>
      <c r="AO1317" t="s">
        <v>260</v>
      </c>
      <c r="AP1317" t="s">
        <v>2368</v>
      </c>
      <c r="AQ1317" t="s">
        <v>261</v>
      </c>
      <c r="AS1317">
        <v>0.22</v>
      </c>
      <c r="AX1317" t="s">
        <v>356</v>
      </c>
      <c r="BO1317" t="s">
        <v>261</v>
      </c>
      <c r="BQ1317">
        <v>0.22</v>
      </c>
      <c r="BV1317" t="s">
        <v>263</v>
      </c>
      <c r="CM1317" t="s">
        <v>264</v>
      </c>
      <c r="CN1317" t="s">
        <v>264</v>
      </c>
      <c r="CP1317" t="s">
        <v>265</v>
      </c>
      <c r="CQ1317" t="s">
        <v>394</v>
      </c>
      <c r="DB1317">
        <v>4</v>
      </c>
      <c r="DG1317" t="s">
        <v>267</v>
      </c>
      <c r="DI1317">
        <v>96</v>
      </c>
      <c r="DN1317" t="s">
        <v>268</v>
      </c>
      <c r="DP1317" t="s">
        <v>2598</v>
      </c>
      <c r="DR1317">
        <v>32277</v>
      </c>
      <c r="DS1317">
        <v>18738</v>
      </c>
      <c r="EW1317" t="s">
        <v>293</v>
      </c>
      <c r="FK1317" t="s">
        <v>2750</v>
      </c>
      <c r="FM1317">
        <v>28</v>
      </c>
      <c r="FR1317" t="s">
        <v>295</v>
      </c>
      <c r="GO1317">
        <v>7.81</v>
      </c>
      <c r="GU1317">
        <v>38</v>
      </c>
      <c r="GZ1317" t="s">
        <v>296</v>
      </c>
      <c r="HH1317" t="s">
        <v>272</v>
      </c>
      <c r="ID1317" t="s">
        <v>2751</v>
      </c>
      <c r="IE1317" t="s">
        <v>2372</v>
      </c>
      <c r="IF1317">
        <v>62226</v>
      </c>
      <c r="IG1317" t="s">
        <v>2373</v>
      </c>
      <c r="IH1317" t="s">
        <v>2374</v>
      </c>
      <c r="II1317">
        <v>1999</v>
      </c>
      <c r="IJ1317" t="s">
        <v>2375</v>
      </c>
    </row>
    <row r="1318" spans="1:244" x14ac:dyDescent="0.45">
      <c r="A1318">
        <v>1312728</v>
      </c>
      <c r="B1318">
        <v>770196</v>
      </c>
      <c r="C1318">
        <v>7758987</v>
      </c>
      <c r="D1318" t="s">
        <v>2545</v>
      </c>
      <c r="E1318" t="s">
        <v>622</v>
      </c>
      <c r="F1318" t="s">
        <v>272</v>
      </c>
      <c r="G1318" t="s">
        <v>246</v>
      </c>
      <c r="N1318" t="s">
        <v>1298</v>
      </c>
      <c r="O1318" t="s">
        <v>1299</v>
      </c>
      <c r="P1318" t="s">
        <v>249</v>
      </c>
      <c r="Q1318" t="s">
        <v>250</v>
      </c>
      <c r="R1318" t="s">
        <v>251</v>
      </c>
      <c r="T1318" t="s">
        <v>252</v>
      </c>
      <c r="U1318" t="s">
        <v>371</v>
      </c>
      <c r="V1318" t="s">
        <v>372</v>
      </c>
      <c r="W1318" t="s">
        <v>1300</v>
      </c>
      <c r="X1318" t="s">
        <v>1301</v>
      </c>
      <c r="Z1318" t="s">
        <v>649</v>
      </c>
      <c r="AD1318">
        <v>2</v>
      </c>
      <c r="AF1318">
        <v>3</v>
      </c>
      <c r="AG1318" t="s">
        <v>267</v>
      </c>
      <c r="AM1318" t="s">
        <v>317</v>
      </c>
      <c r="AN1318" t="s">
        <v>259</v>
      </c>
      <c r="AO1318" t="s">
        <v>260</v>
      </c>
      <c r="AP1318" t="s">
        <v>559</v>
      </c>
      <c r="AQ1318" t="s">
        <v>261</v>
      </c>
      <c r="AS1318">
        <v>0.18</v>
      </c>
      <c r="AX1318" t="s">
        <v>356</v>
      </c>
      <c r="BO1318" t="s">
        <v>261</v>
      </c>
      <c r="BQ1318">
        <v>0.18</v>
      </c>
      <c r="BV1318" t="s">
        <v>263</v>
      </c>
      <c r="CM1318" t="s">
        <v>264</v>
      </c>
      <c r="CN1318" t="s">
        <v>264</v>
      </c>
      <c r="CP1318" t="s">
        <v>265</v>
      </c>
      <c r="DB1318">
        <v>4</v>
      </c>
      <c r="DG1318" t="s">
        <v>267</v>
      </c>
      <c r="DI1318">
        <v>96</v>
      </c>
      <c r="DN1318" t="s">
        <v>268</v>
      </c>
      <c r="DP1318" t="s">
        <v>2588</v>
      </c>
      <c r="DS1318">
        <v>20391</v>
      </c>
      <c r="DT1318" t="s">
        <v>1302</v>
      </c>
      <c r="EW1318" t="s">
        <v>293</v>
      </c>
      <c r="FA1318" t="s">
        <v>1485</v>
      </c>
      <c r="FK1318" t="s">
        <v>2910</v>
      </c>
      <c r="FM1318">
        <v>25</v>
      </c>
      <c r="FR1318" t="s">
        <v>295</v>
      </c>
      <c r="GG1318" t="s">
        <v>288</v>
      </c>
      <c r="GH1318">
        <v>80</v>
      </c>
      <c r="GM1318" t="s">
        <v>1224</v>
      </c>
      <c r="GQ1318">
        <v>7.5</v>
      </c>
      <c r="GS1318">
        <v>8.5</v>
      </c>
      <c r="GU1318">
        <v>25</v>
      </c>
      <c r="GZ1318" t="s">
        <v>900</v>
      </c>
      <c r="HH1318" t="s">
        <v>272</v>
      </c>
      <c r="ID1318" t="s">
        <v>2911</v>
      </c>
      <c r="IE1318" t="s">
        <v>1306</v>
      </c>
      <c r="IF1318">
        <v>117932</v>
      </c>
      <c r="IG1318" t="s">
        <v>1307</v>
      </c>
      <c r="IH1318" t="s">
        <v>1308</v>
      </c>
      <c r="II1318">
        <v>2008</v>
      </c>
      <c r="IJ1318" t="s">
        <v>1309</v>
      </c>
    </row>
    <row r="1319" spans="1:244" x14ac:dyDescent="0.45">
      <c r="A1319">
        <v>1312724</v>
      </c>
      <c r="B1319">
        <v>770192</v>
      </c>
      <c r="C1319">
        <v>7758987</v>
      </c>
      <c r="D1319" t="s">
        <v>2545</v>
      </c>
      <c r="E1319" t="s">
        <v>622</v>
      </c>
      <c r="F1319" t="s">
        <v>272</v>
      </c>
      <c r="G1319" t="s">
        <v>246</v>
      </c>
      <c r="N1319" t="s">
        <v>1298</v>
      </c>
      <c r="O1319" t="s">
        <v>1299</v>
      </c>
      <c r="P1319" t="s">
        <v>249</v>
      </c>
      <c r="Q1319" t="s">
        <v>250</v>
      </c>
      <c r="R1319" t="s">
        <v>251</v>
      </c>
      <c r="T1319" t="s">
        <v>252</v>
      </c>
      <c r="U1319" t="s">
        <v>371</v>
      </c>
      <c r="V1319" t="s">
        <v>372</v>
      </c>
      <c r="W1319" t="s">
        <v>1300</v>
      </c>
      <c r="X1319" t="s">
        <v>1301</v>
      </c>
      <c r="Z1319" t="s">
        <v>649</v>
      </c>
      <c r="AD1319">
        <v>2</v>
      </c>
      <c r="AF1319">
        <v>3</v>
      </c>
      <c r="AG1319" t="s">
        <v>267</v>
      </c>
      <c r="AM1319" t="s">
        <v>317</v>
      </c>
      <c r="AN1319" t="s">
        <v>259</v>
      </c>
      <c r="AO1319" t="s">
        <v>260</v>
      </c>
      <c r="AP1319" t="s">
        <v>559</v>
      </c>
      <c r="AQ1319" t="s">
        <v>261</v>
      </c>
      <c r="AS1319">
        <v>0.11</v>
      </c>
      <c r="AX1319" t="s">
        <v>356</v>
      </c>
      <c r="BO1319" t="s">
        <v>261</v>
      </c>
      <c r="BQ1319">
        <v>0.11</v>
      </c>
      <c r="BV1319" t="s">
        <v>263</v>
      </c>
      <c r="CM1319" t="s">
        <v>264</v>
      </c>
      <c r="CN1319" t="s">
        <v>264</v>
      </c>
      <c r="CP1319" t="s">
        <v>265</v>
      </c>
      <c r="DB1319">
        <v>4</v>
      </c>
      <c r="DG1319" t="s">
        <v>267</v>
      </c>
      <c r="DI1319">
        <v>96</v>
      </c>
      <c r="DN1319" t="s">
        <v>268</v>
      </c>
      <c r="DP1319" t="s">
        <v>2588</v>
      </c>
      <c r="DS1319">
        <v>20391</v>
      </c>
      <c r="DT1319" t="s">
        <v>1302</v>
      </c>
      <c r="EW1319" t="s">
        <v>293</v>
      </c>
      <c r="FA1319" t="s">
        <v>1476</v>
      </c>
      <c r="FK1319" t="s">
        <v>2912</v>
      </c>
      <c r="FM1319">
        <v>25</v>
      </c>
      <c r="FR1319" t="s">
        <v>295</v>
      </c>
      <c r="GG1319" t="s">
        <v>288</v>
      </c>
      <c r="GH1319">
        <v>80</v>
      </c>
      <c r="GM1319" t="s">
        <v>1224</v>
      </c>
      <c r="GQ1319">
        <v>7.5</v>
      </c>
      <c r="GS1319">
        <v>8.5</v>
      </c>
      <c r="GU1319">
        <v>25</v>
      </c>
      <c r="GZ1319" t="s">
        <v>900</v>
      </c>
      <c r="HH1319" t="s">
        <v>272</v>
      </c>
      <c r="ID1319" t="s">
        <v>2913</v>
      </c>
      <c r="IE1319" t="s">
        <v>1306</v>
      </c>
      <c r="IF1319">
        <v>117932</v>
      </c>
      <c r="IG1319" t="s">
        <v>1307</v>
      </c>
      <c r="IH1319" t="s">
        <v>1308</v>
      </c>
      <c r="II1319">
        <v>2008</v>
      </c>
      <c r="IJ1319" t="s">
        <v>1309</v>
      </c>
    </row>
    <row r="1320" spans="1:244" x14ac:dyDescent="0.45">
      <c r="A1320">
        <v>1304324</v>
      </c>
      <c r="B1320">
        <v>760895</v>
      </c>
      <c r="C1320">
        <v>7758987</v>
      </c>
      <c r="D1320" t="s">
        <v>2545</v>
      </c>
      <c r="F1320" t="s">
        <v>245</v>
      </c>
      <c r="G1320" t="s">
        <v>246</v>
      </c>
      <c r="N1320" t="s">
        <v>2362</v>
      </c>
      <c r="O1320" t="s">
        <v>2363</v>
      </c>
      <c r="P1320" t="s">
        <v>249</v>
      </c>
      <c r="Q1320" t="s">
        <v>250</v>
      </c>
      <c r="R1320" t="s">
        <v>251</v>
      </c>
      <c r="T1320" t="s">
        <v>252</v>
      </c>
      <c r="U1320" t="s">
        <v>253</v>
      </c>
      <c r="V1320" t="s">
        <v>2364</v>
      </c>
      <c r="W1320" t="s">
        <v>2365</v>
      </c>
      <c r="X1320" t="s">
        <v>2366</v>
      </c>
      <c r="AL1320" t="s">
        <v>2885</v>
      </c>
      <c r="AM1320" t="s">
        <v>258</v>
      </c>
      <c r="AN1320" t="s">
        <v>259</v>
      </c>
      <c r="AO1320" t="s">
        <v>260</v>
      </c>
      <c r="AP1320" t="s">
        <v>2368</v>
      </c>
      <c r="AQ1320" t="s">
        <v>261</v>
      </c>
      <c r="AS1320">
        <v>0.46</v>
      </c>
      <c r="AX1320" t="s">
        <v>356</v>
      </c>
      <c r="BO1320" t="s">
        <v>261</v>
      </c>
      <c r="BQ1320">
        <v>0.46</v>
      </c>
      <c r="BV1320" t="s">
        <v>263</v>
      </c>
      <c r="CM1320" t="s">
        <v>264</v>
      </c>
      <c r="CN1320" t="s">
        <v>264</v>
      </c>
      <c r="CP1320" t="s">
        <v>265</v>
      </c>
      <c r="CQ1320" t="s">
        <v>394</v>
      </c>
      <c r="DB1320">
        <v>4</v>
      </c>
      <c r="DG1320" t="s">
        <v>267</v>
      </c>
      <c r="DI1320">
        <v>96</v>
      </c>
      <c r="DN1320" t="s">
        <v>268</v>
      </c>
      <c r="DP1320" t="s">
        <v>2598</v>
      </c>
      <c r="DR1320">
        <v>373433</v>
      </c>
      <c r="DS1320">
        <v>18732</v>
      </c>
      <c r="EW1320" t="s">
        <v>293</v>
      </c>
      <c r="FK1320" t="s">
        <v>2886</v>
      </c>
      <c r="FM1320">
        <v>28</v>
      </c>
      <c r="FR1320" t="s">
        <v>295</v>
      </c>
      <c r="GH1320">
        <v>3.1</v>
      </c>
      <c r="GM1320" t="s">
        <v>356</v>
      </c>
      <c r="GO1320">
        <v>8.07</v>
      </c>
      <c r="GU1320">
        <v>37.659999999999997</v>
      </c>
      <c r="GZ1320" t="s">
        <v>296</v>
      </c>
      <c r="HH1320" t="s">
        <v>272</v>
      </c>
      <c r="ID1320" t="s">
        <v>2887</v>
      </c>
      <c r="IE1320" t="s">
        <v>2372</v>
      </c>
      <c r="IF1320">
        <v>62226</v>
      </c>
      <c r="IG1320" t="s">
        <v>2373</v>
      </c>
      <c r="IH1320" t="s">
        <v>2374</v>
      </c>
      <c r="II1320">
        <v>1999</v>
      </c>
      <c r="IJ1320" t="s">
        <v>2375</v>
      </c>
    </row>
    <row r="1321" spans="1:244" x14ac:dyDescent="0.45">
      <c r="A1321">
        <v>1078474</v>
      </c>
      <c r="B1321">
        <v>231987</v>
      </c>
      <c r="C1321">
        <v>7758987</v>
      </c>
      <c r="D1321" t="s">
        <v>2545</v>
      </c>
      <c r="F1321" t="s">
        <v>245</v>
      </c>
      <c r="G1321" t="s">
        <v>246</v>
      </c>
      <c r="N1321" t="s">
        <v>1640</v>
      </c>
      <c r="O1321" t="s">
        <v>631</v>
      </c>
      <c r="P1321" t="s">
        <v>249</v>
      </c>
      <c r="Q1321" t="s">
        <v>250</v>
      </c>
      <c r="R1321" t="s">
        <v>251</v>
      </c>
      <c r="T1321" t="s">
        <v>389</v>
      </c>
      <c r="U1321" t="s">
        <v>632</v>
      </c>
      <c r="V1321" t="s">
        <v>1641</v>
      </c>
      <c r="W1321" t="s">
        <v>1642</v>
      </c>
      <c r="X1321" t="s">
        <v>1643</v>
      </c>
      <c r="AJ1321" t="s">
        <v>285</v>
      </c>
      <c r="AM1321" t="s">
        <v>317</v>
      </c>
      <c r="AN1321" t="s">
        <v>259</v>
      </c>
      <c r="AO1321" t="s">
        <v>260</v>
      </c>
      <c r="AP1321" t="s">
        <v>1644</v>
      </c>
      <c r="AQ1321" t="s">
        <v>261</v>
      </c>
      <c r="AS1321">
        <v>188</v>
      </c>
      <c r="AX1321" t="s">
        <v>290</v>
      </c>
      <c r="BO1321" t="s">
        <v>261</v>
      </c>
      <c r="BQ1321">
        <v>0.188</v>
      </c>
      <c r="BV1321" t="s">
        <v>263</v>
      </c>
      <c r="CM1321" t="s">
        <v>264</v>
      </c>
      <c r="CN1321" t="s">
        <v>264</v>
      </c>
      <c r="CP1321" t="s">
        <v>265</v>
      </c>
      <c r="CQ1321" t="s">
        <v>394</v>
      </c>
      <c r="DB1321">
        <v>1</v>
      </c>
      <c r="DG1321" t="s">
        <v>267</v>
      </c>
      <c r="DI1321">
        <v>24</v>
      </c>
      <c r="DN1321" t="s">
        <v>268</v>
      </c>
      <c r="DR1321">
        <v>544693</v>
      </c>
      <c r="DS1321">
        <v>4809</v>
      </c>
      <c r="EW1321" t="s">
        <v>272</v>
      </c>
      <c r="FA1321" t="s">
        <v>2914</v>
      </c>
      <c r="FK1321" t="s">
        <v>2915</v>
      </c>
      <c r="FO1321">
        <v>13</v>
      </c>
      <c r="FQ1321">
        <v>21</v>
      </c>
      <c r="FR1321" t="s">
        <v>295</v>
      </c>
      <c r="GW1321">
        <v>27</v>
      </c>
      <c r="GY1321">
        <v>36</v>
      </c>
      <c r="GZ1321" t="s">
        <v>296</v>
      </c>
      <c r="HH1321" t="s">
        <v>272</v>
      </c>
      <c r="ID1321" t="s">
        <v>2916</v>
      </c>
      <c r="IE1321" t="s">
        <v>1648</v>
      </c>
      <c r="IF1321">
        <v>6045</v>
      </c>
      <c r="IG1321" t="s">
        <v>1649</v>
      </c>
      <c r="IH1321" t="s">
        <v>1650</v>
      </c>
      <c r="II1321">
        <v>1976</v>
      </c>
      <c r="IJ1321" t="s">
        <v>1651</v>
      </c>
    </row>
    <row r="1322" spans="1:244" x14ac:dyDescent="0.45">
      <c r="A1322">
        <v>1312283</v>
      </c>
      <c r="B1322">
        <v>769706</v>
      </c>
      <c r="C1322">
        <v>7758987</v>
      </c>
      <c r="D1322" t="s">
        <v>2545</v>
      </c>
      <c r="F1322" t="s">
        <v>245</v>
      </c>
      <c r="G1322" t="s">
        <v>246</v>
      </c>
      <c r="N1322" t="s">
        <v>958</v>
      </c>
      <c r="O1322" t="s">
        <v>959</v>
      </c>
      <c r="P1322" t="s">
        <v>249</v>
      </c>
      <c r="Q1322" t="s">
        <v>250</v>
      </c>
      <c r="R1322" t="s">
        <v>251</v>
      </c>
      <c r="T1322" t="s">
        <v>252</v>
      </c>
      <c r="U1322" t="s">
        <v>253</v>
      </c>
      <c r="V1322" t="s">
        <v>418</v>
      </c>
      <c r="W1322" t="s">
        <v>419</v>
      </c>
      <c r="X1322" t="s">
        <v>960</v>
      </c>
      <c r="Z1322" t="s">
        <v>649</v>
      </c>
      <c r="AL1322" t="s">
        <v>2587</v>
      </c>
      <c r="AM1322" t="s">
        <v>258</v>
      </c>
      <c r="AN1322" t="s">
        <v>259</v>
      </c>
      <c r="AO1322" t="s">
        <v>260</v>
      </c>
      <c r="AP1322">
        <v>7</v>
      </c>
      <c r="AQ1322" t="s">
        <v>261</v>
      </c>
      <c r="AS1322">
        <v>3.72</v>
      </c>
      <c r="AX1322" t="s">
        <v>356</v>
      </c>
      <c r="BO1322" t="s">
        <v>261</v>
      </c>
      <c r="BQ1322">
        <v>3.72</v>
      </c>
      <c r="BV1322" t="s">
        <v>263</v>
      </c>
      <c r="CM1322" t="s">
        <v>264</v>
      </c>
      <c r="CN1322" t="s">
        <v>264</v>
      </c>
      <c r="CP1322" t="s">
        <v>265</v>
      </c>
      <c r="CQ1322" t="s">
        <v>394</v>
      </c>
      <c r="DB1322">
        <v>3</v>
      </c>
      <c r="DG1322" t="s">
        <v>267</v>
      </c>
      <c r="DI1322">
        <v>72</v>
      </c>
      <c r="DN1322" t="s">
        <v>268</v>
      </c>
      <c r="DP1322" t="s">
        <v>2588</v>
      </c>
      <c r="DR1322">
        <v>6687</v>
      </c>
      <c r="DS1322">
        <v>252</v>
      </c>
      <c r="DT1322" t="s">
        <v>2589</v>
      </c>
      <c r="EW1322" t="s">
        <v>293</v>
      </c>
      <c r="FK1322" t="s">
        <v>2590</v>
      </c>
      <c r="FM1322">
        <v>26</v>
      </c>
      <c r="FR1322" t="s">
        <v>295</v>
      </c>
      <c r="GH1322">
        <v>6.09</v>
      </c>
      <c r="GM1322" t="s">
        <v>356</v>
      </c>
      <c r="GQ1322">
        <v>8.06</v>
      </c>
      <c r="GS1322">
        <v>8.24</v>
      </c>
      <c r="GU1322">
        <v>15</v>
      </c>
      <c r="GZ1322" t="s">
        <v>296</v>
      </c>
      <c r="HH1322" t="s">
        <v>272</v>
      </c>
      <c r="ID1322" t="s">
        <v>2591</v>
      </c>
      <c r="IE1322" t="s">
        <v>2592</v>
      </c>
      <c r="IF1322">
        <v>80017</v>
      </c>
      <c r="IG1322" t="s">
        <v>2593</v>
      </c>
      <c r="IH1322" t="s">
        <v>2594</v>
      </c>
      <c r="II1322">
        <v>2001</v>
      </c>
      <c r="IJ1322" t="s">
        <v>2595</v>
      </c>
    </row>
    <row r="1323" spans="1:244" x14ac:dyDescent="0.45">
      <c r="A1323">
        <v>1116100</v>
      </c>
      <c r="B1323">
        <v>107331</v>
      </c>
      <c r="C1323">
        <v>7758987</v>
      </c>
      <c r="D1323" t="s">
        <v>2545</v>
      </c>
      <c r="F1323" t="s">
        <v>245</v>
      </c>
      <c r="G1323" t="s">
        <v>246</v>
      </c>
      <c r="N1323" t="s">
        <v>460</v>
      </c>
      <c r="O1323" t="s">
        <v>461</v>
      </c>
      <c r="P1323" t="s">
        <v>249</v>
      </c>
      <c r="Q1323" t="s">
        <v>250</v>
      </c>
      <c r="R1323" t="s">
        <v>251</v>
      </c>
      <c r="T1323" t="s">
        <v>389</v>
      </c>
      <c r="U1323" t="s">
        <v>462</v>
      </c>
      <c r="V1323" t="s">
        <v>463</v>
      </c>
      <c r="W1323" t="s">
        <v>464</v>
      </c>
      <c r="X1323" t="s">
        <v>465</v>
      </c>
      <c r="Z1323" t="s">
        <v>284</v>
      </c>
      <c r="AM1323" t="s">
        <v>317</v>
      </c>
      <c r="AN1323" t="s">
        <v>259</v>
      </c>
      <c r="AO1323" t="s">
        <v>260</v>
      </c>
      <c r="AQ1323" t="s">
        <v>261</v>
      </c>
      <c r="AS1323">
        <v>405</v>
      </c>
      <c r="AU1323">
        <v>370</v>
      </c>
      <c r="AW1323">
        <v>440</v>
      </c>
      <c r="AX1323" t="s">
        <v>262</v>
      </c>
      <c r="BO1323" t="s">
        <v>261</v>
      </c>
      <c r="BQ1323">
        <v>0.40500000000000003</v>
      </c>
      <c r="BS1323">
        <v>0.37</v>
      </c>
      <c r="BU1323">
        <v>0.44</v>
      </c>
      <c r="BV1323" t="s">
        <v>263</v>
      </c>
      <c r="CM1323" t="s">
        <v>264</v>
      </c>
      <c r="CN1323" t="s">
        <v>264</v>
      </c>
      <c r="CP1323" t="s">
        <v>265</v>
      </c>
      <c r="CQ1323" t="s">
        <v>394</v>
      </c>
      <c r="DB1323">
        <v>3</v>
      </c>
      <c r="DG1323" t="s">
        <v>267</v>
      </c>
      <c r="DI1323">
        <v>3</v>
      </c>
      <c r="DN1323" t="s">
        <v>267</v>
      </c>
      <c r="DR1323">
        <v>637417</v>
      </c>
      <c r="DS1323">
        <v>214</v>
      </c>
      <c r="EW1323" t="s">
        <v>271</v>
      </c>
      <c r="HH1323" t="s">
        <v>272</v>
      </c>
      <c r="IE1323" t="s">
        <v>454</v>
      </c>
      <c r="IF1323">
        <v>9001</v>
      </c>
      <c r="IG1323" t="s">
        <v>455</v>
      </c>
      <c r="IH1323" t="s">
        <v>456</v>
      </c>
      <c r="II1323">
        <v>1973</v>
      </c>
      <c r="IJ1323" t="s">
        <v>457</v>
      </c>
    </row>
    <row r="1324" spans="1:244" x14ac:dyDescent="0.45">
      <c r="A1324">
        <v>1135997</v>
      </c>
      <c r="B1324">
        <v>90929</v>
      </c>
      <c r="C1324">
        <v>7758987</v>
      </c>
      <c r="D1324" t="s">
        <v>2545</v>
      </c>
      <c r="F1324" t="s">
        <v>245</v>
      </c>
      <c r="G1324" t="s">
        <v>246</v>
      </c>
      <c r="N1324" t="s">
        <v>471</v>
      </c>
      <c r="O1324" t="s">
        <v>388</v>
      </c>
      <c r="P1324" t="s">
        <v>249</v>
      </c>
      <c r="Q1324" t="s">
        <v>250</v>
      </c>
      <c r="R1324" t="s">
        <v>251</v>
      </c>
      <c r="T1324" t="s">
        <v>389</v>
      </c>
      <c r="U1324" t="s">
        <v>390</v>
      </c>
      <c r="V1324" t="s">
        <v>472</v>
      </c>
      <c r="W1324" t="s">
        <v>473</v>
      </c>
      <c r="X1324" t="s">
        <v>474</v>
      </c>
      <c r="AL1324" t="s">
        <v>2917</v>
      </c>
      <c r="AM1324" t="s">
        <v>317</v>
      </c>
      <c r="AN1324" t="s">
        <v>259</v>
      </c>
      <c r="AO1324" t="s">
        <v>260</v>
      </c>
      <c r="AQ1324" t="s">
        <v>261</v>
      </c>
      <c r="AS1324">
        <v>447.3</v>
      </c>
      <c r="AX1324" t="s">
        <v>262</v>
      </c>
      <c r="BO1324" t="s">
        <v>261</v>
      </c>
      <c r="BQ1324">
        <v>0.44729999999999998</v>
      </c>
      <c r="BV1324" t="s">
        <v>263</v>
      </c>
      <c r="CM1324" t="s">
        <v>264</v>
      </c>
      <c r="CN1324" t="s">
        <v>264</v>
      </c>
      <c r="CP1324" t="s">
        <v>265</v>
      </c>
      <c r="CQ1324" t="s">
        <v>394</v>
      </c>
      <c r="DB1324">
        <v>2</v>
      </c>
      <c r="DG1324" t="s">
        <v>267</v>
      </c>
      <c r="DI1324">
        <v>48</v>
      </c>
      <c r="DN1324" t="s">
        <v>268</v>
      </c>
      <c r="DR1324">
        <v>2056173</v>
      </c>
      <c r="DS1324">
        <v>1053</v>
      </c>
      <c r="DT1324" t="s">
        <v>2671</v>
      </c>
      <c r="EW1324" t="s">
        <v>271</v>
      </c>
      <c r="FA1324" t="s">
        <v>2672</v>
      </c>
      <c r="FM1324">
        <v>18</v>
      </c>
      <c r="FR1324" t="s">
        <v>295</v>
      </c>
      <c r="GU1324">
        <v>38</v>
      </c>
      <c r="GZ1324" t="s">
        <v>296</v>
      </c>
      <c r="HH1324" t="s">
        <v>272</v>
      </c>
      <c r="IE1324" t="s">
        <v>2299</v>
      </c>
      <c r="IF1324">
        <v>11097</v>
      </c>
      <c r="IG1324" t="s">
        <v>2673</v>
      </c>
      <c r="IH1324" t="s">
        <v>2674</v>
      </c>
      <c r="II1324">
        <v>1982</v>
      </c>
      <c r="IJ1324" t="s">
        <v>2675</v>
      </c>
    </row>
    <row r="1325" spans="1:244" x14ac:dyDescent="0.45">
      <c r="A1325">
        <v>1210392</v>
      </c>
      <c r="B1325">
        <v>195476</v>
      </c>
      <c r="C1325">
        <v>7758987</v>
      </c>
      <c r="D1325" t="s">
        <v>2545</v>
      </c>
      <c r="F1325" t="s">
        <v>272</v>
      </c>
      <c r="G1325" t="s">
        <v>246</v>
      </c>
      <c r="N1325" t="s">
        <v>345</v>
      </c>
      <c r="O1325" t="s">
        <v>346</v>
      </c>
      <c r="P1325" t="s">
        <v>249</v>
      </c>
      <c r="Q1325" t="s">
        <v>250</v>
      </c>
      <c r="R1325" t="s">
        <v>251</v>
      </c>
      <c r="T1325" t="s">
        <v>347</v>
      </c>
      <c r="U1325" t="s">
        <v>348</v>
      </c>
      <c r="V1325" t="s">
        <v>349</v>
      </c>
      <c r="W1325" t="s">
        <v>350</v>
      </c>
      <c r="X1325" t="s">
        <v>351</v>
      </c>
      <c r="Z1325" t="s">
        <v>284</v>
      </c>
      <c r="AM1325" t="s">
        <v>287</v>
      </c>
      <c r="AN1325" t="s">
        <v>259</v>
      </c>
      <c r="AO1325" t="s">
        <v>260</v>
      </c>
      <c r="AQ1325" t="s">
        <v>261</v>
      </c>
      <c r="AS1325">
        <v>2.19</v>
      </c>
      <c r="AU1325">
        <v>1.51</v>
      </c>
      <c r="AW1325">
        <v>3.18</v>
      </c>
      <c r="AX1325" t="s">
        <v>762</v>
      </c>
      <c r="BO1325" t="s">
        <v>261</v>
      </c>
      <c r="BQ1325">
        <v>2.19</v>
      </c>
      <c r="BS1325">
        <v>1.51</v>
      </c>
      <c r="BU1325">
        <v>3.18</v>
      </c>
      <c r="BV1325" t="s">
        <v>263</v>
      </c>
      <c r="CM1325" t="s">
        <v>264</v>
      </c>
      <c r="CN1325" t="s">
        <v>264</v>
      </c>
      <c r="CP1325" t="s">
        <v>265</v>
      </c>
      <c r="DB1325">
        <v>2</v>
      </c>
      <c r="DG1325" t="s">
        <v>267</v>
      </c>
      <c r="DI1325">
        <v>48</v>
      </c>
      <c r="DN1325" t="s">
        <v>268</v>
      </c>
      <c r="DR1325">
        <v>6660</v>
      </c>
      <c r="DS1325">
        <v>421</v>
      </c>
      <c r="EW1325" t="s">
        <v>272</v>
      </c>
      <c r="FM1325">
        <v>25</v>
      </c>
      <c r="FR1325" t="s">
        <v>295</v>
      </c>
      <c r="GO1325">
        <v>8.1</v>
      </c>
      <c r="HH1325" t="s">
        <v>272</v>
      </c>
      <c r="IE1325" t="s">
        <v>763</v>
      </c>
      <c r="IF1325">
        <v>19318</v>
      </c>
      <c r="IG1325" t="s">
        <v>764</v>
      </c>
      <c r="IH1325" t="s">
        <v>765</v>
      </c>
      <c r="II1325">
        <v>1994</v>
      </c>
      <c r="IJ1325" t="s">
        <v>766</v>
      </c>
    </row>
    <row r="1326" spans="1:244" x14ac:dyDescent="0.45">
      <c r="A1326">
        <v>1245227</v>
      </c>
      <c r="B1326">
        <v>236615</v>
      </c>
      <c r="C1326">
        <v>7758987</v>
      </c>
      <c r="D1326" t="s">
        <v>2545</v>
      </c>
      <c r="F1326" t="s">
        <v>245</v>
      </c>
      <c r="G1326" t="s">
        <v>246</v>
      </c>
      <c r="N1326" t="s">
        <v>1902</v>
      </c>
      <c r="O1326" t="s">
        <v>498</v>
      </c>
      <c r="P1326" t="s">
        <v>249</v>
      </c>
      <c r="Q1326" t="s">
        <v>250</v>
      </c>
      <c r="R1326" t="s">
        <v>251</v>
      </c>
      <c r="T1326" t="s">
        <v>252</v>
      </c>
      <c r="U1326" t="s">
        <v>499</v>
      </c>
      <c r="V1326" t="s">
        <v>500</v>
      </c>
      <c r="W1326" t="s">
        <v>1903</v>
      </c>
      <c r="X1326" t="s">
        <v>1904</v>
      </c>
      <c r="AJ1326" t="s">
        <v>285</v>
      </c>
      <c r="AM1326" t="s">
        <v>317</v>
      </c>
      <c r="AN1326" t="s">
        <v>259</v>
      </c>
      <c r="AO1326" t="s">
        <v>260</v>
      </c>
      <c r="AP1326">
        <v>6</v>
      </c>
      <c r="AQ1326" t="s">
        <v>261</v>
      </c>
      <c r="AS1326">
        <v>0.25</v>
      </c>
      <c r="AU1326">
        <v>0.21</v>
      </c>
      <c r="AW1326">
        <v>0.28000000000000003</v>
      </c>
      <c r="AX1326" t="s">
        <v>356</v>
      </c>
      <c r="BO1326" t="s">
        <v>261</v>
      </c>
      <c r="BQ1326">
        <v>0.25</v>
      </c>
      <c r="BS1326">
        <v>0.21</v>
      </c>
      <c r="BU1326">
        <v>0.28000000000000003</v>
      </c>
      <c r="BV1326" t="s">
        <v>263</v>
      </c>
      <c r="CM1326" t="s">
        <v>264</v>
      </c>
      <c r="CN1326" t="s">
        <v>264</v>
      </c>
      <c r="CP1326" t="s">
        <v>265</v>
      </c>
      <c r="CQ1326" t="s">
        <v>394</v>
      </c>
      <c r="DB1326">
        <v>4</v>
      </c>
      <c r="DG1326" t="s">
        <v>267</v>
      </c>
      <c r="DI1326">
        <v>96</v>
      </c>
      <c r="DN1326" t="s">
        <v>268</v>
      </c>
      <c r="DS1326">
        <v>1667</v>
      </c>
      <c r="EW1326" t="s">
        <v>293</v>
      </c>
      <c r="FK1326" t="s">
        <v>2918</v>
      </c>
      <c r="FM1326">
        <v>15</v>
      </c>
      <c r="FR1326" t="s">
        <v>295</v>
      </c>
      <c r="GH1326">
        <v>85</v>
      </c>
      <c r="GM1326" t="s">
        <v>900</v>
      </c>
      <c r="GO1326">
        <v>8.1</v>
      </c>
      <c r="GU1326">
        <v>17</v>
      </c>
      <c r="GZ1326" t="s">
        <v>900</v>
      </c>
      <c r="HH1326" t="s">
        <v>272</v>
      </c>
      <c r="ID1326" t="s">
        <v>2919</v>
      </c>
      <c r="IE1326" t="s">
        <v>1907</v>
      </c>
      <c r="IF1326">
        <v>82993</v>
      </c>
      <c r="IG1326" t="s">
        <v>1908</v>
      </c>
      <c r="IH1326" t="s">
        <v>1909</v>
      </c>
      <c r="II1326">
        <v>1999</v>
      </c>
      <c r="IJ1326" t="s">
        <v>1910</v>
      </c>
    </row>
    <row r="1327" spans="1:244" x14ac:dyDescent="0.45">
      <c r="A1327">
        <v>1078421</v>
      </c>
      <c r="B1327">
        <v>66949</v>
      </c>
      <c r="C1327">
        <v>7758987</v>
      </c>
      <c r="D1327" t="s">
        <v>2545</v>
      </c>
      <c r="F1327" t="s">
        <v>245</v>
      </c>
      <c r="G1327" t="s">
        <v>246</v>
      </c>
      <c r="N1327" t="s">
        <v>1852</v>
      </c>
      <c r="O1327" t="s">
        <v>631</v>
      </c>
      <c r="P1327" t="s">
        <v>249</v>
      </c>
      <c r="Q1327" t="s">
        <v>250</v>
      </c>
      <c r="R1327" t="s">
        <v>251</v>
      </c>
      <c r="T1327" t="s">
        <v>389</v>
      </c>
      <c r="U1327" t="s">
        <v>632</v>
      </c>
      <c r="V1327" t="s">
        <v>1853</v>
      </c>
      <c r="W1327" t="s">
        <v>1854</v>
      </c>
      <c r="X1327" t="s">
        <v>1855</v>
      </c>
      <c r="AJ1327" t="s">
        <v>285</v>
      </c>
      <c r="AM1327" t="s">
        <v>317</v>
      </c>
      <c r="AN1327" t="s">
        <v>259</v>
      </c>
      <c r="AO1327" t="s">
        <v>260</v>
      </c>
      <c r="AP1327" t="s">
        <v>1644</v>
      </c>
      <c r="AQ1327" t="s">
        <v>261</v>
      </c>
      <c r="AS1327">
        <v>132</v>
      </c>
      <c r="AX1327" t="s">
        <v>290</v>
      </c>
      <c r="BO1327" t="s">
        <v>261</v>
      </c>
      <c r="BQ1327">
        <v>0.13200000000000001</v>
      </c>
      <c r="BV1327" t="s">
        <v>263</v>
      </c>
      <c r="CM1327" t="s">
        <v>264</v>
      </c>
      <c r="CN1327" t="s">
        <v>264</v>
      </c>
      <c r="CP1327" t="s">
        <v>265</v>
      </c>
      <c r="CQ1327" t="s">
        <v>394</v>
      </c>
      <c r="DB1327">
        <v>1</v>
      </c>
      <c r="DG1327" t="s">
        <v>267</v>
      </c>
      <c r="DI1327">
        <v>24</v>
      </c>
      <c r="DN1327" t="s">
        <v>268</v>
      </c>
      <c r="DR1327">
        <v>163468</v>
      </c>
      <c r="DS1327">
        <v>4813</v>
      </c>
      <c r="EW1327" t="s">
        <v>293</v>
      </c>
      <c r="FA1327" t="s">
        <v>1645</v>
      </c>
      <c r="FK1327" t="s">
        <v>2920</v>
      </c>
      <c r="FO1327">
        <v>13</v>
      </c>
      <c r="FQ1327">
        <v>21</v>
      </c>
      <c r="FR1327" t="s">
        <v>295</v>
      </c>
      <c r="GW1327">
        <v>27</v>
      </c>
      <c r="GY1327">
        <v>36</v>
      </c>
      <c r="GZ1327" t="s">
        <v>296</v>
      </c>
      <c r="HH1327" t="s">
        <v>272</v>
      </c>
      <c r="ID1327" t="s">
        <v>2921</v>
      </c>
      <c r="IE1327" t="s">
        <v>1648</v>
      </c>
      <c r="IF1327">
        <v>6045</v>
      </c>
      <c r="IG1327" t="s">
        <v>1649</v>
      </c>
      <c r="IH1327" t="s">
        <v>1650</v>
      </c>
      <c r="II1327">
        <v>1976</v>
      </c>
      <c r="IJ1327" t="s">
        <v>1651</v>
      </c>
    </row>
    <row r="1328" spans="1:244" x14ac:dyDescent="0.45">
      <c r="A1328">
        <v>1078434</v>
      </c>
      <c r="B1328">
        <v>102578</v>
      </c>
      <c r="C1328">
        <v>7758987</v>
      </c>
      <c r="D1328" t="s">
        <v>2545</v>
      </c>
      <c r="F1328" t="s">
        <v>245</v>
      </c>
      <c r="G1328" t="s">
        <v>246</v>
      </c>
      <c r="N1328" t="s">
        <v>389</v>
      </c>
      <c r="O1328" t="s">
        <v>2578</v>
      </c>
      <c r="P1328" t="s">
        <v>249</v>
      </c>
      <c r="Q1328" t="s">
        <v>250</v>
      </c>
      <c r="R1328" t="s">
        <v>251</v>
      </c>
      <c r="T1328" t="s">
        <v>389</v>
      </c>
      <c r="Z1328" t="s">
        <v>525</v>
      </c>
      <c r="AJ1328" t="s">
        <v>285</v>
      </c>
      <c r="AL1328" t="s">
        <v>2579</v>
      </c>
      <c r="AM1328" t="s">
        <v>317</v>
      </c>
      <c r="AN1328" t="s">
        <v>259</v>
      </c>
      <c r="AO1328" t="s">
        <v>260</v>
      </c>
      <c r="AP1328" t="s">
        <v>1644</v>
      </c>
      <c r="AQ1328" t="s">
        <v>261</v>
      </c>
      <c r="AS1328">
        <v>90</v>
      </c>
      <c r="AX1328" t="s">
        <v>290</v>
      </c>
      <c r="BO1328" t="s">
        <v>261</v>
      </c>
      <c r="BQ1328">
        <v>0.09</v>
      </c>
      <c r="BV1328" t="s">
        <v>263</v>
      </c>
      <c r="CM1328" t="s">
        <v>264</v>
      </c>
      <c r="CN1328" t="s">
        <v>264</v>
      </c>
      <c r="CP1328" t="s">
        <v>265</v>
      </c>
      <c r="CQ1328" t="s">
        <v>394</v>
      </c>
      <c r="DB1328">
        <v>1</v>
      </c>
      <c r="DG1328" t="s">
        <v>267</v>
      </c>
      <c r="DI1328">
        <v>24</v>
      </c>
      <c r="DN1328" t="s">
        <v>268</v>
      </c>
      <c r="DR1328">
        <v>72037</v>
      </c>
      <c r="DS1328">
        <v>11855</v>
      </c>
      <c r="EW1328" t="s">
        <v>293</v>
      </c>
      <c r="FA1328" t="s">
        <v>2760</v>
      </c>
      <c r="FK1328" t="s">
        <v>2922</v>
      </c>
      <c r="FO1328">
        <v>13</v>
      </c>
      <c r="FQ1328">
        <v>21</v>
      </c>
      <c r="FR1328" t="s">
        <v>295</v>
      </c>
      <c r="GW1328">
        <v>27</v>
      </c>
      <c r="GY1328">
        <v>36</v>
      </c>
      <c r="GZ1328" t="s">
        <v>296</v>
      </c>
      <c r="HH1328" t="s">
        <v>272</v>
      </c>
      <c r="ID1328" t="s">
        <v>2923</v>
      </c>
      <c r="IE1328" t="s">
        <v>1648</v>
      </c>
      <c r="IF1328">
        <v>6045</v>
      </c>
      <c r="IG1328" t="s">
        <v>1649</v>
      </c>
      <c r="IH1328" t="s">
        <v>1650</v>
      </c>
      <c r="II1328">
        <v>1976</v>
      </c>
      <c r="IJ1328" t="s">
        <v>1651</v>
      </c>
    </row>
    <row r="1329" spans="1:244" x14ac:dyDescent="0.45">
      <c r="A1329">
        <v>1124346</v>
      </c>
      <c r="B1329">
        <v>126244</v>
      </c>
      <c r="C1329">
        <v>7758987</v>
      </c>
      <c r="D1329" t="s">
        <v>2545</v>
      </c>
      <c r="E1329" t="s">
        <v>2689</v>
      </c>
      <c r="F1329" t="s">
        <v>327</v>
      </c>
      <c r="G1329" t="s">
        <v>246</v>
      </c>
      <c r="I1329">
        <v>98.1</v>
      </c>
      <c r="N1329" t="s">
        <v>2690</v>
      </c>
      <c r="O1329" t="s">
        <v>2691</v>
      </c>
      <c r="P1329" t="s">
        <v>249</v>
      </c>
      <c r="Q1329" t="s">
        <v>250</v>
      </c>
      <c r="R1329" t="s">
        <v>251</v>
      </c>
      <c r="T1329" t="s">
        <v>252</v>
      </c>
      <c r="U1329" t="s">
        <v>371</v>
      </c>
      <c r="V1329" t="s">
        <v>372</v>
      </c>
      <c r="W1329" t="s">
        <v>1427</v>
      </c>
      <c r="X1329" t="s">
        <v>2692</v>
      </c>
      <c r="Z1329" t="s">
        <v>649</v>
      </c>
      <c r="AA1329" t="s">
        <v>288</v>
      </c>
      <c r="AB1329">
        <v>15</v>
      </c>
      <c r="AG1329" t="s">
        <v>267</v>
      </c>
      <c r="AL1329" t="s">
        <v>2693</v>
      </c>
      <c r="AM1329" t="s">
        <v>307</v>
      </c>
      <c r="AN1329" t="s">
        <v>259</v>
      </c>
      <c r="AO1329" t="s">
        <v>260</v>
      </c>
      <c r="AQ1329" t="s">
        <v>261</v>
      </c>
      <c r="AS1329">
        <v>220</v>
      </c>
      <c r="AU1329">
        <v>190</v>
      </c>
      <c r="AW1329">
        <v>550</v>
      </c>
      <c r="AX1329" t="s">
        <v>262</v>
      </c>
      <c r="BO1329" t="s">
        <v>261</v>
      </c>
      <c r="BQ1329">
        <v>0.22</v>
      </c>
      <c r="BS1329">
        <v>0.19</v>
      </c>
      <c r="BU1329">
        <v>0.55000000000000004</v>
      </c>
      <c r="BV1329" t="s">
        <v>263</v>
      </c>
      <c r="CM1329" t="s">
        <v>264</v>
      </c>
      <c r="CN1329" t="s">
        <v>264</v>
      </c>
      <c r="CP1329" t="s">
        <v>265</v>
      </c>
      <c r="DB1329">
        <v>4</v>
      </c>
      <c r="DG1329" t="s">
        <v>267</v>
      </c>
      <c r="DI1329">
        <v>96</v>
      </c>
      <c r="DN1329" t="s">
        <v>268</v>
      </c>
      <c r="DO1329" t="s">
        <v>1587</v>
      </c>
      <c r="DS1329">
        <v>4633</v>
      </c>
      <c r="DT1329" t="s">
        <v>2694</v>
      </c>
      <c r="EW1329" t="s">
        <v>271</v>
      </c>
      <c r="FK1329" t="s">
        <v>2695</v>
      </c>
      <c r="FM1329">
        <v>17</v>
      </c>
      <c r="FR1329" t="s">
        <v>295</v>
      </c>
      <c r="GO1329">
        <v>8.1999999999999993</v>
      </c>
      <c r="GU1329">
        <v>2</v>
      </c>
      <c r="GZ1329" t="s">
        <v>296</v>
      </c>
      <c r="HH1329" t="s">
        <v>272</v>
      </c>
      <c r="ID1329" t="s">
        <v>2696</v>
      </c>
      <c r="IE1329" t="s">
        <v>2697</v>
      </c>
      <c r="IF1329">
        <v>9936</v>
      </c>
      <c r="IG1329" t="s">
        <v>2698</v>
      </c>
      <c r="IH1329" t="s">
        <v>2699</v>
      </c>
      <c r="II1329">
        <v>1993</v>
      </c>
      <c r="IJ1329" t="s">
        <v>2700</v>
      </c>
    </row>
    <row r="1330" spans="1:244" x14ac:dyDescent="0.45">
      <c r="A1330">
        <v>1078440</v>
      </c>
      <c r="B1330">
        <v>105816</v>
      </c>
      <c r="C1330">
        <v>7758987</v>
      </c>
      <c r="D1330" t="s">
        <v>2545</v>
      </c>
      <c r="F1330" t="s">
        <v>245</v>
      </c>
      <c r="G1330" t="s">
        <v>246</v>
      </c>
      <c r="N1330" t="s">
        <v>452</v>
      </c>
      <c r="O1330" t="s">
        <v>346</v>
      </c>
      <c r="P1330" t="s">
        <v>249</v>
      </c>
      <c r="Q1330" t="s">
        <v>250</v>
      </c>
      <c r="R1330" t="s">
        <v>251</v>
      </c>
      <c r="T1330" t="s">
        <v>347</v>
      </c>
      <c r="U1330" t="s">
        <v>348</v>
      </c>
      <c r="V1330" t="s">
        <v>349</v>
      </c>
      <c r="W1330" t="s">
        <v>350</v>
      </c>
      <c r="X1330" t="s">
        <v>453</v>
      </c>
      <c r="AJ1330" t="s">
        <v>285</v>
      </c>
      <c r="AM1330" t="s">
        <v>317</v>
      </c>
      <c r="AN1330" t="s">
        <v>259</v>
      </c>
      <c r="AO1330" t="s">
        <v>260</v>
      </c>
      <c r="AP1330" t="s">
        <v>1644</v>
      </c>
      <c r="AQ1330" t="s">
        <v>261</v>
      </c>
      <c r="AS1330">
        <v>2554</v>
      </c>
      <c r="AX1330" t="s">
        <v>290</v>
      </c>
      <c r="BO1330" t="s">
        <v>261</v>
      </c>
      <c r="BQ1330">
        <v>2.5539999999999998</v>
      </c>
      <c r="BV1330" t="s">
        <v>263</v>
      </c>
      <c r="CM1330" t="s">
        <v>264</v>
      </c>
      <c r="CN1330" t="s">
        <v>264</v>
      </c>
      <c r="CP1330" t="s">
        <v>265</v>
      </c>
      <c r="CQ1330" t="s">
        <v>394</v>
      </c>
      <c r="DB1330">
        <v>1</v>
      </c>
      <c r="DG1330" t="s">
        <v>267</v>
      </c>
      <c r="DI1330">
        <v>24</v>
      </c>
      <c r="DN1330" t="s">
        <v>268</v>
      </c>
      <c r="DR1330">
        <v>85549</v>
      </c>
      <c r="DS1330">
        <v>366</v>
      </c>
      <c r="EW1330" t="s">
        <v>293</v>
      </c>
      <c r="FA1330" t="s">
        <v>2760</v>
      </c>
      <c r="FK1330" t="s">
        <v>2924</v>
      </c>
      <c r="FO1330">
        <v>13</v>
      </c>
      <c r="FQ1330">
        <v>21</v>
      </c>
      <c r="FR1330" t="s">
        <v>295</v>
      </c>
      <c r="GW1330">
        <v>27</v>
      </c>
      <c r="GY1330">
        <v>36</v>
      </c>
      <c r="GZ1330" t="s">
        <v>296</v>
      </c>
      <c r="HH1330" t="s">
        <v>272</v>
      </c>
      <c r="ID1330" t="s">
        <v>2925</v>
      </c>
      <c r="IE1330" t="s">
        <v>1648</v>
      </c>
      <c r="IF1330">
        <v>6045</v>
      </c>
      <c r="IG1330" t="s">
        <v>1649</v>
      </c>
      <c r="IH1330" t="s">
        <v>1650</v>
      </c>
      <c r="II1330">
        <v>1976</v>
      </c>
      <c r="IJ1330" t="s">
        <v>1651</v>
      </c>
    </row>
    <row r="1331" spans="1:244" x14ac:dyDescent="0.45">
      <c r="A1331">
        <v>1182140</v>
      </c>
      <c r="B1331">
        <v>160046</v>
      </c>
      <c r="C1331">
        <v>7758987</v>
      </c>
      <c r="D1331" t="s">
        <v>2545</v>
      </c>
      <c r="E1331" t="s">
        <v>439</v>
      </c>
      <c r="F1331" t="s">
        <v>245</v>
      </c>
      <c r="G1331" t="s">
        <v>246</v>
      </c>
      <c r="N1331" t="s">
        <v>345</v>
      </c>
      <c r="O1331" t="s">
        <v>346</v>
      </c>
      <c r="P1331" t="s">
        <v>249</v>
      </c>
      <c r="Q1331" t="s">
        <v>250</v>
      </c>
      <c r="R1331" t="s">
        <v>251</v>
      </c>
      <c r="T1331" t="s">
        <v>347</v>
      </c>
      <c r="U1331" t="s">
        <v>348</v>
      </c>
      <c r="V1331" t="s">
        <v>349</v>
      </c>
      <c r="W1331" t="s">
        <v>350</v>
      </c>
      <c r="X1331" t="s">
        <v>351</v>
      </c>
      <c r="Z1331" t="s">
        <v>1034</v>
      </c>
      <c r="AL1331" t="s">
        <v>2663</v>
      </c>
      <c r="AM1331" t="s">
        <v>317</v>
      </c>
      <c r="AN1331" t="s">
        <v>259</v>
      </c>
      <c r="AO1331" t="s">
        <v>260</v>
      </c>
      <c r="AQ1331" t="s">
        <v>261</v>
      </c>
      <c r="AS1331">
        <v>4200</v>
      </c>
      <c r="AX1331" t="s">
        <v>262</v>
      </c>
      <c r="BO1331" t="s">
        <v>261</v>
      </c>
      <c r="BQ1331">
        <v>4.2</v>
      </c>
      <c r="BV1331" t="s">
        <v>263</v>
      </c>
      <c r="CM1331" t="s">
        <v>264</v>
      </c>
      <c r="CN1331" t="s">
        <v>264</v>
      </c>
      <c r="CP1331" t="s">
        <v>265</v>
      </c>
      <c r="DB1331">
        <v>1</v>
      </c>
      <c r="DG1331" t="s">
        <v>267</v>
      </c>
      <c r="DI1331">
        <v>24</v>
      </c>
      <c r="DN1331" t="s">
        <v>268</v>
      </c>
      <c r="DP1331" t="s">
        <v>2664</v>
      </c>
      <c r="DR1331">
        <v>6660</v>
      </c>
      <c r="DS1331">
        <v>421</v>
      </c>
      <c r="DT1331" t="s">
        <v>2665</v>
      </c>
      <c r="EW1331" t="s">
        <v>293</v>
      </c>
      <c r="FA1331" t="s">
        <v>2789</v>
      </c>
      <c r="FM1331">
        <v>25</v>
      </c>
      <c r="FR1331" t="s">
        <v>295</v>
      </c>
      <c r="GU1331">
        <v>35</v>
      </c>
      <c r="GZ1331" t="s">
        <v>296</v>
      </c>
      <c r="HH1331" t="s">
        <v>272</v>
      </c>
      <c r="IE1331" t="s">
        <v>2667</v>
      </c>
      <c r="IF1331">
        <v>16031</v>
      </c>
      <c r="IG1331" t="s">
        <v>2668</v>
      </c>
      <c r="IH1331" t="s">
        <v>2669</v>
      </c>
      <c r="II1331">
        <v>1995</v>
      </c>
      <c r="IJ1331" t="s">
        <v>2670</v>
      </c>
    </row>
    <row r="1332" spans="1:244" x14ac:dyDescent="0.45">
      <c r="A1332">
        <v>1057122</v>
      </c>
      <c r="B1332">
        <v>126088</v>
      </c>
      <c r="C1332">
        <v>7758987</v>
      </c>
      <c r="D1332" t="s">
        <v>2545</v>
      </c>
      <c r="F1332" t="s">
        <v>245</v>
      </c>
      <c r="G1332" t="s">
        <v>246</v>
      </c>
      <c r="N1332" t="s">
        <v>1183</v>
      </c>
      <c r="O1332" t="s">
        <v>1184</v>
      </c>
      <c r="P1332" t="s">
        <v>249</v>
      </c>
      <c r="Q1332" t="s">
        <v>250</v>
      </c>
      <c r="R1332" t="s">
        <v>251</v>
      </c>
      <c r="T1332" t="s">
        <v>252</v>
      </c>
      <c r="U1332" t="s">
        <v>253</v>
      </c>
      <c r="V1332" t="s">
        <v>418</v>
      </c>
      <c r="W1332" t="s">
        <v>419</v>
      </c>
      <c r="X1332" t="s">
        <v>393</v>
      </c>
      <c r="AL1332" t="s">
        <v>2859</v>
      </c>
      <c r="AM1332" t="s">
        <v>287</v>
      </c>
      <c r="AN1332" t="s">
        <v>259</v>
      </c>
      <c r="AO1332" t="s">
        <v>260</v>
      </c>
      <c r="AQ1332" t="s">
        <v>261</v>
      </c>
      <c r="AS1332">
        <v>217925</v>
      </c>
      <c r="AX1332" t="s">
        <v>262</v>
      </c>
      <c r="BO1332" t="s">
        <v>261</v>
      </c>
      <c r="BQ1332">
        <v>217.92500000000001</v>
      </c>
      <c r="BV1332" t="s">
        <v>263</v>
      </c>
      <c r="CM1332" t="s">
        <v>264</v>
      </c>
      <c r="CN1332" t="s">
        <v>264</v>
      </c>
      <c r="CP1332" t="s">
        <v>265</v>
      </c>
      <c r="DB1332">
        <v>1</v>
      </c>
      <c r="DG1332" t="s">
        <v>267</v>
      </c>
      <c r="DI1332">
        <v>24</v>
      </c>
      <c r="DN1332" t="s">
        <v>268</v>
      </c>
      <c r="DS1332">
        <v>388</v>
      </c>
      <c r="EW1332" t="s">
        <v>271</v>
      </c>
      <c r="FA1332" t="s">
        <v>2860</v>
      </c>
      <c r="GI1332" t="s">
        <v>288</v>
      </c>
      <c r="GJ1332">
        <v>5.5</v>
      </c>
      <c r="GK1332" t="s">
        <v>289</v>
      </c>
      <c r="GL1332">
        <v>8.5</v>
      </c>
      <c r="GM1332" t="s">
        <v>356</v>
      </c>
      <c r="HH1332" t="s">
        <v>272</v>
      </c>
      <c r="IE1332" t="s">
        <v>2861</v>
      </c>
      <c r="IF1332">
        <v>4076</v>
      </c>
      <c r="IG1332" t="s">
        <v>2862</v>
      </c>
      <c r="IH1332" t="s">
        <v>2863</v>
      </c>
      <c r="II1332">
        <v>1992</v>
      </c>
      <c r="IJ1332" t="s">
        <v>2864</v>
      </c>
    </row>
    <row r="1333" spans="1:244" x14ac:dyDescent="0.45">
      <c r="A1333">
        <v>1186873</v>
      </c>
      <c r="B1333">
        <v>138564</v>
      </c>
      <c r="C1333">
        <v>7758987</v>
      </c>
      <c r="D1333" t="s">
        <v>2545</v>
      </c>
      <c r="F1333" t="s">
        <v>245</v>
      </c>
      <c r="G1333" t="s">
        <v>246</v>
      </c>
      <c r="N1333" t="s">
        <v>789</v>
      </c>
      <c r="O1333" t="s">
        <v>790</v>
      </c>
      <c r="P1333" t="s">
        <v>249</v>
      </c>
      <c r="Q1333" t="s">
        <v>250</v>
      </c>
      <c r="R1333" t="s">
        <v>251</v>
      </c>
      <c r="T1333" t="s">
        <v>252</v>
      </c>
      <c r="U1333" t="s">
        <v>253</v>
      </c>
      <c r="V1333" t="s">
        <v>418</v>
      </c>
      <c r="W1333" t="s">
        <v>791</v>
      </c>
      <c r="X1333" t="s">
        <v>792</v>
      </c>
      <c r="Z1333" t="s">
        <v>284</v>
      </c>
      <c r="AL1333" t="s">
        <v>1663</v>
      </c>
      <c r="AM1333" t="s">
        <v>258</v>
      </c>
      <c r="AN1333" t="s">
        <v>259</v>
      </c>
      <c r="AO1333" t="s">
        <v>260</v>
      </c>
      <c r="AQ1333" t="s">
        <v>261</v>
      </c>
      <c r="AS1333">
        <v>55.6</v>
      </c>
      <c r="AX1333" t="s">
        <v>262</v>
      </c>
      <c r="BO1333" t="s">
        <v>261</v>
      </c>
      <c r="BQ1333">
        <v>5.5599999999999997E-2</v>
      </c>
      <c r="BV1333" t="s">
        <v>263</v>
      </c>
      <c r="CM1333" t="s">
        <v>264</v>
      </c>
      <c r="CN1333" t="s">
        <v>264</v>
      </c>
      <c r="CP1333" t="s">
        <v>265</v>
      </c>
      <c r="DB1333">
        <v>1</v>
      </c>
      <c r="DG1333" t="s">
        <v>267</v>
      </c>
      <c r="DI1333">
        <v>24</v>
      </c>
      <c r="DN1333" t="s">
        <v>268</v>
      </c>
      <c r="DR1333">
        <v>161924</v>
      </c>
      <c r="DS1333">
        <v>3045</v>
      </c>
      <c r="EW1333" t="s">
        <v>272</v>
      </c>
      <c r="FM1333">
        <v>28</v>
      </c>
      <c r="FR1333" t="s">
        <v>295</v>
      </c>
      <c r="GO1333">
        <v>8.1999999999999993</v>
      </c>
      <c r="GU1333">
        <v>32</v>
      </c>
      <c r="GZ1333" t="s">
        <v>296</v>
      </c>
      <c r="HH1333" t="s">
        <v>272</v>
      </c>
      <c r="IE1333" t="s">
        <v>1652</v>
      </c>
      <c r="IF1333">
        <v>16613</v>
      </c>
      <c r="IG1333" t="s">
        <v>1653</v>
      </c>
      <c r="IH1333" t="s">
        <v>1654</v>
      </c>
      <c r="II1333">
        <v>1994</v>
      </c>
      <c r="IJ1333" t="s">
        <v>1655</v>
      </c>
    </row>
    <row r="1334" spans="1:244" x14ac:dyDescent="0.45">
      <c r="A1334">
        <v>1186874</v>
      </c>
      <c r="B1334">
        <v>138565</v>
      </c>
      <c r="C1334">
        <v>7758987</v>
      </c>
      <c r="D1334" t="s">
        <v>2545</v>
      </c>
      <c r="F1334" t="s">
        <v>245</v>
      </c>
      <c r="G1334" t="s">
        <v>246</v>
      </c>
      <c r="N1334" t="s">
        <v>789</v>
      </c>
      <c r="O1334" t="s">
        <v>790</v>
      </c>
      <c r="P1334" t="s">
        <v>249</v>
      </c>
      <c r="Q1334" t="s">
        <v>250</v>
      </c>
      <c r="R1334" t="s">
        <v>251</v>
      </c>
      <c r="T1334" t="s">
        <v>252</v>
      </c>
      <c r="U1334" t="s">
        <v>253</v>
      </c>
      <c r="V1334" t="s">
        <v>418</v>
      </c>
      <c r="W1334" t="s">
        <v>791</v>
      </c>
      <c r="X1334" t="s">
        <v>792</v>
      </c>
      <c r="Z1334" t="s">
        <v>284</v>
      </c>
      <c r="AL1334" t="s">
        <v>1663</v>
      </c>
      <c r="AM1334" t="s">
        <v>258</v>
      </c>
      <c r="AN1334" t="s">
        <v>259</v>
      </c>
      <c r="AO1334" t="s">
        <v>260</v>
      </c>
      <c r="AQ1334" t="s">
        <v>261</v>
      </c>
      <c r="AS1334">
        <v>38.9</v>
      </c>
      <c r="AX1334" t="s">
        <v>262</v>
      </c>
      <c r="BO1334" t="s">
        <v>261</v>
      </c>
      <c r="BQ1334">
        <v>3.8899999999999997E-2</v>
      </c>
      <c r="BV1334" t="s">
        <v>263</v>
      </c>
      <c r="CM1334" t="s">
        <v>264</v>
      </c>
      <c r="CN1334" t="s">
        <v>264</v>
      </c>
      <c r="CP1334" t="s">
        <v>265</v>
      </c>
      <c r="DB1334">
        <v>2</v>
      </c>
      <c r="DG1334" t="s">
        <v>267</v>
      </c>
      <c r="DI1334">
        <v>48</v>
      </c>
      <c r="DN1334" t="s">
        <v>268</v>
      </c>
      <c r="DR1334">
        <v>161924</v>
      </c>
      <c r="DS1334">
        <v>3045</v>
      </c>
      <c r="EW1334" t="s">
        <v>272</v>
      </c>
      <c r="FM1334">
        <v>28</v>
      </c>
      <c r="FR1334" t="s">
        <v>295</v>
      </c>
      <c r="GO1334">
        <v>8.1999999999999993</v>
      </c>
      <c r="GU1334">
        <v>32</v>
      </c>
      <c r="GZ1334" t="s">
        <v>296</v>
      </c>
      <c r="HH1334" t="s">
        <v>272</v>
      </c>
      <c r="IE1334" t="s">
        <v>1652</v>
      </c>
      <c r="IF1334">
        <v>16613</v>
      </c>
      <c r="IG1334" t="s">
        <v>1653</v>
      </c>
      <c r="IH1334" t="s">
        <v>1654</v>
      </c>
      <c r="II1334">
        <v>1994</v>
      </c>
      <c r="IJ1334" t="s">
        <v>1655</v>
      </c>
    </row>
    <row r="1335" spans="1:244" x14ac:dyDescent="0.45">
      <c r="A1335">
        <v>1057125</v>
      </c>
      <c r="B1335">
        <v>126091</v>
      </c>
      <c r="C1335">
        <v>7758987</v>
      </c>
      <c r="D1335" t="s">
        <v>2545</v>
      </c>
      <c r="F1335" t="s">
        <v>245</v>
      </c>
      <c r="G1335" t="s">
        <v>246</v>
      </c>
      <c r="N1335" t="s">
        <v>1183</v>
      </c>
      <c r="O1335" t="s">
        <v>1184</v>
      </c>
      <c r="P1335" t="s">
        <v>249</v>
      </c>
      <c r="Q1335" t="s">
        <v>250</v>
      </c>
      <c r="R1335" t="s">
        <v>251</v>
      </c>
      <c r="T1335" t="s">
        <v>252</v>
      </c>
      <c r="U1335" t="s">
        <v>253</v>
      </c>
      <c r="V1335" t="s">
        <v>418</v>
      </c>
      <c r="W1335" t="s">
        <v>419</v>
      </c>
      <c r="X1335" t="s">
        <v>393</v>
      </c>
      <c r="AL1335" t="s">
        <v>2859</v>
      </c>
      <c r="AM1335" t="s">
        <v>287</v>
      </c>
      <c r="AN1335" t="s">
        <v>259</v>
      </c>
      <c r="AO1335" t="s">
        <v>260</v>
      </c>
      <c r="AQ1335" t="s">
        <v>261</v>
      </c>
      <c r="AS1335">
        <v>10116</v>
      </c>
      <c r="AX1335" t="s">
        <v>262</v>
      </c>
      <c r="BO1335" t="s">
        <v>261</v>
      </c>
      <c r="BQ1335">
        <v>10.116</v>
      </c>
      <c r="BV1335" t="s">
        <v>263</v>
      </c>
      <c r="CM1335" t="s">
        <v>264</v>
      </c>
      <c r="CN1335" t="s">
        <v>264</v>
      </c>
      <c r="CP1335" t="s">
        <v>265</v>
      </c>
      <c r="DB1335">
        <v>4</v>
      </c>
      <c r="DG1335" t="s">
        <v>267</v>
      </c>
      <c r="DI1335">
        <v>96</v>
      </c>
      <c r="DN1335" t="s">
        <v>268</v>
      </c>
      <c r="DS1335">
        <v>388</v>
      </c>
      <c r="EW1335" t="s">
        <v>271</v>
      </c>
      <c r="FA1335" t="s">
        <v>2860</v>
      </c>
      <c r="GI1335" t="s">
        <v>288</v>
      </c>
      <c r="GJ1335">
        <v>5.5</v>
      </c>
      <c r="GK1335" t="s">
        <v>289</v>
      </c>
      <c r="GL1335">
        <v>8.5</v>
      </c>
      <c r="GM1335" t="s">
        <v>356</v>
      </c>
      <c r="HH1335" t="s">
        <v>272</v>
      </c>
      <c r="IE1335" t="s">
        <v>2861</v>
      </c>
      <c r="IF1335">
        <v>4076</v>
      </c>
      <c r="IG1335" t="s">
        <v>2862</v>
      </c>
      <c r="IH1335" t="s">
        <v>2863</v>
      </c>
      <c r="II1335">
        <v>1992</v>
      </c>
      <c r="IJ1335" t="s">
        <v>2864</v>
      </c>
    </row>
    <row r="1336" spans="1:244" x14ac:dyDescent="0.45">
      <c r="A1336">
        <v>1135998</v>
      </c>
      <c r="B1336">
        <v>90930</v>
      </c>
      <c r="C1336">
        <v>7758987</v>
      </c>
      <c r="D1336" t="s">
        <v>2545</v>
      </c>
      <c r="F1336" t="s">
        <v>245</v>
      </c>
      <c r="G1336" t="s">
        <v>246</v>
      </c>
      <c r="N1336" t="s">
        <v>471</v>
      </c>
      <c r="O1336" t="s">
        <v>388</v>
      </c>
      <c r="P1336" t="s">
        <v>249</v>
      </c>
      <c r="Q1336" t="s">
        <v>250</v>
      </c>
      <c r="R1336" t="s">
        <v>251</v>
      </c>
      <c r="T1336" t="s">
        <v>389</v>
      </c>
      <c r="U1336" t="s">
        <v>390</v>
      </c>
      <c r="V1336" t="s">
        <v>472</v>
      </c>
      <c r="W1336" t="s">
        <v>473</v>
      </c>
      <c r="X1336" t="s">
        <v>474</v>
      </c>
      <c r="AL1336" t="s">
        <v>2926</v>
      </c>
      <c r="AM1336" t="s">
        <v>317</v>
      </c>
      <c r="AN1336" t="s">
        <v>259</v>
      </c>
      <c r="AO1336" t="s">
        <v>260</v>
      </c>
      <c r="AQ1336" t="s">
        <v>261</v>
      </c>
      <c r="AS1336">
        <v>428.1</v>
      </c>
      <c r="AX1336" t="s">
        <v>262</v>
      </c>
      <c r="BO1336" t="s">
        <v>261</v>
      </c>
      <c r="BQ1336">
        <v>0.42809999999999998</v>
      </c>
      <c r="BV1336" t="s">
        <v>263</v>
      </c>
      <c r="CM1336" t="s">
        <v>264</v>
      </c>
      <c r="CN1336" t="s">
        <v>264</v>
      </c>
      <c r="CP1336" t="s">
        <v>265</v>
      </c>
      <c r="CQ1336" t="s">
        <v>394</v>
      </c>
      <c r="DB1336">
        <v>2</v>
      </c>
      <c r="DG1336" t="s">
        <v>267</v>
      </c>
      <c r="DI1336">
        <v>48</v>
      </c>
      <c r="DN1336" t="s">
        <v>268</v>
      </c>
      <c r="DR1336">
        <v>2056173</v>
      </c>
      <c r="DS1336">
        <v>1053</v>
      </c>
      <c r="DT1336" t="s">
        <v>2671</v>
      </c>
      <c r="EW1336" t="s">
        <v>271</v>
      </c>
      <c r="FA1336" t="s">
        <v>2672</v>
      </c>
      <c r="FM1336">
        <v>18</v>
      </c>
      <c r="FR1336" t="s">
        <v>295</v>
      </c>
      <c r="GU1336">
        <v>38</v>
      </c>
      <c r="GZ1336" t="s">
        <v>296</v>
      </c>
      <c r="HH1336" t="s">
        <v>272</v>
      </c>
      <c r="IE1336" t="s">
        <v>2299</v>
      </c>
      <c r="IF1336">
        <v>11097</v>
      </c>
      <c r="IG1336" t="s">
        <v>2673</v>
      </c>
      <c r="IH1336" t="s">
        <v>2674</v>
      </c>
      <c r="II1336">
        <v>1982</v>
      </c>
      <c r="IJ1336" t="s">
        <v>2675</v>
      </c>
    </row>
    <row r="1337" spans="1:244" x14ac:dyDescent="0.45">
      <c r="A1337">
        <v>1057123</v>
      </c>
      <c r="B1337">
        <v>126089</v>
      </c>
      <c r="C1337">
        <v>7758987</v>
      </c>
      <c r="D1337" t="s">
        <v>2545</v>
      </c>
      <c r="F1337" t="s">
        <v>245</v>
      </c>
      <c r="G1337" t="s">
        <v>246</v>
      </c>
      <c r="N1337" t="s">
        <v>1183</v>
      </c>
      <c r="O1337" t="s">
        <v>1184</v>
      </c>
      <c r="P1337" t="s">
        <v>249</v>
      </c>
      <c r="Q1337" t="s">
        <v>250</v>
      </c>
      <c r="R1337" t="s">
        <v>251</v>
      </c>
      <c r="T1337" t="s">
        <v>252</v>
      </c>
      <c r="U1337" t="s">
        <v>253</v>
      </c>
      <c r="V1337" t="s">
        <v>418</v>
      </c>
      <c r="W1337" t="s">
        <v>419</v>
      </c>
      <c r="X1337" t="s">
        <v>393</v>
      </c>
      <c r="AL1337" t="s">
        <v>2859</v>
      </c>
      <c r="AM1337" t="s">
        <v>287</v>
      </c>
      <c r="AN1337" t="s">
        <v>259</v>
      </c>
      <c r="AO1337" t="s">
        <v>260</v>
      </c>
      <c r="AQ1337" t="s">
        <v>261</v>
      </c>
      <c r="AS1337">
        <v>29212</v>
      </c>
      <c r="AX1337" t="s">
        <v>262</v>
      </c>
      <c r="BO1337" t="s">
        <v>261</v>
      </c>
      <c r="BQ1337">
        <v>29.212</v>
      </c>
      <c r="BV1337" t="s">
        <v>263</v>
      </c>
      <c r="CM1337" t="s">
        <v>264</v>
      </c>
      <c r="CN1337" t="s">
        <v>264</v>
      </c>
      <c r="CP1337" t="s">
        <v>265</v>
      </c>
      <c r="DB1337">
        <v>2</v>
      </c>
      <c r="DG1337" t="s">
        <v>267</v>
      </c>
      <c r="DI1337">
        <v>48</v>
      </c>
      <c r="DN1337" t="s">
        <v>268</v>
      </c>
      <c r="DS1337">
        <v>388</v>
      </c>
      <c r="EW1337" t="s">
        <v>271</v>
      </c>
      <c r="FA1337" t="s">
        <v>2860</v>
      </c>
      <c r="GI1337" t="s">
        <v>288</v>
      </c>
      <c r="GJ1337">
        <v>5.5</v>
      </c>
      <c r="GK1337" t="s">
        <v>289</v>
      </c>
      <c r="GL1337">
        <v>8.5</v>
      </c>
      <c r="GM1337" t="s">
        <v>356</v>
      </c>
      <c r="HH1337" t="s">
        <v>272</v>
      </c>
      <c r="IE1337" t="s">
        <v>2861</v>
      </c>
      <c r="IF1337">
        <v>4076</v>
      </c>
      <c r="IG1337" t="s">
        <v>2862</v>
      </c>
      <c r="IH1337" t="s">
        <v>2863</v>
      </c>
      <c r="II1337">
        <v>1992</v>
      </c>
      <c r="IJ1337" t="s">
        <v>2864</v>
      </c>
    </row>
    <row r="1338" spans="1:244" x14ac:dyDescent="0.45">
      <c r="A1338">
        <v>1116108</v>
      </c>
      <c r="B1338">
        <v>107392</v>
      </c>
      <c r="C1338">
        <v>7758987</v>
      </c>
      <c r="D1338" t="s">
        <v>2545</v>
      </c>
      <c r="F1338" t="s">
        <v>245</v>
      </c>
      <c r="G1338" t="s">
        <v>246</v>
      </c>
      <c r="N1338" t="s">
        <v>452</v>
      </c>
      <c r="O1338" t="s">
        <v>346</v>
      </c>
      <c r="P1338" t="s">
        <v>249</v>
      </c>
      <c r="Q1338" t="s">
        <v>250</v>
      </c>
      <c r="R1338" t="s">
        <v>251</v>
      </c>
      <c r="T1338" t="s">
        <v>347</v>
      </c>
      <c r="U1338" t="s">
        <v>348</v>
      </c>
      <c r="V1338" t="s">
        <v>349</v>
      </c>
      <c r="W1338" t="s">
        <v>350</v>
      </c>
      <c r="X1338" t="s">
        <v>453</v>
      </c>
      <c r="Z1338" t="s">
        <v>284</v>
      </c>
      <c r="AM1338" t="s">
        <v>317</v>
      </c>
      <c r="AN1338" t="s">
        <v>259</v>
      </c>
      <c r="AO1338" t="s">
        <v>260</v>
      </c>
      <c r="AQ1338" t="s">
        <v>261</v>
      </c>
      <c r="AS1338">
        <v>14000</v>
      </c>
      <c r="AU1338">
        <v>12000</v>
      </c>
      <c r="AW1338">
        <v>16000</v>
      </c>
      <c r="AX1338" t="s">
        <v>262</v>
      </c>
      <c r="BO1338" t="s">
        <v>261</v>
      </c>
      <c r="BQ1338">
        <v>14</v>
      </c>
      <c r="BS1338">
        <v>12</v>
      </c>
      <c r="BU1338">
        <v>16</v>
      </c>
      <c r="BV1338" t="s">
        <v>263</v>
      </c>
      <c r="CM1338" t="s">
        <v>264</v>
      </c>
      <c r="CN1338" t="s">
        <v>264</v>
      </c>
      <c r="CP1338" t="s">
        <v>265</v>
      </c>
      <c r="CQ1338" t="s">
        <v>394</v>
      </c>
      <c r="DB1338">
        <v>3</v>
      </c>
      <c r="DG1338" t="s">
        <v>267</v>
      </c>
      <c r="DI1338">
        <v>3</v>
      </c>
      <c r="DN1338" t="s">
        <v>267</v>
      </c>
      <c r="DR1338">
        <v>85549</v>
      </c>
      <c r="DS1338">
        <v>366</v>
      </c>
      <c r="EW1338" t="s">
        <v>271</v>
      </c>
      <c r="HH1338" t="s">
        <v>272</v>
      </c>
      <c r="IE1338" t="s">
        <v>454</v>
      </c>
      <c r="IF1338">
        <v>9001</v>
      </c>
      <c r="IG1338" t="s">
        <v>455</v>
      </c>
      <c r="IH1338" t="s">
        <v>456</v>
      </c>
      <c r="II1338">
        <v>1973</v>
      </c>
      <c r="IJ1338" t="s">
        <v>457</v>
      </c>
    </row>
    <row r="1339" spans="1:244" x14ac:dyDescent="0.45">
      <c r="A1339">
        <v>1048997</v>
      </c>
      <c r="B1339">
        <v>114981</v>
      </c>
      <c r="C1339">
        <v>7758987</v>
      </c>
      <c r="D1339" t="s">
        <v>2545</v>
      </c>
      <c r="F1339" t="s">
        <v>245</v>
      </c>
      <c r="G1339" t="s">
        <v>246</v>
      </c>
      <c r="N1339" t="s">
        <v>690</v>
      </c>
      <c r="O1339" t="s">
        <v>691</v>
      </c>
      <c r="P1339" t="s">
        <v>249</v>
      </c>
      <c r="Q1339" t="s">
        <v>250</v>
      </c>
      <c r="R1339" t="s">
        <v>251</v>
      </c>
      <c r="T1339" t="s">
        <v>252</v>
      </c>
      <c r="U1339" t="s">
        <v>253</v>
      </c>
      <c r="V1339" t="s">
        <v>418</v>
      </c>
      <c r="W1339" t="s">
        <v>419</v>
      </c>
      <c r="X1339" t="s">
        <v>692</v>
      </c>
      <c r="Z1339" t="s">
        <v>284</v>
      </c>
      <c r="AM1339" t="s">
        <v>317</v>
      </c>
      <c r="AN1339" t="s">
        <v>259</v>
      </c>
      <c r="AO1339" t="s">
        <v>260</v>
      </c>
      <c r="AQ1339" t="s">
        <v>261</v>
      </c>
      <c r="AS1339">
        <v>2225</v>
      </c>
      <c r="AX1339" t="s">
        <v>262</v>
      </c>
      <c r="BO1339" t="s">
        <v>261</v>
      </c>
      <c r="BQ1339">
        <v>2.2250000000000001</v>
      </c>
      <c r="BV1339" t="s">
        <v>263</v>
      </c>
      <c r="CM1339" t="s">
        <v>264</v>
      </c>
      <c r="CN1339" t="s">
        <v>264</v>
      </c>
      <c r="CP1339" t="s">
        <v>265</v>
      </c>
      <c r="CQ1339" t="s">
        <v>394</v>
      </c>
      <c r="DB1339">
        <v>2</v>
      </c>
      <c r="DG1339" t="s">
        <v>267</v>
      </c>
      <c r="DI1339">
        <v>48</v>
      </c>
      <c r="DN1339" t="s">
        <v>268</v>
      </c>
      <c r="DR1339">
        <v>139456</v>
      </c>
      <c r="DS1339">
        <v>3044</v>
      </c>
      <c r="EW1339" t="s">
        <v>271</v>
      </c>
      <c r="HH1339" t="s">
        <v>272</v>
      </c>
      <c r="IE1339" t="s">
        <v>1743</v>
      </c>
      <c r="IF1339">
        <v>3232</v>
      </c>
      <c r="IG1339" t="s">
        <v>1744</v>
      </c>
      <c r="IH1339" t="s">
        <v>1745</v>
      </c>
      <c r="II1339">
        <v>1988</v>
      </c>
      <c r="IJ1339" t="s">
        <v>1746</v>
      </c>
    </row>
    <row r="1340" spans="1:244" x14ac:dyDescent="0.45">
      <c r="A1340">
        <v>1078439</v>
      </c>
      <c r="B1340">
        <v>105815</v>
      </c>
      <c r="C1340">
        <v>7758987</v>
      </c>
      <c r="D1340" t="s">
        <v>2545</v>
      </c>
      <c r="F1340" t="s">
        <v>245</v>
      </c>
      <c r="G1340" t="s">
        <v>246</v>
      </c>
      <c r="N1340" t="s">
        <v>452</v>
      </c>
      <c r="O1340" t="s">
        <v>346</v>
      </c>
      <c r="P1340" t="s">
        <v>249</v>
      </c>
      <c r="Q1340" t="s">
        <v>250</v>
      </c>
      <c r="R1340" t="s">
        <v>251</v>
      </c>
      <c r="T1340" t="s">
        <v>347</v>
      </c>
      <c r="U1340" t="s">
        <v>348</v>
      </c>
      <c r="V1340" t="s">
        <v>349</v>
      </c>
      <c r="W1340" t="s">
        <v>350</v>
      </c>
      <c r="X1340" t="s">
        <v>453</v>
      </c>
      <c r="AJ1340" t="s">
        <v>285</v>
      </c>
      <c r="AM1340" t="s">
        <v>317</v>
      </c>
      <c r="AN1340" t="s">
        <v>259</v>
      </c>
      <c r="AO1340" t="s">
        <v>260</v>
      </c>
      <c r="AP1340" t="s">
        <v>1644</v>
      </c>
      <c r="AQ1340" t="s">
        <v>261</v>
      </c>
      <c r="AS1340">
        <v>2050</v>
      </c>
      <c r="AX1340" t="s">
        <v>290</v>
      </c>
      <c r="BO1340" t="s">
        <v>261</v>
      </c>
      <c r="BQ1340">
        <v>2.0499999999999998</v>
      </c>
      <c r="BV1340" t="s">
        <v>263</v>
      </c>
      <c r="CM1340" t="s">
        <v>264</v>
      </c>
      <c r="CN1340" t="s">
        <v>264</v>
      </c>
      <c r="CP1340" t="s">
        <v>265</v>
      </c>
      <c r="CQ1340" t="s">
        <v>394</v>
      </c>
      <c r="DB1340">
        <v>1</v>
      </c>
      <c r="DG1340" t="s">
        <v>267</v>
      </c>
      <c r="DI1340">
        <v>24</v>
      </c>
      <c r="DN1340" t="s">
        <v>268</v>
      </c>
      <c r="DR1340">
        <v>85549</v>
      </c>
      <c r="DS1340">
        <v>366</v>
      </c>
      <c r="EW1340" t="s">
        <v>293</v>
      </c>
      <c r="FA1340" t="s">
        <v>2760</v>
      </c>
      <c r="FK1340" t="s">
        <v>2927</v>
      </c>
      <c r="FO1340">
        <v>13</v>
      </c>
      <c r="FQ1340">
        <v>21</v>
      </c>
      <c r="FR1340" t="s">
        <v>295</v>
      </c>
      <c r="GW1340">
        <v>27</v>
      </c>
      <c r="GY1340">
        <v>36</v>
      </c>
      <c r="GZ1340" t="s">
        <v>296</v>
      </c>
      <c r="HH1340" t="s">
        <v>272</v>
      </c>
      <c r="ID1340" t="s">
        <v>2928</v>
      </c>
      <c r="IE1340" t="s">
        <v>1648</v>
      </c>
      <c r="IF1340">
        <v>6045</v>
      </c>
      <c r="IG1340" t="s">
        <v>1649</v>
      </c>
      <c r="IH1340" t="s">
        <v>1650</v>
      </c>
      <c r="II1340">
        <v>1976</v>
      </c>
      <c r="IJ1340" t="s">
        <v>1651</v>
      </c>
    </row>
    <row r="1341" spans="1:244" x14ac:dyDescent="0.45">
      <c r="A1341">
        <v>1048998</v>
      </c>
      <c r="B1341">
        <v>114982</v>
      </c>
      <c r="C1341">
        <v>7758987</v>
      </c>
      <c r="D1341" t="s">
        <v>2545</v>
      </c>
      <c r="F1341" t="s">
        <v>245</v>
      </c>
      <c r="G1341" t="s">
        <v>246</v>
      </c>
      <c r="N1341" t="s">
        <v>690</v>
      </c>
      <c r="O1341" t="s">
        <v>691</v>
      </c>
      <c r="P1341" t="s">
        <v>249</v>
      </c>
      <c r="Q1341" t="s">
        <v>250</v>
      </c>
      <c r="R1341" t="s">
        <v>251</v>
      </c>
      <c r="T1341" t="s">
        <v>252</v>
      </c>
      <c r="U1341" t="s">
        <v>253</v>
      </c>
      <c r="V1341" t="s">
        <v>418</v>
      </c>
      <c r="W1341" t="s">
        <v>419</v>
      </c>
      <c r="X1341" t="s">
        <v>692</v>
      </c>
      <c r="Z1341" t="s">
        <v>284</v>
      </c>
      <c r="AM1341" t="s">
        <v>317</v>
      </c>
      <c r="AN1341" t="s">
        <v>259</v>
      </c>
      <c r="AO1341" t="s">
        <v>260</v>
      </c>
      <c r="AQ1341" t="s">
        <v>261</v>
      </c>
      <c r="AS1341">
        <v>170</v>
      </c>
      <c r="AX1341" t="s">
        <v>262</v>
      </c>
      <c r="BO1341" t="s">
        <v>261</v>
      </c>
      <c r="BQ1341">
        <v>0.17</v>
      </c>
      <c r="BV1341" t="s">
        <v>263</v>
      </c>
      <c r="CM1341" t="s">
        <v>264</v>
      </c>
      <c r="CN1341" t="s">
        <v>264</v>
      </c>
      <c r="CP1341" t="s">
        <v>265</v>
      </c>
      <c r="CQ1341" t="s">
        <v>394</v>
      </c>
      <c r="DB1341">
        <v>4</v>
      </c>
      <c r="DG1341" t="s">
        <v>267</v>
      </c>
      <c r="DI1341">
        <v>96</v>
      </c>
      <c r="DN1341" t="s">
        <v>268</v>
      </c>
      <c r="DR1341">
        <v>139456</v>
      </c>
      <c r="DS1341">
        <v>3044</v>
      </c>
      <c r="EW1341" t="s">
        <v>271</v>
      </c>
      <c r="HH1341" t="s">
        <v>272</v>
      </c>
      <c r="IE1341" t="s">
        <v>1743</v>
      </c>
      <c r="IF1341">
        <v>3232</v>
      </c>
      <c r="IG1341" t="s">
        <v>1744</v>
      </c>
      <c r="IH1341" t="s">
        <v>1745</v>
      </c>
      <c r="II1341">
        <v>1988</v>
      </c>
      <c r="IJ1341" t="s">
        <v>1746</v>
      </c>
    </row>
    <row r="1342" spans="1:244" x14ac:dyDescent="0.45">
      <c r="A1342">
        <v>1311981</v>
      </c>
      <c r="B1342">
        <v>769375</v>
      </c>
      <c r="C1342">
        <v>7758987</v>
      </c>
      <c r="D1342" t="s">
        <v>2545</v>
      </c>
      <c r="F1342" t="s">
        <v>245</v>
      </c>
      <c r="G1342" t="s">
        <v>246</v>
      </c>
      <c r="N1342" t="s">
        <v>2610</v>
      </c>
      <c r="O1342" t="s">
        <v>2611</v>
      </c>
      <c r="P1342" t="s">
        <v>249</v>
      </c>
      <c r="Q1342" t="s">
        <v>250</v>
      </c>
      <c r="R1342" t="s">
        <v>251</v>
      </c>
      <c r="T1342" t="s">
        <v>252</v>
      </c>
      <c r="U1342" t="s">
        <v>253</v>
      </c>
      <c r="V1342" t="s">
        <v>2612</v>
      </c>
      <c r="W1342" t="s">
        <v>2613</v>
      </c>
      <c r="X1342" t="s">
        <v>2614</v>
      </c>
      <c r="Z1342" t="s">
        <v>1057</v>
      </c>
      <c r="AL1342" t="s">
        <v>2615</v>
      </c>
      <c r="AM1342" t="s">
        <v>317</v>
      </c>
      <c r="AN1342" t="s">
        <v>259</v>
      </c>
      <c r="AO1342" t="s">
        <v>260</v>
      </c>
      <c r="AP1342">
        <v>8</v>
      </c>
      <c r="AQ1342" t="s">
        <v>261</v>
      </c>
      <c r="AS1342">
        <v>158.5</v>
      </c>
      <c r="AU1342">
        <v>128</v>
      </c>
      <c r="AW1342">
        <v>196.2</v>
      </c>
      <c r="AX1342" t="s">
        <v>262</v>
      </c>
      <c r="BO1342" t="s">
        <v>261</v>
      </c>
      <c r="BQ1342">
        <v>0.1585</v>
      </c>
      <c r="BS1342">
        <v>0.128</v>
      </c>
      <c r="BU1342">
        <v>0.19620000000000001</v>
      </c>
      <c r="BV1342" t="s">
        <v>263</v>
      </c>
      <c r="CM1342" t="s">
        <v>264</v>
      </c>
      <c r="CN1342" t="s">
        <v>264</v>
      </c>
      <c r="CP1342" t="s">
        <v>265</v>
      </c>
      <c r="CQ1342" t="s">
        <v>394</v>
      </c>
      <c r="DB1342">
        <v>1</v>
      </c>
      <c r="DG1342" t="s">
        <v>267</v>
      </c>
      <c r="DI1342">
        <v>24</v>
      </c>
      <c r="DN1342" t="s">
        <v>268</v>
      </c>
      <c r="DP1342" t="s">
        <v>2598</v>
      </c>
      <c r="DR1342">
        <v>150425</v>
      </c>
      <c r="DS1342">
        <v>20372</v>
      </c>
      <c r="EW1342" t="s">
        <v>293</v>
      </c>
      <c r="FA1342" t="s">
        <v>397</v>
      </c>
      <c r="FK1342" t="s">
        <v>2616</v>
      </c>
      <c r="FM1342">
        <v>27</v>
      </c>
      <c r="FR1342" t="s">
        <v>295</v>
      </c>
      <c r="GU1342">
        <v>32</v>
      </c>
      <c r="GZ1342" t="s">
        <v>296</v>
      </c>
      <c r="HH1342" t="s">
        <v>272</v>
      </c>
      <c r="ID1342" t="s">
        <v>2617</v>
      </c>
      <c r="IE1342" t="s">
        <v>2618</v>
      </c>
      <c r="IF1342">
        <v>78850</v>
      </c>
      <c r="IG1342" t="s">
        <v>2619</v>
      </c>
      <c r="IH1342" t="s">
        <v>2620</v>
      </c>
      <c r="II1342">
        <v>2004</v>
      </c>
      <c r="IJ1342" t="s">
        <v>2621</v>
      </c>
    </row>
    <row r="1343" spans="1:244" x14ac:dyDescent="0.45">
      <c r="A1343">
        <v>2045290</v>
      </c>
      <c r="B1343">
        <v>2074458</v>
      </c>
      <c r="C1343">
        <v>7758987</v>
      </c>
      <c r="D1343" t="s">
        <v>2545</v>
      </c>
      <c r="E1343" t="s">
        <v>415</v>
      </c>
      <c r="F1343" t="s">
        <v>245</v>
      </c>
      <c r="G1343" t="s">
        <v>2303</v>
      </c>
      <c r="N1343" t="s">
        <v>416</v>
      </c>
      <c r="O1343" t="s">
        <v>417</v>
      </c>
      <c r="P1343" t="s">
        <v>249</v>
      </c>
      <c r="Q1343" t="s">
        <v>250</v>
      </c>
      <c r="R1343" t="s">
        <v>251</v>
      </c>
      <c r="T1343" t="s">
        <v>252</v>
      </c>
      <c r="U1343" t="s">
        <v>253</v>
      </c>
      <c r="V1343" t="s">
        <v>418</v>
      </c>
      <c r="W1343" t="s">
        <v>419</v>
      </c>
      <c r="X1343" t="s">
        <v>420</v>
      </c>
      <c r="Z1343" t="s">
        <v>421</v>
      </c>
      <c r="AI1343">
        <v>15</v>
      </c>
      <c r="AJ1343" t="s">
        <v>285</v>
      </c>
      <c r="AL1343" t="s">
        <v>2929</v>
      </c>
      <c r="AM1343" t="s">
        <v>258</v>
      </c>
      <c r="AN1343" t="s">
        <v>259</v>
      </c>
      <c r="AO1343" t="s">
        <v>260</v>
      </c>
      <c r="AP1343">
        <v>5</v>
      </c>
      <c r="AQ1343" t="s">
        <v>261</v>
      </c>
      <c r="AS1343">
        <v>0.82040000000000002</v>
      </c>
      <c r="AU1343">
        <v>0.79390000000000005</v>
      </c>
      <c r="AW1343">
        <v>0.84689999999999999</v>
      </c>
      <c r="AX1343" t="s">
        <v>422</v>
      </c>
      <c r="BO1343" t="s">
        <v>261</v>
      </c>
      <c r="BQ1343">
        <v>0.82040000000000002</v>
      </c>
      <c r="BS1343">
        <v>0.79390000000000005</v>
      </c>
      <c r="BU1343">
        <v>0.84689999999999999</v>
      </c>
      <c r="BV1343" t="s">
        <v>263</v>
      </c>
      <c r="CM1343" t="s">
        <v>264</v>
      </c>
      <c r="CN1343" t="s">
        <v>264</v>
      </c>
      <c r="CP1343" t="s">
        <v>265</v>
      </c>
      <c r="CQ1343" t="s">
        <v>394</v>
      </c>
      <c r="DB1343">
        <v>4</v>
      </c>
      <c r="DG1343" t="s">
        <v>267</v>
      </c>
      <c r="DI1343">
        <v>96</v>
      </c>
      <c r="DN1343" t="s">
        <v>268</v>
      </c>
      <c r="DP1343" t="s">
        <v>2930</v>
      </c>
      <c r="DS1343">
        <v>1009</v>
      </c>
      <c r="DT1343" t="s">
        <v>2931</v>
      </c>
      <c r="DV1343">
        <v>96</v>
      </c>
      <c r="EA1343" t="s">
        <v>268</v>
      </c>
      <c r="EC1343">
        <v>4</v>
      </c>
      <c r="EH1343" t="s">
        <v>267</v>
      </c>
      <c r="EJ1343">
        <v>96</v>
      </c>
      <c r="EO1343" t="s">
        <v>268</v>
      </c>
      <c r="EQ1343">
        <v>4</v>
      </c>
      <c r="EV1343" t="s">
        <v>267</v>
      </c>
      <c r="EW1343" t="s">
        <v>293</v>
      </c>
      <c r="EY1343" t="s">
        <v>377</v>
      </c>
      <c r="EZ1343">
        <v>25</v>
      </c>
      <c r="FA1343" t="s">
        <v>2932</v>
      </c>
      <c r="FM1343">
        <v>29</v>
      </c>
      <c r="FR1343" t="s">
        <v>295</v>
      </c>
      <c r="GO1343">
        <v>7.8</v>
      </c>
      <c r="GU1343">
        <v>10</v>
      </c>
      <c r="GZ1343" t="s">
        <v>296</v>
      </c>
      <c r="HH1343" t="s">
        <v>272</v>
      </c>
      <c r="ID1343" t="s">
        <v>2933</v>
      </c>
      <c r="IE1343" t="s">
        <v>2934</v>
      </c>
      <c r="IF1343">
        <v>157878</v>
      </c>
      <c r="IG1343" t="s">
        <v>2935</v>
      </c>
      <c r="IH1343" t="s">
        <v>2936</v>
      </c>
      <c r="II1343">
        <v>2010</v>
      </c>
      <c r="IJ1343" t="s">
        <v>2937</v>
      </c>
    </row>
    <row r="1344" spans="1:244" x14ac:dyDescent="0.45">
      <c r="A1344">
        <v>1314116</v>
      </c>
      <c r="B1344">
        <v>772178</v>
      </c>
      <c r="C1344">
        <v>7758987</v>
      </c>
      <c r="D1344" t="s">
        <v>2545</v>
      </c>
      <c r="F1344" t="s">
        <v>245</v>
      </c>
      <c r="G1344" t="s">
        <v>246</v>
      </c>
      <c r="N1344" t="s">
        <v>2938</v>
      </c>
      <c r="O1344" t="s">
        <v>646</v>
      </c>
      <c r="P1344" t="s">
        <v>249</v>
      </c>
      <c r="Q1344" t="s">
        <v>250</v>
      </c>
      <c r="R1344" t="s">
        <v>251</v>
      </c>
      <c r="T1344" t="s">
        <v>252</v>
      </c>
      <c r="U1344" t="s">
        <v>253</v>
      </c>
      <c r="V1344" t="s">
        <v>2939</v>
      </c>
      <c r="W1344" t="s">
        <v>2940</v>
      </c>
      <c r="X1344" t="s">
        <v>2941</v>
      </c>
      <c r="Z1344" t="s">
        <v>284</v>
      </c>
      <c r="AA1344" t="s">
        <v>288</v>
      </c>
      <c r="AB1344">
        <v>4</v>
      </c>
      <c r="AG1344" t="s">
        <v>353</v>
      </c>
      <c r="AL1344" t="s">
        <v>2942</v>
      </c>
      <c r="AM1344" t="s">
        <v>258</v>
      </c>
      <c r="AN1344" t="s">
        <v>259</v>
      </c>
      <c r="AO1344" t="s">
        <v>260</v>
      </c>
      <c r="AP1344">
        <v>8</v>
      </c>
      <c r="AQ1344" t="s">
        <v>261</v>
      </c>
      <c r="AS1344">
        <v>0.22500000000000001</v>
      </c>
      <c r="AU1344">
        <v>0.223</v>
      </c>
      <c r="AW1344">
        <v>0.22700000000000001</v>
      </c>
      <c r="AX1344" t="s">
        <v>356</v>
      </c>
      <c r="BO1344" t="s">
        <v>261</v>
      </c>
      <c r="BQ1344">
        <v>0.22500000000000001</v>
      </c>
      <c r="BS1344">
        <v>0.223</v>
      </c>
      <c r="BU1344">
        <v>0.22700000000000001</v>
      </c>
      <c r="BV1344" t="s">
        <v>263</v>
      </c>
      <c r="CM1344" t="s">
        <v>264</v>
      </c>
      <c r="CN1344" t="s">
        <v>264</v>
      </c>
      <c r="CP1344" t="s">
        <v>265</v>
      </c>
      <c r="CQ1344" t="s">
        <v>394</v>
      </c>
      <c r="DB1344">
        <v>3</v>
      </c>
      <c r="DG1344" t="s">
        <v>267</v>
      </c>
      <c r="DI1344">
        <v>72</v>
      </c>
      <c r="DN1344" t="s">
        <v>268</v>
      </c>
      <c r="DP1344" t="s">
        <v>2943</v>
      </c>
      <c r="DS1344">
        <v>20429</v>
      </c>
      <c r="EW1344" t="s">
        <v>293</v>
      </c>
      <c r="FK1344" t="s">
        <v>2944</v>
      </c>
      <c r="FM1344">
        <v>28</v>
      </c>
      <c r="FR1344" t="s">
        <v>295</v>
      </c>
      <c r="GU1344">
        <v>28</v>
      </c>
      <c r="GZ1344" t="s">
        <v>296</v>
      </c>
      <c r="HH1344" t="s">
        <v>272</v>
      </c>
      <c r="ID1344" t="s">
        <v>2945</v>
      </c>
      <c r="IE1344" t="s">
        <v>2946</v>
      </c>
      <c r="IF1344">
        <v>13265</v>
      </c>
      <c r="IG1344" t="s">
        <v>2947</v>
      </c>
      <c r="IH1344" t="s">
        <v>2948</v>
      </c>
      <c r="II1344">
        <v>1985</v>
      </c>
      <c r="IJ1344" t="s">
        <v>2949</v>
      </c>
    </row>
    <row r="1345" spans="1:244" x14ac:dyDescent="0.45">
      <c r="A1345">
        <v>2282620</v>
      </c>
      <c r="B1345">
        <v>2651684</v>
      </c>
      <c r="C1345">
        <v>7758987</v>
      </c>
      <c r="D1345" t="s">
        <v>2545</v>
      </c>
      <c r="F1345" t="s">
        <v>245</v>
      </c>
      <c r="G1345" t="s">
        <v>557</v>
      </c>
      <c r="J1345" t="s">
        <v>288</v>
      </c>
      <c r="K1345">
        <v>97</v>
      </c>
      <c r="L1345" t="s">
        <v>288</v>
      </c>
      <c r="M1345">
        <v>99</v>
      </c>
      <c r="N1345" t="s">
        <v>452</v>
      </c>
      <c r="O1345" t="s">
        <v>346</v>
      </c>
      <c r="P1345" t="s">
        <v>249</v>
      </c>
      <c r="Q1345" t="s">
        <v>250</v>
      </c>
      <c r="R1345" t="s">
        <v>251</v>
      </c>
      <c r="T1345" t="s">
        <v>347</v>
      </c>
      <c r="U1345" t="s">
        <v>348</v>
      </c>
      <c r="V1345" t="s">
        <v>349</v>
      </c>
      <c r="W1345" t="s">
        <v>350</v>
      </c>
      <c r="X1345" t="s">
        <v>453</v>
      </c>
      <c r="AJ1345" t="s">
        <v>354</v>
      </c>
      <c r="AM1345" t="s">
        <v>287</v>
      </c>
      <c r="AN1345" t="s">
        <v>259</v>
      </c>
      <c r="AO1345" t="s">
        <v>260</v>
      </c>
      <c r="AQ1345" t="s">
        <v>261</v>
      </c>
      <c r="AS1345">
        <v>20.399999999999999</v>
      </c>
      <c r="AX1345" t="s">
        <v>710</v>
      </c>
      <c r="BO1345" t="s">
        <v>261</v>
      </c>
      <c r="BQ1345">
        <v>3.2970378</v>
      </c>
      <c r="BV1345" t="s">
        <v>263</v>
      </c>
      <c r="CM1345" t="s">
        <v>264</v>
      </c>
      <c r="CN1345" t="s">
        <v>264</v>
      </c>
      <c r="CP1345" t="s">
        <v>265</v>
      </c>
      <c r="DB1345">
        <v>1</v>
      </c>
      <c r="DG1345" t="s">
        <v>267</v>
      </c>
      <c r="DI1345">
        <v>24</v>
      </c>
      <c r="DN1345" t="s">
        <v>268</v>
      </c>
      <c r="DP1345" t="s">
        <v>2950</v>
      </c>
      <c r="DR1345">
        <v>85549</v>
      </c>
      <c r="DS1345">
        <v>366</v>
      </c>
      <c r="DT1345" t="s">
        <v>1665</v>
      </c>
      <c r="DV1345">
        <v>24</v>
      </c>
      <c r="EA1345" t="s">
        <v>268</v>
      </c>
      <c r="EC1345">
        <v>1</v>
      </c>
      <c r="EH1345" t="s">
        <v>267</v>
      </c>
      <c r="EJ1345">
        <v>24</v>
      </c>
      <c r="EO1345" t="s">
        <v>268</v>
      </c>
      <c r="EQ1345">
        <v>1</v>
      </c>
      <c r="EV1345" t="s">
        <v>267</v>
      </c>
      <c r="EW1345" t="s">
        <v>272</v>
      </c>
      <c r="EY1345" t="s">
        <v>377</v>
      </c>
      <c r="FA1345" t="s">
        <v>1666</v>
      </c>
      <c r="HH1345" t="s">
        <v>272</v>
      </c>
      <c r="ID1345" t="s">
        <v>1667</v>
      </c>
      <c r="IE1345" t="s">
        <v>1668</v>
      </c>
      <c r="IF1345">
        <v>13669</v>
      </c>
      <c r="IG1345" t="s">
        <v>1669</v>
      </c>
      <c r="IH1345" t="s">
        <v>1670</v>
      </c>
      <c r="II1345">
        <v>1994</v>
      </c>
      <c r="IJ1345" t="s">
        <v>1671</v>
      </c>
    </row>
    <row r="1346" spans="1:244" x14ac:dyDescent="0.45">
      <c r="A1346">
        <v>1252492</v>
      </c>
      <c r="B1346">
        <v>700812</v>
      </c>
      <c r="C1346">
        <v>7758987</v>
      </c>
      <c r="D1346" t="s">
        <v>2545</v>
      </c>
      <c r="F1346" t="s">
        <v>245</v>
      </c>
      <c r="G1346" t="s">
        <v>246</v>
      </c>
      <c r="N1346" t="s">
        <v>416</v>
      </c>
      <c r="O1346" t="s">
        <v>417</v>
      </c>
      <c r="P1346" t="s">
        <v>249</v>
      </c>
      <c r="Q1346" t="s">
        <v>250</v>
      </c>
      <c r="R1346" t="s">
        <v>251</v>
      </c>
      <c r="T1346" t="s">
        <v>252</v>
      </c>
      <c r="U1346" t="s">
        <v>253</v>
      </c>
      <c r="V1346" t="s">
        <v>418</v>
      </c>
      <c r="W1346" t="s">
        <v>419</v>
      </c>
      <c r="X1346" t="s">
        <v>420</v>
      </c>
      <c r="Z1346" t="s">
        <v>421</v>
      </c>
      <c r="AL1346" t="s">
        <v>431</v>
      </c>
      <c r="AM1346" t="s">
        <v>258</v>
      </c>
      <c r="AN1346" t="s">
        <v>259</v>
      </c>
      <c r="AO1346" t="s">
        <v>260</v>
      </c>
      <c r="AP1346">
        <v>5</v>
      </c>
      <c r="AQ1346" t="s">
        <v>261</v>
      </c>
      <c r="AS1346">
        <v>2.5350000000000001</v>
      </c>
      <c r="AX1346" t="s">
        <v>356</v>
      </c>
      <c r="BO1346" t="s">
        <v>261</v>
      </c>
      <c r="BQ1346">
        <v>2.5350000000000001</v>
      </c>
      <c r="BV1346" t="s">
        <v>263</v>
      </c>
      <c r="CM1346" t="s">
        <v>264</v>
      </c>
      <c r="CN1346" t="s">
        <v>264</v>
      </c>
      <c r="CP1346" t="s">
        <v>265</v>
      </c>
      <c r="DB1346">
        <v>4</v>
      </c>
      <c r="DG1346" t="s">
        <v>267</v>
      </c>
      <c r="DI1346">
        <v>96</v>
      </c>
      <c r="DN1346" t="s">
        <v>268</v>
      </c>
      <c r="DP1346" t="s">
        <v>2546</v>
      </c>
      <c r="DS1346">
        <v>1009</v>
      </c>
      <c r="EW1346" t="s">
        <v>293</v>
      </c>
      <c r="FK1346" t="s">
        <v>2951</v>
      </c>
      <c r="FM1346">
        <v>29</v>
      </c>
      <c r="FR1346" t="s">
        <v>295</v>
      </c>
      <c r="GU1346">
        <v>20</v>
      </c>
      <c r="GZ1346" t="s">
        <v>296</v>
      </c>
      <c r="HH1346" t="s">
        <v>272</v>
      </c>
      <c r="ID1346" t="s">
        <v>2952</v>
      </c>
      <c r="IE1346" t="s">
        <v>435</v>
      </c>
      <c r="IF1346">
        <v>59783</v>
      </c>
      <c r="IG1346" t="s">
        <v>436</v>
      </c>
      <c r="IH1346" t="s">
        <v>437</v>
      </c>
      <c r="II1346">
        <v>2000</v>
      </c>
      <c r="IJ1346" t="s">
        <v>438</v>
      </c>
    </row>
    <row r="1347" spans="1:244" x14ac:dyDescent="0.45">
      <c r="A1347">
        <v>1096567</v>
      </c>
      <c r="B1347">
        <v>160724</v>
      </c>
      <c r="C1347">
        <v>7758987</v>
      </c>
      <c r="D1347" t="s">
        <v>2545</v>
      </c>
      <c r="F1347" t="s">
        <v>245</v>
      </c>
      <c r="G1347" t="s">
        <v>246</v>
      </c>
      <c r="N1347" t="s">
        <v>2953</v>
      </c>
      <c r="O1347" t="s">
        <v>656</v>
      </c>
      <c r="P1347" t="s">
        <v>249</v>
      </c>
      <c r="Q1347" t="s">
        <v>250</v>
      </c>
      <c r="R1347" t="s">
        <v>251</v>
      </c>
      <c r="T1347" t="s">
        <v>252</v>
      </c>
      <c r="U1347" t="s">
        <v>253</v>
      </c>
      <c r="V1347" t="s">
        <v>657</v>
      </c>
      <c r="W1347" t="s">
        <v>658</v>
      </c>
      <c r="X1347" t="s">
        <v>2954</v>
      </c>
      <c r="Z1347" t="s">
        <v>284</v>
      </c>
      <c r="AM1347" t="s">
        <v>287</v>
      </c>
      <c r="AN1347" t="s">
        <v>259</v>
      </c>
      <c r="AO1347" t="s">
        <v>260</v>
      </c>
      <c r="AQ1347" t="s">
        <v>2247</v>
      </c>
      <c r="AS1347">
        <v>60</v>
      </c>
      <c r="AX1347" t="s">
        <v>262</v>
      </c>
      <c r="BO1347" t="s">
        <v>2247</v>
      </c>
      <c r="BQ1347">
        <v>0.06</v>
      </c>
      <c r="BV1347" t="s">
        <v>263</v>
      </c>
      <c r="CM1347" t="s">
        <v>264</v>
      </c>
      <c r="CN1347" t="s">
        <v>264</v>
      </c>
      <c r="CP1347" t="s">
        <v>265</v>
      </c>
      <c r="DB1347">
        <v>4</v>
      </c>
      <c r="DG1347" t="s">
        <v>267</v>
      </c>
      <c r="DI1347">
        <v>96</v>
      </c>
      <c r="DN1347" t="s">
        <v>268</v>
      </c>
      <c r="DS1347">
        <v>5869</v>
      </c>
      <c r="EW1347" t="s">
        <v>293</v>
      </c>
      <c r="FM1347">
        <v>29</v>
      </c>
      <c r="FR1347" t="s">
        <v>295</v>
      </c>
      <c r="GU1347">
        <v>35</v>
      </c>
      <c r="GZ1347" t="s">
        <v>296</v>
      </c>
      <c r="HH1347" t="s">
        <v>272</v>
      </c>
      <c r="IE1347" t="s">
        <v>2955</v>
      </c>
      <c r="IF1347">
        <v>6845</v>
      </c>
      <c r="IG1347" t="s">
        <v>2956</v>
      </c>
      <c r="IH1347" t="s">
        <v>2957</v>
      </c>
      <c r="II1347">
        <v>1986</v>
      </c>
      <c r="IJ1347" t="s">
        <v>2958</v>
      </c>
    </row>
    <row r="1348" spans="1:244" x14ac:dyDescent="0.45">
      <c r="A1348">
        <v>1312725</v>
      </c>
      <c r="B1348">
        <v>770193</v>
      </c>
      <c r="C1348">
        <v>7758987</v>
      </c>
      <c r="D1348" t="s">
        <v>2545</v>
      </c>
      <c r="E1348" t="s">
        <v>622</v>
      </c>
      <c r="F1348" t="s">
        <v>272</v>
      </c>
      <c r="G1348" t="s">
        <v>246</v>
      </c>
      <c r="N1348" t="s">
        <v>1298</v>
      </c>
      <c r="O1348" t="s">
        <v>1299</v>
      </c>
      <c r="P1348" t="s">
        <v>249</v>
      </c>
      <c r="Q1348" t="s">
        <v>250</v>
      </c>
      <c r="R1348" t="s">
        <v>251</v>
      </c>
      <c r="T1348" t="s">
        <v>252</v>
      </c>
      <c r="U1348" t="s">
        <v>371</v>
      </c>
      <c r="V1348" t="s">
        <v>372</v>
      </c>
      <c r="W1348" t="s">
        <v>1300</v>
      </c>
      <c r="X1348" t="s">
        <v>1301</v>
      </c>
      <c r="Z1348" t="s">
        <v>649</v>
      </c>
      <c r="AD1348">
        <v>2</v>
      </c>
      <c r="AF1348">
        <v>3</v>
      </c>
      <c r="AG1348" t="s">
        <v>267</v>
      </c>
      <c r="AM1348" t="s">
        <v>317</v>
      </c>
      <c r="AN1348" t="s">
        <v>259</v>
      </c>
      <c r="AO1348" t="s">
        <v>260</v>
      </c>
      <c r="AP1348" t="s">
        <v>559</v>
      </c>
      <c r="AQ1348" t="s">
        <v>261</v>
      </c>
      <c r="AS1348">
        <v>0.12</v>
      </c>
      <c r="AX1348" t="s">
        <v>356</v>
      </c>
      <c r="BO1348" t="s">
        <v>261</v>
      </c>
      <c r="BQ1348">
        <v>0.12</v>
      </c>
      <c r="BV1348" t="s">
        <v>263</v>
      </c>
      <c r="CM1348" t="s">
        <v>264</v>
      </c>
      <c r="CN1348" t="s">
        <v>264</v>
      </c>
      <c r="CP1348" t="s">
        <v>265</v>
      </c>
      <c r="DB1348">
        <v>4</v>
      </c>
      <c r="DG1348" t="s">
        <v>267</v>
      </c>
      <c r="DI1348">
        <v>96</v>
      </c>
      <c r="DN1348" t="s">
        <v>268</v>
      </c>
      <c r="DP1348" t="s">
        <v>2588</v>
      </c>
      <c r="DS1348">
        <v>20391</v>
      </c>
      <c r="DT1348" t="s">
        <v>1302</v>
      </c>
      <c r="EW1348" t="s">
        <v>293</v>
      </c>
      <c r="FA1348" t="s">
        <v>1441</v>
      </c>
      <c r="FK1348" t="s">
        <v>2959</v>
      </c>
      <c r="FM1348">
        <v>25</v>
      </c>
      <c r="FR1348" t="s">
        <v>295</v>
      </c>
      <c r="GG1348" t="s">
        <v>288</v>
      </c>
      <c r="GH1348">
        <v>80</v>
      </c>
      <c r="GM1348" t="s">
        <v>1224</v>
      </c>
      <c r="GQ1348">
        <v>7.5</v>
      </c>
      <c r="GS1348">
        <v>8.5</v>
      </c>
      <c r="GU1348">
        <v>25</v>
      </c>
      <c r="GZ1348" t="s">
        <v>900</v>
      </c>
      <c r="HH1348" t="s">
        <v>272</v>
      </c>
      <c r="ID1348" t="s">
        <v>2960</v>
      </c>
      <c r="IE1348" t="s">
        <v>1306</v>
      </c>
      <c r="IF1348">
        <v>117932</v>
      </c>
      <c r="IG1348" t="s">
        <v>1307</v>
      </c>
      <c r="IH1348" t="s">
        <v>1308</v>
      </c>
      <c r="II1348">
        <v>2008</v>
      </c>
      <c r="IJ1348" t="s">
        <v>1309</v>
      </c>
    </row>
    <row r="1349" spans="1:244" x14ac:dyDescent="0.45">
      <c r="A1349">
        <v>1132772</v>
      </c>
      <c r="B1349">
        <v>79541</v>
      </c>
      <c r="C1349">
        <v>7758987</v>
      </c>
      <c r="D1349" t="s">
        <v>2545</v>
      </c>
      <c r="F1349" t="s">
        <v>327</v>
      </c>
      <c r="G1349" t="s">
        <v>246</v>
      </c>
      <c r="N1349" t="s">
        <v>1753</v>
      </c>
      <c r="O1349" t="s">
        <v>1754</v>
      </c>
      <c r="P1349" t="s">
        <v>249</v>
      </c>
      <c r="Q1349" t="s">
        <v>250</v>
      </c>
      <c r="R1349" t="s">
        <v>251</v>
      </c>
      <c r="T1349" t="s">
        <v>252</v>
      </c>
      <c r="U1349" t="s">
        <v>499</v>
      </c>
      <c r="V1349" t="s">
        <v>1373</v>
      </c>
      <c r="W1349" t="s">
        <v>1755</v>
      </c>
      <c r="X1349" t="s">
        <v>1756</v>
      </c>
      <c r="Z1349" t="s">
        <v>315</v>
      </c>
      <c r="AL1349" t="s">
        <v>2223</v>
      </c>
      <c r="AM1349" t="s">
        <v>317</v>
      </c>
      <c r="AN1349" t="s">
        <v>259</v>
      </c>
      <c r="AO1349" t="s">
        <v>260</v>
      </c>
      <c r="AQ1349" t="s">
        <v>261</v>
      </c>
      <c r="AS1349">
        <v>500</v>
      </c>
      <c r="AU1349">
        <v>390</v>
      </c>
      <c r="AW1349">
        <v>640</v>
      </c>
      <c r="AX1349" t="s">
        <v>262</v>
      </c>
      <c r="BO1349" t="s">
        <v>261</v>
      </c>
      <c r="BQ1349">
        <v>0.5</v>
      </c>
      <c r="BS1349">
        <v>0.39</v>
      </c>
      <c r="BU1349">
        <v>0.64</v>
      </c>
      <c r="BV1349" t="s">
        <v>263</v>
      </c>
      <c r="CM1349" t="s">
        <v>264</v>
      </c>
      <c r="CN1349" t="s">
        <v>264</v>
      </c>
      <c r="CP1349" t="s">
        <v>265</v>
      </c>
      <c r="CQ1349" t="s">
        <v>394</v>
      </c>
      <c r="DB1349">
        <v>4</v>
      </c>
      <c r="DG1349" t="s">
        <v>267</v>
      </c>
      <c r="DI1349">
        <v>96</v>
      </c>
      <c r="DN1349" t="s">
        <v>268</v>
      </c>
      <c r="DS1349">
        <v>1676</v>
      </c>
      <c r="DT1349" t="s">
        <v>2961</v>
      </c>
      <c r="EW1349" t="s">
        <v>271</v>
      </c>
      <c r="FM1349">
        <v>20</v>
      </c>
      <c r="FR1349" t="s">
        <v>295</v>
      </c>
      <c r="GU1349">
        <v>32</v>
      </c>
      <c r="GZ1349" t="s">
        <v>296</v>
      </c>
      <c r="HH1349" t="s">
        <v>272</v>
      </c>
      <c r="IE1349" t="s">
        <v>2962</v>
      </c>
      <c r="IF1349">
        <v>10736</v>
      </c>
      <c r="IG1349" t="s">
        <v>2963</v>
      </c>
      <c r="IH1349" t="s">
        <v>2964</v>
      </c>
      <c r="II1349">
        <v>1984</v>
      </c>
      <c r="IJ1349" t="s">
        <v>2965</v>
      </c>
    </row>
    <row r="1350" spans="1:244" x14ac:dyDescent="0.45">
      <c r="A1350">
        <v>1186877</v>
      </c>
      <c r="B1350">
        <v>138568</v>
      </c>
      <c r="C1350">
        <v>7758987</v>
      </c>
      <c r="D1350" t="s">
        <v>2545</v>
      </c>
      <c r="F1350" t="s">
        <v>245</v>
      </c>
      <c r="G1350" t="s">
        <v>246</v>
      </c>
      <c r="N1350" t="s">
        <v>789</v>
      </c>
      <c r="O1350" t="s">
        <v>790</v>
      </c>
      <c r="P1350" t="s">
        <v>249</v>
      </c>
      <c r="Q1350" t="s">
        <v>250</v>
      </c>
      <c r="R1350" t="s">
        <v>251</v>
      </c>
      <c r="T1350" t="s">
        <v>252</v>
      </c>
      <c r="U1350" t="s">
        <v>253</v>
      </c>
      <c r="V1350" t="s">
        <v>418</v>
      </c>
      <c r="W1350" t="s">
        <v>791</v>
      </c>
      <c r="X1350" t="s">
        <v>792</v>
      </c>
      <c r="Z1350" t="s">
        <v>421</v>
      </c>
      <c r="AM1350" t="s">
        <v>258</v>
      </c>
      <c r="AN1350" t="s">
        <v>259</v>
      </c>
      <c r="AO1350" t="s">
        <v>260</v>
      </c>
      <c r="AQ1350" t="s">
        <v>261</v>
      </c>
      <c r="AS1350">
        <v>408.3</v>
      </c>
      <c r="AX1350" t="s">
        <v>262</v>
      </c>
      <c r="BO1350" t="s">
        <v>261</v>
      </c>
      <c r="BQ1350">
        <v>0.4083</v>
      </c>
      <c r="BV1350" t="s">
        <v>263</v>
      </c>
      <c r="CM1350" t="s">
        <v>264</v>
      </c>
      <c r="CN1350" t="s">
        <v>264</v>
      </c>
      <c r="CP1350" t="s">
        <v>265</v>
      </c>
      <c r="DB1350">
        <v>4</v>
      </c>
      <c r="DG1350" t="s">
        <v>267</v>
      </c>
      <c r="DI1350">
        <v>96</v>
      </c>
      <c r="DN1350" t="s">
        <v>268</v>
      </c>
      <c r="DR1350">
        <v>161924</v>
      </c>
      <c r="DS1350">
        <v>3045</v>
      </c>
      <c r="EW1350" t="s">
        <v>272</v>
      </c>
      <c r="FM1350">
        <v>28</v>
      </c>
      <c r="FR1350" t="s">
        <v>295</v>
      </c>
      <c r="GO1350">
        <v>8.1999999999999993</v>
      </c>
      <c r="GU1350">
        <v>32</v>
      </c>
      <c r="GZ1350" t="s">
        <v>296</v>
      </c>
      <c r="HH1350" t="s">
        <v>272</v>
      </c>
      <c r="IE1350" t="s">
        <v>1652</v>
      </c>
      <c r="IF1350">
        <v>16613</v>
      </c>
      <c r="IG1350" t="s">
        <v>1653</v>
      </c>
      <c r="IH1350" t="s">
        <v>1654</v>
      </c>
      <c r="II1350">
        <v>1994</v>
      </c>
      <c r="IJ1350" t="s">
        <v>1655</v>
      </c>
    </row>
    <row r="1351" spans="1:244" x14ac:dyDescent="0.45">
      <c r="A1351">
        <v>1196476</v>
      </c>
      <c r="B1351">
        <v>149551</v>
      </c>
      <c r="C1351">
        <v>7758987</v>
      </c>
      <c r="D1351" t="s">
        <v>2545</v>
      </c>
      <c r="F1351" t="s">
        <v>272</v>
      </c>
      <c r="G1351" t="s">
        <v>246</v>
      </c>
      <c r="N1351" t="s">
        <v>958</v>
      </c>
      <c r="O1351" t="s">
        <v>959</v>
      </c>
      <c r="P1351" t="s">
        <v>249</v>
      </c>
      <c r="Q1351" t="s">
        <v>250</v>
      </c>
      <c r="R1351" t="s">
        <v>251</v>
      </c>
      <c r="T1351" t="s">
        <v>252</v>
      </c>
      <c r="U1351" t="s">
        <v>253</v>
      </c>
      <c r="V1351" t="s">
        <v>418</v>
      </c>
      <c r="W1351" t="s">
        <v>419</v>
      </c>
      <c r="X1351" t="s">
        <v>960</v>
      </c>
      <c r="Z1351" t="s">
        <v>421</v>
      </c>
      <c r="AM1351" t="s">
        <v>287</v>
      </c>
      <c r="AN1351" t="s">
        <v>259</v>
      </c>
      <c r="AO1351" t="s">
        <v>260</v>
      </c>
      <c r="AQ1351" t="s">
        <v>261</v>
      </c>
      <c r="AS1351">
        <v>436000</v>
      </c>
      <c r="AU1351">
        <v>426000</v>
      </c>
      <c r="AW1351">
        <v>446000</v>
      </c>
      <c r="AX1351" t="s">
        <v>262</v>
      </c>
      <c r="BO1351" t="s">
        <v>261</v>
      </c>
      <c r="BQ1351">
        <v>436</v>
      </c>
      <c r="BS1351">
        <v>426</v>
      </c>
      <c r="BU1351">
        <v>446</v>
      </c>
      <c r="BV1351" t="s">
        <v>263</v>
      </c>
      <c r="CM1351" t="s">
        <v>264</v>
      </c>
      <c r="CN1351" t="s">
        <v>264</v>
      </c>
      <c r="CO1351" t="s">
        <v>2549</v>
      </c>
      <c r="CP1351" t="s">
        <v>265</v>
      </c>
      <c r="DB1351">
        <v>1</v>
      </c>
      <c r="DG1351" t="s">
        <v>267</v>
      </c>
      <c r="DI1351">
        <v>24</v>
      </c>
      <c r="DN1351" t="s">
        <v>268</v>
      </c>
      <c r="DR1351">
        <v>6687</v>
      </c>
      <c r="DS1351">
        <v>252</v>
      </c>
      <c r="EW1351" t="s">
        <v>272</v>
      </c>
      <c r="FO1351">
        <v>25.2</v>
      </c>
      <c r="FQ1351">
        <v>29.5</v>
      </c>
      <c r="FR1351" t="s">
        <v>295</v>
      </c>
      <c r="GQ1351">
        <v>7.7</v>
      </c>
      <c r="GS1351">
        <v>8.3000000000000007</v>
      </c>
      <c r="GW1351">
        <v>26</v>
      </c>
      <c r="GY1351">
        <v>34</v>
      </c>
      <c r="GZ1351" t="s">
        <v>296</v>
      </c>
      <c r="HH1351" t="s">
        <v>272</v>
      </c>
      <c r="IE1351" t="s">
        <v>2550</v>
      </c>
      <c r="IF1351">
        <v>17681</v>
      </c>
      <c r="IG1351" t="s">
        <v>2551</v>
      </c>
      <c r="IH1351" t="s">
        <v>2552</v>
      </c>
      <c r="II1351">
        <v>1990</v>
      </c>
      <c r="IJ1351" t="s">
        <v>2553</v>
      </c>
    </row>
    <row r="1352" spans="1:244" x14ac:dyDescent="0.45">
      <c r="A1352">
        <v>1184328</v>
      </c>
      <c r="B1352">
        <v>139840</v>
      </c>
      <c r="C1352">
        <v>7758987</v>
      </c>
      <c r="D1352" t="s">
        <v>2545</v>
      </c>
      <c r="E1352" t="s">
        <v>439</v>
      </c>
      <c r="F1352" t="s">
        <v>245</v>
      </c>
      <c r="G1352" t="s">
        <v>246</v>
      </c>
      <c r="N1352" t="s">
        <v>1914</v>
      </c>
      <c r="O1352" t="s">
        <v>248</v>
      </c>
      <c r="P1352" t="s">
        <v>249</v>
      </c>
      <c r="Q1352" t="s">
        <v>250</v>
      </c>
      <c r="R1352" t="s">
        <v>251</v>
      </c>
      <c r="T1352" t="s">
        <v>252</v>
      </c>
      <c r="U1352" t="s">
        <v>253</v>
      </c>
      <c r="V1352" t="s">
        <v>254</v>
      </c>
      <c r="W1352" t="s">
        <v>1915</v>
      </c>
      <c r="X1352" t="s">
        <v>1916</v>
      </c>
      <c r="Z1352" t="s">
        <v>284</v>
      </c>
      <c r="AB1352" t="s">
        <v>2135</v>
      </c>
      <c r="AG1352" t="s">
        <v>1409</v>
      </c>
      <c r="AM1352" t="s">
        <v>258</v>
      </c>
      <c r="AN1352" t="s">
        <v>259</v>
      </c>
      <c r="AO1352" t="s">
        <v>260</v>
      </c>
      <c r="AQ1352" t="s">
        <v>261</v>
      </c>
      <c r="AS1352">
        <v>110</v>
      </c>
      <c r="AU1352">
        <v>80</v>
      </c>
      <c r="AW1352">
        <v>140</v>
      </c>
      <c r="AX1352" t="s">
        <v>262</v>
      </c>
      <c r="BO1352" t="s">
        <v>261</v>
      </c>
      <c r="BQ1352">
        <v>0.11</v>
      </c>
      <c r="BS1352">
        <v>0.08</v>
      </c>
      <c r="BU1352">
        <v>0.14000000000000001</v>
      </c>
      <c r="BV1352" t="s">
        <v>263</v>
      </c>
      <c r="CM1352" t="s">
        <v>264</v>
      </c>
      <c r="CN1352" t="s">
        <v>264</v>
      </c>
      <c r="CP1352" t="s">
        <v>265</v>
      </c>
      <c r="CQ1352" t="s">
        <v>394</v>
      </c>
      <c r="DB1352">
        <v>1</v>
      </c>
      <c r="DG1352" t="s">
        <v>267</v>
      </c>
      <c r="DI1352">
        <v>24</v>
      </c>
      <c r="DN1352" t="s">
        <v>268</v>
      </c>
      <c r="DR1352">
        <v>80836</v>
      </c>
      <c r="DS1352">
        <v>2488</v>
      </c>
      <c r="DT1352" t="s">
        <v>2136</v>
      </c>
      <c r="EW1352" t="s">
        <v>293</v>
      </c>
      <c r="FM1352">
        <v>26</v>
      </c>
      <c r="FR1352" t="s">
        <v>295</v>
      </c>
      <c r="GG1352" t="s">
        <v>278</v>
      </c>
      <c r="GH1352">
        <v>85</v>
      </c>
      <c r="GM1352" t="s">
        <v>900</v>
      </c>
      <c r="GU1352">
        <v>33</v>
      </c>
      <c r="GZ1352" t="s">
        <v>296</v>
      </c>
      <c r="HH1352" t="s">
        <v>272</v>
      </c>
      <c r="IE1352" t="s">
        <v>2137</v>
      </c>
      <c r="IF1352">
        <v>16331</v>
      </c>
      <c r="IG1352" t="s">
        <v>2138</v>
      </c>
      <c r="IH1352" t="s">
        <v>2139</v>
      </c>
      <c r="II1352">
        <v>1994</v>
      </c>
      <c r="IJ1352" t="s">
        <v>2140</v>
      </c>
    </row>
    <row r="1353" spans="1:244" x14ac:dyDescent="0.45">
      <c r="A1353">
        <v>1026077</v>
      </c>
      <c r="B1353">
        <v>123823</v>
      </c>
      <c r="C1353">
        <v>7758987</v>
      </c>
      <c r="D1353" t="s">
        <v>2545</v>
      </c>
      <c r="F1353" t="s">
        <v>245</v>
      </c>
      <c r="G1353" t="s">
        <v>246</v>
      </c>
      <c r="N1353" t="s">
        <v>546</v>
      </c>
      <c r="O1353" t="s">
        <v>547</v>
      </c>
      <c r="P1353" t="s">
        <v>249</v>
      </c>
      <c r="Q1353" t="s">
        <v>250</v>
      </c>
      <c r="R1353" t="s">
        <v>251</v>
      </c>
      <c r="T1353" t="s">
        <v>252</v>
      </c>
      <c r="U1353" t="s">
        <v>253</v>
      </c>
      <c r="V1353" t="s">
        <v>548</v>
      </c>
      <c r="W1353" t="s">
        <v>549</v>
      </c>
      <c r="X1353" t="s">
        <v>550</v>
      </c>
      <c r="Z1353" t="s">
        <v>315</v>
      </c>
      <c r="AM1353" t="s">
        <v>258</v>
      </c>
      <c r="AN1353" t="s">
        <v>259</v>
      </c>
      <c r="AO1353" t="s">
        <v>260</v>
      </c>
      <c r="AQ1353" t="s">
        <v>261</v>
      </c>
      <c r="AS1353">
        <v>29500</v>
      </c>
      <c r="AX1353" t="s">
        <v>262</v>
      </c>
      <c r="BO1353" t="s">
        <v>261</v>
      </c>
      <c r="BQ1353">
        <v>29.5</v>
      </c>
      <c r="BV1353" t="s">
        <v>263</v>
      </c>
      <c r="CM1353" t="s">
        <v>264</v>
      </c>
      <c r="CN1353" t="s">
        <v>264</v>
      </c>
      <c r="CP1353" t="s">
        <v>265</v>
      </c>
      <c r="CQ1353" t="s">
        <v>394</v>
      </c>
      <c r="DB1353">
        <v>2</v>
      </c>
      <c r="DG1353" t="s">
        <v>267</v>
      </c>
      <c r="DI1353">
        <v>48</v>
      </c>
      <c r="DN1353" t="s">
        <v>268</v>
      </c>
      <c r="DR1353">
        <v>491138</v>
      </c>
      <c r="DS1353">
        <v>11</v>
      </c>
      <c r="EW1353" t="s">
        <v>360</v>
      </c>
      <c r="FM1353">
        <v>15</v>
      </c>
      <c r="FR1353" t="s">
        <v>295</v>
      </c>
      <c r="HH1353" t="s">
        <v>272</v>
      </c>
      <c r="IE1353" t="s">
        <v>552</v>
      </c>
      <c r="IF1353">
        <v>906</v>
      </c>
      <c r="IG1353" t="s">
        <v>553</v>
      </c>
      <c r="IH1353" t="s">
        <v>554</v>
      </c>
      <c r="II1353">
        <v>1971</v>
      </c>
      <c r="IJ1353" t="s">
        <v>555</v>
      </c>
    </row>
    <row r="1354" spans="1:244" x14ac:dyDescent="0.45">
      <c r="A1354">
        <v>1314108</v>
      </c>
      <c r="B1354">
        <v>772168</v>
      </c>
      <c r="C1354">
        <v>7758987</v>
      </c>
      <c r="D1354" t="s">
        <v>2545</v>
      </c>
      <c r="F1354" t="s">
        <v>245</v>
      </c>
      <c r="G1354" t="s">
        <v>246</v>
      </c>
      <c r="N1354" t="s">
        <v>789</v>
      </c>
      <c r="O1354" t="s">
        <v>790</v>
      </c>
      <c r="P1354" t="s">
        <v>249</v>
      </c>
      <c r="Q1354" t="s">
        <v>250</v>
      </c>
      <c r="R1354" t="s">
        <v>251</v>
      </c>
      <c r="T1354" t="s">
        <v>252</v>
      </c>
      <c r="U1354" t="s">
        <v>253</v>
      </c>
      <c r="V1354" t="s">
        <v>418</v>
      </c>
      <c r="W1354" t="s">
        <v>791</v>
      </c>
      <c r="X1354" t="s">
        <v>792</v>
      </c>
      <c r="Z1354" t="s">
        <v>525</v>
      </c>
      <c r="AM1354" t="s">
        <v>317</v>
      </c>
      <c r="AN1354" t="s">
        <v>259</v>
      </c>
      <c r="AO1354" t="s">
        <v>260</v>
      </c>
      <c r="AP1354">
        <v>7</v>
      </c>
      <c r="AQ1354" t="s">
        <v>261</v>
      </c>
      <c r="AS1354">
        <v>1000</v>
      </c>
      <c r="AX1354" t="s">
        <v>262</v>
      </c>
      <c r="BO1354" t="s">
        <v>261</v>
      </c>
      <c r="BQ1354">
        <v>1</v>
      </c>
      <c r="BV1354" t="s">
        <v>263</v>
      </c>
      <c r="CM1354" t="s">
        <v>264</v>
      </c>
      <c r="CN1354" t="s">
        <v>264</v>
      </c>
      <c r="CP1354" t="s">
        <v>265</v>
      </c>
      <c r="CQ1354" t="s">
        <v>394</v>
      </c>
      <c r="DD1354">
        <v>1</v>
      </c>
      <c r="DF1354">
        <v>1.5832999999999999</v>
      </c>
      <c r="DG1354" t="s">
        <v>267</v>
      </c>
      <c r="DK1354">
        <v>24</v>
      </c>
      <c r="DM1354">
        <v>38</v>
      </c>
      <c r="DN1354" t="s">
        <v>268</v>
      </c>
      <c r="DP1354" t="s">
        <v>2598</v>
      </c>
      <c r="DR1354">
        <v>161924</v>
      </c>
      <c r="DS1354">
        <v>3045</v>
      </c>
      <c r="DT1354" t="s">
        <v>2888</v>
      </c>
      <c r="EW1354" t="s">
        <v>293</v>
      </c>
      <c r="FA1354" t="s">
        <v>2889</v>
      </c>
      <c r="FK1354" t="s">
        <v>2966</v>
      </c>
      <c r="FM1354">
        <v>30</v>
      </c>
      <c r="FR1354" t="s">
        <v>295</v>
      </c>
      <c r="HH1354" t="s">
        <v>272</v>
      </c>
      <c r="ID1354" t="s">
        <v>2967</v>
      </c>
      <c r="IE1354" t="s">
        <v>2892</v>
      </c>
      <c r="IF1354">
        <v>60029</v>
      </c>
      <c r="IG1354" t="s">
        <v>2893</v>
      </c>
      <c r="IH1354" t="s">
        <v>2894</v>
      </c>
      <c r="II1354">
        <v>1996</v>
      </c>
      <c r="IJ1354" t="s">
        <v>2895</v>
      </c>
    </row>
    <row r="1355" spans="1:244" x14ac:dyDescent="0.45">
      <c r="A1355">
        <v>1182144</v>
      </c>
      <c r="B1355">
        <v>160050</v>
      </c>
      <c r="C1355">
        <v>7758987</v>
      </c>
      <c r="D1355" t="s">
        <v>2545</v>
      </c>
      <c r="E1355" t="s">
        <v>439</v>
      </c>
      <c r="F1355" t="s">
        <v>245</v>
      </c>
      <c r="G1355" t="s">
        <v>246</v>
      </c>
      <c r="N1355" t="s">
        <v>345</v>
      </c>
      <c r="O1355" t="s">
        <v>346</v>
      </c>
      <c r="P1355" t="s">
        <v>249</v>
      </c>
      <c r="Q1355" t="s">
        <v>250</v>
      </c>
      <c r="R1355" t="s">
        <v>251</v>
      </c>
      <c r="T1355" t="s">
        <v>347</v>
      </c>
      <c r="U1355" t="s">
        <v>348</v>
      </c>
      <c r="V1355" t="s">
        <v>349</v>
      </c>
      <c r="W1355" t="s">
        <v>350</v>
      </c>
      <c r="X1355" t="s">
        <v>351</v>
      </c>
      <c r="Z1355" t="s">
        <v>1034</v>
      </c>
      <c r="AL1355" t="s">
        <v>2663</v>
      </c>
      <c r="AM1355" t="s">
        <v>317</v>
      </c>
      <c r="AN1355" t="s">
        <v>259</v>
      </c>
      <c r="AO1355" t="s">
        <v>260</v>
      </c>
      <c r="AQ1355" t="s">
        <v>261</v>
      </c>
      <c r="AS1355">
        <v>2300</v>
      </c>
      <c r="AX1355" t="s">
        <v>262</v>
      </c>
      <c r="BO1355" t="s">
        <v>261</v>
      </c>
      <c r="BQ1355">
        <v>2.2999999999999998</v>
      </c>
      <c r="BV1355" t="s">
        <v>263</v>
      </c>
      <c r="CM1355" t="s">
        <v>264</v>
      </c>
      <c r="CN1355" t="s">
        <v>264</v>
      </c>
      <c r="CP1355" t="s">
        <v>265</v>
      </c>
      <c r="DB1355">
        <v>2</v>
      </c>
      <c r="DG1355" t="s">
        <v>267</v>
      </c>
      <c r="DI1355">
        <v>48</v>
      </c>
      <c r="DN1355" t="s">
        <v>268</v>
      </c>
      <c r="DP1355" t="s">
        <v>2664</v>
      </c>
      <c r="DR1355">
        <v>6660</v>
      </c>
      <c r="DS1355">
        <v>421</v>
      </c>
      <c r="DT1355" t="s">
        <v>2665</v>
      </c>
      <c r="EW1355" t="s">
        <v>293</v>
      </c>
      <c r="FA1355" t="s">
        <v>2789</v>
      </c>
      <c r="FM1355">
        <v>25</v>
      </c>
      <c r="FR1355" t="s">
        <v>295</v>
      </c>
      <c r="GU1355">
        <v>25</v>
      </c>
      <c r="GZ1355" t="s">
        <v>296</v>
      </c>
      <c r="HH1355" t="s">
        <v>272</v>
      </c>
      <c r="IE1355" t="s">
        <v>2667</v>
      </c>
      <c r="IF1355">
        <v>16031</v>
      </c>
      <c r="IG1355" t="s">
        <v>2668</v>
      </c>
      <c r="IH1355" t="s">
        <v>2669</v>
      </c>
      <c r="II1355">
        <v>1995</v>
      </c>
      <c r="IJ1355" t="s">
        <v>2670</v>
      </c>
    </row>
    <row r="1356" spans="1:244" x14ac:dyDescent="0.45">
      <c r="A1356">
        <v>1152877</v>
      </c>
      <c r="B1356">
        <v>87488</v>
      </c>
      <c r="C1356">
        <v>7758987</v>
      </c>
      <c r="D1356" t="s">
        <v>2545</v>
      </c>
      <c r="F1356" t="s">
        <v>245</v>
      </c>
      <c r="G1356" t="s">
        <v>246</v>
      </c>
      <c r="N1356" t="s">
        <v>1753</v>
      </c>
      <c r="O1356" t="s">
        <v>1754</v>
      </c>
      <c r="P1356" t="s">
        <v>249</v>
      </c>
      <c r="Q1356" t="s">
        <v>250</v>
      </c>
      <c r="R1356" t="s">
        <v>251</v>
      </c>
      <c r="T1356" t="s">
        <v>252</v>
      </c>
      <c r="U1356" t="s">
        <v>499</v>
      </c>
      <c r="V1356" t="s">
        <v>1373</v>
      </c>
      <c r="W1356" t="s">
        <v>1755</v>
      </c>
      <c r="X1356" t="s">
        <v>1756</v>
      </c>
      <c r="AM1356" t="s">
        <v>307</v>
      </c>
      <c r="AN1356" t="s">
        <v>259</v>
      </c>
      <c r="AO1356" t="s">
        <v>260</v>
      </c>
      <c r="AQ1356" t="s">
        <v>261</v>
      </c>
      <c r="AS1356">
        <v>480</v>
      </c>
      <c r="AU1356">
        <v>380</v>
      </c>
      <c r="AW1356">
        <v>620</v>
      </c>
      <c r="AX1356" t="s">
        <v>262</v>
      </c>
      <c r="BO1356" t="s">
        <v>261</v>
      </c>
      <c r="BQ1356">
        <v>0.48</v>
      </c>
      <c r="BS1356">
        <v>0.38</v>
      </c>
      <c r="BU1356">
        <v>0.62</v>
      </c>
      <c r="BV1356" t="s">
        <v>263</v>
      </c>
      <c r="CM1356" t="s">
        <v>264</v>
      </c>
      <c r="CN1356" t="s">
        <v>264</v>
      </c>
      <c r="CP1356" t="s">
        <v>265</v>
      </c>
      <c r="CQ1356" t="s">
        <v>394</v>
      </c>
      <c r="DB1356">
        <v>4</v>
      </c>
      <c r="DG1356" t="s">
        <v>267</v>
      </c>
      <c r="DI1356">
        <v>96</v>
      </c>
      <c r="DN1356" t="s">
        <v>268</v>
      </c>
      <c r="DP1356" t="s">
        <v>1603</v>
      </c>
      <c r="DQ1356" t="s">
        <v>2968</v>
      </c>
      <c r="DS1356">
        <v>1676</v>
      </c>
      <c r="DT1356" t="s">
        <v>2042</v>
      </c>
      <c r="EW1356" t="s">
        <v>333</v>
      </c>
      <c r="FM1356">
        <v>20.3</v>
      </c>
      <c r="FR1356" t="s">
        <v>295</v>
      </c>
      <c r="GH1356">
        <v>97</v>
      </c>
      <c r="GM1356" t="s">
        <v>900</v>
      </c>
      <c r="GO1356">
        <v>7.8</v>
      </c>
      <c r="GU1356">
        <v>34.1</v>
      </c>
      <c r="GZ1356" t="s">
        <v>296</v>
      </c>
      <c r="HH1356" t="s">
        <v>272</v>
      </c>
      <c r="IE1356" t="s">
        <v>2044</v>
      </c>
      <c r="IF1356">
        <v>13187</v>
      </c>
      <c r="IG1356" t="s">
        <v>2045</v>
      </c>
      <c r="IH1356" t="s">
        <v>2046</v>
      </c>
      <c r="II1356">
        <v>1988</v>
      </c>
      <c r="IJ1356" t="s">
        <v>2047</v>
      </c>
    </row>
    <row r="1357" spans="1:244" x14ac:dyDescent="0.45">
      <c r="A1357">
        <v>1153347</v>
      </c>
      <c r="B1357">
        <v>160862</v>
      </c>
      <c r="C1357">
        <v>7758987</v>
      </c>
      <c r="D1357" t="s">
        <v>2545</v>
      </c>
      <c r="F1357" t="s">
        <v>245</v>
      </c>
      <c r="G1357" t="s">
        <v>246</v>
      </c>
      <c r="N1357" t="s">
        <v>1672</v>
      </c>
      <c r="O1357" t="s">
        <v>1673</v>
      </c>
      <c r="P1357" t="s">
        <v>249</v>
      </c>
      <c r="Q1357" t="s">
        <v>250</v>
      </c>
      <c r="R1357" t="s">
        <v>251</v>
      </c>
      <c r="T1357" t="s">
        <v>252</v>
      </c>
      <c r="U1357" t="s">
        <v>253</v>
      </c>
      <c r="V1357" t="s">
        <v>1674</v>
      </c>
      <c r="W1357" t="s">
        <v>1675</v>
      </c>
      <c r="X1357" t="s">
        <v>1676</v>
      </c>
      <c r="Z1357" t="s">
        <v>1677</v>
      </c>
      <c r="AL1357" t="s">
        <v>1678</v>
      </c>
      <c r="AM1357" t="s">
        <v>287</v>
      </c>
      <c r="AN1357" t="s">
        <v>259</v>
      </c>
      <c r="AO1357" t="s">
        <v>260</v>
      </c>
      <c r="AQ1357" t="s">
        <v>261</v>
      </c>
      <c r="AS1357">
        <v>125800</v>
      </c>
      <c r="AX1357" t="s">
        <v>262</v>
      </c>
      <c r="BO1357" t="s">
        <v>261</v>
      </c>
      <c r="BQ1357">
        <v>125.8</v>
      </c>
      <c r="BV1357" t="s">
        <v>263</v>
      </c>
      <c r="CM1357" t="s">
        <v>264</v>
      </c>
      <c r="CN1357" t="s">
        <v>264</v>
      </c>
      <c r="CP1357" t="s">
        <v>265</v>
      </c>
      <c r="DB1357">
        <v>1</v>
      </c>
      <c r="DG1357" t="s">
        <v>267</v>
      </c>
      <c r="DI1357">
        <v>24</v>
      </c>
      <c r="DN1357" t="s">
        <v>268</v>
      </c>
      <c r="DR1357">
        <v>1460405</v>
      </c>
      <c r="DS1357">
        <v>5936</v>
      </c>
      <c r="EW1357" t="s">
        <v>293</v>
      </c>
      <c r="FK1357" t="s">
        <v>1679</v>
      </c>
      <c r="HH1357" t="s">
        <v>272</v>
      </c>
      <c r="ID1357" t="s">
        <v>1680</v>
      </c>
      <c r="IE1357" t="s">
        <v>1681</v>
      </c>
      <c r="IF1357">
        <v>13233</v>
      </c>
      <c r="IG1357" t="s">
        <v>1682</v>
      </c>
      <c r="IH1357" t="s">
        <v>1683</v>
      </c>
      <c r="II1357">
        <v>1988</v>
      </c>
      <c r="IJ1357" t="s">
        <v>1684</v>
      </c>
    </row>
    <row r="1358" spans="1:244" x14ac:dyDescent="0.45">
      <c r="A1358">
        <v>1070627</v>
      </c>
      <c r="B1358">
        <v>12732</v>
      </c>
      <c r="C1358">
        <v>7758987</v>
      </c>
      <c r="D1358" t="s">
        <v>2545</v>
      </c>
      <c r="F1358" t="s">
        <v>327</v>
      </c>
      <c r="G1358" t="s">
        <v>246</v>
      </c>
      <c r="N1358" t="s">
        <v>2005</v>
      </c>
      <c r="O1358" t="s">
        <v>631</v>
      </c>
      <c r="P1358" t="s">
        <v>249</v>
      </c>
      <c r="Q1358" t="s">
        <v>250</v>
      </c>
      <c r="R1358" t="s">
        <v>251</v>
      </c>
      <c r="T1358" t="s">
        <v>389</v>
      </c>
      <c r="U1358" t="s">
        <v>632</v>
      </c>
      <c r="V1358" t="s">
        <v>2006</v>
      </c>
      <c r="W1358" t="s">
        <v>2007</v>
      </c>
      <c r="X1358" t="s">
        <v>2008</v>
      </c>
      <c r="Z1358" t="s">
        <v>1034</v>
      </c>
      <c r="AL1358" t="s">
        <v>2639</v>
      </c>
      <c r="AM1358" t="s">
        <v>317</v>
      </c>
      <c r="AN1358" t="s">
        <v>259</v>
      </c>
      <c r="AO1358" t="s">
        <v>260</v>
      </c>
      <c r="AQ1358" t="s">
        <v>261</v>
      </c>
      <c r="AS1358">
        <v>190</v>
      </c>
      <c r="AU1358">
        <v>160</v>
      </c>
      <c r="AW1358">
        <v>220</v>
      </c>
      <c r="AX1358" t="s">
        <v>262</v>
      </c>
      <c r="BO1358" t="s">
        <v>261</v>
      </c>
      <c r="BQ1358">
        <v>0.19</v>
      </c>
      <c r="BS1358">
        <v>0.16</v>
      </c>
      <c r="BU1358">
        <v>0.22</v>
      </c>
      <c r="BV1358" t="s">
        <v>263</v>
      </c>
      <c r="CM1358" t="s">
        <v>264</v>
      </c>
      <c r="CN1358" t="s">
        <v>264</v>
      </c>
      <c r="CP1358" t="s">
        <v>265</v>
      </c>
      <c r="CQ1358" t="s">
        <v>394</v>
      </c>
      <c r="DB1358">
        <v>1</v>
      </c>
      <c r="DG1358" t="s">
        <v>267</v>
      </c>
      <c r="DI1358">
        <v>24</v>
      </c>
      <c r="DN1358" t="s">
        <v>268</v>
      </c>
      <c r="DR1358">
        <v>187406</v>
      </c>
      <c r="DS1358">
        <v>645</v>
      </c>
      <c r="DT1358" t="s">
        <v>1944</v>
      </c>
      <c r="EW1358" t="s">
        <v>333</v>
      </c>
      <c r="FK1358" t="s">
        <v>2969</v>
      </c>
      <c r="FM1358">
        <v>17</v>
      </c>
      <c r="FR1358" t="s">
        <v>295</v>
      </c>
      <c r="GW1358">
        <v>34.5</v>
      </c>
      <c r="GY1358">
        <v>35.5</v>
      </c>
      <c r="GZ1358" t="s">
        <v>296</v>
      </c>
      <c r="HH1358" t="s">
        <v>272</v>
      </c>
      <c r="ID1358" t="s">
        <v>2970</v>
      </c>
      <c r="IE1358" t="s">
        <v>1947</v>
      </c>
      <c r="IF1358">
        <v>5563</v>
      </c>
      <c r="IG1358" t="s">
        <v>1948</v>
      </c>
      <c r="IH1358" t="s">
        <v>1949</v>
      </c>
      <c r="II1358">
        <v>1979</v>
      </c>
      <c r="IJ1358" t="s">
        <v>1950</v>
      </c>
    </row>
    <row r="1359" spans="1:244" x14ac:dyDescent="0.45">
      <c r="A1359">
        <v>1166795</v>
      </c>
      <c r="B1359">
        <v>158132</v>
      </c>
      <c r="C1359">
        <v>7758987</v>
      </c>
      <c r="D1359" t="s">
        <v>2545</v>
      </c>
      <c r="F1359" t="s">
        <v>245</v>
      </c>
      <c r="G1359" t="s">
        <v>246</v>
      </c>
      <c r="N1359" t="s">
        <v>452</v>
      </c>
      <c r="O1359" t="s">
        <v>346</v>
      </c>
      <c r="P1359" t="s">
        <v>249</v>
      </c>
      <c r="Q1359" t="s">
        <v>250</v>
      </c>
      <c r="R1359" t="s">
        <v>251</v>
      </c>
      <c r="T1359" t="s">
        <v>347</v>
      </c>
      <c r="U1359" t="s">
        <v>348</v>
      </c>
      <c r="V1359" t="s">
        <v>349</v>
      </c>
      <c r="W1359" t="s">
        <v>350</v>
      </c>
      <c r="X1359" t="s">
        <v>453</v>
      </c>
      <c r="Z1359" t="s">
        <v>1025</v>
      </c>
      <c r="AL1359" t="s">
        <v>2633</v>
      </c>
      <c r="AM1359" t="s">
        <v>317</v>
      </c>
      <c r="AN1359" t="s">
        <v>259</v>
      </c>
      <c r="AO1359" t="s">
        <v>260</v>
      </c>
      <c r="AQ1359" t="s">
        <v>261</v>
      </c>
      <c r="AS1359">
        <v>3800</v>
      </c>
      <c r="AX1359" t="s">
        <v>262</v>
      </c>
      <c r="BO1359" t="s">
        <v>261</v>
      </c>
      <c r="BQ1359">
        <v>3.8</v>
      </c>
      <c r="BV1359" t="s">
        <v>263</v>
      </c>
      <c r="CM1359" t="s">
        <v>264</v>
      </c>
      <c r="CN1359" t="s">
        <v>264</v>
      </c>
      <c r="CO1359" t="s">
        <v>2971</v>
      </c>
      <c r="CP1359" t="s">
        <v>265</v>
      </c>
      <c r="CQ1359" t="s">
        <v>394</v>
      </c>
      <c r="DB1359">
        <v>1</v>
      </c>
      <c r="DG1359" t="s">
        <v>267</v>
      </c>
      <c r="DI1359">
        <v>24</v>
      </c>
      <c r="DN1359" t="s">
        <v>268</v>
      </c>
      <c r="DR1359">
        <v>85549</v>
      </c>
      <c r="DS1359">
        <v>366</v>
      </c>
      <c r="EW1359" t="s">
        <v>293</v>
      </c>
      <c r="FA1359" t="s">
        <v>2450</v>
      </c>
      <c r="HH1359" t="s">
        <v>272</v>
      </c>
      <c r="IE1359" t="s">
        <v>2635</v>
      </c>
      <c r="IF1359">
        <v>14874</v>
      </c>
      <c r="IG1359" t="s">
        <v>2636</v>
      </c>
      <c r="IH1359" t="s">
        <v>2637</v>
      </c>
      <c r="II1359">
        <v>1993</v>
      </c>
      <c r="IJ1359" t="s">
        <v>2638</v>
      </c>
    </row>
    <row r="1360" spans="1:244" x14ac:dyDescent="0.45">
      <c r="A1360">
        <v>1292689</v>
      </c>
      <c r="B1360">
        <v>747576</v>
      </c>
      <c r="C1360">
        <v>7758987</v>
      </c>
      <c r="D1360" t="s">
        <v>2545</v>
      </c>
      <c r="F1360" t="s">
        <v>245</v>
      </c>
      <c r="G1360" t="s">
        <v>246</v>
      </c>
      <c r="N1360" t="s">
        <v>1216</v>
      </c>
      <c r="O1360" t="s">
        <v>578</v>
      </c>
      <c r="P1360" t="s">
        <v>249</v>
      </c>
      <c r="Q1360" t="s">
        <v>250</v>
      </c>
      <c r="R1360" t="s">
        <v>251</v>
      </c>
      <c r="T1360" t="s">
        <v>252</v>
      </c>
      <c r="U1360" t="s">
        <v>499</v>
      </c>
      <c r="V1360" t="s">
        <v>1217</v>
      </c>
      <c r="W1360" t="s">
        <v>1218</v>
      </c>
      <c r="X1360" t="s">
        <v>1219</v>
      </c>
      <c r="Z1360" t="s">
        <v>649</v>
      </c>
      <c r="AB1360">
        <v>11</v>
      </c>
      <c r="AG1360" t="s">
        <v>267</v>
      </c>
      <c r="AM1360" t="s">
        <v>317</v>
      </c>
      <c r="AN1360" t="s">
        <v>259</v>
      </c>
      <c r="AO1360" t="s">
        <v>260</v>
      </c>
      <c r="AQ1360" t="s">
        <v>504</v>
      </c>
      <c r="AS1360">
        <v>220</v>
      </c>
      <c r="AX1360" t="s">
        <v>262</v>
      </c>
      <c r="BO1360" t="s">
        <v>504</v>
      </c>
      <c r="BQ1360">
        <v>0.22</v>
      </c>
      <c r="BV1360" t="s">
        <v>263</v>
      </c>
      <c r="CM1360" t="s">
        <v>264</v>
      </c>
      <c r="CN1360" t="s">
        <v>264</v>
      </c>
      <c r="CO1360" t="s">
        <v>2734</v>
      </c>
      <c r="CP1360" t="s">
        <v>265</v>
      </c>
      <c r="CQ1360" t="s">
        <v>394</v>
      </c>
      <c r="DB1360">
        <v>4</v>
      </c>
      <c r="DG1360" t="s">
        <v>267</v>
      </c>
      <c r="DI1360">
        <v>4</v>
      </c>
      <c r="DN1360" t="s">
        <v>267</v>
      </c>
      <c r="DP1360" t="s">
        <v>2554</v>
      </c>
      <c r="DR1360">
        <v>764486</v>
      </c>
      <c r="DS1360">
        <v>18590</v>
      </c>
      <c r="DT1360" t="s">
        <v>2555</v>
      </c>
      <c r="EW1360" t="s">
        <v>293</v>
      </c>
      <c r="FA1360" t="s">
        <v>2735</v>
      </c>
      <c r="FK1360" t="s">
        <v>2972</v>
      </c>
      <c r="FM1360">
        <v>21</v>
      </c>
      <c r="FR1360" t="s">
        <v>295</v>
      </c>
      <c r="GG1360" t="s">
        <v>288</v>
      </c>
      <c r="GH1360">
        <v>85</v>
      </c>
      <c r="GM1360" t="s">
        <v>1224</v>
      </c>
      <c r="GQ1360">
        <v>8</v>
      </c>
      <c r="GS1360">
        <v>8.1999999999999993</v>
      </c>
      <c r="GU1360">
        <v>30</v>
      </c>
      <c r="GZ1360" t="s">
        <v>296</v>
      </c>
      <c r="HH1360" t="s">
        <v>272</v>
      </c>
      <c r="ID1360" t="s">
        <v>2973</v>
      </c>
      <c r="IE1360" t="s">
        <v>2559</v>
      </c>
      <c r="IF1360">
        <v>112230</v>
      </c>
      <c r="IG1360" t="s">
        <v>2560</v>
      </c>
      <c r="IH1360" t="s">
        <v>2561</v>
      </c>
      <c r="II1360">
        <v>2008</v>
      </c>
      <c r="IJ1360" t="s">
        <v>2562</v>
      </c>
    </row>
    <row r="1361" spans="1:244" x14ac:dyDescent="0.45">
      <c r="A1361">
        <v>1303349</v>
      </c>
      <c r="B1361">
        <v>759846</v>
      </c>
      <c r="C1361">
        <v>7758987</v>
      </c>
      <c r="D1361" t="s">
        <v>2545</v>
      </c>
      <c r="E1361" t="s">
        <v>622</v>
      </c>
      <c r="F1361" t="s">
        <v>245</v>
      </c>
      <c r="G1361" t="s">
        <v>246</v>
      </c>
      <c r="N1361" t="s">
        <v>655</v>
      </c>
      <c r="O1361" t="s">
        <v>656</v>
      </c>
      <c r="P1361" t="s">
        <v>249</v>
      </c>
      <c r="Q1361" t="s">
        <v>250</v>
      </c>
      <c r="R1361" t="s">
        <v>251</v>
      </c>
      <c r="T1361" t="s">
        <v>252</v>
      </c>
      <c r="U1361" t="s">
        <v>253</v>
      </c>
      <c r="V1361" t="s">
        <v>657</v>
      </c>
      <c r="W1361" t="s">
        <v>658</v>
      </c>
      <c r="X1361" t="s">
        <v>659</v>
      </c>
      <c r="AL1361" t="s">
        <v>1792</v>
      </c>
      <c r="AM1361" t="s">
        <v>258</v>
      </c>
      <c r="AN1361" t="s">
        <v>259</v>
      </c>
      <c r="AO1361" t="s">
        <v>260</v>
      </c>
      <c r="AQ1361" t="s">
        <v>261</v>
      </c>
      <c r="AS1361">
        <v>0.59</v>
      </c>
      <c r="AU1361">
        <v>0.52</v>
      </c>
      <c r="AW1361">
        <v>0.66</v>
      </c>
      <c r="AX1361" t="s">
        <v>356</v>
      </c>
      <c r="BO1361" t="s">
        <v>261</v>
      </c>
      <c r="BQ1361">
        <v>0.59</v>
      </c>
      <c r="BS1361">
        <v>0.52</v>
      </c>
      <c r="BU1361">
        <v>0.66</v>
      </c>
      <c r="BV1361" t="s">
        <v>263</v>
      </c>
      <c r="CM1361" t="s">
        <v>264</v>
      </c>
      <c r="CN1361" t="s">
        <v>264</v>
      </c>
      <c r="CP1361" t="s">
        <v>265</v>
      </c>
      <c r="CQ1361" t="s">
        <v>394</v>
      </c>
      <c r="DB1361">
        <v>2</v>
      </c>
      <c r="DG1361" t="s">
        <v>267</v>
      </c>
      <c r="DI1361">
        <v>48</v>
      </c>
      <c r="DN1361" t="s">
        <v>268</v>
      </c>
      <c r="DP1361" t="s">
        <v>2607</v>
      </c>
      <c r="DS1361">
        <v>20193</v>
      </c>
      <c r="EW1361" t="s">
        <v>293</v>
      </c>
      <c r="FA1361" t="s">
        <v>1793</v>
      </c>
      <c r="FK1361" t="s">
        <v>2608</v>
      </c>
      <c r="FO1361">
        <v>22</v>
      </c>
      <c r="FQ1361">
        <v>24.5</v>
      </c>
      <c r="FR1361" t="s">
        <v>295</v>
      </c>
      <c r="GU1361">
        <v>15</v>
      </c>
      <c r="GZ1361" t="s">
        <v>296</v>
      </c>
      <c r="HH1361" t="s">
        <v>272</v>
      </c>
      <c r="ID1361" t="s">
        <v>2609</v>
      </c>
      <c r="IE1361" t="s">
        <v>1796</v>
      </c>
      <c r="IF1361">
        <v>117013</v>
      </c>
      <c r="IG1361" t="s">
        <v>1797</v>
      </c>
      <c r="IH1361" t="s">
        <v>1798</v>
      </c>
      <c r="II1361">
        <v>2003</v>
      </c>
      <c r="IJ1361" t="s">
        <v>1799</v>
      </c>
    </row>
    <row r="1362" spans="1:244" x14ac:dyDescent="0.45">
      <c r="A1362">
        <v>1132771</v>
      </c>
      <c r="B1362">
        <v>79540</v>
      </c>
      <c r="C1362">
        <v>7758987</v>
      </c>
      <c r="D1362" t="s">
        <v>2545</v>
      </c>
      <c r="F1362" t="s">
        <v>327</v>
      </c>
      <c r="G1362" t="s">
        <v>246</v>
      </c>
      <c r="N1362" t="s">
        <v>1753</v>
      </c>
      <c r="O1362" t="s">
        <v>1754</v>
      </c>
      <c r="P1362" t="s">
        <v>249</v>
      </c>
      <c r="Q1362" t="s">
        <v>250</v>
      </c>
      <c r="R1362" t="s">
        <v>251</v>
      </c>
      <c r="T1362" t="s">
        <v>252</v>
      </c>
      <c r="U1362" t="s">
        <v>499</v>
      </c>
      <c r="V1362" t="s">
        <v>1373</v>
      </c>
      <c r="W1362" t="s">
        <v>1755</v>
      </c>
      <c r="X1362" t="s">
        <v>1756</v>
      </c>
      <c r="Z1362" t="s">
        <v>649</v>
      </c>
      <c r="AB1362">
        <v>24</v>
      </c>
      <c r="AG1362" t="s">
        <v>268</v>
      </c>
      <c r="AM1362" t="s">
        <v>317</v>
      </c>
      <c r="AN1362" t="s">
        <v>259</v>
      </c>
      <c r="AO1362" t="s">
        <v>260</v>
      </c>
      <c r="AQ1362" t="s">
        <v>261</v>
      </c>
      <c r="AS1362">
        <v>110</v>
      </c>
      <c r="AU1362">
        <v>90</v>
      </c>
      <c r="AW1362">
        <v>130</v>
      </c>
      <c r="AX1362" t="s">
        <v>262</v>
      </c>
      <c r="BO1362" t="s">
        <v>261</v>
      </c>
      <c r="BQ1362">
        <v>0.11</v>
      </c>
      <c r="BS1362">
        <v>0.09</v>
      </c>
      <c r="BU1362">
        <v>0.13</v>
      </c>
      <c r="BV1362" t="s">
        <v>263</v>
      </c>
      <c r="CM1362" t="s">
        <v>264</v>
      </c>
      <c r="CN1362" t="s">
        <v>264</v>
      </c>
      <c r="CP1362" t="s">
        <v>265</v>
      </c>
      <c r="CQ1362" t="s">
        <v>394</v>
      </c>
      <c r="DB1362">
        <v>4</v>
      </c>
      <c r="DG1362" t="s">
        <v>267</v>
      </c>
      <c r="DI1362">
        <v>96</v>
      </c>
      <c r="DN1362" t="s">
        <v>268</v>
      </c>
      <c r="DS1362">
        <v>1676</v>
      </c>
      <c r="DT1362" t="s">
        <v>2961</v>
      </c>
      <c r="EW1362" t="s">
        <v>271</v>
      </c>
      <c r="FM1362">
        <v>20</v>
      </c>
      <c r="FR1362" t="s">
        <v>295</v>
      </c>
      <c r="GU1362">
        <v>32</v>
      </c>
      <c r="GZ1362" t="s">
        <v>296</v>
      </c>
      <c r="HH1362" t="s">
        <v>272</v>
      </c>
      <c r="IE1362" t="s">
        <v>2962</v>
      </c>
      <c r="IF1362">
        <v>10736</v>
      </c>
      <c r="IG1362" t="s">
        <v>2963</v>
      </c>
      <c r="IH1362" t="s">
        <v>2964</v>
      </c>
      <c r="II1362">
        <v>1984</v>
      </c>
      <c r="IJ1362" t="s">
        <v>2965</v>
      </c>
    </row>
    <row r="1363" spans="1:244" x14ac:dyDescent="0.45">
      <c r="A1363">
        <v>1311990</v>
      </c>
      <c r="B1363">
        <v>769384</v>
      </c>
      <c r="C1363">
        <v>7758987</v>
      </c>
      <c r="D1363" t="s">
        <v>2545</v>
      </c>
      <c r="F1363" t="s">
        <v>245</v>
      </c>
      <c r="G1363" t="s">
        <v>246</v>
      </c>
      <c r="N1363" t="s">
        <v>2610</v>
      </c>
      <c r="O1363" t="s">
        <v>2611</v>
      </c>
      <c r="P1363" t="s">
        <v>249</v>
      </c>
      <c r="Q1363" t="s">
        <v>250</v>
      </c>
      <c r="R1363" t="s">
        <v>251</v>
      </c>
      <c r="T1363" t="s">
        <v>252</v>
      </c>
      <c r="U1363" t="s">
        <v>253</v>
      </c>
      <c r="V1363" t="s">
        <v>2612</v>
      </c>
      <c r="W1363" t="s">
        <v>2613</v>
      </c>
      <c r="X1363" t="s">
        <v>2614</v>
      </c>
      <c r="Z1363" t="s">
        <v>1057</v>
      </c>
      <c r="AL1363" t="s">
        <v>2615</v>
      </c>
      <c r="AM1363" t="s">
        <v>317</v>
      </c>
      <c r="AN1363" t="s">
        <v>259</v>
      </c>
      <c r="AO1363" t="s">
        <v>260</v>
      </c>
      <c r="AP1363">
        <v>8</v>
      </c>
      <c r="AQ1363" t="s">
        <v>261</v>
      </c>
      <c r="AS1363">
        <v>112.2</v>
      </c>
      <c r="AU1363">
        <v>92.7</v>
      </c>
      <c r="AW1363">
        <v>135.80000000000001</v>
      </c>
      <c r="AX1363" t="s">
        <v>262</v>
      </c>
      <c r="BO1363" t="s">
        <v>261</v>
      </c>
      <c r="BQ1363">
        <v>0.11219999999999999</v>
      </c>
      <c r="BS1363">
        <v>9.2700000000000005E-2</v>
      </c>
      <c r="BU1363">
        <v>0.1358</v>
      </c>
      <c r="BV1363" t="s">
        <v>263</v>
      </c>
      <c r="CM1363" t="s">
        <v>264</v>
      </c>
      <c r="CN1363" t="s">
        <v>264</v>
      </c>
      <c r="CP1363" t="s">
        <v>265</v>
      </c>
      <c r="CQ1363" t="s">
        <v>394</v>
      </c>
      <c r="DB1363">
        <v>3</v>
      </c>
      <c r="DG1363" t="s">
        <v>267</v>
      </c>
      <c r="DI1363">
        <v>72</v>
      </c>
      <c r="DN1363" t="s">
        <v>268</v>
      </c>
      <c r="DP1363" t="s">
        <v>2598</v>
      </c>
      <c r="DR1363">
        <v>150425</v>
      </c>
      <c r="DS1363">
        <v>20372</v>
      </c>
      <c r="EW1363" t="s">
        <v>293</v>
      </c>
      <c r="FA1363" t="s">
        <v>397</v>
      </c>
      <c r="FK1363" t="s">
        <v>2616</v>
      </c>
      <c r="FM1363">
        <v>27</v>
      </c>
      <c r="FR1363" t="s">
        <v>295</v>
      </c>
      <c r="GU1363">
        <v>32</v>
      </c>
      <c r="GZ1363" t="s">
        <v>296</v>
      </c>
      <c r="HH1363" t="s">
        <v>272</v>
      </c>
      <c r="ID1363" t="s">
        <v>2617</v>
      </c>
      <c r="IE1363" t="s">
        <v>2618</v>
      </c>
      <c r="IF1363">
        <v>78850</v>
      </c>
      <c r="IG1363" t="s">
        <v>2619</v>
      </c>
      <c r="IH1363" t="s">
        <v>2620</v>
      </c>
      <c r="II1363">
        <v>2004</v>
      </c>
      <c r="IJ1363" t="s">
        <v>2621</v>
      </c>
    </row>
    <row r="1364" spans="1:244" x14ac:dyDescent="0.45">
      <c r="A1364">
        <v>1186871</v>
      </c>
      <c r="B1364">
        <v>138562</v>
      </c>
      <c r="C1364">
        <v>7758987</v>
      </c>
      <c r="D1364" t="s">
        <v>2545</v>
      </c>
      <c r="F1364" t="s">
        <v>245</v>
      </c>
      <c r="G1364" t="s">
        <v>246</v>
      </c>
      <c r="N1364" t="s">
        <v>789</v>
      </c>
      <c r="O1364" t="s">
        <v>790</v>
      </c>
      <c r="P1364" t="s">
        <v>249</v>
      </c>
      <c r="Q1364" t="s">
        <v>250</v>
      </c>
      <c r="R1364" t="s">
        <v>251</v>
      </c>
      <c r="T1364" t="s">
        <v>252</v>
      </c>
      <c r="U1364" t="s">
        <v>253</v>
      </c>
      <c r="V1364" t="s">
        <v>418</v>
      </c>
      <c r="W1364" t="s">
        <v>791</v>
      </c>
      <c r="X1364" t="s">
        <v>792</v>
      </c>
      <c r="Z1364" t="s">
        <v>284</v>
      </c>
      <c r="AL1364" t="s">
        <v>1742</v>
      </c>
      <c r="AM1364" t="s">
        <v>258</v>
      </c>
      <c r="AN1364" t="s">
        <v>259</v>
      </c>
      <c r="AO1364" t="s">
        <v>260</v>
      </c>
      <c r="AQ1364" t="s">
        <v>261</v>
      </c>
      <c r="AS1364">
        <v>42.3</v>
      </c>
      <c r="AX1364" t="s">
        <v>262</v>
      </c>
      <c r="BO1364" t="s">
        <v>261</v>
      </c>
      <c r="BQ1364">
        <v>4.2299999999999997E-2</v>
      </c>
      <c r="BV1364" t="s">
        <v>263</v>
      </c>
      <c r="CM1364" t="s">
        <v>264</v>
      </c>
      <c r="CN1364" t="s">
        <v>264</v>
      </c>
      <c r="CP1364" t="s">
        <v>265</v>
      </c>
      <c r="DB1364">
        <v>1</v>
      </c>
      <c r="DG1364" t="s">
        <v>267</v>
      </c>
      <c r="DI1364">
        <v>24</v>
      </c>
      <c r="DN1364" t="s">
        <v>268</v>
      </c>
      <c r="DR1364">
        <v>161924</v>
      </c>
      <c r="DS1364">
        <v>3045</v>
      </c>
      <c r="EW1364" t="s">
        <v>272</v>
      </c>
      <c r="FM1364">
        <v>28</v>
      </c>
      <c r="FR1364" t="s">
        <v>295</v>
      </c>
      <c r="GO1364">
        <v>8.1999999999999993</v>
      </c>
      <c r="GU1364">
        <v>32</v>
      </c>
      <c r="GZ1364" t="s">
        <v>296</v>
      </c>
      <c r="HH1364" t="s">
        <v>272</v>
      </c>
      <c r="IE1364" t="s">
        <v>1652</v>
      </c>
      <c r="IF1364">
        <v>16613</v>
      </c>
      <c r="IG1364" t="s">
        <v>1653</v>
      </c>
      <c r="IH1364" t="s">
        <v>1654</v>
      </c>
      <c r="II1364">
        <v>1994</v>
      </c>
      <c r="IJ1364" t="s">
        <v>1655</v>
      </c>
    </row>
    <row r="1365" spans="1:244" x14ac:dyDescent="0.45">
      <c r="A1365">
        <v>1246426</v>
      </c>
      <c r="B1365">
        <v>239776</v>
      </c>
      <c r="C1365">
        <v>7758987</v>
      </c>
      <c r="D1365" t="s">
        <v>2545</v>
      </c>
      <c r="F1365" t="s">
        <v>327</v>
      </c>
      <c r="G1365" t="s">
        <v>246</v>
      </c>
      <c r="N1365" t="s">
        <v>1242</v>
      </c>
      <c r="O1365" t="s">
        <v>1243</v>
      </c>
      <c r="P1365" t="s">
        <v>249</v>
      </c>
      <c r="Q1365" t="s">
        <v>250</v>
      </c>
      <c r="R1365" t="s">
        <v>251</v>
      </c>
      <c r="T1365" t="s">
        <v>252</v>
      </c>
      <c r="U1365" t="s">
        <v>1244</v>
      </c>
      <c r="V1365" t="s">
        <v>1245</v>
      </c>
      <c r="W1365" t="s">
        <v>1246</v>
      </c>
      <c r="X1365" t="s">
        <v>1247</v>
      </c>
      <c r="Z1365" t="s">
        <v>315</v>
      </c>
      <c r="AJ1365" t="s">
        <v>285</v>
      </c>
      <c r="AM1365" t="s">
        <v>258</v>
      </c>
      <c r="AN1365" t="s">
        <v>259</v>
      </c>
      <c r="AO1365" t="s">
        <v>260</v>
      </c>
      <c r="AP1365">
        <v>9</v>
      </c>
      <c r="AQ1365" t="s">
        <v>504</v>
      </c>
      <c r="AS1365">
        <v>5.1059999999999999</v>
      </c>
      <c r="AX1365" t="s">
        <v>356</v>
      </c>
      <c r="BO1365" t="s">
        <v>504</v>
      </c>
      <c r="BQ1365">
        <v>5.1059999999999999</v>
      </c>
      <c r="BV1365" t="s">
        <v>263</v>
      </c>
      <c r="CM1365" t="s">
        <v>264</v>
      </c>
      <c r="CN1365" t="s">
        <v>264</v>
      </c>
      <c r="CP1365" t="s">
        <v>265</v>
      </c>
      <c r="CQ1365" t="s">
        <v>394</v>
      </c>
      <c r="DB1365">
        <v>2.5</v>
      </c>
      <c r="DG1365" t="s">
        <v>267</v>
      </c>
      <c r="DI1365">
        <v>60</v>
      </c>
      <c r="DN1365" t="s">
        <v>268</v>
      </c>
      <c r="DR1365">
        <v>82763</v>
      </c>
      <c r="DS1365">
        <v>1070</v>
      </c>
      <c r="EW1365" t="s">
        <v>293</v>
      </c>
      <c r="FA1365" t="s">
        <v>1381</v>
      </c>
      <c r="FK1365" t="s">
        <v>2868</v>
      </c>
      <c r="HH1365" t="s">
        <v>272</v>
      </c>
      <c r="ID1365" t="s">
        <v>2869</v>
      </c>
      <c r="IE1365" t="s">
        <v>2328</v>
      </c>
      <c r="IF1365">
        <v>84114</v>
      </c>
      <c r="IG1365" t="s">
        <v>2329</v>
      </c>
      <c r="IH1365" t="s">
        <v>2330</v>
      </c>
      <c r="II1365">
        <v>1997</v>
      </c>
      <c r="IJ1365" t="s">
        <v>2331</v>
      </c>
    </row>
    <row r="1366" spans="1:244" x14ac:dyDescent="0.45">
      <c r="A1366">
        <v>2019858</v>
      </c>
      <c r="B1366">
        <v>2033689</v>
      </c>
      <c r="C1366">
        <v>7758987</v>
      </c>
      <c r="D1366" t="s">
        <v>2545</v>
      </c>
      <c r="F1366" t="s">
        <v>245</v>
      </c>
      <c r="G1366" t="s">
        <v>272</v>
      </c>
      <c r="H1366" t="s">
        <v>278</v>
      </c>
      <c r="I1366">
        <v>99.5</v>
      </c>
      <c r="N1366" t="s">
        <v>497</v>
      </c>
      <c r="O1366" t="s">
        <v>498</v>
      </c>
      <c r="P1366" t="s">
        <v>249</v>
      </c>
      <c r="Q1366" t="s">
        <v>250</v>
      </c>
      <c r="R1366" t="s">
        <v>251</v>
      </c>
      <c r="T1366" t="s">
        <v>252</v>
      </c>
      <c r="U1366" t="s">
        <v>499</v>
      </c>
      <c r="V1366" t="s">
        <v>500</v>
      </c>
      <c r="W1366" t="s">
        <v>501</v>
      </c>
      <c r="X1366" t="s">
        <v>502</v>
      </c>
      <c r="Z1366" t="s">
        <v>649</v>
      </c>
      <c r="AJ1366" t="s">
        <v>285</v>
      </c>
      <c r="AL1366" t="s">
        <v>2974</v>
      </c>
      <c r="AM1366" t="s">
        <v>258</v>
      </c>
      <c r="AN1366" t="s">
        <v>259</v>
      </c>
      <c r="AO1366" t="s">
        <v>260</v>
      </c>
      <c r="AQ1366" t="s">
        <v>261</v>
      </c>
      <c r="AS1366">
        <v>77</v>
      </c>
      <c r="AU1366">
        <v>68</v>
      </c>
      <c r="AW1366">
        <v>88</v>
      </c>
      <c r="AX1366" t="s">
        <v>262</v>
      </c>
      <c r="BO1366" t="s">
        <v>261</v>
      </c>
      <c r="BQ1366">
        <v>7.6999999999999999E-2</v>
      </c>
      <c r="BS1366">
        <v>6.8000000000000005E-2</v>
      </c>
      <c r="BU1366">
        <v>8.7999999999999995E-2</v>
      </c>
      <c r="BV1366" t="s">
        <v>263</v>
      </c>
      <c r="CM1366" t="s">
        <v>264</v>
      </c>
      <c r="CN1366" t="s">
        <v>264</v>
      </c>
      <c r="CP1366" t="s">
        <v>265</v>
      </c>
      <c r="CQ1366" t="s">
        <v>394</v>
      </c>
      <c r="DB1366">
        <v>4</v>
      </c>
      <c r="DG1366" t="s">
        <v>267</v>
      </c>
      <c r="DI1366">
        <v>96</v>
      </c>
      <c r="DN1366" t="s">
        <v>268</v>
      </c>
      <c r="DO1366" t="s">
        <v>1587</v>
      </c>
      <c r="DP1366" t="s">
        <v>2975</v>
      </c>
      <c r="DR1366">
        <v>1400849</v>
      </c>
      <c r="DS1366">
        <v>4389</v>
      </c>
      <c r="DT1366" t="s">
        <v>2976</v>
      </c>
      <c r="DV1366">
        <v>96</v>
      </c>
      <c r="EA1366" t="s">
        <v>268</v>
      </c>
      <c r="EC1366">
        <v>4</v>
      </c>
      <c r="EH1366" t="s">
        <v>267</v>
      </c>
      <c r="EJ1366">
        <v>96</v>
      </c>
      <c r="EO1366" t="s">
        <v>268</v>
      </c>
      <c r="EQ1366">
        <v>4</v>
      </c>
      <c r="EV1366" t="s">
        <v>267</v>
      </c>
      <c r="EW1366" t="s">
        <v>293</v>
      </c>
      <c r="EY1366" t="s">
        <v>377</v>
      </c>
      <c r="FA1366" t="s">
        <v>397</v>
      </c>
      <c r="FM1366">
        <v>25</v>
      </c>
      <c r="FR1366" t="s">
        <v>295</v>
      </c>
      <c r="GQ1366">
        <v>8.1</v>
      </c>
      <c r="GS1366">
        <v>8.4</v>
      </c>
      <c r="GU1366">
        <v>33</v>
      </c>
      <c r="GZ1366" t="s">
        <v>296</v>
      </c>
      <c r="HH1366" t="s">
        <v>272</v>
      </c>
      <c r="IE1366" t="s">
        <v>2977</v>
      </c>
      <c r="IF1366">
        <v>156339</v>
      </c>
      <c r="IG1366" t="s">
        <v>2978</v>
      </c>
      <c r="IH1366" t="s">
        <v>2979</v>
      </c>
      <c r="II1366">
        <v>2011</v>
      </c>
      <c r="IJ1366" t="s">
        <v>2980</v>
      </c>
    </row>
    <row r="1367" spans="1:244" x14ac:dyDescent="0.45">
      <c r="A1367">
        <v>1041006</v>
      </c>
      <c r="B1367">
        <v>25019</v>
      </c>
      <c r="C1367">
        <v>7758987</v>
      </c>
      <c r="D1367" t="s">
        <v>2545</v>
      </c>
      <c r="F1367" t="s">
        <v>245</v>
      </c>
      <c r="G1367" t="s">
        <v>246</v>
      </c>
      <c r="N1367" t="s">
        <v>1837</v>
      </c>
      <c r="O1367" t="s">
        <v>1783</v>
      </c>
      <c r="P1367" t="s">
        <v>249</v>
      </c>
      <c r="Q1367" t="s">
        <v>250</v>
      </c>
      <c r="R1367" t="s">
        <v>251</v>
      </c>
      <c r="T1367" t="s">
        <v>252</v>
      </c>
      <c r="U1367" t="s">
        <v>253</v>
      </c>
      <c r="V1367" t="s">
        <v>1735</v>
      </c>
      <c r="W1367" t="s">
        <v>1784</v>
      </c>
      <c r="X1367" t="s">
        <v>1838</v>
      </c>
      <c r="Z1367" t="s">
        <v>1677</v>
      </c>
      <c r="AL1367" t="s">
        <v>1786</v>
      </c>
      <c r="AM1367" t="s">
        <v>258</v>
      </c>
      <c r="AN1367" t="s">
        <v>259</v>
      </c>
      <c r="AO1367" t="s">
        <v>260</v>
      </c>
      <c r="AQ1367" t="s">
        <v>261</v>
      </c>
      <c r="AS1367">
        <v>13270</v>
      </c>
      <c r="AU1367">
        <v>8210</v>
      </c>
      <c r="AW1367">
        <v>18880</v>
      </c>
      <c r="AX1367" t="s">
        <v>262</v>
      </c>
      <c r="BO1367" t="s">
        <v>261</v>
      </c>
      <c r="BQ1367">
        <v>13.27</v>
      </c>
      <c r="BS1367">
        <v>8.2100000000000009</v>
      </c>
      <c r="BU1367">
        <v>18.88</v>
      </c>
      <c r="BV1367" t="s">
        <v>263</v>
      </c>
      <c r="CM1367" t="s">
        <v>264</v>
      </c>
      <c r="CN1367" t="s">
        <v>264</v>
      </c>
      <c r="CP1367" t="s">
        <v>265</v>
      </c>
      <c r="CQ1367" t="s">
        <v>394</v>
      </c>
      <c r="DB1367">
        <v>2</v>
      </c>
      <c r="DG1367" t="s">
        <v>267</v>
      </c>
      <c r="DI1367">
        <v>48</v>
      </c>
      <c r="DN1367" t="s">
        <v>268</v>
      </c>
      <c r="DP1367" t="s">
        <v>977</v>
      </c>
      <c r="DS1367">
        <v>2899</v>
      </c>
      <c r="DT1367" t="s">
        <v>1787</v>
      </c>
      <c r="EW1367" t="s">
        <v>333</v>
      </c>
      <c r="FM1367">
        <v>29</v>
      </c>
      <c r="FR1367" t="s">
        <v>295</v>
      </c>
      <c r="GU1367">
        <v>25</v>
      </c>
      <c r="GZ1367" t="s">
        <v>296</v>
      </c>
      <c r="HH1367" t="s">
        <v>272</v>
      </c>
      <c r="IE1367" t="s">
        <v>1788</v>
      </c>
      <c r="IF1367">
        <v>2602</v>
      </c>
      <c r="IG1367" t="s">
        <v>1789</v>
      </c>
      <c r="IH1367" t="s">
        <v>1790</v>
      </c>
      <c r="II1367">
        <v>1987</v>
      </c>
      <c r="IJ1367" t="s">
        <v>1791</v>
      </c>
    </row>
    <row r="1368" spans="1:244" x14ac:dyDescent="0.45">
      <c r="A1368">
        <v>1182141</v>
      </c>
      <c r="B1368">
        <v>160047</v>
      </c>
      <c r="C1368">
        <v>7758987</v>
      </c>
      <c r="D1368" t="s">
        <v>2545</v>
      </c>
      <c r="E1368" t="s">
        <v>439</v>
      </c>
      <c r="F1368" t="s">
        <v>245</v>
      </c>
      <c r="G1368" t="s">
        <v>246</v>
      </c>
      <c r="N1368" t="s">
        <v>345</v>
      </c>
      <c r="O1368" t="s">
        <v>346</v>
      </c>
      <c r="P1368" t="s">
        <v>249</v>
      </c>
      <c r="Q1368" t="s">
        <v>250</v>
      </c>
      <c r="R1368" t="s">
        <v>251</v>
      </c>
      <c r="T1368" t="s">
        <v>347</v>
      </c>
      <c r="U1368" t="s">
        <v>348</v>
      </c>
      <c r="V1368" t="s">
        <v>349</v>
      </c>
      <c r="W1368" t="s">
        <v>350</v>
      </c>
      <c r="X1368" t="s">
        <v>351</v>
      </c>
      <c r="Z1368" t="s">
        <v>1034</v>
      </c>
      <c r="AL1368" t="s">
        <v>2663</v>
      </c>
      <c r="AM1368" t="s">
        <v>317</v>
      </c>
      <c r="AN1368" t="s">
        <v>259</v>
      </c>
      <c r="AO1368" t="s">
        <v>260</v>
      </c>
      <c r="AQ1368" t="s">
        <v>261</v>
      </c>
      <c r="AS1368">
        <v>3600</v>
      </c>
      <c r="AX1368" t="s">
        <v>262</v>
      </c>
      <c r="BO1368" t="s">
        <v>261</v>
      </c>
      <c r="BQ1368">
        <v>3.6</v>
      </c>
      <c r="BV1368" t="s">
        <v>263</v>
      </c>
      <c r="CM1368" t="s">
        <v>264</v>
      </c>
      <c r="CN1368" t="s">
        <v>264</v>
      </c>
      <c r="CP1368" t="s">
        <v>265</v>
      </c>
      <c r="DB1368">
        <v>1</v>
      </c>
      <c r="DG1368" t="s">
        <v>267</v>
      </c>
      <c r="DI1368">
        <v>24</v>
      </c>
      <c r="DN1368" t="s">
        <v>268</v>
      </c>
      <c r="DP1368" t="s">
        <v>2664</v>
      </c>
      <c r="DR1368">
        <v>6660</v>
      </c>
      <c r="DS1368">
        <v>421</v>
      </c>
      <c r="DT1368" t="s">
        <v>2665</v>
      </c>
      <c r="EW1368" t="s">
        <v>293</v>
      </c>
      <c r="FA1368" t="s">
        <v>2789</v>
      </c>
      <c r="FM1368">
        <v>25</v>
      </c>
      <c r="FR1368" t="s">
        <v>295</v>
      </c>
      <c r="GU1368">
        <v>25</v>
      </c>
      <c r="GZ1368" t="s">
        <v>296</v>
      </c>
      <c r="HH1368" t="s">
        <v>272</v>
      </c>
      <c r="IE1368" t="s">
        <v>2667</v>
      </c>
      <c r="IF1368">
        <v>16031</v>
      </c>
      <c r="IG1368" t="s">
        <v>2668</v>
      </c>
      <c r="IH1368" t="s">
        <v>2669</v>
      </c>
      <c r="II1368">
        <v>1995</v>
      </c>
      <c r="IJ1368" t="s">
        <v>2670</v>
      </c>
    </row>
    <row r="1369" spans="1:244" x14ac:dyDescent="0.45">
      <c r="A1369">
        <v>1246420</v>
      </c>
      <c r="B1369">
        <v>239770</v>
      </c>
      <c r="C1369">
        <v>7758987</v>
      </c>
      <c r="D1369" t="s">
        <v>2545</v>
      </c>
      <c r="F1369" t="s">
        <v>327</v>
      </c>
      <c r="G1369" t="s">
        <v>246</v>
      </c>
      <c r="N1369" t="s">
        <v>2419</v>
      </c>
      <c r="O1369" t="s">
        <v>2420</v>
      </c>
      <c r="P1369" t="s">
        <v>249</v>
      </c>
      <c r="Q1369" t="s">
        <v>250</v>
      </c>
      <c r="R1369" t="s">
        <v>251</v>
      </c>
      <c r="T1369" t="s">
        <v>252</v>
      </c>
      <c r="U1369" t="s">
        <v>1244</v>
      </c>
      <c r="V1369" t="s">
        <v>2421</v>
      </c>
      <c r="W1369" t="s">
        <v>2422</v>
      </c>
      <c r="X1369" t="s">
        <v>2423</v>
      </c>
      <c r="Z1369" t="s">
        <v>315</v>
      </c>
      <c r="AJ1369" t="s">
        <v>285</v>
      </c>
      <c r="AM1369" t="s">
        <v>258</v>
      </c>
      <c r="AN1369" t="s">
        <v>259</v>
      </c>
      <c r="AO1369" t="s">
        <v>260</v>
      </c>
      <c r="AP1369">
        <v>12</v>
      </c>
      <c r="AQ1369" t="s">
        <v>504</v>
      </c>
      <c r="AS1369">
        <v>8.1059999999999999</v>
      </c>
      <c r="AX1369" t="s">
        <v>356</v>
      </c>
      <c r="BO1369" t="s">
        <v>504</v>
      </c>
      <c r="BQ1369">
        <v>8.1059999999999999</v>
      </c>
      <c r="BV1369" t="s">
        <v>263</v>
      </c>
      <c r="CM1369" t="s">
        <v>264</v>
      </c>
      <c r="CN1369" t="s">
        <v>264</v>
      </c>
      <c r="CP1369" t="s">
        <v>265</v>
      </c>
      <c r="CQ1369" t="s">
        <v>394</v>
      </c>
      <c r="DB1369">
        <v>3.5</v>
      </c>
      <c r="DG1369" t="s">
        <v>267</v>
      </c>
      <c r="DI1369">
        <v>84</v>
      </c>
      <c r="DN1369" t="s">
        <v>268</v>
      </c>
      <c r="DS1369">
        <v>17323</v>
      </c>
      <c r="EW1369" t="s">
        <v>293</v>
      </c>
      <c r="FA1369" t="s">
        <v>1381</v>
      </c>
      <c r="FK1369" t="s">
        <v>2631</v>
      </c>
      <c r="HH1369" t="s">
        <v>272</v>
      </c>
      <c r="ID1369" t="s">
        <v>2632</v>
      </c>
      <c r="IE1369" t="s">
        <v>2328</v>
      </c>
      <c r="IF1369">
        <v>84114</v>
      </c>
      <c r="IG1369" t="s">
        <v>2329</v>
      </c>
      <c r="IH1369" t="s">
        <v>2330</v>
      </c>
      <c r="II1369">
        <v>1997</v>
      </c>
      <c r="IJ1369" t="s">
        <v>2331</v>
      </c>
    </row>
    <row r="1370" spans="1:244" x14ac:dyDescent="0.45">
      <c r="A1370">
        <v>2148823</v>
      </c>
      <c r="B1370">
        <v>2284387</v>
      </c>
      <c r="C1370">
        <v>7758987</v>
      </c>
      <c r="D1370" t="s">
        <v>2545</v>
      </c>
      <c r="E1370" t="s">
        <v>2981</v>
      </c>
      <c r="F1370" t="s">
        <v>245</v>
      </c>
      <c r="G1370" t="s">
        <v>272</v>
      </c>
      <c r="N1370" t="s">
        <v>2982</v>
      </c>
      <c r="O1370" t="s">
        <v>2611</v>
      </c>
      <c r="P1370" t="s">
        <v>249</v>
      </c>
      <c r="Q1370" t="s">
        <v>250</v>
      </c>
      <c r="R1370" t="s">
        <v>251</v>
      </c>
      <c r="T1370" t="s">
        <v>252</v>
      </c>
      <c r="U1370" t="s">
        <v>253</v>
      </c>
      <c r="V1370" t="s">
        <v>2612</v>
      </c>
      <c r="W1370" t="s">
        <v>2613</v>
      </c>
      <c r="X1370" t="s">
        <v>2614</v>
      </c>
      <c r="Z1370" t="s">
        <v>649</v>
      </c>
      <c r="AJ1370" t="s">
        <v>285</v>
      </c>
      <c r="AM1370" t="s">
        <v>287</v>
      </c>
      <c r="AN1370" t="s">
        <v>259</v>
      </c>
      <c r="AO1370" t="s">
        <v>260</v>
      </c>
      <c r="AQ1370" t="s">
        <v>261</v>
      </c>
      <c r="AS1370">
        <v>95.5</v>
      </c>
      <c r="AU1370">
        <v>81.7</v>
      </c>
      <c r="AW1370">
        <v>111.6</v>
      </c>
      <c r="AX1370" t="s">
        <v>262</v>
      </c>
      <c r="BO1370" t="s">
        <v>261</v>
      </c>
      <c r="BQ1370">
        <v>9.5500000000000002E-2</v>
      </c>
      <c r="BS1370">
        <v>8.1699999999999995E-2</v>
      </c>
      <c r="BU1370">
        <v>0.1116</v>
      </c>
      <c r="BV1370" t="s">
        <v>263</v>
      </c>
      <c r="CM1370" t="s">
        <v>264</v>
      </c>
      <c r="CN1370" t="s">
        <v>264</v>
      </c>
      <c r="CP1370" t="s">
        <v>265</v>
      </c>
      <c r="CQ1370" t="s">
        <v>394</v>
      </c>
      <c r="DB1370">
        <v>4</v>
      </c>
      <c r="DG1370" t="s">
        <v>267</v>
      </c>
      <c r="DI1370">
        <v>96</v>
      </c>
      <c r="DN1370" t="s">
        <v>268</v>
      </c>
      <c r="DP1370" t="s">
        <v>2622</v>
      </c>
      <c r="DS1370">
        <v>34553</v>
      </c>
      <c r="DT1370" t="s">
        <v>2983</v>
      </c>
      <c r="DV1370">
        <v>96</v>
      </c>
      <c r="EA1370" t="s">
        <v>268</v>
      </c>
      <c r="EC1370">
        <v>4</v>
      </c>
      <c r="EH1370" t="s">
        <v>267</v>
      </c>
      <c r="EJ1370">
        <v>96</v>
      </c>
      <c r="EO1370" t="s">
        <v>268</v>
      </c>
      <c r="EQ1370">
        <v>4</v>
      </c>
      <c r="EV1370" t="s">
        <v>267</v>
      </c>
      <c r="EW1370" t="s">
        <v>272</v>
      </c>
      <c r="EY1370" t="s">
        <v>377</v>
      </c>
      <c r="FA1370" t="s">
        <v>2984</v>
      </c>
      <c r="FM1370">
        <v>29</v>
      </c>
      <c r="FR1370" t="s">
        <v>295</v>
      </c>
      <c r="GH1370">
        <v>6.4</v>
      </c>
      <c r="GM1370" t="s">
        <v>356</v>
      </c>
      <c r="GO1370">
        <v>7.9</v>
      </c>
      <c r="GU1370">
        <v>33</v>
      </c>
      <c r="GZ1370" t="s">
        <v>296</v>
      </c>
      <c r="HH1370" t="s">
        <v>272</v>
      </c>
      <c r="ID1370" t="s">
        <v>2985</v>
      </c>
      <c r="IE1370" t="s">
        <v>2986</v>
      </c>
      <c r="IF1370">
        <v>166071</v>
      </c>
      <c r="IG1370" t="s">
        <v>2987</v>
      </c>
      <c r="IH1370" t="s">
        <v>2988</v>
      </c>
      <c r="II1370">
        <v>2012</v>
      </c>
      <c r="IJ1370" t="s">
        <v>2989</v>
      </c>
    </row>
    <row r="1371" spans="1:244" x14ac:dyDescent="0.45">
      <c r="A1371">
        <v>1310620</v>
      </c>
      <c r="B1371">
        <v>767803</v>
      </c>
      <c r="C1371">
        <v>7758987</v>
      </c>
      <c r="D1371" t="s">
        <v>2545</v>
      </c>
      <c r="F1371" t="s">
        <v>245</v>
      </c>
      <c r="G1371" t="s">
        <v>246</v>
      </c>
      <c r="N1371" t="s">
        <v>471</v>
      </c>
      <c r="O1371" t="s">
        <v>388</v>
      </c>
      <c r="P1371" t="s">
        <v>249</v>
      </c>
      <c r="Q1371" t="s">
        <v>250</v>
      </c>
      <c r="R1371" t="s">
        <v>251</v>
      </c>
      <c r="T1371" t="s">
        <v>389</v>
      </c>
      <c r="U1371" t="s">
        <v>390</v>
      </c>
      <c r="V1371" t="s">
        <v>472</v>
      </c>
      <c r="W1371" t="s">
        <v>473</v>
      </c>
      <c r="X1371" t="s">
        <v>474</v>
      </c>
      <c r="AM1371" t="s">
        <v>317</v>
      </c>
      <c r="AN1371" t="s">
        <v>259</v>
      </c>
      <c r="AO1371" t="s">
        <v>260</v>
      </c>
      <c r="AP1371">
        <v>4</v>
      </c>
      <c r="AQ1371" t="s">
        <v>261</v>
      </c>
      <c r="AS1371">
        <v>0.51770000000000005</v>
      </c>
      <c r="AX1371" t="s">
        <v>356</v>
      </c>
      <c r="BO1371" t="s">
        <v>261</v>
      </c>
      <c r="BQ1371">
        <v>0.51770000000000005</v>
      </c>
      <c r="BV1371" t="s">
        <v>263</v>
      </c>
      <c r="CM1371" t="s">
        <v>264</v>
      </c>
      <c r="CN1371" t="s">
        <v>264</v>
      </c>
      <c r="CO1371" t="s">
        <v>2870</v>
      </c>
      <c r="CP1371" t="s">
        <v>265</v>
      </c>
      <c r="CQ1371" t="s">
        <v>394</v>
      </c>
      <c r="DB1371">
        <v>2</v>
      </c>
      <c r="DG1371" t="s">
        <v>267</v>
      </c>
      <c r="DI1371">
        <v>48</v>
      </c>
      <c r="DN1371" t="s">
        <v>268</v>
      </c>
      <c r="DP1371" t="s">
        <v>2598</v>
      </c>
      <c r="DR1371">
        <v>2056173</v>
      </c>
      <c r="DS1371">
        <v>1053</v>
      </c>
      <c r="EW1371" t="s">
        <v>293</v>
      </c>
      <c r="FA1371" t="s">
        <v>2990</v>
      </c>
      <c r="FK1371" t="s">
        <v>2991</v>
      </c>
      <c r="HH1371" t="s">
        <v>272</v>
      </c>
      <c r="ID1371" t="s">
        <v>2992</v>
      </c>
      <c r="IE1371" t="s">
        <v>2685</v>
      </c>
      <c r="IF1371">
        <v>14474</v>
      </c>
      <c r="IG1371" t="s">
        <v>2686</v>
      </c>
      <c r="IH1371" t="s">
        <v>2687</v>
      </c>
      <c r="II1371">
        <v>1986</v>
      </c>
      <c r="IJ1371" t="s">
        <v>2688</v>
      </c>
    </row>
    <row r="1372" spans="1:244" x14ac:dyDescent="0.45">
      <c r="A1372">
        <v>1204314</v>
      </c>
      <c r="B1372">
        <v>209165</v>
      </c>
      <c r="C1372">
        <v>7758987</v>
      </c>
      <c r="D1372" t="s">
        <v>2545</v>
      </c>
      <c r="E1372" t="s">
        <v>622</v>
      </c>
      <c r="F1372" t="s">
        <v>245</v>
      </c>
      <c r="G1372" t="s">
        <v>246</v>
      </c>
      <c r="N1372" t="s">
        <v>253</v>
      </c>
      <c r="O1372" t="s">
        <v>1835</v>
      </c>
      <c r="P1372" t="s">
        <v>249</v>
      </c>
      <c r="Q1372" t="s">
        <v>250</v>
      </c>
      <c r="R1372" t="s">
        <v>251</v>
      </c>
      <c r="T1372" t="s">
        <v>252</v>
      </c>
      <c r="U1372" t="s">
        <v>253</v>
      </c>
      <c r="Z1372" t="s">
        <v>284</v>
      </c>
      <c r="AA1372" t="s">
        <v>289</v>
      </c>
      <c r="AB1372">
        <v>8</v>
      </c>
      <c r="AG1372" t="s">
        <v>268</v>
      </c>
      <c r="AL1372" t="s">
        <v>1836</v>
      </c>
      <c r="AM1372" t="s">
        <v>258</v>
      </c>
      <c r="AN1372" t="s">
        <v>259</v>
      </c>
      <c r="AO1372" t="s">
        <v>260</v>
      </c>
      <c r="AQ1372" t="s">
        <v>261</v>
      </c>
      <c r="AS1372">
        <v>125</v>
      </c>
      <c r="AU1372">
        <v>82.3</v>
      </c>
      <c r="AW1372">
        <v>190</v>
      </c>
      <c r="AX1372" t="s">
        <v>262</v>
      </c>
      <c r="BO1372" t="s">
        <v>261</v>
      </c>
      <c r="BQ1372">
        <v>0.125</v>
      </c>
      <c r="BS1372">
        <v>8.2299999999999998E-2</v>
      </c>
      <c r="BU1372">
        <v>0.19</v>
      </c>
      <c r="BV1372" t="s">
        <v>263</v>
      </c>
      <c r="CM1372" t="s">
        <v>264</v>
      </c>
      <c r="CN1372" t="s">
        <v>264</v>
      </c>
      <c r="CP1372" t="s">
        <v>265</v>
      </c>
      <c r="DB1372">
        <v>4</v>
      </c>
      <c r="DG1372" t="s">
        <v>267</v>
      </c>
      <c r="DI1372">
        <v>96</v>
      </c>
      <c r="DN1372" t="s">
        <v>268</v>
      </c>
      <c r="DR1372">
        <v>6683</v>
      </c>
      <c r="DS1372">
        <v>813</v>
      </c>
      <c r="EW1372" t="s">
        <v>293</v>
      </c>
      <c r="GU1372">
        <v>25</v>
      </c>
      <c r="GZ1372" t="s">
        <v>296</v>
      </c>
      <c r="HH1372" t="s">
        <v>272</v>
      </c>
      <c r="IE1372" t="s">
        <v>1820</v>
      </c>
      <c r="IF1372">
        <v>18580</v>
      </c>
      <c r="IG1372" t="s">
        <v>1821</v>
      </c>
      <c r="IH1372" t="s">
        <v>1822</v>
      </c>
      <c r="II1372">
        <v>1996</v>
      </c>
      <c r="IJ1372" t="s">
        <v>1823</v>
      </c>
    </row>
    <row r="1373" spans="1:244" x14ac:dyDescent="0.45">
      <c r="A1373">
        <v>1312579</v>
      </c>
      <c r="B1373">
        <v>770043</v>
      </c>
      <c r="C1373">
        <v>7758987</v>
      </c>
      <c r="D1373" t="s">
        <v>2545</v>
      </c>
      <c r="F1373" t="s">
        <v>245</v>
      </c>
      <c r="G1373" t="s">
        <v>246</v>
      </c>
      <c r="H1373" t="s">
        <v>278</v>
      </c>
      <c r="I1373">
        <v>99.5</v>
      </c>
      <c r="N1373" t="s">
        <v>497</v>
      </c>
      <c r="O1373" t="s">
        <v>498</v>
      </c>
      <c r="P1373" t="s">
        <v>249</v>
      </c>
      <c r="Q1373" t="s">
        <v>250</v>
      </c>
      <c r="R1373" t="s">
        <v>251</v>
      </c>
      <c r="T1373" t="s">
        <v>252</v>
      </c>
      <c r="U1373" t="s">
        <v>499</v>
      </c>
      <c r="V1373" t="s">
        <v>500</v>
      </c>
      <c r="W1373" t="s">
        <v>501</v>
      </c>
      <c r="X1373" t="s">
        <v>502</v>
      </c>
      <c r="Z1373" t="s">
        <v>649</v>
      </c>
      <c r="AL1373" t="s">
        <v>2725</v>
      </c>
      <c r="AM1373" t="s">
        <v>258</v>
      </c>
      <c r="AN1373" t="s">
        <v>259</v>
      </c>
      <c r="AO1373" t="s">
        <v>260</v>
      </c>
      <c r="AP1373">
        <v>6</v>
      </c>
      <c r="AQ1373" t="s">
        <v>261</v>
      </c>
      <c r="AS1373">
        <v>84</v>
      </c>
      <c r="AU1373">
        <v>74</v>
      </c>
      <c r="AW1373">
        <v>95</v>
      </c>
      <c r="AX1373" t="s">
        <v>262</v>
      </c>
      <c r="BO1373" t="s">
        <v>261</v>
      </c>
      <c r="BQ1373">
        <v>8.4000000000000005E-2</v>
      </c>
      <c r="BS1373">
        <v>7.3999999999999996E-2</v>
      </c>
      <c r="BU1373">
        <v>9.5000000000000001E-2</v>
      </c>
      <c r="BV1373" t="s">
        <v>263</v>
      </c>
      <c r="CM1373" t="s">
        <v>264</v>
      </c>
      <c r="CN1373" t="s">
        <v>264</v>
      </c>
      <c r="CP1373" t="s">
        <v>265</v>
      </c>
      <c r="CQ1373" t="s">
        <v>394</v>
      </c>
      <c r="DB1373">
        <v>3</v>
      </c>
      <c r="DG1373" t="s">
        <v>267</v>
      </c>
      <c r="DI1373">
        <v>72</v>
      </c>
      <c r="DN1373" t="s">
        <v>268</v>
      </c>
      <c r="DO1373" t="s">
        <v>1587</v>
      </c>
      <c r="DP1373" t="s">
        <v>2598</v>
      </c>
      <c r="DR1373">
        <v>1400849</v>
      </c>
      <c r="DS1373">
        <v>4389</v>
      </c>
      <c r="DT1373" t="s">
        <v>2726</v>
      </c>
      <c r="EW1373" t="s">
        <v>293</v>
      </c>
      <c r="FA1373" t="s">
        <v>2727</v>
      </c>
      <c r="FK1373" t="s">
        <v>2728</v>
      </c>
      <c r="FM1373">
        <v>25</v>
      </c>
      <c r="FR1373" t="s">
        <v>295</v>
      </c>
      <c r="GQ1373">
        <v>8.1</v>
      </c>
      <c r="GS1373">
        <v>8.4</v>
      </c>
      <c r="GU1373">
        <v>33</v>
      </c>
      <c r="GZ1373" t="s">
        <v>296</v>
      </c>
      <c r="HH1373" t="s">
        <v>272</v>
      </c>
      <c r="ID1373" t="s">
        <v>2729</v>
      </c>
      <c r="IE1373" t="s">
        <v>2730</v>
      </c>
      <c r="IF1373">
        <v>111647</v>
      </c>
      <c r="IG1373" t="s">
        <v>2731</v>
      </c>
      <c r="IH1373" t="s">
        <v>2732</v>
      </c>
      <c r="II1373">
        <v>2008</v>
      </c>
      <c r="IJ1373" t="s">
        <v>2733</v>
      </c>
    </row>
    <row r="1374" spans="1:244" x14ac:dyDescent="0.45">
      <c r="A1374">
        <v>1178108</v>
      </c>
      <c r="B1374">
        <v>69500</v>
      </c>
      <c r="C1374">
        <v>7758987</v>
      </c>
      <c r="D1374" t="s">
        <v>2545</v>
      </c>
      <c r="F1374" t="s">
        <v>245</v>
      </c>
      <c r="G1374" t="s">
        <v>246</v>
      </c>
      <c r="N1374" t="s">
        <v>471</v>
      </c>
      <c r="O1374" t="s">
        <v>388</v>
      </c>
      <c r="P1374" t="s">
        <v>249</v>
      </c>
      <c r="Q1374" t="s">
        <v>250</v>
      </c>
      <c r="R1374" t="s">
        <v>251</v>
      </c>
      <c r="T1374" t="s">
        <v>389</v>
      </c>
      <c r="U1374" t="s">
        <v>390</v>
      </c>
      <c r="V1374" t="s">
        <v>472</v>
      </c>
      <c r="W1374" t="s">
        <v>473</v>
      </c>
      <c r="X1374" t="s">
        <v>474</v>
      </c>
      <c r="AB1374">
        <v>3</v>
      </c>
      <c r="AG1374" t="s">
        <v>813</v>
      </c>
      <c r="AM1374" t="s">
        <v>317</v>
      </c>
      <c r="AN1374" t="s">
        <v>259</v>
      </c>
      <c r="AO1374" t="s">
        <v>260</v>
      </c>
      <c r="AQ1374" t="s">
        <v>261</v>
      </c>
      <c r="AS1374">
        <v>428</v>
      </c>
      <c r="AX1374" t="s">
        <v>262</v>
      </c>
      <c r="BO1374" t="s">
        <v>261</v>
      </c>
      <c r="BQ1374">
        <v>0.42799999999999999</v>
      </c>
      <c r="BV1374" t="s">
        <v>263</v>
      </c>
      <c r="CM1374" t="s">
        <v>264</v>
      </c>
      <c r="CN1374" t="s">
        <v>264</v>
      </c>
      <c r="CP1374" t="s">
        <v>265</v>
      </c>
      <c r="CQ1374" t="s">
        <v>394</v>
      </c>
      <c r="DB1374">
        <v>2</v>
      </c>
      <c r="DG1374" t="s">
        <v>267</v>
      </c>
      <c r="DI1374">
        <v>48</v>
      </c>
      <c r="DN1374" t="s">
        <v>268</v>
      </c>
      <c r="DR1374">
        <v>2056173</v>
      </c>
      <c r="DS1374">
        <v>1053</v>
      </c>
      <c r="DT1374" t="s">
        <v>2993</v>
      </c>
      <c r="EW1374" t="s">
        <v>271</v>
      </c>
      <c r="FM1374">
        <v>18</v>
      </c>
      <c r="FR1374" t="s">
        <v>295</v>
      </c>
      <c r="HH1374" t="s">
        <v>272</v>
      </c>
      <c r="IE1374" t="s">
        <v>2994</v>
      </c>
      <c r="IF1374">
        <v>15500</v>
      </c>
      <c r="IG1374" t="s">
        <v>2995</v>
      </c>
      <c r="IH1374" t="s">
        <v>2996</v>
      </c>
      <c r="II1374">
        <v>1983</v>
      </c>
      <c r="IJ1374" t="s">
        <v>2997</v>
      </c>
    </row>
    <row r="1375" spans="1:244" x14ac:dyDescent="0.45">
      <c r="A1375">
        <v>1135995</v>
      </c>
      <c r="B1375">
        <v>90927</v>
      </c>
      <c r="C1375">
        <v>7758987</v>
      </c>
      <c r="D1375" t="s">
        <v>2545</v>
      </c>
      <c r="F1375" t="s">
        <v>245</v>
      </c>
      <c r="G1375" t="s">
        <v>246</v>
      </c>
      <c r="N1375" t="s">
        <v>471</v>
      </c>
      <c r="O1375" t="s">
        <v>388</v>
      </c>
      <c r="P1375" t="s">
        <v>249</v>
      </c>
      <c r="Q1375" t="s">
        <v>250</v>
      </c>
      <c r="R1375" t="s">
        <v>251</v>
      </c>
      <c r="T1375" t="s">
        <v>389</v>
      </c>
      <c r="U1375" t="s">
        <v>390</v>
      </c>
      <c r="V1375" t="s">
        <v>472</v>
      </c>
      <c r="W1375" t="s">
        <v>473</v>
      </c>
      <c r="X1375" t="s">
        <v>474</v>
      </c>
      <c r="Z1375" t="s">
        <v>525</v>
      </c>
      <c r="AB1375">
        <v>5</v>
      </c>
      <c r="AG1375" t="s">
        <v>267</v>
      </c>
      <c r="AM1375" t="s">
        <v>317</v>
      </c>
      <c r="AN1375" t="s">
        <v>259</v>
      </c>
      <c r="AO1375" t="s">
        <v>260</v>
      </c>
      <c r="AQ1375" t="s">
        <v>261</v>
      </c>
      <c r="AS1375">
        <v>341.5</v>
      </c>
      <c r="AX1375" t="s">
        <v>262</v>
      </c>
      <c r="BO1375" t="s">
        <v>261</v>
      </c>
      <c r="BQ1375">
        <v>0.34150000000000003</v>
      </c>
      <c r="BV1375" t="s">
        <v>263</v>
      </c>
      <c r="CM1375" t="s">
        <v>264</v>
      </c>
      <c r="CN1375" t="s">
        <v>264</v>
      </c>
      <c r="CP1375" t="s">
        <v>265</v>
      </c>
      <c r="CQ1375" t="s">
        <v>394</v>
      </c>
      <c r="DB1375">
        <v>2</v>
      </c>
      <c r="DG1375" t="s">
        <v>267</v>
      </c>
      <c r="DI1375">
        <v>48</v>
      </c>
      <c r="DN1375" t="s">
        <v>268</v>
      </c>
      <c r="DR1375">
        <v>2056173</v>
      </c>
      <c r="DS1375">
        <v>1053</v>
      </c>
      <c r="DT1375" t="s">
        <v>2671</v>
      </c>
      <c r="EW1375" t="s">
        <v>271</v>
      </c>
      <c r="FA1375" t="s">
        <v>2672</v>
      </c>
      <c r="FM1375">
        <v>18</v>
      </c>
      <c r="FR1375" t="s">
        <v>295</v>
      </c>
      <c r="GU1375">
        <v>38</v>
      </c>
      <c r="GZ1375" t="s">
        <v>296</v>
      </c>
      <c r="HH1375" t="s">
        <v>272</v>
      </c>
      <c r="IE1375" t="s">
        <v>2299</v>
      </c>
      <c r="IF1375">
        <v>11097</v>
      </c>
      <c r="IG1375" t="s">
        <v>2673</v>
      </c>
      <c r="IH1375" t="s">
        <v>2674</v>
      </c>
      <c r="II1375">
        <v>1982</v>
      </c>
      <c r="IJ1375" t="s">
        <v>2675</v>
      </c>
    </row>
    <row r="1376" spans="1:244" x14ac:dyDescent="0.45">
      <c r="A1376">
        <v>1245228</v>
      </c>
      <c r="B1376">
        <v>236617</v>
      </c>
      <c r="C1376">
        <v>7758987</v>
      </c>
      <c r="D1376" t="s">
        <v>2545</v>
      </c>
      <c r="F1376" t="s">
        <v>245</v>
      </c>
      <c r="G1376" t="s">
        <v>246</v>
      </c>
      <c r="N1376" t="s">
        <v>1312</v>
      </c>
      <c r="O1376" t="s">
        <v>1313</v>
      </c>
      <c r="P1376" t="s">
        <v>249</v>
      </c>
      <c r="Q1376" t="s">
        <v>250</v>
      </c>
      <c r="R1376" t="s">
        <v>251</v>
      </c>
      <c r="T1376" t="s">
        <v>252</v>
      </c>
      <c r="U1376" t="s">
        <v>1244</v>
      </c>
      <c r="V1376" t="s">
        <v>1314</v>
      </c>
      <c r="W1376" t="s">
        <v>1315</v>
      </c>
      <c r="X1376" t="s">
        <v>1316</v>
      </c>
      <c r="AJ1376" t="s">
        <v>285</v>
      </c>
      <c r="AM1376" t="s">
        <v>317</v>
      </c>
      <c r="AN1376" t="s">
        <v>259</v>
      </c>
      <c r="AO1376" t="s">
        <v>260</v>
      </c>
      <c r="AP1376">
        <v>6</v>
      </c>
      <c r="AQ1376" t="s">
        <v>261</v>
      </c>
      <c r="AS1376">
        <v>1.98</v>
      </c>
      <c r="AU1376">
        <v>1.72</v>
      </c>
      <c r="AW1376">
        <v>2.27</v>
      </c>
      <c r="AX1376" t="s">
        <v>356</v>
      </c>
      <c r="BO1376" t="s">
        <v>261</v>
      </c>
      <c r="BQ1376">
        <v>1.98</v>
      </c>
      <c r="BS1376">
        <v>1.72</v>
      </c>
      <c r="BU1376">
        <v>2.27</v>
      </c>
      <c r="BV1376" t="s">
        <v>263</v>
      </c>
      <c r="CM1376" t="s">
        <v>264</v>
      </c>
      <c r="CN1376" t="s">
        <v>264</v>
      </c>
      <c r="CP1376" t="s">
        <v>265</v>
      </c>
      <c r="CQ1376" t="s">
        <v>394</v>
      </c>
      <c r="DB1376">
        <v>4</v>
      </c>
      <c r="DG1376" t="s">
        <v>267</v>
      </c>
      <c r="DI1376">
        <v>96</v>
      </c>
      <c r="DN1376" t="s">
        <v>268</v>
      </c>
      <c r="DR1376">
        <v>96875</v>
      </c>
      <c r="DS1376">
        <v>1666</v>
      </c>
      <c r="EW1376" t="s">
        <v>293</v>
      </c>
      <c r="FK1376" t="s">
        <v>2998</v>
      </c>
      <c r="FM1376">
        <v>15</v>
      </c>
      <c r="FR1376" t="s">
        <v>295</v>
      </c>
      <c r="GH1376">
        <v>85</v>
      </c>
      <c r="GM1376" t="s">
        <v>900</v>
      </c>
      <c r="GO1376">
        <v>8.1</v>
      </c>
      <c r="GU1376">
        <v>17</v>
      </c>
      <c r="GZ1376" t="s">
        <v>900</v>
      </c>
      <c r="HH1376" t="s">
        <v>272</v>
      </c>
      <c r="ID1376" t="s">
        <v>2999</v>
      </c>
      <c r="IE1376" t="s">
        <v>1907</v>
      </c>
      <c r="IF1376">
        <v>82993</v>
      </c>
      <c r="IG1376" t="s">
        <v>1908</v>
      </c>
      <c r="IH1376" t="s">
        <v>1909</v>
      </c>
      <c r="II1376">
        <v>1999</v>
      </c>
      <c r="IJ1376" t="s">
        <v>1910</v>
      </c>
    </row>
    <row r="1377" spans="1:244" x14ac:dyDescent="0.45">
      <c r="A1377">
        <v>1310644</v>
      </c>
      <c r="B1377">
        <v>767827</v>
      </c>
      <c r="C1377">
        <v>7758987</v>
      </c>
      <c r="D1377" t="s">
        <v>2545</v>
      </c>
      <c r="F1377" t="s">
        <v>245</v>
      </c>
      <c r="G1377" t="s">
        <v>246</v>
      </c>
      <c r="N1377" t="s">
        <v>471</v>
      </c>
      <c r="O1377" t="s">
        <v>388</v>
      </c>
      <c r="P1377" t="s">
        <v>249</v>
      </c>
      <c r="Q1377" t="s">
        <v>250</v>
      </c>
      <c r="R1377" t="s">
        <v>251</v>
      </c>
      <c r="T1377" t="s">
        <v>389</v>
      </c>
      <c r="U1377" t="s">
        <v>390</v>
      </c>
      <c r="V1377" t="s">
        <v>472</v>
      </c>
      <c r="W1377" t="s">
        <v>473</v>
      </c>
      <c r="X1377" t="s">
        <v>474</v>
      </c>
      <c r="Z1377" t="s">
        <v>525</v>
      </c>
      <c r="AB1377">
        <v>4</v>
      </c>
      <c r="AG1377" t="s">
        <v>267</v>
      </c>
      <c r="AM1377" t="s">
        <v>317</v>
      </c>
      <c r="AN1377" t="s">
        <v>259</v>
      </c>
      <c r="AO1377" t="s">
        <v>260</v>
      </c>
      <c r="AQ1377" t="s">
        <v>261</v>
      </c>
      <c r="AS1377">
        <v>0.34150000000000003</v>
      </c>
      <c r="AX1377" t="s">
        <v>356</v>
      </c>
      <c r="BO1377" t="s">
        <v>261</v>
      </c>
      <c r="BQ1377">
        <v>0.34150000000000003</v>
      </c>
      <c r="BV1377" t="s">
        <v>263</v>
      </c>
      <c r="CM1377" t="s">
        <v>264</v>
      </c>
      <c r="CN1377" t="s">
        <v>264</v>
      </c>
      <c r="CP1377" t="s">
        <v>265</v>
      </c>
      <c r="CQ1377" t="s">
        <v>394</v>
      </c>
      <c r="DB1377">
        <v>2</v>
      </c>
      <c r="DG1377" t="s">
        <v>267</v>
      </c>
      <c r="DI1377">
        <v>48</v>
      </c>
      <c r="DN1377" t="s">
        <v>268</v>
      </c>
      <c r="DP1377" t="s">
        <v>2598</v>
      </c>
      <c r="DR1377">
        <v>2056173</v>
      </c>
      <c r="DS1377">
        <v>1053</v>
      </c>
      <c r="EW1377" t="s">
        <v>293</v>
      </c>
      <c r="FK1377" t="s">
        <v>3000</v>
      </c>
      <c r="HH1377" t="s">
        <v>272</v>
      </c>
      <c r="ID1377" t="s">
        <v>3001</v>
      </c>
      <c r="IE1377" t="s">
        <v>2685</v>
      </c>
      <c r="IF1377">
        <v>14474</v>
      </c>
      <c r="IG1377" t="s">
        <v>2686</v>
      </c>
      <c r="IH1377" t="s">
        <v>2687</v>
      </c>
      <c r="II1377">
        <v>1986</v>
      </c>
      <c r="IJ1377" t="s">
        <v>2688</v>
      </c>
    </row>
    <row r="1378" spans="1:244" x14ac:dyDescent="0.45">
      <c r="A1378">
        <v>1141317</v>
      </c>
      <c r="B1378">
        <v>121231</v>
      </c>
      <c r="C1378">
        <v>7758987</v>
      </c>
      <c r="D1378" t="s">
        <v>2545</v>
      </c>
      <c r="F1378" t="s">
        <v>245</v>
      </c>
      <c r="G1378" t="s">
        <v>246</v>
      </c>
      <c r="N1378" t="s">
        <v>1800</v>
      </c>
      <c r="O1378" t="s">
        <v>1801</v>
      </c>
      <c r="P1378" t="s">
        <v>249</v>
      </c>
      <c r="Q1378" t="s">
        <v>250</v>
      </c>
      <c r="R1378" t="s">
        <v>251</v>
      </c>
      <c r="T1378" t="s">
        <v>252</v>
      </c>
      <c r="U1378" t="s">
        <v>253</v>
      </c>
      <c r="V1378" t="s">
        <v>418</v>
      </c>
      <c r="W1378" t="s">
        <v>847</v>
      </c>
      <c r="X1378" t="s">
        <v>1802</v>
      </c>
      <c r="Z1378" t="s">
        <v>649</v>
      </c>
      <c r="AL1378" t="s">
        <v>1803</v>
      </c>
      <c r="AM1378" t="s">
        <v>258</v>
      </c>
      <c r="AN1378" t="s">
        <v>259</v>
      </c>
      <c r="AO1378" t="s">
        <v>260</v>
      </c>
      <c r="AQ1378" t="s">
        <v>261</v>
      </c>
      <c r="AS1378">
        <v>840</v>
      </c>
      <c r="AU1378">
        <v>485.6</v>
      </c>
      <c r="AW1378">
        <v>1452.7</v>
      </c>
      <c r="AX1378" t="s">
        <v>262</v>
      </c>
      <c r="BO1378" t="s">
        <v>261</v>
      </c>
      <c r="BQ1378">
        <v>0.84</v>
      </c>
      <c r="BS1378">
        <v>0.48559999999999998</v>
      </c>
      <c r="BU1378">
        <v>1.4527000000000001</v>
      </c>
      <c r="BV1378" t="s">
        <v>263</v>
      </c>
      <c r="CM1378" t="s">
        <v>264</v>
      </c>
      <c r="CN1378" t="s">
        <v>264</v>
      </c>
      <c r="CP1378" t="s">
        <v>265</v>
      </c>
      <c r="CQ1378" t="s">
        <v>394</v>
      </c>
      <c r="DB1378">
        <v>4</v>
      </c>
      <c r="DG1378" t="s">
        <v>267</v>
      </c>
      <c r="DI1378">
        <v>96</v>
      </c>
      <c r="DN1378" t="s">
        <v>268</v>
      </c>
      <c r="DP1378" t="s">
        <v>1804</v>
      </c>
      <c r="DR1378">
        <v>1378283</v>
      </c>
      <c r="DS1378">
        <v>4579</v>
      </c>
      <c r="EW1378" t="s">
        <v>271</v>
      </c>
      <c r="FM1378">
        <v>27.5</v>
      </c>
      <c r="FR1378" t="s">
        <v>295</v>
      </c>
      <c r="GG1378" t="s">
        <v>288</v>
      </c>
      <c r="GH1378">
        <v>60</v>
      </c>
      <c r="GM1378" t="s">
        <v>900</v>
      </c>
      <c r="GU1378">
        <v>15</v>
      </c>
      <c r="GZ1378" t="s">
        <v>296</v>
      </c>
      <c r="HH1378" t="s">
        <v>272</v>
      </c>
      <c r="IE1378" t="s">
        <v>1805</v>
      </c>
      <c r="IF1378">
        <v>11853</v>
      </c>
      <c r="IG1378" t="s">
        <v>1806</v>
      </c>
      <c r="IH1378" t="s">
        <v>1807</v>
      </c>
      <c r="II1378">
        <v>1986</v>
      </c>
      <c r="IJ1378" t="s">
        <v>1808</v>
      </c>
    </row>
    <row r="1379" spans="1:244" x14ac:dyDescent="0.45">
      <c r="A1379">
        <v>1293108</v>
      </c>
      <c r="B1379">
        <v>748050</v>
      </c>
      <c r="C1379">
        <v>7758987</v>
      </c>
      <c r="D1379" t="s">
        <v>2545</v>
      </c>
      <c r="F1379" t="s">
        <v>245</v>
      </c>
      <c r="G1379" t="s">
        <v>246</v>
      </c>
      <c r="N1379" t="s">
        <v>1216</v>
      </c>
      <c r="O1379" t="s">
        <v>578</v>
      </c>
      <c r="P1379" t="s">
        <v>249</v>
      </c>
      <c r="Q1379" t="s">
        <v>250</v>
      </c>
      <c r="R1379" t="s">
        <v>251</v>
      </c>
      <c r="T1379" t="s">
        <v>252</v>
      </c>
      <c r="U1379" t="s">
        <v>499</v>
      </c>
      <c r="V1379" t="s">
        <v>1217</v>
      </c>
      <c r="W1379" t="s">
        <v>1218</v>
      </c>
      <c r="X1379" t="s">
        <v>1219</v>
      </c>
      <c r="Z1379" t="s">
        <v>649</v>
      </c>
      <c r="AB1379">
        <v>11</v>
      </c>
      <c r="AG1379" t="s">
        <v>267</v>
      </c>
      <c r="AM1379" t="s">
        <v>317</v>
      </c>
      <c r="AN1379" t="s">
        <v>259</v>
      </c>
      <c r="AO1379" t="s">
        <v>260</v>
      </c>
      <c r="AQ1379" t="s">
        <v>504</v>
      </c>
      <c r="AS1379">
        <v>190</v>
      </c>
      <c r="AX1379" t="s">
        <v>262</v>
      </c>
      <c r="BO1379" t="s">
        <v>504</v>
      </c>
      <c r="BQ1379">
        <v>0.19</v>
      </c>
      <c r="BV1379" t="s">
        <v>263</v>
      </c>
      <c r="CM1379" t="s">
        <v>264</v>
      </c>
      <c r="CN1379" t="s">
        <v>264</v>
      </c>
      <c r="CP1379" t="s">
        <v>265</v>
      </c>
      <c r="CQ1379" t="s">
        <v>394</v>
      </c>
      <c r="DB1379">
        <v>4</v>
      </c>
      <c r="DG1379" t="s">
        <v>267</v>
      </c>
      <c r="DI1379">
        <v>4</v>
      </c>
      <c r="DN1379" t="s">
        <v>267</v>
      </c>
      <c r="DP1379" t="s">
        <v>2554</v>
      </c>
      <c r="DR1379">
        <v>764486</v>
      </c>
      <c r="DS1379">
        <v>18590</v>
      </c>
      <c r="DT1379" t="s">
        <v>2555</v>
      </c>
      <c r="EW1379" t="s">
        <v>293</v>
      </c>
      <c r="FA1379" t="s">
        <v>3002</v>
      </c>
      <c r="FK1379" t="s">
        <v>3003</v>
      </c>
      <c r="FM1379">
        <v>21</v>
      </c>
      <c r="FR1379" t="s">
        <v>295</v>
      </c>
      <c r="GG1379" t="s">
        <v>288</v>
      </c>
      <c r="GH1379">
        <v>85</v>
      </c>
      <c r="GM1379" t="s">
        <v>1224</v>
      </c>
      <c r="GQ1379">
        <v>8</v>
      </c>
      <c r="GS1379">
        <v>8.1999999999999993</v>
      </c>
      <c r="GU1379">
        <v>30</v>
      </c>
      <c r="GZ1379" t="s">
        <v>296</v>
      </c>
      <c r="HH1379" t="s">
        <v>272</v>
      </c>
      <c r="ID1379" t="s">
        <v>3004</v>
      </c>
      <c r="IE1379" t="s">
        <v>2559</v>
      </c>
      <c r="IF1379">
        <v>112230</v>
      </c>
      <c r="IG1379" t="s">
        <v>2560</v>
      </c>
      <c r="IH1379" t="s">
        <v>2561</v>
      </c>
      <c r="II1379">
        <v>2008</v>
      </c>
      <c r="IJ1379" t="s">
        <v>2562</v>
      </c>
    </row>
    <row r="1380" spans="1:244" x14ac:dyDescent="0.45">
      <c r="A1380">
        <v>1307495</v>
      </c>
      <c r="B1380">
        <v>764450</v>
      </c>
      <c r="C1380">
        <v>7758987</v>
      </c>
      <c r="D1380" t="s">
        <v>2545</v>
      </c>
      <c r="F1380" t="s">
        <v>245</v>
      </c>
      <c r="G1380" t="s">
        <v>246</v>
      </c>
      <c r="N1380" t="s">
        <v>655</v>
      </c>
      <c r="O1380" t="s">
        <v>656</v>
      </c>
      <c r="P1380" t="s">
        <v>249</v>
      </c>
      <c r="Q1380" t="s">
        <v>250</v>
      </c>
      <c r="R1380" t="s">
        <v>251</v>
      </c>
      <c r="T1380" t="s">
        <v>252</v>
      </c>
      <c r="U1380" t="s">
        <v>253</v>
      </c>
      <c r="V1380" t="s">
        <v>657</v>
      </c>
      <c r="W1380" t="s">
        <v>658</v>
      </c>
      <c r="X1380" t="s">
        <v>659</v>
      </c>
      <c r="AL1380" t="s">
        <v>660</v>
      </c>
      <c r="AM1380" t="s">
        <v>287</v>
      </c>
      <c r="AN1380" t="s">
        <v>259</v>
      </c>
      <c r="AO1380" t="s">
        <v>260</v>
      </c>
      <c r="AP1380">
        <v>9</v>
      </c>
      <c r="AQ1380" t="s">
        <v>261</v>
      </c>
      <c r="AS1380">
        <v>0.03</v>
      </c>
      <c r="AU1380">
        <v>0.02</v>
      </c>
      <c r="AW1380">
        <v>0.04</v>
      </c>
      <c r="AX1380" t="s">
        <v>661</v>
      </c>
      <c r="BO1380" t="s">
        <v>261</v>
      </c>
      <c r="BQ1380">
        <v>4.8485849999999999</v>
      </c>
      <c r="BS1380">
        <v>3.2323900000000001</v>
      </c>
      <c r="BU1380">
        <v>6.4647800000000002</v>
      </c>
      <c r="BV1380" t="s">
        <v>263</v>
      </c>
      <c r="CM1380" t="s">
        <v>264</v>
      </c>
      <c r="CN1380" t="s">
        <v>264</v>
      </c>
      <c r="CP1380" t="s">
        <v>265</v>
      </c>
      <c r="CQ1380" t="s">
        <v>394</v>
      </c>
      <c r="DB1380">
        <v>4</v>
      </c>
      <c r="DG1380" t="s">
        <v>267</v>
      </c>
      <c r="DI1380">
        <v>96</v>
      </c>
      <c r="DN1380" t="s">
        <v>268</v>
      </c>
      <c r="DP1380" t="s">
        <v>2598</v>
      </c>
      <c r="DS1380">
        <v>20193</v>
      </c>
      <c r="DT1380" t="s">
        <v>663</v>
      </c>
      <c r="EW1380" t="s">
        <v>293</v>
      </c>
      <c r="FA1380" t="s">
        <v>397</v>
      </c>
      <c r="FK1380" t="s">
        <v>3005</v>
      </c>
      <c r="FM1380">
        <v>26</v>
      </c>
      <c r="FR1380" t="s">
        <v>295</v>
      </c>
      <c r="GG1380" t="s">
        <v>288</v>
      </c>
      <c r="GH1380">
        <v>6.5</v>
      </c>
      <c r="GM1380" t="s">
        <v>356</v>
      </c>
      <c r="GO1380">
        <v>7.8</v>
      </c>
      <c r="GU1380">
        <v>16.5</v>
      </c>
      <c r="GZ1380" t="s">
        <v>296</v>
      </c>
      <c r="HH1380" t="s">
        <v>272</v>
      </c>
      <c r="ID1380" t="s">
        <v>3006</v>
      </c>
      <c r="IE1380" t="s">
        <v>666</v>
      </c>
      <c r="IF1380">
        <v>100798</v>
      </c>
      <c r="IG1380" t="s">
        <v>667</v>
      </c>
      <c r="IH1380" t="s">
        <v>668</v>
      </c>
      <c r="II1380">
        <v>2006</v>
      </c>
      <c r="IJ1380" t="s">
        <v>669</v>
      </c>
    </row>
    <row r="1381" spans="1:244" x14ac:dyDescent="0.45">
      <c r="A1381">
        <v>1310643</v>
      </c>
      <c r="B1381">
        <v>767826</v>
      </c>
      <c r="C1381">
        <v>7758987</v>
      </c>
      <c r="D1381" t="s">
        <v>2545</v>
      </c>
      <c r="F1381" t="s">
        <v>245</v>
      </c>
      <c r="G1381" t="s">
        <v>246</v>
      </c>
      <c r="N1381" t="s">
        <v>471</v>
      </c>
      <c r="O1381" t="s">
        <v>388</v>
      </c>
      <c r="P1381" t="s">
        <v>249</v>
      </c>
      <c r="Q1381" t="s">
        <v>250</v>
      </c>
      <c r="R1381" t="s">
        <v>251</v>
      </c>
      <c r="T1381" t="s">
        <v>389</v>
      </c>
      <c r="U1381" t="s">
        <v>390</v>
      </c>
      <c r="V1381" t="s">
        <v>472</v>
      </c>
      <c r="W1381" t="s">
        <v>473</v>
      </c>
      <c r="X1381" t="s">
        <v>474</v>
      </c>
      <c r="Z1381" t="s">
        <v>525</v>
      </c>
      <c r="AB1381">
        <v>1</v>
      </c>
      <c r="AG1381" t="s">
        <v>267</v>
      </c>
      <c r="AM1381" t="s">
        <v>317</v>
      </c>
      <c r="AN1381" t="s">
        <v>259</v>
      </c>
      <c r="AO1381" t="s">
        <v>260</v>
      </c>
      <c r="AQ1381" t="s">
        <v>261</v>
      </c>
      <c r="AS1381">
        <v>0.31419999999999998</v>
      </c>
      <c r="AX1381" t="s">
        <v>356</v>
      </c>
      <c r="BO1381" t="s">
        <v>261</v>
      </c>
      <c r="BQ1381">
        <v>0.31419999999999998</v>
      </c>
      <c r="BV1381" t="s">
        <v>263</v>
      </c>
      <c r="CM1381" t="s">
        <v>264</v>
      </c>
      <c r="CN1381" t="s">
        <v>264</v>
      </c>
      <c r="CP1381" t="s">
        <v>265</v>
      </c>
      <c r="CQ1381" t="s">
        <v>394</v>
      </c>
      <c r="DB1381">
        <v>2</v>
      </c>
      <c r="DG1381" t="s">
        <v>267</v>
      </c>
      <c r="DI1381">
        <v>48</v>
      </c>
      <c r="DN1381" t="s">
        <v>268</v>
      </c>
      <c r="DP1381" t="s">
        <v>2598</v>
      </c>
      <c r="DR1381">
        <v>2056173</v>
      </c>
      <c r="DS1381">
        <v>1053</v>
      </c>
      <c r="EW1381" t="s">
        <v>293</v>
      </c>
      <c r="FK1381" t="s">
        <v>3007</v>
      </c>
      <c r="HH1381" t="s">
        <v>272</v>
      </c>
      <c r="ID1381" t="s">
        <v>3008</v>
      </c>
      <c r="IE1381" t="s">
        <v>2685</v>
      </c>
      <c r="IF1381">
        <v>14474</v>
      </c>
      <c r="IG1381" t="s">
        <v>2686</v>
      </c>
      <c r="IH1381" t="s">
        <v>2687</v>
      </c>
      <c r="II1381">
        <v>1986</v>
      </c>
      <c r="IJ1381" t="s">
        <v>2688</v>
      </c>
    </row>
    <row r="1382" spans="1:244" x14ac:dyDescent="0.45">
      <c r="A1382">
        <v>1210394</v>
      </c>
      <c r="B1382">
        <v>195478</v>
      </c>
      <c r="C1382">
        <v>7758987</v>
      </c>
      <c r="D1382" t="s">
        <v>2545</v>
      </c>
      <c r="F1382" t="s">
        <v>272</v>
      </c>
      <c r="G1382" t="s">
        <v>246</v>
      </c>
      <c r="N1382" t="s">
        <v>789</v>
      </c>
      <c r="O1382" t="s">
        <v>790</v>
      </c>
      <c r="P1382" t="s">
        <v>249</v>
      </c>
      <c r="Q1382" t="s">
        <v>250</v>
      </c>
      <c r="R1382" t="s">
        <v>251</v>
      </c>
      <c r="T1382" t="s">
        <v>252</v>
      </c>
      <c r="U1382" t="s">
        <v>253</v>
      </c>
      <c r="V1382" t="s">
        <v>418</v>
      </c>
      <c r="W1382" t="s">
        <v>791</v>
      </c>
      <c r="X1382" t="s">
        <v>792</v>
      </c>
      <c r="Z1382" t="s">
        <v>284</v>
      </c>
      <c r="AM1382" t="s">
        <v>287</v>
      </c>
      <c r="AN1382" t="s">
        <v>259</v>
      </c>
      <c r="AO1382" t="s">
        <v>260</v>
      </c>
      <c r="AQ1382" t="s">
        <v>261</v>
      </c>
      <c r="AS1382">
        <v>0.126</v>
      </c>
      <c r="AU1382">
        <v>5.5E-2</v>
      </c>
      <c r="AW1382">
        <v>0.28699999999999998</v>
      </c>
      <c r="AX1382" t="s">
        <v>762</v>
      </c>
      <c r="BO1382" t="s">
        <v>261</v>
      </c>
      <c r="BQ1382">
        <v>0.126</v>
      </c>
      <c r="BS1382">
        <v>5.5E-2</v>
      </c>
      <c r="BU1382">
        <v>0.28699999999999998</v>
      </c>
      <c r="BV1382" t="s">
        <v>263</v>
      </c>
      <c r="CM1382" t="s">
        <v>264</v>
      </c>
      <c r="CN1382" t="s">
        <v>264</v>
      </c>
      <c r="CP1382" t="s">
        <v>265</v>
      </c>
      <c r="DB1382">
        <v>1</v>
      </c>
      <c r="DG1382" t="s">
        <v>267</v>
      </c>
      <c r="DI1382">
        <v>24</v>
      </c>
      <c r="DN1382" t="s">
        <v>268</v>
      </c>
      <c r="DR1382">
        <v>161924</v>
      </c>
      <c r="DS1382">
        <v>3045</v>
      </c>
      <c r="EW1382" t="s">
        <v>272</v>
      </c>
      <c r="FM1382">
        <v>24</v>
      </c>
      <c r="FR1382" t="s">
        <v>295</v>
      </c>
      <c r="GO1382">
        <v>8.1</v>
      </c>
      <c r="HH1382" t="s">
        <v>272</v>
      </c>
      <c r="IE1382" t="s">
        <v>763</v>
      </c>
      <c r="IF1382">
        <v>19318</v>
      </c>
      <c r="IG1382" t="s">
        <v>764</v>
      </c>
      <c r="IH1382" t="s">
        <v>765</v>
      </c>
      <c r="II1382">
        <v>1994</v>
      </c>
      <c r="IJ1382" t="s">
        <v>766</v>
      </c>
    </row>
    <row r="1383" spans="1:244" x14ac:dyDescent="0.45">
      <c r="A1383">
        <v>1310622</v>
      </c>
      <c r="B1383">
        <v>767805</v>
      </c>
      <c r="C1383">
        <v>7758987</v>
      </c>
      <c r="D1383" t="s">
        <v>2545</v>
      </c>
      <c r="F1383" t="s">
        <v>245</v>
      </c>
      <c r="G1383" t="s">
        <v>246</v>
      </c>
      <c r="N1383" t="s">
        <v>471</v>
      </c>
      <c r="O1383" t="s">
        <v>388</v>
      </c>
      <c r="P1383" t="s">
        <v>249</v>
      </c>
      <c r="Q1383" t="s">
        <v>250</v>
      </c>
      <c r="R1383" t="s">
        <v>251</v>
      </c>
      <c r="T1383" t="s">
        <v>389</v>
      </c>
      <c r="U1383" t="s">
        <v>390</v>
      </c>
      <c r="V1383" t="s">
        <v>472</v>
      </c>
      <c r="W1383" t="s">
        <v>473</v>
      </c>
      <c r="X1383" t="s">
        <v>474</v>
      </c>
      <c r="AM1383" t="s">
        <v>317</v>
      </c>
      <c r="AN1383" t="s">
        <v>259</v>
      </c>
      <c r="AO1383" t="s">
        <v>260</v>
      </c>
      <c r="AP1383">
        <v>4</v>
      </c>
      <c r="AQ1383" t="s">
        <v>261</v>
      </c>
      <c r="AS1383">
        <v>0.42799999999999999</v>
      </c>
      <c r="AX1383" t="s">
        <v>356</v>
      </c>
      <c r="BO1383" t="s">
        <v>261</v>
      </c>
      <c r="BQ1383">
        <v>0.42799999999999999</v>
      </c>
      <c r="BV1383" t="s">
        <v>263</v>
      </c>
      <c r="CM1383" t="s">
        <v>264</v>
      </c>
      <c r="CN1383" t="s">
        <v>264</v>
      </c>
      <c r="CO1383" t="s">
        <v>3009</v>
      </c>
      <c r="CP1383" t="s">
        <v>265</v>
      </c>
      <c r="CQ1383" t="s">
        <v>394</v>
      </c>
      <c r="DB1383">
        <v>2</v>
      </c>
      <c r="DG1383" t="s">
        <v>267</v>
      </c>
      <c r="DI1383">
        <v>48</v>
      </c>
      <c r="DN1383" t="s">
        <v>268</v>
      </c>
      <c r="DP1383" t="s">
        <v>2598</v>
      </c>
      <c r="DR1383">
        <v>2056173</v>
      </c>
      <c r="DS1383">
        <v>1053</v>
      </c>
      <c r="EW1383" t="s">
        <v>293</v>
      </c>
      <c r="FK1383" t="s">
        <v>3010</v>
      </c>
      <c r="HH1383" t="s">
        <v>272</v>
      </c>
      <c r="ID1383" t="s">
        <v>3011</v>
      </c>
      <c r="IE1383" t="s">
        <v>2685</v>
      </c>
      <c r="IF1383">
        <v>14474</v>
      </c>
      <c r="IG1383" t="s">
        <v>2686</v>
      </c>
      <c r="IH1383" t="s">
        <v>2687</v>
      </c>
      <c r="II1383">
        <v>1986</v>
      </c>
      <c r="IJ1383" t="s">
        <v>2688</v>
      </c>
    </row>
    <row r="1384" spans="1:244" x14ac:dyDescent="0.45">
      <c r="A1384">
        <v>1186876</v>
      </c>
      <c r="B1384">
        <v>138567</v>
      </c>
      <c r="C1384">
        <v>7758987</v>
      </c>
      <c r="D1384" t="s">
        <v>2545</v>
      </c>
      <c r="F1384" t="s">
        <v>245</v>
      </c>
      <c r="G1384" t="s">
        <v>246</v>
      </c>
      <c r="N1384" t="s">
        <v>789</v>
      </c>
      <c r="O1384" t="s">
        <v>790</v>
      </c>
      <c r="P1384" t="s">
        <v>249</v>
      </c>
      <c r="Q1384" t="s">
        <v>250</v>
      </c>
      <c r="R1384" t="s">
        <v>251</v>
      </c>
      <c r="T1384" t="s">
        <v>252</v>
      </c>
      <c r="U1384" t="s">
        <v>253</v>
      </c>
      <c r="V1384" t="s">
        <v>418</v>
      </c>
      <c r="W1384" t="s">
        <v>791</v>
      </c>
      <c r="X1384" t="s">
        <v>792</v>
      </c>
      <c r="Z1384" t="s">
        <v>421</v>
      </c>
      <c r="AM1384" t="s">
        <v>258</v>
      </c>
      <c r="AN1384" t="s">
        <v>259</v>
      </c>
      <c r="AO1384" t="s">
        <v>260</v>
      </c>
      <c r="AQ1384" t="s">
        <v>261</v>
      </c>
      <c r="AS1384">
        <v>1161</v>
      </c>
      <c r="AX1384" t="s">
        <v>262</v>
      </c>
      <c r="BO1384" t="s">
        <v>261</v>
      </c>
      <c r="BQ1384">
        <v>1.161</v>
      </c>
      <c r="BV1384" t="s">
        <v>263</v>
      </c>
      <c r="CM1384" t="s">
        <v>264</v>
      </c>
      <c r="CN1384" t="s">
        <v>264</v>
      </c>
      <c r="CP1384" t="s">
        <v>265</v>
      </c>
      <c r="DB1384">
        <v>2</v>
      </c>
      <c r="DG1384" t="s">
        <v>267</v>
      </c>
      <c r="DI1384">
        <v>48</v>
      </c>
      <c r="DN1384" t="s">
        <v>268</v>
      </c>
      <c r="DR1384">
        <v>161924</v>
      </c>
      <c r="DS1384">
        <v>3045</v>
      </c>
      <c r="EW1384" t="s">
        <v>272</v>
      </c>
      <c r="FM1384">
        <v>28</v>
      </c>
      <c r="FR1384" t="s">
        <v>295</v>
      </c>
      <c r="GO1384">
        <v>8.1999999999999993</v>
      </c>
      <c r="GU1384">
        <v>32</v>
      </c>
      <c r="GZ1384" t="s">
        <v>296</v>
      </c>
      <c r="HH1384" t="s">
        <v>272</v>
      </c>
      <c r="IE1384" t="s">
        <v>1652</v>
      </c>
      <c r="IF1384">
        <v>16613</v>
      </c>
      <c r="IG1384" t="s">
        <v>1653</v>
      </c>
      <c r="IH1384" t="s">
        <v>1654</v>
      </c>
      <c r="II1384">
        <v>1994</v>
      </c>
      <c r="IJ1384" t="s">
        <v>1655</v>
      </c>
    </row>
    <row r="1385" spans="1:244" x14ac:dyDescent="0.45">
      <c r="A1385">
        <v>1312581</v>
      </c>
      <c r="B1385">
        <v>770045</v>
      </c>
      <c r="C1385">
        <v>7758987</v>
      </c>
      <c r="D1385" t="s">
        <v>2545</v>
      </c>
      <c r="F1385" t="s">
        <v>245</v>
      </c>
      <c r="G1385" t="s">
        <v>246</v>
      </c>
      <c r="H1385" t="s">
        <v>278</v>
      </c>
      <c r="I1385">
        <v>99.5</v>
      </c>
      <c r="N1385" t="s">
        <v>497</v>
      </c>
      <c r="O1385" t="s">
        <v>498</v>
      </c>
      <c r="P1385" t="s">
        <v>249</v>
      </c>
      <c r="Q1385" t="s">
        <v>250</v>
      </c>
      <c r="R1385" t="s">
        <v>251</v>
      </c>
      <c r="T1385" t="s">
        <v>252</v>
      </c>
      <c r="U1385" t="s">
        <v>499</v>
      </c>
      <c r="V1385" t="s">
        <v>500</v>
      </c>
      <c r="W1385" t="s">
        <v>501</v>
      </c>
      <c r="X1385" t="s">
        <v>502</v>
      </c>
      <c r="Z1385" t="s">
        <v>649</v>
      </c>
      <c r="AL1385" t="s">
        <v>2725</v>
      </c>
      <c r="AM1385" t="s">
        <v>258</v>
      </c>
      <c r="AN1385" t="s">
        <v>259</v>
      </c>
      <c r="AO1385" t="s">
        <v>260</v>
      </c>
      <c r="AP1385">
        <v>6</v>
      </c>
      <c r="AQ1385" t="s">
        <v>261</v>
      </c>
      <c r="AS1385">
        <v>78</v>
      </c>
      <c r="AU1385">
        <v>68</v>
      </c>
      <c r="AW1385">
        <v>90</v>
      </c>
      <c r="AX1385" t="s">
        <v>262</v>
      </c>
      <c r="BO1385" t="s">
        <v>261</v>
      </c>
      <c r="BQ1385">
        <v>7.8E-2</v>
      </c>
      <c r="BS1385">
        <v>6.8000000000000005E-2</v>
      </c>
      <c r="BU1385">
        <v>0.09</v>
      </c>
      <c r="BV1385" t="s">
        <v>263</v>
      </c>
      <c r="CM1385" t="s">
        <v>264</v>
      </c>
      <c r="CN1385" t="s">
        <v>264</v>
      </c>
      <c r="CP1385" t="s">
        <v>265</v>
      </c>
      <c r="CQ1385" t="s">
        <v>394</v>
      </c>
      <c r="DB1385">
        <v>4</v>
      </c>
      <c r="DG1385" t="s">
        <v>267</v>
      </c>
      <c r="DI1385">
        <v>96</v>
      </c>
      <c r="DN1385" t="s">
        <v>268</v>
      </c>
      <c r="DO1385" t="s">
        <v>1587</v>
      </c>
      <c r="DP1385" t="s">
        <v>2598</v>
      </c>
      <c r="DR1385">
        <v>1400849</v>
      </c>
      <c r="DS1385">
        <v>4389</v>
      </c>
      <c r="DT1385" t="s">
        <v>2726</v>
      </c>
      <c r="EW1385" t="s">
        <v>293</v>
      </c>
      <c r="FA1385" t="s">
        <v>2727</v>
      </c>
      <c r="FK1385" t="s">
        <v>2728</v>
      </c>
      <c r="FM1385">
        <v>25</v>
      </c>
      <c r="FR1385" t="s">
        <v>295</v>
      </c>
      <c r="GQ1385">
        <v>8.1</v>
      </c>
      <c r="GS1385">
        <v>8.4</v>
      </c>
      <c r="GU1385">
        <v>33</v>
      </c>
      <c r="GZ1385" t="s">
        <v>296</v>
      </c>
      <c r="HH1385" t="s">
        <v>272</v>
      </c>
      <c r="ID1385" t="s">
        <v>2729</v>
      </c>
      <c r="IE1385" t="s">
        <v>2730</v>
      </c>
      <c r="IF1385">
        <v>111647</v>
      </c>
      <c r="IG1385" t="s">
        <v>2731</v>
      </c>
      <c r="IH1385" t="s">
        <v>2732</v>
      </c>
      <c r="II1385">
        <v>2008</v>
      </c>
      <c r="IJ1385" t="s">
        <v>2733</v>
      </c>
    </row>
    <row r="1386" spans="1:244" x14ac:dyDescent="0.45">
      <c r="A1386">
        <v>1299806</v>
      </c>
      <c r="B1386">
        <v>755405</v>
      </c>
      <c r="C1386">
        <v>7758987</v>
      </c>
      <c r="D1386" t="s">
        <v>2545</v>
      </c>
      <c r="F1386" t="s">
        <v>245</v>
      </c>
      <c r="G1386" t="s">
        <v>246</v>
      </c>
      <c r="N1386" t="s">
        <v>3012</v>
      </c>
      <c r="O1386" t="s">
        <v>3013</v>
      </c>
      <c r="P1386" t="s">
        <v>249</v>
      </c>
      <c r="Q1386" t="s">
        <v>250</v>
      </c>
      <c r="R1386" t="s">
        <v>251</v>
      </c>
      <c r="T1386" t="s">
        <v>252</v>
      </c>
      <c r="U1386" t="s">
        <v>253</v>
      </c>
      <c r="V1386" t="s">
        <v>3014</v>
      </c>
      <c r="W1386" t="s">
        <v>3015</v>
      </c>
      <c r="X1386" t="s">
        <v>351</v>
      </c>
      <c r="AM1386" t="s">
        <v>317</v>
      </c>
      <c r="AN1386" t="s">
        <v>259</v>
      </c>
      <c r="AO1386" t="s">
        <v>260</v>
      </c>
      <c r="AQ1386" t="s">
        <v>261</v>
      </c>
      <c r="AS1386">
        <v>0.44</v>
      </c>
      <c r="AX1386" t="s">
        <v>356</v>
      </c>
      <c r="BO1386" t="s">
        <v>261</v>
      </c>
      <c r="BQ1386">
        <v>0.44</v>
      </c>
      <c r="BV1386" t="s">
        <v>263</v>
      </c>
      <c r="CM1386" t="s">
        <v>264</v>
      </c>
      <c r="CN1386" t="s">
        <v>264</v>
      </c>
      <c r="CP1386" t="s">
        <v>265</v>
      </c>
      <c r="DB1386">
        <v>1</v>
      </c>
      <c r="DG1386" t="s">
        <v>267</v>
      </c>
      <c r="DI1386">
        <v>24</v>
      </c>
      <c r="DN1386" t="s">
        <v>268</v>
      </c>
      <c r="DP1386" t="s">
        <v>2580</v>
      </c>
      <c r="DR1386">
        <v>117980</v>
      </c>
      <c r="DS1386">
        <v>2901</v>
      </c>
      <c r="EW1386" t="s">
        <v>293</v>
      </c>
      <c r="FK1386" t="s">
        <v>3016</v>
      </c>
      <c r="GJ1386">
        <v>6.5</v>
      </c>
      <c r="GL1386">
        <v>7</v>
      </c>
      <c r="GM1386" t="s">
        <v>356</v>
      </c>
      <c r="GQ1386">
        <v>8</v>
      </c>
      <c r="GS1386">
        <v>8.1999999999999993</v>
      </c>
      <c r="HH1386" t="s">
        <v>272</v>
      </c>
      <c r="ID1386" t="s">
        <v>3017</v>
      </c>
      <c r="IE1386" t="s">
        <v>2583</v>
      </c>
      <c r="IF1386">
        <v>12327</v>
      </c>
      <c r="IG1386" t="s">
        <v>2584</v>
      </c>
      <c r="IH1386" t="s">
        <v>2585</v>
      </c>
      <c r="II1386">
        <v>1985</v>
      </c>
      <c r="IJ1386" t="s">
        <v>2586</v>
      </c>
    </row>
    <row r="1387" spans="1:244" x14ac:dyDescent="0.45">
      <c r="A1387">
        <v>1073235</v>
      </c>
      <c r="B1387">
        <v>47465</v>
      </c>
      <c r="C1387">
        <v>7758987</v>
      </c>
      <c r="D1387" t="s">
        <v>2545</v>
      </c>
      <c r="F1387" t="s">
        <v>245</v>
      </c>
      <c r="G1387" t="s">
        <v>246</v>
      </c>
      <c r="N1387" t="s">
        <v>546</v>
      </c>
      <c r="O1387" t="s">
        <v>547</v>
      </c>
      <c r="P1387" t="s">
        <v>249</v>
      </c>
      <c r="Q1387" t="s">
        <v>250</v>
      </c>
      <c r="R1387" t="s">
        <v>251</v>
      </c>
      <c r="T1387" t="s">
        <v>252</v>
      </c>
      <c r="U1387" t="s">
        <v>253</v>
      </c>
      <c r="V1387" t="s">
        <v>548</v>
      </c>
      <c r="W1387" t="s">
        <v>549</v>
      </c>
      <c r="X1387" t="s">
        <v>550</v>
      </c>
      <c r="Z1387" t="s">
        <v>284</v>
      </c>
      <c r="AD1387">
        <v>1</v>
      </c>
      <c r="AF1387">
        <v>3</v>
      </c>
      <c r="AG1387" t="s">
        <v>267</v>
      </c>
      <c r="AM1387" t="s">
        <v>317</v>
      </c>
      <c r="AN1387" t="s">
        <v>259</v>
      </c>
      <c r="AO1387" t="s">
        <v>260</v>
      </c>
      <c r="AQ1387" t="s">
        <v>261</v>
      </c>
      <c r="AS1387">
        <v>330</v>
      </c>
      <c r="AX1387" t="s">
        <v>262</v>
      </c>
      <c r="BO1387" t="s">
        <v>261</v>
      </c>
      <c r="BQ1387">
        <v>0.33</v>
      </c>
      <c r="BV1387" t="s">
        <v>263</v>
      </c>
      <c r="CM1387" t="s">
        <v>264</v>
      </c>
      <c r="CN1387" t="s">
        <v>264</v>
      </c>
      <c r="CP1387" t="s">
        <v>265</v>
      </c>
      <c r="CQ1387" t="s">
        <v>394</v>
      </c>
      <c r="DB1387">
        <v>2</v>
      </c>
      <c r="DG1387" t="s">
        <v>267</v>
      </c>
      <c r="DI1387">
        <v>48</v>
      </c>
      <c r="DN1387" t="s">
        <v>268</v>
      </c>
      <c r="DR1387">
        <v>491138</v>
      </c>
      <c r="DS1387">
        <v>11</v>
      </c>
      <c r="DT1387" t="s">
        <v>1656</v>
      </c>
      <c r="EW1387" t="s">
        <v>333</v>
      </c>
      <c r="FK1387" t="s">
        <v>2745</v>
      </c>
      <c r="FM1387">
        <v>15</v>
      </c>
      <c r="FR1387" t="s">
        <v>295</v>
      </c>
      <c r="HH1387" t="s">
        <v>272</v>
      </c>
      <c r="ID1387" t="s">
        <v>2746</v>
      </c>
      <c r="IE1387" t="s">
        <v>1659</v>
      </c>
      <c r="IF1387">
        <v>5732</v>
      </c>
      <c r="IG1387" t="s">
        <v>1660</v>
      </c>
      <c r="IH1387" t="s">
        <v>1661</v>
      </c>
      <c r="II1387">
        <v>1972</v>
      </c>
      <c r="IJ1387" t="s">
        <v>1662</v>
      </c>
    </row>
    <row r="1388" spans="1:244" x14ac:dyDescent="0.45">
      <c r="A1388">
        <v>1198943</v>
      </c>
      <c r="B1388">
        <v>150572</v>
      </c>
      <c r="C1388">
        <v>7758987</v>
      </c>
      <c r="D1388" t="s">
        <v>2545</v>
      </c>
      <c r="F1388" t="s">
        <v>245</v>
      </c>
      <c r="G1388" t="s">
        <v>246</v>
      </c>
      <c r="N1388" t="s">
        <v>247</v>
      </c>
      <c r="O1388" t="s">
        <v>248</v>
      </c>
      <c r="P1388" t="s">
        <v>249</v>
      </c>
      <c r="Q1388" t="s">
        <v>250</v>
      </c>
      <c r="R1388" t="s">
        <v>251</v>
      </c>
      <c r="T1388" t="s">
        <v>252</v>
      </c>
      <c r="U1388" t="s">
        <v>253</v>
      </c>
      <c r="V1388" t="s">
        <v>254</v>
      </c>
      <c r="W1388" t="s">
        <v>255</v>
      </c>
      <c r="X1388" t="s">
        <v>256</v>
      </c>
      <c r="Z1388" t="s">
        <v>1046</v>
      </c>
      <c r="AD1388">
        <v>6</v>
      </c>
      <c r="AF1388">
        <v>8</v>
      </c>
      <c r="AG1388" t="s">
        <v>267</v>
      </c>
      <c r="AL1388" t="s">
        <v>3018</v>
      </c>
      <c r="AM1388" t="s">
        <v>287</v>
      </c>
      <c r="AN1388" t="s">
        <v>259</v>
      </c>
      <c r="AO1388" t="s">
        <v>260</v>
      </c>
      <c r="AQ1388" t="s">
        <v>261</v>
      </c>
      <c r="AS1388">
        <v>80</v>
      </c>
      <c r="AU1388">
        <v>70</v>
      </c>
      <c r="AW1388">
        <v>93</v>
      </c>
      <c r="AX1388" t="s">
        <v>262</v>
      </c>
      <c r="BO1388" t="s">
        <v>261</v>
      </c>
      <c r="BQ1388">
        <v>0.08</v>
      </c>
      <c r="BS1388">
        <v>7.0000000000000007E-2</v>
      </c>
      <c r="BU1388">
        <v>9.2999999999999999E-2</v>
      </c>
      <c r="BV1388" t="s">
        <v>263</v>
      </c>
      <c r="CM1388" t="s">
        <v>264</v>
      </c>
      <c r="CN1388" t="s">
        <v>264</v>
      </c>
      <c r="CP1388" t="s">
        <v>265</v>
      </c>
      <c r="CQ1388" t="s">
        <v>394</v>
      </c>
      <c r="DB1388">
        <v>2</v>
      </c>
      <c r="DG1388" t="s">
        <v>267</v>
      </c>
      <c r="DI1388">
        <v>48</v>
      </c>
      <c r="DN1388" t="s">
        <v>268</v>
      </c>
      <c r="DR1388">
        <v>6761</v>
      </c>
      <c r="DS1388">
        <v>2461</v>
      </c>
      <c r="DT1388" t="s">
        <v>3019</v>
      </c>
      <c r="EW1388" t="s">
        <v>376</v>
      </c>
      <c r="GU1388">
        <v>30</v>
      </c>
      <c r="GZ1388" t="s">
        <v>296</v>
      </c>
      <c r="HH1388" t="s">
        <v>272</v>
      </c>
      <c r="IE1388" t="s">
        <v>3020</v>
      </c>
      <c r="IF1388">
        <v>17977</v>
      </c>
      <c r="IG1388" t="s">
        <v>3021</v>
      </c>
      <c r="IH1388" t="s">
        <v>3022</v>
      </c>
      <c r="II1388">
        <v>1997</v>
      </c>
      <c r="IJ1388" t="s">
        <v>3023</v>
      </c>
    </row>
    <row r="1389" spans="1:244" x14ac:dyDescent="0.45">
      <c r="A1389">
        <v>1070628</v>
      </c>
      <c r="B1389">
        <v>12733</v>
      </c>
      <c r="C1389">
        <v>7758987</v>
      </c>
      <c r="D1389" t="s">
        <v>2545</v>
      </c>
      <c r="F1389" t="s">
        <v>327</v>
      </c>
      <c r="G1389" t="s">
        <v>246</v>
      </c>
      <c r="N1389" t="s">
        <v>1941</v>
      </c>
      <c r="O1389" t="s">
        <v>388</v>
      </c>
      <c r="P1389" t="s">
        <v>249</v>
      </c>
      <c r="Q1389" t="s">
        <v>250</v>
      </c>
      <c r="R1389" t="s">
        <v>251</v>
      </c>
      <c r="T1389" t="s">
        <v>389</v>
      </c>
      <c r="U1389" t="s">
        <v>390</v>
      </c>
      <c r="V1389" t="s">
        <v>472</v>
      </c>
      <c r="W1389" t="s">
        <v>1942</v>
      </c>
      <c r="X1389" t="s">
        <v>351</v>
      </c>
      <c r="Z1389" t="s">
        <v>1034</v>
      </c>
      <c r="AL1389" t="s">
        <v>2639</v>
      </c>
      <c r="AM1389" t="s">
        <v>317</v>
      </c>
      <c r="AN1389" t="s">
        <v>259</v>
      </c>
      <c r="AO1389" t="s">
        <v>260</v>
      </c>
      <c r="AQ1389" t="s">
        <v>261</v>
      </c>
      <c r="AS1389">
        <v>180</v>
      </c>
      <c r="AU1389">
        <v>120</v>
      </c>
      <c r="AW1389">
        <v>230</v>
      </c>
      <c r="AX1389" t="s">
        <v>262</v>
      </c>
      <c r="BO1389" t="s">
        <v>261</v>
      </c>
      <c r="BQ1389">
        <v>0.18</v>
      </c>
      <c r="BS1389">
        <v>0.12</v>
      </c>
      <c r="BU1389">
        <v>0.23</v>
      </c>
      <c r="BV1389" t="s">
        <v>263</v>
      </c>
      <c r="CM1389" t="s">
        <v>264</v>
      </c>
      <c r="CN1389" t="s">
        <v>264</v>
      </c>
      <c r="CP1389" t="s">
        <v>265</v>
      </c>
      <c r="CQ1389" t="s">
        <v>394</v>
      </c>
      <c r="DB1389">
        <v>1</v>
      </c>
      <c r="DG1389" t="s">
        <v>267</v>
      </c>
      <c r="DI1389">
        <v>24</v>
      </c>
      <c r="DN1389" t="s">
        <v>268</v>
      </c>
      <c r="DR1389">
        <v>2172647</v>
      </c>
      <c r="DS1389">
        <v>646</v>
      </c>
      <c r="DT1389" t="s">
        <v>1944</v>
      </c>
      <c r="EW1389" t="s">
        <v>333</v>
      </c>
      <c r="FK1389" t="s">
        <v>2969</v>
      </c>
      <c r="FM1389">
        <v>17</v>
      </c>
      <c r="FR1389" t="s">
        <v>295</v>
      </c>
      <c r="GW1389">
        <v>34.5</v>
      </c>
      <c r="GY1389">
        <v>35.5</v>
      </c>
      <c r="GZ1389" t="s">
        <v>296</v>
      </c>
      <c r="HH1389" t="s">
        <v>272</v>
      </c>
      <c r="ID1389" t="s">
        <v>2970</v>
      </c>
      <c r="IE1389" t="s">
        <v>1947</v>
      </c>
      <c r="IF1389">
        <v>5563</v>
      </c>
      <c r="IG1389" t="s">
        <v>1948</v>
      </c>
      <c r="IH1389" t="s">
        <v>1949</v>
      </c>
      <c r="II1389">
        <v>1979</v>
      </c>
      <c r="IJ1389" t="s">
        <v>1950</v>
      </c>
    </row>
    <row r="1390" spans="1:244" x14ac:dyDescent="0.45">
      <c r="A1390">
        <v>1195638</v>
      </c>
      <c r="B1390">
        <v>155764</v>
      </c>
      <c r="C1390">
        <v>7758987</v>
      </c>
      <c r="D1390" t="s">
        <v>2545</v>
      </c>
      <c r="E1390" t="s">
        <v>439</v>
      </c>
      <c r="F1390" t="s">
        <v>245</v>
      </c>
      <c r="G1390" t="s">
        <v>246</v>
      </c>
      <c r="N1390" t="s">
        <v>1734</v>
      </c>
      <c r="O1390" t="s">
        <v>248</v>
      </c>
      <c r="P1390" t="s">
        <v>249</v>
      </c>
      <c r="Q1390" t="s">
        <v>250</v>
      </c>
      <c r="R1390" t="s">
        <v>251</v>
      </c>
      <c r="T1390" t="s">
        <v>252</v>
      </c>
      <c r="U1390" t="s">
        <v>253</v>
      </c>
      <c r="V1390" t="s">
        <v>1735</v>
      </c>
      <c r="W1390" t="s">
        <v>1736</v>
      </c>
      <c r="X1390" t="s">
        <v>1737</v>
      </c>
      <c r="AM1390" t="s">
        <v>287</v>
      </c>
      <c r="AN1390" t="s">
        <v>259</v>
      </c>
      <c r="AO1390" t="s">
        <v>260</v>
      </c>
      <c r="AQ1390" t="s">
        <v>261</v>
      </c>
      <c r="AS1390">
        <v>15000</v>
      </c>
      <c r="AX1390" t="s">
        <v>262</v>
      </c>
      <c r="BO1390" t="s">
        <v>261</v>
      </c>
      <c r="BQ1390">
        <v>15</v>
      </c>
      <c r="BV1390" t="s">
        <v>263</v>
      </c>
      <c r="CM1390" t="s">
        <v>264</v>
      </c>
      <c r="CN1390" t="s">
        <v>264</v>
      </c>
      <c r="CP1390" t="s">
        <v>265</v>
      </c>
      <c r="DB1390">
        <v>4</v>
      </c>
      <c r="DG1390" t="s">
        <v>267</v>
      </c>
      <c r="DI1390">
        <v>96</v>
      </c>
      <c r="DN1390" t="s">
        <v>268</v>
      </c>
      <c r="DR1390">
        <v>345020</v>
      </c>
      <c r="DS1390">
        <v>5935</v>
      </c>
      <c r="EW1390" t="s">
        <v>272</v>
      </c>
      <c r="HH1390" t="s">
        <v>272</v>
      </c>
      <c r="IE1390" t="s">
        <v>1738</v>
      </c>
      <c r="IF1390">
        <v>17564</v>
      </c>
      <c r="IG1390" t="s">
        <v>1739</v>
      </c>
      <c r="IH1390" t="s">
        <v>1740</v>
      </c>
      <c r="II1390">
        <v>1992</v>
      </c>
      <c r="IJ1390" t="s">
        <v>1741</v>
      </c>
    </row>
    <row r="1391" spans="1:244" x14ac:dyDescent="0.45">
      <c r="A1391">
        <v>1184329</v>
      </c>
      <c r="B1391">
        <v>139841</v>
      </c>
      <c r="C1391">
        <v>7758987</v>
      </c>
      <c r="D1391" t="s">
        <v>2545</v>
      </c>
      <c r="E1391" t="s">
        <v>439</v>
      </c>
      <c r="F1391" t="s">
        <v>245</v>
      </c>
      <c r="G1391" t="s">
        <v>246</v>
      </c>
      <c r="N1391" t="s">
        <v>1914</v>
      </c>
      <c r="O1391" t="s">
        <v>248</v>
      </c>
      <c r="P1391" t="s">
        <v>249</v>
      </c>
      <c r="Q1391" t="s">
        <v>250</v>
      </c>
      <c r="R1391" t="s">
        <v>251</v>
      </c>
      <c r="T1391" t="s">
        <v>252</v>
      </c>
      <c r="U1391" t="s">
        <v>253</v>
      </c>
      <c r="V1391" t="s">
        <v>254</v>
      </c>
      <c r="W1391" t="s">
        <v>1915</v>
      </c>
      <c r="X1391" t="s">
        <v>1916</v>
      </c>
      <c r="Z1391" t="s">
        <v>284</v>
      </c>
      <c r="AB1391" t="s">
        <v>2135</v>
      </c>
      <c r="AG1391" t="s">
        <v>1409</v>
      </c>
      <c r="AM1391" t="s">
        <v>258</v>
      </c>
      <c r="AN1391" t="s">
        <v>259</v>
      </c>
      <c r="AO1391" t="s">
        <v>260</v>
      </c>
      <c r="AQ1391" t="s">
        <v>261</v>
      </c>
      <c r="AS1391">
        <v>50</v>
      </c>
      <c r="AU1391">
        <v>40</v>
      </c>
      <c r="AW1391">
        <v>70</v>
      </c>
      <c r="AX1391" t="s">
        <v>262</v>
      </c>
      <c r="BO1391" t="s">
        <v>261</v>
      </c>
      <c r="BQ1391">
        <v>0.05</v>
      </c>
      <c r="BS1391">
        <v>0.04</v>
      </c>
      <c r="BU1391">
        <v>7.0000000000000007E-2</v>
      </c>
      <c r="BV1391" t="s">
        <v>263</v>
      </c>
      <c r="CM1391" t="s">
        <v>264</v>
      </c>
      <c r="CN1391" t="s">
        <v>264</v>
      </c>
      <c r="CP1391" t="s">
        <v>265</v>
      </c>
      <c r="CQ1391" t="s">
        <v>394</v>
      </c>
      <c r="DB1391">
        <v>2</v>
      </c>
      <c r="DG1391" t="s">
        <v>267</v>
      </c>
      <c r="DI1391">
        <v>48</v>
      </c>
      <c r="DN1391" t="s">
        <v>268</v>
      </c>
      <c r="DR1391">
        <v>80836</v>
      </c>
      <c r="DS1391">
        <v>2488</v>
      </c>
      <c r="DT1391" t="s">
        <v>2136</v>
      </c>
      <c r="EW1391" t="s">
        <v>293</v>
      </c>
      <c r="FM1391">
        <v>26</v>
      </c>
      <c r="FR1391" t="s">
        <v>295</v>
      </c>
      <c r="GG1391" t="s">
        <v>278</v>
      </c>
      <c r="GH1391">
        <v>85</v>
      </c>
      <c r="GM1391" t="s">
        <v>900</v>
      </c>
      <c r="GU1391">
        <v>33</v>
      </c>
      <c r="GZ1391" t="s">
        <v>296</v>
      </c>
      <c r="HH1391" t="s">
        <v>272</v>
      </c>
      <c r="IE1391" t="s">
        <v>2137</v>
      </c>
      <c r="IF1391">
        <v>16331</v>
      </c>
      <c r="IG1391" t="s">
        <v>2138</v>
      </c>
      <c r="IH1391" t="s">
        <v>2139</v>
      </c>
      <c r="II1391">
        <v>1994</v>
      </c>
      <c r="IJ1391" t="s">
        <v>2140</v>
      </c>
    </row>
    <row r="1392" spans="1:244" x14ac:dyDescent="0.45">
      <c r="A1392">
        <v>1194078</v>
      </c>
      <c r="B1392">
        <v>166697</v>
      </c>
      <c r="C1392">
        <v>7758987</v>
      </c>
      <c r="D1392" t="s">
        <v>2545</v>
      </c>
      <c r="F1392" t="s">
        <v>245</v>
      </c>
      <c r="G1392" t="s">
        <v>246</v>
      </c>
      <c r="N1392" t="s">
        <v>1914</v>
      </c>
      <c r="O1392" t="s">
        <v>248</v>
      </c>
      <c r="P1392" t="s">
        <v>249</v>
      </c>
      <c r="Q1392" t="s">
        <v>250</v>
      </c>
      <c r="R1392" t="s">
        <v>251</v>
      </c>
      <c r="T1392" t="s">
        <v>252</v>
      </c>
      <c r="U1392" t="s">
        <v>253</v>
      </c>
      <c r="V1392" t="s">
        <v>254</v>
      </c>
      <c r="W1392" t="s">
        <v>1915</v>
      </c>
      <c r="X1392" t="s">
        <v>1916</v>
      </c>
      <c r="Z1392" t="s">
        <v>2263</v>
      </c>
      <c r="AL1392" t="s">
        <v>2264</v>
      </c>
      <c r="AM1392" t="s">
        <v>317</v>
      </c>
      <c r="AN1392" t="s">
        <v>259</v>
      </c>
      <c r="AO1392" t="s">
        <v>260</v>
      </c>
      <c r="AQ1392" t="s">
        <v>261</v>
      </c>
      <c r="AS1392">
        <v>3270</v>
      </c>
      <c r="AX1392" t="s">
        <v>262</v>
      </c>
      <c r="BO1392" t="s">
        <v>261</v>
      </c>
      <c r="BQ1392">
        <v>3.27</v>
      </c>
      <c r="BV1392" t="s">
        <v>263</v>
      </c>
      <c r="CM1392" t="s">
        <v>264</v>
      </c>
      <c r="CN1392" t="s">
        <v>264</v>
      </c>
      <c r="CP1392" t="s">
        <v>265</v>
      </c>
      <c r="CQ1392" t="s">
        <v>394</v>
      </c>
      <c r="DB1392">
        <v>4</v>
      </c>
      <c r="DG1392" t="s">
        <v>267</v>
      </c>
      <c r="DI1392">
        <v>96</v>
      </c>
      <c r="DN1392" t="s">
        <v>268</v>
      </c>
      <c r="DR1392">
        <v>80836</v>
      </c>
      <c r="DS1392">
        <v>2488</v>
      </c>
      <c r="EW1392" t="s">
        <v>293</v>
      </c>
      <c r="FK1392" t="s">
        <v>2265</v>
      </c>
      <c r="FM1392">
        <v>17</v>
      </c>
      <c r="FR1392" t="s">
        <v>295</v>
      </c>
      <c r="GH1392">
        <v>81</v>
      </c>
      <c r="GM1392" t="s">
        <v>900</v>
      </c>
      <c r="GU1392">
        <v>36.700000000000003</v>
      </c>
      <c r="GZ1392" t="s">
        <v>900</v>
      </c>
      <c r="HH1392" t="s">
        <v>272</v>
      </c>
      <c r="ID1392" t="s">
        <v>2266</v>
      </c>
      <c r="IE1392" t="s">
        <v>2267</v>
      </c>
      <c r="IF1392">
        <v>17415</v>
      </c>
      <c r="IG1392" t="s">
        <v>2268</v>
      </c>
      <c r="IH1392" t="s">
        <v>2269</v>
      </c>
      <c r="II1392">
        <v>1985</v>
      </c>
      <c r="IJ1392" t="s">
        <v>2270</v>
      </c>
    </row>
    <row r="1393" spans="1:244" x14ac:dyDescent="0.45">
      <c r="A1393">
        <v>1194077</v>
      </c>
      <c r="B1393">
        <v>166696</v>
      </c>
      <c r="C1393">
        <v>7758987</v>
      </c>
      <c r="D1393" t="s">
        <v>2545</v>
      </c>
      <c r="F1393" t="s">
        <v>245</v>
      </c>
      <c r="G1393" t="s">
        <v>246</v>
      </c>
      <c r="N1393" t="s">
        <v>1914</v>
      </c>
      <c r="O1393" t="s">
        <v>248</v>
      </c>
      <c r="P1393" t="s">
        <v>249</v>
      </c>
      <c r="Q1393" t="s">
        <v>250</v>
      </c>
      <c r="R1393" t="s">
        <v>251</v>
      </c>
      <c r="T1393" t="s">
        <v>252</v>
      </c>
      <c r="U1393" t="s">
        <v>253</v>
      </c>
      <c r="V1393" t="s">
        <v>254</v>
      </c>
      <c r="W1393" t="s">
        <v>1915</v>
      </c>
      <c r="X1393" t="s">
        <v>1916</v>
      </c>
      <c r="Z1393" t="s">
        <v>2263</v>
      </c>
      <c r="AL1393" t="s">
        <v>2271</v>
      </c>
      <c r="AM1393" t="s">
        <v>317</v>
      </c>
      <c r="AN1393" t="s">
        <v>259</v>
      </c>
      <c r="AO1393" t="s">
        <v>260</v>
      </c>
      <c r="AQ1393" t="s">
        <v>261</v>
      </c>
      <c r="AS1393">
        <v>3890</v>
      </c>
      <c r="AX1393" t="s">
        <v>262</v>
      </c>
      <c r="BO1393" t="s">
        <v>261</v>
      </c>
      <c r="BQ1393">
        <v>3.89</v>
      </c>
      <c r="BV1393" t="s">
        <v>263</v>
      </c>
      <c r="CM1393" t="s">
        <v>264</v>
      </c>
      <c r="CN1393" t="s">
        <v>264</v>
      </c>
      <c r="CP1393" t="s">
        <v>265</v>
      </c>
      <c r="CQ1393" t="s">
        <v>394</v>
      </c>
      <c r="DB1393">
        <v>4</v>
      </c>
      <c r="DG1393" t="s">
        <v>267</v>
      </c>
      <c r="DI1393">
        <v>96</v>
      </c>
      <c r="DN1393" t="s">
        <v>268</v>
      </c>
      <c r="DR1393">
        <v>80836</v>
      </c>
      <c r="DS1393">
        <v>2488</v>
      </c>
      <c r="EW1393" t="s">
        <v>293</v>
      </c>
      <c r="FK1393" t="s">
        <v>2265</v>
      </c>
      <c r="FM1393">
        <v>17</v>
      </c>
      <c r="FR1393" t="s">
        <v>295</v>
      </c>
      <c r="GH1393">
        <v>81</v>
      </c>
      <c r="GM1393" t="s">
        <v>900</v>
      </c>
      <c r="GU1393">
        <v>36.700000000000003</v>
      </c>
      <c r="GZ1393" t="s">
        <v>900</v>
      </c>
      <c r="HH1393" t="s">
        <v>272</v>
      </c>
      <c r="ID1393" t="s">
        <v>2266</v>
      </c>
      <c r="IE1393" t="s">
        <v>2267</v>
      </c>
      <c r="IF1393">
        <v>17415</v>
      </c>
      <c r="IG1393" t="s">
        <v>2268</v>
      </c>
      <c r="IH1393" t="s">
        <v>2269</v>
      </c>
      <c r="II1393">
        <v>1985</v>
      </c>
      <c r="IJ1393" t="s">
        <v>2270</v>
      </c>
    </row>
    <row r="1394" spans="1:244" x14ac:dyDescent="0.45">
      <c r="A1394">
        <v>2019866</v>
      </c>
      <c r="B1394">
        <v>2033704</v>
      </c>
      <c r="C1394">
        <v>7758987</v>
      </c>
      <c r="D1394" t="s">
        <v>2545</v>
      </c>
      <c r="F1394" t="s">
        <v>245</v>
      </c>
      <c r="G1394" t="s">
        <v>272</v>
      </c>
      <c r="H1394" t="s">
        <v>278</v>
      </c>
      <c r="I1394">
        <v>99.5</v>
      </c>
      <c r="N1394" t="s">
        <v>387</v>
      </c>
      <c r="O1394" t="s">
        <v>388</v>
      </c>
      <c r="P1394" t="s">
        <v>249</v>
      </c>
      <c r="Q1394" t="s">
        <v>250</v>
      </c>
      <c r="R1394" t="s">
        <v>251</v>
      </c>
      <c r="T1394" t="s">
        <v>389</v>
      </c>
      <c r="U1394" t="s">
        <v>390</v>
      </c>
      <c r="V1394" t="s">
        <v>391</v>
      </c>
      <c r="W1394" t="s">
        <v>392</v>
      </c>
      <c r="X1394" t="s">
        <v>393</v>
      </c>
      <c r="Z1394" t="s">
        <v>315</v>
      </c>
      <c r="AJ1394" t="s">
        <v>285</v>
      </c>
      <c r="AM1394" t="s">
        <v>258</v>
      </c>
      <c r="AN1394" t="s">
        <v>259</v>
      </c>
      <c r="AO1394" t="s">
        <v>260</v>
      </c>
      <c r="AQ1394" t="s">
        <v>261</v>
      </c>
      <c r="AS1394">
        <v>580</v>
      </c>
      <c r="AU1394">
        <v>430</v>
      </c>
      <c r="AW1394">
        <v>790</v>
      </c>
      <c r="AX1394" t="s">
        <v>262</v>
      </c>
      <c r="BO1394" t="s">
        <v>261</v>
      </c>
      <c r="BQ1394">
        <v>0.57999999999999996</v>
      </c>
      <c r="BS1394">
        <v>0.43</v>
      </c>
      <c r="BU1394">
        <v>0.79</v>
      </c>
      <c r="BV1394" t="s">
        <v>263</v>
      </c>
      <c r="CM1394" t="s">
        <v>264</v>
      </c>
      <c r="CN1394" t="s">
        <v>264</v>
      </c>
      <c r="CP1394" t="s">
        <v>265</v>
      </c>
      <c r="CQ1394" t="s">
        <v>394</v>
      </c>
      <c r="DB1394">
        <v>4</v>
      </c>
      <c r="DG1394" t="s">
        <v>267</v>
      </c>
      <c r="DI1394">
        <v>96</v>
      </c>
      <c r="DN1394" t="s">
        <v>268</v>
      </c>
      <c r="DO1394" t="s">
        <v>1587</v>
      </c>
      <c r="DP1394" t="s">
        <v>2975</v>
      </c>
      <c r="DR1394">
        <v>158387</v>
      </c>
      <c r="DS1394">
        <v>6038</v>
      </c>
      <c r="DT1394" t="s">
        <v>2976</v>
      </c>
      <c r="DV1394">
        <v>96</v>
      </c>
      <c r="EA1394" t="s">
        <v>268</v>
      </c>
      <c r="EC1394">
        <v>4</v>
      </c>
      <c r="EH1394" t="s">
        <v>267</v>
      </c>
      <c r="EJ1394">
        <v>96</v>
      </c>
      <c r="EO1394" t="s">
        <v>268</v>
      </c>
      <c r="EQ1394">
        <v>4</v>
      </c>
      <c r="EV1394" t="s">
        <v>267</v>
      </c>
      <c r="EW1394" t="s">
        <v>293</v>
      </c>
      <c r="EY1394" t="s">
        <v>377</v>
      </c>
      <c r="FA1394" t="s">
        <v>397</v>
      </c>
      <c r="FK1394" t="s">
        <v>3024</v>
      </c>
      <c r="FM1394">
        <v>25</v>
      </c>
      <c r="FR1394" t="s">
        <v>295</v>
      </c>
      <c r="GQ1394">
        <v>8.1</v>
      </c>
      <c r="GS1394">
        <v>8.4</v>
      </c>
      <c r="GU1394">
        <v>33</v>
      </c>
      <c r="GZ1394" t="s">
        <v>296</v>
      </c>
      <c r="HH1394" t="s">
        <v>272</v>
      </c>
      <c r="ID1394" t="s">
        <v>3025</v>
      </c>
      <c r="IE1394" t="s">
        <v>2977</v>
      </c>
      <c r="IF1394">
        <v>156339</v>
      </c>
      <c r="IG1394" t="s">
        <v>2978</v>
      </c>
      <c r="IH1394" t="s">
        <v>2979</v>
      </c>
      <c r="II1394">
        <v>2011</v>
      </c>
      <c r="IJ1394" t="s">
        <v>2980</v>
      </c>
    </row>
    <row r="1395" spans="1:244" x14ac:dyDescent="0.45">
      <c r="A1395">
        <v>1205935</v>
      </c>
      <c r="B1395">
        <v>171326</v>
      </c>
      <c r="C1395">
        <v>7758987</v>
      </c>
      <c r="D1395" t="s">
        <v>2545</v>
      </c>
      <c r="F1395" t="s">
        <v>245</v>
      </c>
      <c r="G1395" t="s">
        <v>246</v>
      </c>
      <c r="N1395" t="s">
        <v>2498</v>
      </c>
      <c r="O1395" t="s">
        <v>388</v>
      </c>
      <c r="P1395" t="s">
        <v>249</v>
      </c>
      <c r="Q1395" t="s">
        <v>250</v>
      </c>
      <c r="R1395" t="s">
        <v>251</v>
      </c>
      <c r="T1395" t="s">
        <v>389</v>
      </c>
      <c r="U1395" t="s">
        <v>390</v>
      </c>
      <c r="V1395" t="s">
        <v>391</v>
      </c>
      <c r="W1395" t="s">
        <v>392</v>
      </c>
      <c r="X1395" t="s">
        <v>2499</v>
      </c>
      <c r="Z1395" t="s">
        <v>315</v>
      </c>
      <c r="AL1395" t="s">
        <v>3026</v>
      </c>
      <c r="AM1395" t="s">
        <v>258</v>
      </c>
      <c r="AN1395" t="s">
        <v>259</v>
      </c>
      <c r="AO1395" t="s">
        <v>260</v>
      </c>
      <c r="AQ1395" t="s">
        <v>261</v>
      </c>
      <c r="AS1395">
        <v>1010</v>
      </c>
      <c r="AX1395" t="s">
        <v>262</v>
      </c>
      <c r="BO1395" t="s">
        <v>261</v>
      </c>
      <c r="BQ1395">
        <v>1.01</v>
      </c>
      <c r="BV1395" t="s">
        <v>263</v>
      </c>
      <c r="CM1395" t="s">
        <v>264</v>
      </c>
      <c r="CN1395" t="s">
        <v>264</v>
      </c>
      <c r="CP1395" t="s">
        <v>265</v>
      </c>
      <c r="CQ1395" t="s">
        <v>394</v>
      </c>
      <c r="DB1395">
        <v>4</v>
      </c>
      <c r="DG1395" t="s">
        <v>267</v>
      </c>
      <c r="DI1395">
        <v>96</v>
      </c>
      <c r="DN1395" t="s">
        <v>268</v>
      </c>
      <c r="DQ1395" t="s">
        <v>3027</v>
      </c>
      <c r="DR1395">
        <v>272819</v>
      </c>
      <c r="DS1395">
        <v>4707</v>
      </c>
      <c r="EW1395" t="s">
        <v>272</v>
      </c>
      <c r="FM1395">
        <v>20</v>
      </c>
      <c r="FR1395" t="s">
        <v>295</v>
      </c>
      <c r="GU1395">
        <v>37</v>
      </c>
      <c r="GZ1395" t="s">
        <v>296</v>
      </c>
      <c r="HH1395" t="s">
        <v>272</v>
      </c>
      <c r="IE1395" t="s">
        <v>3028</v>
      </c>
      <c r="IF1395">
        <v>18833</v>
      </c>
      <c r="IG1395" t="s">
        <v>3029</v>
      </c>
      <c r="IH1395" t="s">
        <v>3030</v>
      </c>
      <c r="II1395">
        <v>1994</v>
      </c>
      <c r="IJ1395" t="s">
        <v>3031</v>
      </c>
    </row>
    <row r="1396" spans="1:244" x14ac:dyDescent="0.45">
      <c r="A1396">
        <v>1300800</v>
      </c>
      <c r="B1396">
        <v>756472</v>
      </c>
      <c r="C1396">
        <v>7758987</v>
      </c>
      <c r="D1396" t="s">
        <v>2545</v>
      </c>
      <c r="E1396" t="s">
        <v>386</v>
      </c>
      <c r="F1396" t="s">
        <v>245</v>
      </c>
      <c r="G1396" t="s">
        <v>246</v>
      </c>
      <c r="N1396" t="s">
        <v>387</v>
      </c>
      <c r="O1396" t="s">
        <v>388</v>
      </c>
      <c r="P1396" t="s">
        <v>249</v>
      </c>
      <c r="Q1396" t="s">
        <v>250</v>
      </c>
      <c r="R1396" t="s">
        <v>251</v>
      </c>
      <c r="T1396" t="s">
        <v>389</v>
      </c>
      <c r="U1396" t="s">
        <v>390</v>
      </c>
      <c r="V1396" t="s">
        <v>391</v>
      </c>
      <c r="W1396" t="s">
        <v>392</v>
      </c>
      <c r="X1396" t="s">
        <v>393</v>
      </c>
      <c r="Z1396" t="s">
        <v>315</v>
      </c>
      <c r="AL1396" t="s">
        <v>3032</v>
      </c>
      <c r="AM1396" t="s">
        <v>258</v>
      </c>
      <c r="AN1396" t="s">
        <v>259</v>
      </c>
      <c r="AO1396" t="s">
        <v>260</v>
      </c>
      <c r="AP1396" t="s">
        <v>2368</v>
      </c>
      <c r="AQ1396" t="s">
        <v>261</v>
      </c>
      <c r="AS1396">
        <v>323</v>
      </c>
      <c r="AX1396" t="s">
        <v>262</v>
      </c>
      <c r="BO1396" t="s">
        <v>261</v>
      </c>
      <c r="BQ1396">
        <v>0.32300000000000001</v>
      </c>
      <c r="BV1396" t="s">
        <v>263</v>
      </c>
      <c r="CM1396" t="s">
        <v>264</v>
      </c>
      <c r="CN1396" t="s">
        <v>264</v>
      </c>
      <c r="CP1396" t="s">
        <v>265</v>
      </c>
      <c r="CQ1396" t="s">
        <v>394</v>
      </c>
      <c r="DB1396">
        <v>4</v>
      </c>
      <c r="DG1396" t="s">
        <v>267</v>
      </c>
      <c r="DI1396">
        <v>96</v>
      </c>
      <c r="DN1396" t="s">
        <v>268</v>
      </c>
      <c r="DP1396" t="s">
        <v>2554</v>
      </c>
      <c r="DR1396">
        <v>158387</v>
      </c>
      <c r="DS1396">
        <v>6038</v>
      </c>
      <c r="DT1396" t="s">
        <v>396</v>
      </c>
      <c r="EW1396" t="s">
        <v>293</v>
      </c>
      <c r="FK1396" t="s">
        <v>3033</v>
      </c>
      <c r="FO1396">
        <v>22</v>
      </c>
      <c r="FQ1396">
        <v>25</v>
      </c>
      <c r="FR1396" t="s">
        <v>295</v>
      </c>
      <c r="GW1396">
        <v>30</v>
      </c>
      <c r="GY1396">
        <v>35</v>
      </c>
      <c r="GZ1396" t="s">
        <v>296</v>
      </c>
      <c r="HH1396" t="s">
        <v>272</v>
      </c>
      <c r="ID1396" t="s">
        <v>3034</v>
      </c>
      <c r="IE1396" t="s">
        <v>400</v>
      </c>
      <c r="IF1396">
        <v>115854</v>
      </c>
      <c r="IG1396" t="s">
        <v>401</v>
      </c>
      <c r="IH1396" t="s">
        <v>402</v>
      </c>
      <c r="II1396">
        <v>2008</v>
      </c>
      <c r="IJ1396" t="s">
        <v>403</v>
      </c>
    </row>
    <row r="1397" spans="1:244" x14ac:dyDescent="0.45">
      <c r="A1397">
        <v>2135201</v>
      </c>
      <c r="B1397">
        <v>2249958</v>
      </c>
      <c r="C1397">
        <v>7758987</v>
      </c>
      <c r="D1397" t="s">
        <v>2545</v>
      </c>
      <c r="E1397" t="s">
        <v>386</v>
      </c>
      <c r="F1397" t="s">
        <v>245</v>
      </c>
      <c r="G1397" t="s">
        <v>3035</v>
      </c>
      <c r="I1397">
        <v>99</v>
      </c>
      <c r="N1397" t="s">
        <v>623</v>
      </c>
      <c r="O1397" t="s">
        <v>388</v>
      </c>
      <c r="P1397" t="s">
        <v>249</v>
      </c>
      <c r="Q1397" t="s">
        <v>250</v>
      </c>
      <c r="R1397" t="s">
        <v>251</v>
      </c>
      <c r="T1397" t="s">
        <v>389</v>
      </c>
      <c r="U1397" t="s">
        <v>390</v>
      </c>
      <c r="V1397" t="s">
        <v>472</v>
      </c>
      <c r="W1397" t="s">
        <v>473</v>
      </c>
      <c r="X1397" t="s">
        <v>624</v>
      </c>
      <c r="Z1397" t="s">
        <v>525</v>
      </c>
      <c r="AA1397" t="s">
        <v>289</v>
      </c>
      <c r="AB1397">
        <v>24</v>
      </c>
      <c r="AG1397" t="s">
        <v>268</v>
      </c>
      <c r="AI1397">
        <v>5</v>
      </c>
      <c r="AJ1397" t="s">
        <v>354</v>
      </c>
      <c r="AM1397" t="s">
        <v>317</v>
      </c>
      <c r="AN1397" t="s">
        <v>259</v>
      </c>
      <c r="AO1397" t="s">
        <v>260</v>
      </c>
      <c r="AP1397">
        <v>9</v>
      </c>
      <c r="AQ1397" t="s">
        <v>504</v>
      </c>
      <c r="AS1397">
        <v>83.1</v>
      </c>
      <c r="AX1397" t="s">
        <v>262</v>
      </c>
      <c r="BO1397" t="s">
        <v>504</v>
      </c>
      <c r="BQ1397">
        <v>8.3099999999999993E-2</v>
      </c>
      <c r="BV1397" t="s">
        <v>263</v>
      </c>
      <c r="CM1397" t="s">
        <v>264</v>
      </c>
      <c r="CN1397" t="s">
        <v>264</v>
      </c>
      <c r="CP1397" t="s">
        <v>265</v>
      </c>
      <c r="CQ1397" t="s">
        <v>394</v>
      </c>
      <c r="DB1397">
        <v>2</v>
      </c>
      <c r="DG1397" t="s">
        <v>267</v>
      </c>
      <c r="DI1397">
        <v>48</v>
      </c>
      <c r="DN1397" t="s">
        <v>268</v>
      </c>
      <c r="DO1397" t="s">
        <v>1587</v>
      </c>
      <c r="DP1397" t="s">
        <v>3036</v>
      </c>
      <c r="DS1397">
        <v>4676</v>
      </c>
      <c r="DT1397" t="s">
        <v>3037</v>
      </c>
      <c r="DV1397">
        <v>48</v>
      </c>
      <c r="EA1397" t="s">
        <v>268</v>
      </c>
      <c r="EC1397">
        <v>2</v>
      </c>
      <c r="EH1397" t="s">
        <v>267</v>
      </c>
      <c r="EJ1397">
        <v>48</v>
      </c>
      <c r="EO1397" t="s">
        <v>268</v>
      </c>
      <c r="EQ1397">
        <v>2</v>
      </c>
      <c r="EV1397" t="s">
        <v>267</v>
      </c>
      <c r="EW1397" t="s">
        <v>293</v>
      </c>
      <c r="EY1397" t="s">
        <v>377</v>
      </c>
      <c r="EZ1397">
        <v>4</v>
      </c>
      <c r="FA1397" t="s">
        <v>3038</v>
      </c>
      <c r="FM1397">
        <v>20</v>
      </c>
      <c r="FR1397" t="s">
        <v>295</v>
      </c>
      <c r="GJ1397">
        <v>4.8</v>
      </c>
      <c r="GL1397">
        <v>5</v>
      </c>
      <c r="GM1397" t="s">
        <v>356</v>
      </c>
      <c r="GO1397">
        <v>8.1999999999999993</v>
      </c>
      <c r="GU1397">
        <v>35</v>
      </c>
      <c r="GZ1397" t="s">
        <v>296</v>
      </c>
      <c r="HH1397" t="s">
        <v>272</v>
      </c>
      <c r="IE1397" t="s">
        <v>3039</v>
      </c>
      <c r="IF1397">
        <v>119554</v>
      </c>
      <c r="IG1397" t="s">
        <v>3040</v>
      </c>
      <c r="IH1397" t="s">
        <v>3041</v>
      </c>
      <c r="II1397">
        <v>2009</v>
      </c>
      <c r="IJ1397" t="s">
        <v>3042</v>
      </c>
    </row>
    <row r="1398" spans="1:244" x14ac:dyDescent="0.45">
      <c r="A1398">
        <v>1205933</v>
      </c>
      <c r="B1398">
        <v>171324</v>
      </c>
      <c r="C1398">
        <v>7758987</v>
      </c>
      <c r="D1398" t="s">
        <v>2545</v>
      </c>
      <c r="F1398" t="s">
        <v>245</v>
      </c>
      <c r="G1398" t="s">
        <v>246</v>
      </c>
      <c r="N1398" t="s">
        <v>2498</v>
      </c>
      <c r="O1398" t="s">
        <v>388</v>
      </c>
      <c r="P1398" t="s">
        <v>249</v>
      </c>
      <c r="Q1398" t="s">
        <v>250</v>
      </c>
      <c r="R1398" t="s">
        <v>251</v>
      </c>
      <c r="T1398" t="s">
        <v>389</v>
      </c>
      <c r="U1398" t="s">
        <v>390</v>
      </c>
      <c r="V1398" t="s">
        <v>391</v>
      </c>
      <c r="W1398" t="s">
        <v>392</v>
      </c>
      <c r="X1398" t="s">
        <v>2499</v>
      </c>
      <c r="Z1398" t="s">
        <v>1123</v>
      </c>
      <c r="AM1398" t="s">
        <v>258</v>
      </c>
      <c r="AN1398" t="s">
        <v>259</v>
      </c>
      <c r="AO1398" t="s">
        <v>260</v>
      </c>
      <c r="AQ1398" t="s">
        <v>261</v>
      </c>
      <c r="AS1398">
        <v>412</v>
      </c>
      <c r="AX1398" t="s">
        <v>262</v>
      </c>
      <c r="BO1398" t="s">
        <v>261</v>
      </c>
      <c r="BQ1398">
        <v>0.41199999999999998</v>
      </c>
      <c r="BV1398" t="s">
        <v>263</v>
      </c>
      <c r="CM1398" t="s">
        <v>264</v>
      </c>
      <c r="CN1398" t="s">
        <v>264</v>
      </c>
      <c r="CP1398" t="s">
        <v>265</v>
      </c>
      <c r="CQ1398" t="s">
        <v>394</v>
      </c>
      <c r="DB1398">
        <v>4</v>
      </c>
      <c r="DG1398" t="s">
        <v>267</v>
      </c>
      <c r="DI1398">
        <v>96</v>
      </c>
      <c r="DN1398" t="s">
        <v>268</v>
      </c>
      <c r="DQ1398" t="s">
        <v>3027</v>
      </c>
      <c r="DR1398">
        <v>272819</v>
      </c>
      <c r="DS1398">
        <v>4707</v>
      </c>
      <c r="EW1398" t="s">
        <v>272</v>
      </c>
      <c r="FM1398">
        <v>20</v>
      </c>
      <c r="FR1398" t="s">
        <v>295</v>
      </c>
      <c r="GU1398">
        <v>37</v>
      </c>
      <c r="GZ1398" t="s">
        <v>296</v>
      </c>
      <c r="HH1398" t="s">
        <v>272</v>
      </c>
      <c r="IE1398" t="s">
        <v>3028</v>
      </c>
      <c r="IF1398">
        <v>18833</v>
      </c>
      <c r="IG1398" t="s">
        <v>3029</v>
      </c>
      <c r="IH1398" t="s">
        <v>3030</v>
      </c>
      <c r="II1398">
        <v>1994</v>
      </c>
      <c r="IJ1398" t="s">
        <v>3031</v>
      </c>
    </row>
    <row r="1399" spans="1:244" x14ac:dyDescent="0.45">
      <c r="A1399">
        <v>2135202</v>
      </c>
      <c r="B1399">
        <v>2249960</v>
      </c>
      <c r="C1399">
        <v>7758987</v>
      </c>
      <c r="D1399" t="s">
        <v>2545</v>
      </c>
      <c r="E1399" t="s">
        <v>386</v>
      </c>
      <c r="F1399" t="s">
        <v>245</v>
      </c>
      <c r="G1399" t="s">
        <v>3035</v>
      </c>
      <c r="I1399">
        <v>99</v>
      </c>
      <c r="N1399" t="s">
        <v>623</v>
      </c>
      <c r="O1399" t="s">
        <v>388</v>
      </c>
      <c r="P1399" t="s">
        <v>249</v>
      </c>
      <c r="Q1399" t="s">
        <v>250</v>
      </c>
      <c r="R1399" t="s">
        <v>251</v>
      </c>
      <c r="T1399" t="s">
        <v>389</v>
      </c>
      <c r="U1399" t="s">
        <v>390</v>
      </c>
      <c r="V1399" t="s">
        <v>472</v>
      </c>
      <c r="W1399" t="s">
        <v>473</v>
      </c>
      <c r="X1399" t="s">
        <v>624</v>
      </c>
      <c r="Z1399" t="s">
        <v>3043</v>
      </c>
      <c r="AI1399">
        <v>5</v>
      </c>
      <c r="AJ1399" t="s">
        <v>354</v>
      </c>
      <c r="AK1399" t="s">
        <v>517</v>
      </c>
      <c r="AM1399" t="s">
        <v>317</v>
      </c>
      <c r="AN1399" t="s">
        <v>259</v>
      </c>
      <c r="AO1399" t="s">
        <v>260</v>
      </c>
      <c r="AP1399">
        <v>9</v>
      </c>
      <c r="AQ1399" t="s">
        <v>504</v>
      </c>
      <c r="AS1399">
        <v>157</v>
      </c>
      <c r="AX1399" t="s">
        <v>262</v>
      </c>
      <c r="BO1399" t="s">
        <v>504</v>
      </c>
      <c r="BQ1399">
        <v>0.157</v>
      </c>
      <c r="BV1399" t="s">
        <v>263</v>
      </c>
      <c r="CM1399" t="s">
        <v>264</v>
      </c>
      <c r="CN1399" t="s">
        <v>264</v>
      </c>
      <c r="CP1399" t="s">
        <v>265</v>
      </c>
      <c r="CQ1399" t="s">
        <v>394</v>
      </c>
      <c r="DB1399">
        <v>3</v>
      </c>
      <c r="DG1399" t="s">
        <v>267</v>
      </c>
      <c r="DI1399">
        <v>72</v>
      </c>
      <c r="DN1399" t="s">
        <v>268</v>
      </c>
      <c r="DO1399" t="s">
        <v>1587</v>
      </c>
      <c r="DP1399" t="s">
        <v>3036</v>
      </c>
      <c r="DS1399">
        <v>4676</v>
      </c>
      <c r="DT1399" t="s">
        <v>3037</v>
      </c>
      <c r="DV1399">
        <v>72</v>
      </c>
      <c r="EA1399" t="s">
        <v>268</v>
      </c>
      <c r="EC1399">
        <v>3</v>
      </c>
      <c r="EH1399" t="s">
        <v>267</v>
      </c>
      <c r="EJ1399">
        <v>72</v>
      </c>
      <c r="EO1399" t="s">
        <v>268</v>
      </c>
      <c r="EQ1399">
        <v>3</v>
      </c>
      <c r="EV1399" t="s">
        <v>267</v>
      </c>
      <c r="EW1399" t="s">
        <v>293</v>
      </c>
      <c r="EY1399" t="s">
        <v>377</v>
      </c>
      <c r="EZ1399">
        <v>10</v>
      </c>
      <c r="FA1399" t="s">
        <v>3038</v>
      </c>
      <c r="FM1399">
        <v>20</v>
      </c>
      <c r="FR1399" t="s">
        <v>295</v>
      </c>
      <c r="GJ1399">
        <v>4.8</v>
      </c>
      <c r="GL1399">
        <v>5</v>
      </c>
      <c r="GM1399" t="s">
        <v>356</v>
      </c>
      <c r="GO1399">
        <v>8.1999999999999993</v>
      </c>
      <c r="GU1399">
        <v>35</v>
      </c>
      <c r="GZ1399" t="s">
        <v>296</v>
      </c>
      <c r="HH1399" t="s">
        <v>272</v>
      </c>
      <c r="IE1399" t="s">
        <v>3039</v>
      </c>
      <c r="IF1399">
        <v>119554</v>
      </c>
      <c r="IG1399" t="s">
        <v>3040</v>
      </c>
      <c r="IH1399" t="s">
        <v>3041</v>
      </c>
      <c r="II1399">
        <v>2009</v>
      </c>
      <c r="IJ1399" t="s">
        <v>3042</v>
      </c>
    </row>
    <row r="1400" spans="1:244" x14ac:dyDescent="0.45">
      <c r="A1400">
        <v>1078459</v>
      </c>
      <c r="B1400">
        <v>231971</v>
      </c>
      <c r="C1400">
        <v>7758987</v>
      </c>
      <c r="D1400" t="s">
        <v>2545</v>
      </c>
      <c r="F1400" t="s">
        <v>245</v>
      </c>
      <c r="G1400" t="s">
        <v>246</v>
      </c>
      <c r="N1400" t="s">
        <v>630</v>
      </c>
      <c r="O1400" t="s">
        <v>631</v>
      </c>
      <c r="P1400" t="s">
        <v>249</v>
      </c>
      <c r="Q1400" t="s">
        <v>250</v>
      </c>
      <c r="R1400" t="s">
        <v>251</v>
      </c>
      <c r="T1400" t="s">
        <v>389</v>
      </c>
      <c r="U1400" t="s">
        <v>632</v>
      </c>
      <c r="V1400" t="s">
        <v>633</v>
      </c>
      <c r="W1400" t="s">
        <v>634</v>
      </c>
      <c r="X1400" t="s">
        <v>635</v>
      </c>
      <c r="AJ1400" t="s">
        <v>285</v>
      </c>
      <c r="AM1400" t="s">
        <v>317</v>
      </c>
      <c r="AN1400" t="s">
        <v>259</v>
      </c>
      <c r="AO1400" t="s">
        <v>260</v>
      </c>
      <c r="AP1400" t="s">
        <v>1644</v>
      </c>
      <c r="AQ1400" t="s">
        <v>261</v>
      </c>
      <c r="AT1400" t="s">
        <v>288</v>
      </c>
      <c r="AU1400">
        <v>200</v>
      </c>
      <c r="AV1400" t="s">
        <v>289</v>
      </c>
      <c r="AW1400">
        <v>300</v>
      </c>
      <c r="AX1400" t="s">
        <v>290</v>
      </c>
      <c r="BO1400" t="s">
        <v>261</v>
      </c>
      <c r="BR1400" t="s">
        <v>288</v>
      </c>
      <c r="BS1400">
        <v>0.2</v>
      </c>
      <c r="BT1400" t="s">
        <v>289</v>
      </c>
      <c r="BU1400">
        <v>0.3</v>
      </c>
      <c r="BV1400" t="s">
        <v>263</v>
      </c>
      <c r="CM1400" t="s">
        <v>264</v>
      </c>
      <c r="CN1400" t="s">
        <v>264</v>
      </c>
      <c r="CO1400" t="s">
        <v>3044</v>
      </c>
      <c r="CP1400" t="s">
        <v>265</v>
      </c>
      <c r="CQ1400" t="s">
        <v>394</v>
      </c>
      <c r="DB1400">
        <v>1</v>
      </c>
      <c r="DG1400" t="s">
        <v>267</v>
      </c>
      <c r="DI1400">
        <v>24</v>
      </c>
      <c r="DN1400" t="s">
        <v>268</v>
      </c>
      <c r="DR1400">
        <v>136180</v>
      </c>
      <c r="DS1400">
        <v>376</v>
      </c>
      <c r="EW1400" t="s">
        <v>272</v>
      </c>
      <c r="FK1400" t="s">
        <v>3045</v>
      </c>
      <c r="FL1400" t="s">
        <v>515</v>
      </c>
      <c r="FM1400">
        <v>26</v>
      </c>
      <c r="FR1400" t="s">
        <v>295</v>
      </c>
      <c r="GU1400">
        <v>36</v>
      </c>
      <c r="GZ1400" t="s">
        <v>296</v>
      </c>
      <c r="HH1400" t="s">
        <v>272</v>
      </c>
      <c r="ID1400" t="s">
        <v>3046</v>
      </c>
      <c r="IE1400" t="s">
        <v>1648</v>
      </c>
      <c r="IF1400">
        <v>6045</v>
      </c>
      <c r="IG1400" t="s">
        <v>1649</v>
      </c>
      <c r="IH1400" t="s">
        <v>1650</v>
      </c>
      <c r="II1400">
        <v>1976</v>
      </c>
      <c r="IJ1400" t="s">
        <v>1651</v>
      </c>
    </row>
    <row r="1401" spans="1:244" x14ac:dyDescent="0.45">
      <c r="A1401">
        <v>1078460</v>
      </c>
      <c r="B1401">
        <v>231972</v>
      </c>
      <c r="C1401">
        <v>7758987</v>
      </c>
      <c r="D1401" t="s">
        <v>2545</v>
      </c>
      <c r="F1401" t="s">
        <v>245</v>
      </c>
      <c r="G1401" t="s">
        <v>246</v>
      </c>
      <c r="N1401" t="s">
        <v>630</v>
      </c>
      <c r="O1401" t="s">
        <v>631</v>
      </c>
      <c r="P1401" t="s">
        <v>249</v>
      </c>
      <c r="Q1401" t="s">
        <v>250</v>
      </c>
      <c r="R1401" t="s">
        <v>251</v>
      </c>
      <c r="T1401" t="s">
        <v>389</v>
      </c>
      <c r="U1401" t="s">
        <v>632</v>
      </c>
      <c r="V1401" t="s">
        <v>633</v>
      </c>
      <c r="W1401" t="s">
        <v>634</v>
      </c>
      <c r="X1401" t="s">
        <v>635</v>
      </c>
      <c r="AJ1401" t="s">
        <v>285</v>
      </c>
      <c r="AM1401" t="s">
        <v>317</v>
      </c>
      <c r="AN1401" t="s">
        <v>259</v>
      </c>
      <c r="AO1401" t="s">
        <v>260</v>
      </c>
      <c r="AP1401" t="s">
        <v>1644</v>
      </c>
      <c r="AQ1401" t="s">
        <v>261</v>
      </c>
      <c r="AT1401" t="s">
        <v>288</v>
      </c>
      <c r="AU1401">
        <v>200</v>
      </c>
      <c r="AV1401" t="s">
        <v>289</v>
      </c>
      <c r="AW1401">
        <v>300</v>
      </c>
      <c r="AX1401" t="s">
        <v>290</v>
      </c>
      <c r="BO1401" t="s">
        <v>261</v>
      </c>
      <c r="BR1401" t="s">
        <v>288</v>
      </c>
      <c r="BS1401">
        <v>0.2</v>
      </c>
      <c r="BT1401" t="s">
        <v>289</v>
      </c>
      <c r="BU1401">
        <v>0.3</v>
      </c>
      <c r="BV1401" t="s">
        <v>263</v>
      </c>
      <c r="CM1401" t="s">
        <v>264</v>
      </c>
      <c r="CN1401" t="s">
        <v>264</v>
      </c>
      <c r="CO1401" t="s">
        <v>3044</v>
      </c>
      <c r="CP1401" t="s">
        <v>265</v>
      </c>
      <c r="CQ1401" t="s">
        <v>394</v>
      </c>
      <c r="DB1401">
        <v>1</v>
      </c>
      <c r="DG1401" t="s">
        <v>267</v>
      </c>
      <c r="DI1401">
        <v>24</v>
      </c>
      <c r="DN1401" t="s">
        <v>268</v>
      </c>
      <c r="DR1401">
        <v>136180</v>
      </c>
      <c r="DS1401">
        <v>376</v>
      </c>
      <c r="EW1401" t="s">
        <v>272</v>
      </c>
      <c r="FK1401" t="s">
        <v>3045</v>
      </c>
      <c r="FL1401" t="s">
        <v>515</v>
      </c>
      <c r="FM1401">
        <v>28</v>
      </c>
      <c r="FR1401" t="s">
        <v>295</v>
      </c>
      <c r="GU1401">
        <v>36</v>
      </c>
      <c r="GZ1401" t="s">
        <v>296</v>
      </c>
      <c r="HH1401" t="s">
        <v>272</v>
      </c>
      <c r="ID1401" t="s">
        <v>3046</v>
      </c>
      <c r="IE1401" t="s">
        <v>1648</v>
      </c>
      <c r="IF1401">
        <v>6045</v>
      </c>
      <c r="IG1401" t="s">
        <v>1649</v>
      </c>
      <c r="IH1401" t="s">
        <v>1650</v>
      </c>
      <c r="II1401">
        <v>1976</v>
      </c>
      <c r="IJ1401" t="s">
        <v>1651</v>
      </c>
    </row>
    <row r="1402" spans="1:244" x14ac:dyDescent="0.45">
      <c r="A1402">
        <v>1078471</v>
      </c>
      <c r="B1402">
        <v>231984</v>
      </c>
      <c r="C1402">
        <v>7758987</v>
      </c>
      <c r="D1402" t="s">
        <v>2545</v>
      </c>
      <c r="F1402" t="s">
        <v>245</v>
      </c>
      <c r="G1402" t="s">
        <v>246</v>
      </c>
      <c r="N1402" t="s">
        <v>630</v>
      </c>
      <c r="O1402" t="s">
        <v>631</v>
      </c>
      <c r="P1402" t="s">
        <v>249</v>
      </c>
      <c r="Q1402" t="s">
        <v>250</v>
      </c>
      <c r="R1402" t="s">
        <v>251</v>
      </c>
      <c r="T1402" t="s">
        <v>389</v>
      </c>
      <c r="U1402" t="s">
        <v>632</v>
      </c>
      <c r="V1402" t="s">
        <v>633</v>
      </c>
      <c r="W1402" t="s">
        <v>634</v>
      </c>
      <c r="X1402" t="s">
        <v>635</v>
      </c>
      <c r="AJ1402" t="s">
        <v>285</v>
      </c>
      <c r="AM1402" t="s">
        <v>317</v>
      </c>
      <c r="AN1402" t="s">
        <v>259</v>
      </c>
      <c r="AO1402" t="s">
        <v>260</v>
      </c>
      <c r="AP1402" t="s">
        <v>1644</v>
      </c>
      <c r="AQ1402" t="s">
        <v>261</v>
      </c>
      <c r="AT1402" t="s">
        <v>288</v>
      </c>
      <c r="AU1402">
        <v>100</v>
      </c>
      <c r="AV1402" t="s">
        <v>289</v>
      </c>
      <c r="AW1402">
        <v>200</v>
      </c>
      <c r="AX1402" t="s">
        <v>290</v>
      </c>
      <c r="BO1402" t="s">
        <v>261</v>
      </c>
      <c r="BR1402" t="s">
        <v>288</v>
      </c>
      <c r="BS1402">
        <v>0.1</v>
      </c>
      <c r="BT1402" t="s">
        <v>289</v>
      </c>
      <c r="BU1402">
        <v>0.2</v>
      </c>
      <c r="BV1402" t="s">
        <v>263</v>
      </c>
      <c r="CM1402" t="s">
        <v>264</v>
      </c>
      <c r="CN1402" t="s">
        <v>264</v>
      </c>
      <c r="CO1402" t="s">
        <v>3044</v>
      </c>
      <c r="CP1402" t="s">
        <v>265</v>
      </c>
      <c r="CQ1402" t="s">
        <v>394</v>
      </c>
      <c r="DB1402">
        <v>1</v>
      </c>
      <c r="DG1402" t="s">
        <v>267</v>
      </c>
      <c r="DI1402">
        <v>24</v>
      </c>
      <c r="DN1402" t="s">
        <v>268</v>
      </c>
      <c r="DR1402">
        <v>136180</v>
      </c>
      <c r="DS1402">
        <v>376</v>
      </c>
      <c r="EW1402" t="s">
        <v>272</v>
      </c>
      <c r="FK1402" t="s">
        <v>3045</v>
      </c>
      <c r="FL1402" t="s">
        <v>515</v>
      </c>
      <c r="FM1402">
        <v>24</v>
      </c>
      <c r="FR1402" t="s">
        <v>295</v>
      </c>
      <c r="GU1402">
        <v>36</v>
      </c>
      <c r="GZ1402" t="s">
        <v>296</v>
      </c>
      <c r="HH1402" t="s">
        <v>272</v>
      </c>
      <c r="ID1402" t="s">
        <v>3046</v>
      </c>
      <c r="IE1402" t="s">
        <v>1648</v>
      </c>
      <c r="IF1402">
        <v>6045</v>
      </c>
      <c r="IG1402" t="s">
        <v>1649</v>
      </c>
      <c r="IH1402" t="s">
        <v>1650</v>
      </c>
      <c r="II1402">
        <v>1976</v>
      </c>
      <c r="IJ1402" t="s">
        <v>1651</v>
      </c>
    </row>
    <row r="1403" spans="1:244" x14ac:dyDescent="0.45">
      <c r="A1403">
        <v>1078463</v>
      </c>
      <c r="B1403">
        <v>231975</v>
      </c>
      <c r="C1403">
        <v>7758987</v>
      </c>
      <c r="D1403" t="s">
        <v>2545</v>
      </c>
      <c r="F1403" t="s">
        <v>245</v>
      </c>
      <c r="G1403" t="s">
        <v>246</v>
      </c>
      <c r="N1403" t="s">
        <v>630</v>
      </c>
      <c r="O1403" t="s">
        <v>631</v>
      </c>
      <c r="P1403" t="s">
        <v>249</v>
      </c>
      <c r="Q1403" t="s">
        <v>250</v>
      </c>
      <c r="R1403" t="s">
        <v>251</v>
      </c>
      <c r="T1403" t="s">
        <v>389</v>
      </c>
      <c r="U1403" t="s">
        <v>632</v>
      </c>
      <c r="V1403" t="s">
        <v>633</v>
      </c>
      <c r="W1403" t="s">
        <v>634</v>
      </c>
      <c r="X1403" t="s">
        <v>635</v>
      </c>
      <c r="AJ1403" t="s">
        <v>285</v>
      </c>
      <c r="AM1403" t="s">
        <v>317</v>
      </c>
      <c r="AN1403" t="s">
        <v>259</v>
      </c>
      <c r="AO1403" t="s">
        <v>260</v>
      </c>
      <c r="AP1403" t="s">
        <v>1644</v>
      </c>
      <c r="AQ1403" t="s">
        <v>261</v>
      </c>
      <c r="AU1403">
        <v>120</v>
      </c>
      <c r="AW1403">
        <v>170</v>
      </c>
      <c r="AX1403" t="s">
        <v>290</v>
      </c>
      <c r="BO1403" t="s">
        <v>261</v>
      </c>
      <c r="BS1403">
        <v>0.12</v>
      </c>
      <c r="BU1403">
        <v>0.17</v>
      </c>
      <c r="BV1403" t="s">
        <v>263</v>
      </c>
      <c r="CM1403" t="s">
        <v>264</v>
      </c>
      <c r="CN1403" t="s">
        <v>264</v>
      </c>
      <c r="CP1403" t="s">
        <v>265</v>
      </c>
      <c r="CQ1403" t="s">
        <v>394</v>
      </c>
      <c r="DB1403">
        <v>1</v>
      </c>
      <c r="DG1403" t="s">
        <v>267</v>
      </c>
      <c r="DI1403">
        <v>24</v>
      </c>
      <c r="DN1403" t="s">
        <v>268</v>
      </c>
      <c r="DR1403">
        <v>136180</v>
      </c>
      <c r="DS1403">
        <v>376</v>
      </c>
      <c r="EW1403" t="s">
        <v>272</v>
      </c>
      <c r="FK1403" t="s">
        <v>3047</v>
      </c>
      <c r="GU1403">
        <v>36</v>
      </c>
      <c r="GZ1403" t="s">
        <v>296</v>
      </c>
      <c r="HH1403" t="s">
        <v>272</v>
      </c>
      <c r="ID1403" t="s">
        <v>3048</v>
      </c>
      <c r="IE1403" t="s">
        <v>1648</v>
      </c>
      <c r="IF1403">
        <v>6045</v>
      </c>
      <c r="IG1403" t="s">
        <v>1649</v>
      </c>
      <c r="IH1403" t="s">
        <v>1650</v>
      </c>
      <c r="II1403">
        <v>1976</v>
      </c>
      <c r="IJ1403" t="s">
        <v>1651</v>
      </c>
    </row>
    <row r="1404" spans="1:244" x14ac:dyDescent="0.45">
      <c r="A1404">
        <v>1242371</v>
      </c>
      <c r="B1404">
        <v>247015</v>
      </c>
      <c r="C1404">
        <v>7758987</v>
      </c>
      <c r="D1404" t="s">
        <v>2545</v>
      </c>
      <c r="E1404" t="s">
        <v>386</v>
      </c>
      <c r="F1404" t="s">
        <v>327</v>
      </c>
      <c r="G1404" t="s">
        <v>246</v>
      </c>
      <c r="N1404" t="s">
        <v>369</v>
      </c>
      <c r="O1404" t="s">
        <v>370</v>
      </c>
      <c r="P1404" t="s">
        <v>249</v>
      </c>
      <c r="Q1404" t="s">
        <v>250</v>
      </c>
      <c r="R1404" t="s">
        <v>251</v>
      </c>
      <c r="T1404" t="s">
        <v>252</v>
      </c>
      <c r="U1404" t="s">
        <v>371</v>
      </c>
      <c r="V1404" t="s">
        <v>372</v>
      </c>
      <c r="W1404" t="s">
        <v>373</v>
      </c>
      <c r="X1404" t="s">
        <v>374</v>
      </c>
      <c r="Z1404" t="s">
        <v>649</v>
      </c>
      <c r="AD1404">
        <v>24</v>
      </c>
      <c r="AF1404">
        <v>48</v>
      </c>
      <c r="AG1404" t="s">
        <v>268</v>
      </c>
      <c r="AJ1404" t="s">
        <v>354</v>
      </c>
      <c r="AM1404" t="s">
        <v>258</v>
      </c>
      <c r="AN1404" t="s">
        <v>259</v>
      </c>
      <c r="AO1404" t="s">
        <v>260</v>
      </c>
      <c r="AP1404">
        <v>6</v>
      </c>
      <c r="AQ1404" t="s">
        <v>504</v>
      </c>
      <c r="AS1404">
        <v>237</v>
      </c>
      <c r="AX1404" t="s">
        <v>262</v>
      </c>
      <c r="AY1404" t="s">
        <v>261</v>
      </c>
      <c r="BA1404">
        <v>324</v>
      </c>
      <c r="BF1404" t="s">
        <v>262</v>
      </c>
      <c r="BO1404" t="s">
        <v>504</v>
      </c>
      <c r="BQ1404">
        <v>0.23699999999999999</v>
      </c>
      <c r="BV1404" t="s">
        <v>263</v>
      </c>
      <c r="BW1404" t="s">
        <v>261</v>
      </c>
      <c r="BY1404">
        <v>0.32400000000000001</v>
      </c>
      <c r="CD1404" t="s">
        <v>263</v>
      </c>
      <c r="CM1404" t="s">
        <v>264</v>
      </c>
      <c r="CN1404" t="s">
        <v>264</v>
      </c>
      <c r="CO1404" t="s">
        <v>3049</v>
      </c>
      <c r="CP1404" t="s">
        <v>265</v>
      </c>
      <c r="CR1404" t="s">
        <v>394</v>
      </c>
      <c r="DB1404">
        <v>4</v>
      </c>
      <c r="DG1404" t="s">
        <v>267</v>
      </c>
      <c r="DI1404">
        <v>96</v>
      </c>
      <c r="DN1404" t="s">
        <v>268</v>
      </c>
      <c r="DR1404">
        <v>110441</v>
      </c>
      <c r="DS1404">
        <v>142</v>
      </c>
      <c r="EW1404" t="s">
        <v>2277</v>
      </c>
      <c r="FA1404" t="s">
        <v>3050</v>
      </c>
      <c r="FK1404" t="s">
        <v>3051</v>
      </c>
      <c r="FM1404">
        <v>20</v>
      </c>
      <c r="FR1404" t="s">
        <v>295</v>
      </c>
      <c r="GJ1404">
        <v>5.9</v>
      </c>
      <c r="GL1404">
        <v>7.4</v>
      </c>
      <c r="GM1404" t="s">
        <v>356</v>
      </c>
      <c r="GQ1404">
        <v>7.65</v>
      </c>
      <c r="GS1404">
        <v>7.82</v>
      </c>
      <c r="GW1404">
        <v>28</v>
      </c>
      <c r="GY1404">
        <v>29</v>
      </c>
      <c r="GZ1404" t="s">
        <v>296</v>
      </c>
      <c r="HH1404" t="s">
        <v>272</v>
      </c>
      <c r="ID1404" t="s">
        <v>3052</v>
      </c>
      <c r="IE1404" t="s">
        <v>3053</v>
      </c>
      <c r="IF1404">
        <v>76254</v>
      </c>
      <c r="IG1404" t="s">
        <v>3054</v>
      </c>
      <c r="IH1404" t="s">
        <v>3055</v>
      </c>
      <c r="II1404">
        <v>1993</v>
      </c>
      <c r="IJ1404" t="s">
        <v>3056</v>
      </c>
    </row>
    <row r="1405" spans="1:244" x14ac:dyDescent="0.45">
      <c r="A1405">
        <v>1078469</v>
      </c>
      <c r="B1405">
        <v>231982</v>
      </c>
      <c r="C1405">
        <v>7758987</v>
      </c>
      <c r="D1405" t="s">
        <v>2545</v>
      </c>
      <c r="F1405" t="s">
        <v>245</v>
      </c>
      <c r="G1405" t="s">
        <v>246</v>
      </c>
      <c r="N1405" t="s">
        <v>630</v>
      </c>
      <c r="O1405" t="s">
        <v>631</v>
      </c>
      <c r="P1405" t="s">
        <v>249</v>
      </c>
      <c r="Q1405" t="s">
        <v>250</v>
      </c>
      <c r="R1405" t="s">
        <v>251</v>
      </c>
      <c r="T1405" t="s">
        <v>389</v>
      </c>
      <c r="U1405" t="s">
        <v>632</v>
      </c>
      <c r="V1405" t="s">
        <v>633</v>
      </c>
      <c r="W1405" t="s">
        <v>634</v>
      </c>
      <c r="X1405" t="s">
        <v>635</v>
      </c>
      <c r="AJ1405" t="s">
        <v>285</v>
      </c>
      <c r="AM1405" t="s">
        <v>317</v>
      </c>
      <c r="AN1405" t="s">
        <v>259</v>
      </c>
      <c r="AO1405" t="s">
        <v>260</v>
      </c>
      <c r="AP1405" t="s">
        <v>1644</v>
      </c>
      <c r="AQ1405" t="s">
        <v>261</v>
      </c>
      <c r="AT1405" t="s">
        <v>288</v>
      </c>
      <c r="AU1405">
        <v>100</v>
      </c>
      <c r="AV1405" t="s">
        <v>289</v>
      </c>
      <c r="AW1405">
        <v>200</v>
      </c>
      <c r="AX1405" t="s">
        <v>290</v>
      </c>
      <c r="BO1405" t="s">
        <v>261</v>
      </c>
      <c r="BR1405" t="s">
        <v>288</v>
      </c>
      <c r="BS1405">
        <v>0.1</v>
      </c>
      <c r="BT1405" t="s">
        <v>289</v>
      </c>
      <c r="BU1405">
        <v>0.2</v>
      </c>
      <c r="BV1405" t="s">
        <v>263</v>
      </c>
      <c r="CM1405" t="s">
        <v>264</v>
      </c>
      <c r="CN1405" t="s">
        <v>264</v>
      </c>
      <c r="CO1405" t="s">
        <v>3044</v>
      </c>
      <c r="CP1405" t="s">
        <v>265</v>
      </c>
      <c r="CQ1405" t="s">
        <v>394</v>
      </c>
      <c r="DB1405">
        <v>1</v>
      </c>
      <c r="DG1405" t="s">
        <v>267</v>
      </c>
      <c r="DI1405">
        <v>24</v>
      </c>
      <c r="DN1405" t="s">
        <v>268</v>
      </c>
      <c r="DR1405">
        <v>136180</v>
      </c>
      <c r="DS1405">
        <v>376</v>
      </c>
      <c r="EW1405" t="s">
        <v>272</v>
      </c>
      <c r="FK1405" t="s">
        <v>3045</v>
      </c>
      <c r="FN1405" t="s">
        <v>288</v>
      </c>
      <c r="FO1405">
        <v>22</v>
      </c>
      <c r="FP1405" t="s">
        <v>289</v>
      </c>
      <c r="FQ1405">
        <v>24</v>
      </c>
      <c r="FR1405" t="s">
        <v>295</v>
      </c>
      <c r="GU1405">
        <v>36</v>
      </c>
      <c r="GZ1405" t="s">
        <v>296</v>
      </c>
      <c r="HH1405" t="s">
        <v>272</v>
      </c>
      <c r="ID1405" t="s">
        <v>3046</v>
      </c>
      <c r="IE1405" t="s">
        <v>1648</v>
      </c>
      <c r="IF1405">
        <v>6045</v>
      </c>
      <c r="IG1405" t="s">
        <v>1649</v>
      </c>
      <c r="IH1405" t="s">
        <v>1650</v>
      </c>
      <c r="II1405">
        <v>1976</v>
      </c>
      <c r="IJ1405" t="s">
        <v>1651</v>
      </c>
    </row>
    <row r="1406" spans="1:244" x14ac:dyDescent="0.45">
      <c r="A1406">
        <v>1078462</v>
      </c>
      <c r="B1406">
        <v>231974</v>
      </c>
      <c r="C1406">
        <v>7758987</v>
      </c>
      <c r="D1406" t="s">
        <v>2545</v>
      </c>
      <c r="F1406" t="s">
        <v>245</v>
      </c>
      <c r="G1406" t="s">
        <v>246</v>
      </c>
      <c r="N1406" t="s">
        <v>630</v>
      </c>
      <c r="O1406" t="s">
        <v>631</v>
      </c>
      <c r="P1406" t="s">
        <v>249</v>
      </c>
      <c r="Q1406" t="s">
        <v>250</v>
      </c>
      <c r="R1406" t="s">
        <v>251</v>
      </c>
      <c r="T1406" t="s">
        <v>389</v>
      </c>
      <c r="U1406" t="s">
        <v>632</v>
      </c>
      <c r="V1406" t="s">
        <v>633</v>
      </c>
      <c r="W1406" t="s">
        <v>634</v>
      </c>
      <c r="X1406" t="s">
        <v>635</v>
      </c>
      <c r="AJ1406" t="s">
        <v>285</v>
      </c>
      <c r="AM1406" t="s">
        <v>317</v>
      </c>
      <c r="AN1406" t="s">
        <v>259</v>
      </c>
      <c r="AO1406" t="s">
        <v>260</v>
      </c>
      <c r="AP1406" t="s">
        <v>1644</v>
      </c>
      <c r="AQ1406" t="s">
        <v>261</v>
      </c>
      <c r="AT1406" t="s">
        <v>288</v>
      </c>
      <c r="AU1406">
        <v>100</v>
      </c>
      <c r="AV1406" t="s">
        <v>289</v>
      </c>
      <c r="AW1406">
        <v>200</v>
      </c>
      <c r="AX1406" t="s">
        <v>290</v>
      </c>
      <c r="BO1406" t="s">
        <v>261</v>
      </c>
      <c r="BR1406" t="s">
        <v>288</v>
      </c>
      <c r="BS1406">
        <v>0.1</v>
      </c>
      <c r="BT1406" t="s">
        <v>289</v>
      </c>
      <c r="BU1406">
        <v>0.2</v>
      </c>
      <c r="BV1406" t="s">
        <v>263</v>
      </c>
      <c r="CM1406" t="s">
        <v>264</v>
      </c>
      <c r="CN1406" t="s">
        <v>264</v>
      </c>
      <c r="CO1406" t="s">
        <v>3044</v>
      </c>
      <c r="CP1406" t="s">
        <v>265</v>
      </c>
      <c r="CQ1406" t="s">
        <v>394</v>
      </c>
      <c r="DB1406">
        <v>1</v>
      </c>
      <c r="DG1406" t="s">
        <v>267</v>
      </c>
      <c r="DI1406">
        <v>24</v>
      </c>
      <c r="DN1406" t="s">
        <v>268</v>
      </c>
      <c r="DR1406">
        <v>136180</v>
      </c>
      <c r="DS1406">
        <v>376</v>
      </c>
      <c r="EW1406" t="s">
        <v>272</v>
      </c>
      <c r="FK1406" t="s">
        <v>3045</v>
      </c>
      <c r="FN1406" t="s">
        <v>288</v>
      </c>
      <c r="FO1406">
        <v>30</v>
      </c>
      <c r="FP1406" t="s">
        <v>289</v>
      </c>
      <c r="FQ1406">
        <v>32</v>
      </c>
      <c r="FR1406" t="s">
        <v>295</v>
      </c>
      <c r="GU1406">
        <v>36</v>
      </c>
      <c r="GZ1406" t="s">
        <v>296</v>
      </c>
      <c r="HH1406" t="s">
        <v>272</v>
      </c>
      <c r="ID1406" t="s">
        <v>3046</v>
      </c>
      <c r="IE1406" t="s">
        <v>1648</v>
      </c>
      <c r="IF1406">
        <v>6045</v>
      </c>
      <c r="IG1406" t="s">
        <v>1649</v>
      </c>
      <c r="IH1406" t="s">
        <v>1650</v>
      </c>
      <c r="II1406">
        <v>1976</v>
      </c>
      <c r="IJ1406" t="s">
        <v>1651</v>
      </c>
    </row>
    <row r="1407" spans="1:244" x14ac:dyDescent="0.45">
      <c r="A1407">
        <v>1101847</v>
      </c>
      <c r="B1407">
        <v>45162</v>
      </c>
      <c r="C1407">
        <v>7758987</v>
      </c>
      <c r="D1407" t="s">
        <v>2545</v>
      </c>
      <c r="F1407" t="s">
        <v>327</v>
      </c>
      <c r="G1407" t="s">
        <v>246</v>
      </c>
      <c r="N1407" t="s">
        <v>3057</v>
      </c>
      <c r="O1407" t="s">
        <v>3058</v>
      </c>
      <c r="P1407" t="s">
        <v>249</v>
      </c>
      <c r="Q1407" t="s">
        <v>250</v>
      </c>
      <c r="R1407" t="s">
        <v>251</v>
      </c>
      <c r="T1407" t="s">
        <v>252</v>
      </c>
      <c r="U1407" t="s">
        <v>253</v>
      </c>
      <c r="V1407" t="s">
        <v>1847</v>
      </c>
      <c r="W1407" t="s">
        <v>1848</v>
      </c>
      <c r="X1407" t="s">
        <v>2524</v>
      </c>
      <c r="AL1407" t="s">
        <v>3059</v>
      </c>
      <c r="AM1407" t="s">
        <v>307</v>
      </c>
      <c r="AN1407" t="s">
        <v>259</v>
      </c>
      <c r="AO1407" t="s">
        <v>260</v>
      </c>
      <c r="AQ1407" t="s">
        <v>261</v>
      </c>
      <c r="AS1407">
        <v>21</v>
      </c>
      <c r="AX1407" t="s">
        <v>262</v>
      </c>
      <c r="BO1407" t="s">
        <v>261</v>
      </c>
      <c r="BQ1407">
        <v>2.1000000000000001E-2</v>
      </c>
      <c r="BV1407" t="s">
        <v>263</v>
      </c>
      <c r="CM1407" t="s">
        <v>264</v>
      </c>
      <c r="CN1407" t="s">
        <v>264</v>
      </c>
      <c r="CP1407" t="s">
        <v>265</v>
      </c>
      <c r="CQ1407" t="s">
        <v>394</v>
      </c>
      <c r="DB1407">
        <v>4</v>
      </c>
      <c r="DG1407" t="s">
        <v>267</v>
      </c>
      <c r="DI1407">
        <v>96</v>
      </c>
      <c r="DN1407" t="s">
        <v>268</v>
      </c>
      <c r="DR1407">
        <v>397975</v>
      </c>
      <c r="DS1407">
        <v>737</v>
      </c>
      <c r="EW1407" t="s">
        <v>271</v>
      </c>
      <c r="FK1407" t="s">
        <v>3060</v>
      </c>
      <c r="FM1407">
        <v>15</v>
      </c>
      <c r="FR1407" t="s">
        <v>295</v>
      </c>
      <c r="GC1407">
        <v>116</v>
      </c>
      <c r="GE1407">
        <v>121</v>
      </c>
      <c r="GF1407" t="s">
        <v>572</v>
      </c>
      <c r="GJ1407">
        <v>7.28</v>
      </c>
      <c r="GL1407">
        <v>9.4</v>
      </c>
      <c r="GM1407" t="s">
        <v>356</v>
      </c>
      <c r="GW1407">
        <v>28.5</v>
      </c>
      <c r="GY1407">
        <v>31</v>
      </c>
      <c r="GZ1407" t="s">
        <v>296</v>
      </c>
      <c r="HH1407" t="s">
        <v>272</v>
      </c>
      <c r="ID1407" t="s">
        <v>3061</v>
      </c>
      <c r="IE1407" t="s">
        <v>3062</v>
      </c>
      <c r="IF1407">
        <v>7396</v>
      </c>
      <c r="IG1407" t="s">
        <v>3063</v>
      </c>
      <c r="IH1407" t="s">
        <v>3064</v>
      </c>
      <c r="II1407">
        <v>1976</v>
      </c>
      <c r="IJ1407" t="s">
        <v>3065</v>
      </c>
    </row>
    <row r="1408" spans="1:244" x14ac:dyDescent="0.45">
      <c r="A1408">
        <v>1300793</v>
      </c>
      <c r="B1408">
        <v>756465</v>
      </c>
      <c r="C1408">
        <v>7758987</v>
      </c>
      <c r="D1408" t="s">
        <v>2545</v>
      </c>
      <c r="E1408" t="s">
        <v>386</v>
      </c>
      <c r="F1408" t="s">
        <v>245</v>
      </c>
      <c r="G1408" t="s">
        <v>246</v>
      </c>
      <c r="N1408" t="s">
        <v>387</v>
      </c>
      <c r="O1408" t="s">
        <v>388</v>
      </c>
      <c r="P1408" t="s">
        <v>249</v>
      </c>
      <c r="Q1408" t="s">
        <v>250</v>
      </c>
      <c r="R1408" t="s">
        <v>251</v>
      </c>
      <c r="T1408" t="s">
        <v>389</v>
      </c>
      <c r="U1408" t="s">
        <v>390</v>
      </c>
      <c r="V1408" t="s">
        <v>391</v>
      </c>
      <c r="W1408" t="s">
        <v>392</v>
      </c>
      <c r="X1408" t="s">
        <v>393</v>
      </c>
      <c r="Z1408" t="s">
        <v>315</v>
      </c>
      <c r="AM1408" t="s">
        <v>287</v>
      </c>
      <c r="AN1408" t="s">
        <v>259</v>
      </c>
      <c r="AO1408" t="s">
        <v>260</v>
      </c>
      <c r="AP1408">
        <v>2</v>
      </c>
      <c r="AQ1408" t="s">
        <v>261</v>
      </c>
      <c r="AT1408" t="s">
        <v>288</v>
      </c>
      <c r="AU1408">
        <v>1000</v>
      </c>
      <c r="AV1408" t="s">
        <v>289</v>
      </c>
      <c r="AW1408">
        <v>1100</v>
      </c>
      <c r="AX1408" t="s">
        <v>262</v>
      </c>
      <c r="BO1408" t="s">
        <v>261</v>
      </c>
      <c r="BR1408" t="s">
        <v>288</v>
      </c>
      <c r="BS1408">
        <v>1</v>
      </c>
      <c r="BT1408" t="s">
        <v>289</v>
      </c>
      <c r="BU1408">
        <v>1.1000000000000001</v>
      </c>
      <c r="BV1408" t="s">
        <v>263</v>
      </c>
      <c r="CM1408" t="s">
        <v>264</v>
      </c>
      <c r="CN1408" t="s">
        <v>264</v>
      </c>
      <c r="CO1408" t="s">
        <v>3066</v>
      </c>
      <c r="CP1408" t="s">
        <v>265</v>
      </c>
      <c r="CQ1408" t="s">
        <v>394</v>
      </c>
      <c r="DB1408">
        <v>4</v>
      </c>
      <c r="DG1408" t="s">
        <v>267</v>
      </c>
      <c r="DI1408">
        <v>96</v>
      </c>
      <c r="DN1408" t="s">
        <v>268</v>
      </c>
      <c r="DP1408" t="s">
        <v>2899</v>
      </c>
      <c r="DR1408">
        <v>158387</v>
      </c>
      <c r="DS1408">
        <v>6038</v>
      </c>
      <c r="DT1408" t="s">
        <v>396</v>
      </c>
      <c r="EW1408" t="s">
        <v>293</v>
      </c>
      <c r="FA1408" t="s">
        <v>397</v>
      </c>
      <c r="FK1408" t="s">
        <v>3067</v>
      </c>
      <c r="FM1408">
        <v>25</v>
      </c>
      <c r="FR1408" t="s">
        <v>295</v>
      </c>
      <c r="GQ1408">
        <v>8.1</v>
      </c>
      <c r="GS1408">
        <v>8.4</v>
      </c>
      <c r="GU1408">
        <v>33</v>
      </c>
      <c r="GZ1408" t="s">
        <v>296</v>
      </c>
      <c r="HH1408" t="s">
        <v>272</v>
      </c>
      <c r="ID1408" t="s">
        <v>3068</v>
      </c>
      <c r="IE1408" t="s">
        <v>400</v>
      </c>
      <c r="IF1408">
        <v>115854</v>
      </c>
      <c r="IG1408" t="s">
        <v>401</v>
      </c>
      <c r="IH1408" t="s">
        <v>402</v>
      </c>
      <c r="II1408">
        <v>2008</v>
      </c>
      <c r="IJ1408" t="s">
        <v>403</v>
      </c>
    </row>
    <row r="1409" spans="1:244" x14ac:dyDescent="0.45">
      <c r="A1409">
        <v>1301479</v>
      </c>
      <c r="B1409">
        <v>757358</v>
      </c>
      <c r="C1409">
        <v>7758987</v>
      </c>
      <c r="D1409" t="s">
        <v>2545</v>
      </c>
      <c r="E1409" t="s">
        <v>386</v>
      </c>
      <c r="F1409" t="s">
        <v>245</v>
      </c>
      <c r="G1409" t="s">
        <v>246</v>
      </c>
      <c r="N1409" t="s">
        <v>387</v>
      </c>
      <c r="O1409" t="s">
        <v>388</v>
      </c>
      <c r="P1409" t="s">
        <v>249</v>
      </c>
      <c r="Q1409" t="s">
        <v>250</v>
      </c>
      <c r="R1409" t="s">
        <v>251</v>
      </c>
      <c r="T1409" t="s">
        <v>389</v>
      </c>
      <c r="U1409" t="s">
        <v>390</v>
      </c>
      <c r="V1409" t="s">
        <v>391</v>
      </c>
      <c r="W1409" t="s">
        <v>392</v>
      </c>
      <c r="X1409" t="s">
        <v>393</v>
      </c>
      <c r="Z1409" t="s">
        <v>315</v>
      </c>
      <c r="AL1409" t="s">
        <v>3069</v>
      </c>
      <c r="AM1409" t="s">
        <v>258</v>
      </c>
      <c r="AN1409" t="s">
        <v>259</v>
      </c>
      <c r="AO1409" t="s">
        <v>260</v>
      </c>
      <c r="AP1409" t="s">
        <v>2368</v>
      </c>
      <c r="AQ1409" t="s">
        <v>261</v>
      </c>
      <c r="AT1409" t="s">
        <v>288</v>
      </c>
      <c r="AU1409">
        <v>400</v>
      </c>
      <c r="AV1409" t="s">
        <v>289</v>
      </c>
      <c r="AW1409">
        <v>600</v>
      </c>
      <c r="AX1409" t="s">
        <v>262</v>
      </c>
      <c r="BO1409" t="s">
        <v>261</v>
      </c>
      <c r="BR1409" t="s">
        <v>288</v>
      </c>
      <c r="BS1409">
        <v>0.4</v>
      </c>
      <c r="BT1409" t="s">
        <v>289</v>
      </c>
      <c r="BU1409">
        <v>0.6</v>
      </c>
      <c r="BV1409" t="s">
        <v>263</v>
      </c>
      <c r="CM1409" t="s">
        <v>264</v>
      </c>
      <c r="CN1409" t="s">
        <v>264</v>
      </c>
      <c r="CP1409" t="s">
        <v>265</v>
      </c>
      <c r="CQ1409" t="s">
        <v>394</v>
      </c>
      <c r="DB1409">
        <v>4</v>
      </c>
      <c r="DG1409" t="s">
        <v>267</v>
      </c>
      <c r="DI1409">
        <v>96</v>
      </c>
      <c r="DN1409" t="s">
        <v>268</v>
      </c>
      <c r="DP1409" t="s">
        <v>2554</v>
      </c>
      <c r="DR1409">
        <v>158387</v>
      </c>
      <c r="DS1409">
        <v>6038</v>
      </c>
      <c r="DT1409" t="s">
        <v>396</v>
      </c>
      <c r="EW1409" t="s">
        <v>293</v>
      </c>
      <c r="FK1409" t="s">
        <v>3070</v>
      </c>
      <c r="FO1409">
        <v>22</v>
      </c>
      <c r="FQ1409">
        <v>25</v>
      </c>
      <c r="FR1409" t="s">
        <v>295</v>
      </c>
      <c r="GW1409">
        <v>30</v>
      </c>
      <c r="GY1409">
        <v>35</v>
      </c>
      <c r="GZ1409" t="s">
        <v>296</v>
      </c>
      <c r="HH1409" t="s">
        <v>272</v>
      </c>
      <c r="ID1409" t="s">
        <v>3071</v>
      </c>
      <c r="IE1409" t="s">
        <v>400</v>
      </c>
      <c r="IF1409">
        <v>115854</v>
      </c>
      <c r="IG1409" t="s">
        <v>401</v>
      </c>
      <c r="IH1409" t="s">
        <v>402</v>
      </c>
      <c r="II1409">
        <v>2008</v>
      </c>
      <c r="IJ1409" t="s">
        <v>403</v>
      </c>
    </row>
    <row r="1410" spans="1:244" x14ac:dyDescent="0.45">
      <c r="A1410">
        <v>1078467</v>
      </c>
      <c r="B1410">
        <v>231980</v>
      </c>
      <c r="C1410">
        <v>7758987</v>
      </c>
      <c r="D1410" t="s">
        <v>2545</v>
      </c>
      <c r="F1410" t="s">
        <v>245</v>
      </c>
      <c r="G1410" t="s">
        <v>246</v>
      </c>
      <c r="N1410" t="s">
        <v>630</v>
      </c>
      <c r="O1410" t="s">
        <v>631</v>
      </c>
      <c r="P1410" t="s">
        <v>249</v>
      </c>
      <c r="Q1410" t="s">
        <v>250</v>
      </c>
      <c r="R1410" t="s">
        <v>251</v>
      </c>
      <c r="T1410" t="s">
        <v>389</v>
      </c>
      <c r="U1410" t="s">
        <v>632</v>
      </c>
      <c r="V1410" t="s">
        <v>633</v>
      </c>
      <c r="W1410" t="s">
        <v>634</v>
      </c>
      <c r="X1410" t="s">
        <v>635</v>
      </c>
      <c r="AJ1410" t="s">
        <v>285</v>
      </c>
      <c r="AM1410" t="s">
        <v>317</v>
      </c>
      <c r="AN1410" t="s">
        <v>259</v>
      </c>
      <c r="AO1410" t="s">
        <v>260</v>
      </c>
      <c r="AP1410" t="s">
        <v>1644</v>
      </c>
      <c r="AQ1410" t="s">
        <v>261</v>
      </c>
      <c r="AR1410" t="s">
        <v>515</v>
      </c>
      <c r="AS1410">
        <v>200</v>
      </c>
      <c r="AX1410" t="s">
        <v>290</v>
      </c>
      <c r="BO1410" t="s">
        <v>261</v>
      </c>
      <c r="BP1410" t="s">
        <v>515</v>
      </c>
      <c r="BQ1410">
        <v>0.2</v>
      </c>
      <c r="BV1410" t="s">
        <v>263</v>
      </c>
      <c r="CM1410" t="s">
        <v>264</v>
      </c>
      <c r="CN1410" t="s">
        <v>264</v>
      </c>
      <c r="CO1410" t="s">
        <v>3044</v>
      </c>
      <c r="CP1410" t="s">
        <v>265</v>
      </c>
      <c r="CQ1410" t="s">
        <v>394</v>
      </c>
      <c r="DB1410">
        <v>1</v>
      </c>
      <c r="DG1410" t="s">
        <v>267</v>
      </c>
      <c r="DI1410">
        <v>24</v>
      </c>
      <c r="DN1410" t="s">
        <v>268</v>
      </c>
      <c r="DR1410">
        <v>136180</v>
      </c>
      <c r="DS1410">
        <v>376</v>
      </c>
      <c r="EW1410" t="s">
        <v>272</v>
      </c>
      <c r="FK1410" t="s">
        <v>3045</v>
      </c>
      <c r="FL1410" t="s">
        <v>515</v>
      </c>
      <c r="FM1410">
        <v>22</v>
      </c>
      <c r="FR1410" t="s">
        <v>295</v>
      </c>
      <c r="GU1410">
        <v>36</v>
      </c>
      <c r="GZ1410" t="s">
        <v>296</v>
      </c>
      <c r="HH1410" t="s">
        <v>272</v>
      </c>
      <c r="ID1410" t="s">
        <v>3046</v>
      </c>
      <c r="IE1410" t="s">
        <v>1648</v>
      </c>
      <c r="IF1410">
        <v>6045</v>
      </c>
      <c r="IG1410" t="s">
        <v>1649</v>
      </c>
      <c r="IH1410" t="s">
        <v>1650</v>
      </c>
      <c r="II1410">
        <v>1976</v>
      </c>
      <c r="IJ1410" t="s">
        <v>1651</v>
      </c>
    </row>
    <row r="1411" spans="1:244" x14ac:dyDescent="0.45">
      <c r="A1411">
        <v>1296798</v>
      </c>
      <c r="B1411">
        <v>752112</v>
      </c>
      <c r="C1411">
        <v>7758987</v>
      </c>
      <c r="D1411" t="s">
        <v>2545</v>
      </c>
      <c r="F1411" t="s">
        <v>245</v>
      </c>
      <c r="G1411" t="s">
        <v>246</v>
      </c>
      <c r="H1411" t="s">
        <v>288</v>
      </c>
      <c r="I1411">
        <v>99</v>
      </c>
      <c r="N1411" t="s">
        <v>387</v>
      </c>
      <c r="O1411" t="s">
        <v>388</v>
      </c>
      <c r="P1411" t="s">
        <v>249</v>
      </c>
      <c r="Q1411" t="s">
        <v>250</v>
      </c>
      <c r="R1411" t="s">
        <v>251</v>
      </c>
      <c r="T1411" t="s">
        <v>389</v>
      </c>
      <c r="U1411" t="s">
        <v>390</v>
      </c>
      <c r="V1411" t="s">
        <v>391</v>
      </c>
      <c r="W1411" t="s">
        <v>392</v>
      </c>
      <c r="X1411" t="s">
        <v>393</v>
      </c>
      <c r="Z1411" t="s">
        <v>315</v>
      </c>
      <c r="AB1411">
        <v>2</v>
      </c>
      <c r="AG1411" t="s">
        <v>516</v>
      </c>
      <c r="AL1411" t="s">
        <v>2100</v>
      </c>
      <c r="AM1411" t="s">
        <v>258</v>
      </c>
      <c r="AN1411" t="s">
        <v>259</v>
      </c>
      <c r="AO1411" t="s">
        <v>260</v>
      </c>
      <c r="AQ1411" t="s">
        <v>261</v>
      </c>
      <c r="AS1411">
        <v>3.9</v>
      </c>
      <c r="AU1411">
        <v>2.6</v>
      </c>
      <c r="AW1411">
        <v>5.87</v>
      </c>
      <c r="AX1411" t="s">
        <v>356</v>
      </c>
      <c r="BO1411" t="s">
        <v>261</v>
      </c>
      <c r="BQ1411">
        <v>3.9</v>
      </c>
      <c r="BS1411">
        <v>2.6</v>
      </c>
      <c r="BU1411">
        <v>5.87</v>
      </c>
      <c r="BV1411" t="s">
        <v>263</v>
      </c>
      <c r="CM1411" t="s">
        <v>264</v>
      </c>
      <c r="CN1411" t="s">
        <v>264</v>
      </c>
      <c r="CP1411" t="s">
        <v>265</v>
      </c>
      <c r="CQ1411" t="s">
        <v>394</v>
      </c>
      <c r="DB1411">
        <v>4</v>
      </c>
      <c r="DG1411" t="s">
        <v>267</v>
      </c>
      <c r="DI1411">
        <v>96</v>
      </c>
      <c r="DN1411" t="s">
        <v>268</v>
      </c>
      <c r="DO1411" t="s">
        <v>1587</v>
      </c>
      <c r="DP1411" t="s">
        <v>2607</v>
      </c>
      <c r="DR1411">
        <v>158387</v>
      </c>
      <c r="DS1411">
        <v>6038</v>
      </c>
      <c r="DT1411" t="s">
        <v>2101</v>
      </c>
      <c r="EW1411" t="s">
        <v>293</v>
      </c>
      <c r="FK1411" t="s">
        <v>3072</v>
      </c>
      <c r="FM1411">
        <v>20</v>
      </c>
      <c r="FR1411" t="s">
        <v>295</v>
      </c>
      <c r="GH1411">
        <v>5.24</v>
      </c>
      <c r="GM1411" t="s">
        <v>356</v>
      </c>
      <c r="GO1411">
        <v>7.9</v>
      </c>
      <c r="GU1411">
        <v>32</v>
      </c>
      <c r="GZ1411" t="s">
        <v>296</v>
      </c>
      <c r="HH1411" t="s">
        <v>272</v>
      </c>
      <c r="ID1411" t="s">
        <v>3073</v>
      </c>
      <c r="IE1411" t="s">
        <v>2104</v>
      </c>
      <c r="IF1411">
        <v>111315</v>
      </c>
      <c r="IG1411" t="s">
        <v>2105</v>
      </c>
      <c r="IH1411" t="s">
        <v>2106</v>
      </c>
      <c r="II1411">
        <v>2007</v>
      </c>
      <c r="IJ1411" t="s">
        <v>2107</v>
      </c>
    </row>
    <row r="1412" spans="1:244" x14ac:dyDescent="0.45">
      <c r="A1412">
        <v>1272811</v>
      </c>
      <c r="B1412">
        <v>724110</v>
      </c>
      <c r="C1412">
        <v>7758987</v>
      </c>
      <c r="D1412" t="s">
        <v>2545</v>
      </c>
      <c r="F1412" t="s">
        <v>245</v>
      </c>
      <c r="G1412" t="s">
        <v>246</v>
      </c>
      <c r="N1412" t="s">
        <v>2183</v>
      </c>
      <c r="O1412" t="s">
        <v>498</v>
      </c>
      <c r="P1412" t="s">
        <v>249</v>
      </c>
      <c r="Q1412" t="s">
        <v>250</v>
      </c>
      <c r="R1412" t="s">
        <v>251</v>
      </c>
      <c r="T1412" t="s">
        <v>252</v>
      </c>
      <c r="U1412" t="s">
        <v>499</v>
      </c>
      <c r="V1412" t="s">
        <v>1281</v>
      </c>
      <c r="W1412" t="s">
        <v>1282</v>
      </c>
      <c r="X1412" t="s">
        <v>2184</v>
      </c>
      <c r="Z1412" t="s">
        <v>315</v>
      </c>
      <c r="AL1412" t="s">
        <v>2475</v>
      </c>
      <c r="AM1412" t="s">
        <v>317</v>
      </c>
      <c r="AN1412" t="s">
        <v>259</v>
      </c>
      <c r="AO1412" t="s">
        <v>260</v>
      </c>
      <c r="AQ1412" t="s">
        <v>261</v>
      </c>
      <c r="AS1412">
        <v>20.74</v>
      </c>
      <c r="AU1412">
        <v>16.77</v>
      </c>
      <c r="AW1412">
        <v>25.65</v>
      </c>
      <c r="AX1412" t="s">
        <v>356</v>
      </c>
      <c r="BO1412" t="s">
        <v>261</v>
      </c>
      <c r="BQ1412">
        <v>20.74</v>
      </c>
      <c r="BS1412">
        <v>16.77</v>
      </c>
      <c r="BU1412">
        <v>25.65</v>
      </c>
      <c r="BV1412" t="s">
        <v>263</v>
      </c>
      <c r="CM1412" t="s">
        <v>264</v>
      </c>
      <c r="CN1412" t="s">
        <v>264</v>
      </c>
      <c r="CP1412" t="s">
        <v>265</v>
      </c>
      <c r="CQ1412" t="s">
        <v>394</v>
      </c>
      <c r="DB1412">
        <v>4</v>
      </c>
      <c r="DG1412" t="s">
        <v>267</v>
      </c>
      <c r="DI1412">
        <v>96</v>
      </c>
      <c r="DN1412" t="s">
        <v>268</v>
      </c>
      <c r="DP1412" t="s">
        <v>2607</v>
      </c>
      <c r="DR1412">
        <v>371472</v>
      </c>
      <c r="DS1412">
        <v>1342</v>
      </c>
      <c r="DT1412" t="s">
        <v>2476</v>
      </c>
      <c r="EW1412" t="s">
        <v>293</v>
      </c>
      <c r="FA1412" t="s">
        <v>2495</v>
      </c>
      <c r="FK1412" t="s">
        <v>3074</v>
      </c>
      <c r="FM1412">
        <v>11</v>
      </c>
      <c r="FR1412" t="s">
        <v>295</v>
      </c>
      <c r="GH1412">
        <v>75</v>
      </c>
      <c r="GM1412" t="s">
        <v>1224</v>
      </c>
      <c r="GO1412">
        <v>7.24</v>
      </c>
      <c r="GU1412">
        <v>32</v>
      </c>
      <c r="GZ1412" t="s">
        <v>296</v>
      </c>
      <c r="HH1412" t="s">
        <v>272</v>
      </c>
      <c r="ID1412" t="s">
        <v>3075</v>
      </c>
      <c r="IE1412" t="s">
        <v>2480</v>
      </c>
      <c r="IF1412">
        <v>47359</v>
      </c>
      <c r="IG1412" t="s">
        <v>2481</v>
      </c>
      <c r="IH1412" t="s">
        <v>2482</v>
      </c>
      <c r="II1412">
        <v>1998</v>
      </c>
      <c r="IJ1412" t="s">
        <v>2483</v>
      </c>
    </row>
    <row r="1413" spans="1:244" x14ac:dyDescent="0.45">
      <c r="A1413">
        <v>1078461</v>
      </c>
      <c r="B1413">
        <v>231973</v>
      </c>
      <c r="C1413">
        <v>7758987</v>
      </c>
      <c r="D1413" t="s">
        <v>2545</v>
      </c>
      <c r="F1413" t="s">
        <v>245</v>
      </c>
      <c r="G1413" t="s">
        <v>246</v>
      </c>
      <c r="N1413" t="s">
        <v>630</v>
      </c>
      <c r="O1413" t="s">
        <v>631</v>
      </c>
      <c r="P1413" t="s">
        <v>249</v>
      </c>
      <c r="Q1413" t="s">
        <v>250</v>
      </c>
      <c r="R1413" t="s">
        <v>251</v>
      </c>
      <c r="T1413" t="s">
        <v>389</v>
      </c>
      <c r="U1413" t="s">
        <v>632</v>
      </c>
      <c r="V1413" t="s">
        <v>633</v>
      </c>
      <c r="W1413" t="s">
        <v>634</v>
      </c>
      <c r="X1413" t="s">
        <v>635</v>
      </c>
      <c r="AJ1413" t="s">
        <v>285</v>
      </c>
      <c r="AM1413" t="s">
        <v>317</v>
      </c>
      <c r="AN1413" t="s">
        <v>259</v>
      </c>
      <c r="AO1413" t="s">
        <v>260</v>
      </c>
      <c r="AP1413" t="s">
        <v>1644</v>
      </c>
      <c r="AQ1413" t="s">
        <v>261</v>
      </c>
      <c r="AT1413" t="s">
        <v>288</v>
      </c>
      <c r="AU1413">
        <v>100</v>
      </c>
      <c r="AV1413" t="s">
        <v>289</v>
      </c>
      <c r="AW1413">
        <v>200</v>
      </c>
      <c r="AX1413" t="s">
        <v>290</v>
      </c>
      <c r="BO1413" t="s">
        <v>261</v>
      </c>
      <c r="BR1413" t="s">
        <v>288</v>
      </c>
      <c r="BS1413">
        <v>0.1</v>
      </c>
      <c r="BT1413" t="s">
        <v>289</v>
      </c>
      <c r="BU1413">
        <v>0.2</v>
      </c>
      <c r="BV1413" t="s">
        <v>263</v>
      </c>
      <c r="CM1413" t="s">
        <v>264</v>
      </c>
      <c r="CN1413" t="s">
        <v>264</v>
      </c>
      <c r="CO1413" t="s">
        <v>3044</v>
      </c>
      <c r="CP1413" t="s">
        <v>265</v>
      </c>
      <c r="CQ1413" t="s">
        <v>394</v>
      </c>
      <c r="DB1413">
        <v>1</v>
      </c>
      <c r="DG1413" t="s">
        <v>267</v>
      </c>
      <c r="DI1413">
        <v>24</v>
      </c>
      <c r="DN1413" t="s">
        <v>268</v>
      </c>
      <c r="DR1413">
        <v>136180</v>
      </c>
      <c r="DS1413">
        <v>376</v>
      </c>
      <c r="EW1413" t="s">
        <v>272</v>
      </c>
      <c r="FK1413" t="s">
        <v>3045</v>
      </c>
      <c r="FL1413" t="s">
        <v>515</v>
      </c>
      <c r="FM1413">
        <v>30</v>
      </c>
      <c r="FR1413" t="s">
        <v>295</v>
      </c>
      <c r="GU1413">
        <v>36</v>
      </c>
      <c r="GZ1413" t="s">
        <v>296</v>
      </c>
      <c r="HH1413" t="s">
        <v>272</v>
      </c>
      <c r="ID1413" t="s">
        <v>3046</v>
      </c>
      <c r="IE1413" t="s">
        <v>1648</v>
      </c>
      <c r="IF1413">
        <v>6045</v>
      </c>
      <c r="IG1413" t="s">
        <v>1649</v>
      </c>
      <c r="IH1413" t="s">
        <v>1650</v>
      </c>
      <c r="II1413">
        <v>1976</v>
      </c>
      <c r="IJ1413" t="s">
        <v>1651</v>
      </c>
    </row>
    <row r="1414" spans="1:244" x14ac:dyDescent="0.45">
      <c r="A1414">
        <v>1078473</v>
      </c>
      <c r="B1414">
        <v>231986</v>
      </c>
      <c r="C1414">
        <v>7758987</v>
      </c>
      <c r="D1414" t="s">
        <v>2545</v>
      </c>
      <c r="F1414" t="s">
        <v>245</v>
      </c>
      <c r="G1414" t="s">
        <v>246</v>
      </c>
      <c r="N1414" t="s">
        <v>630</v>
      </c>
      <c r="O1414" t="s">
        <v>631</v>
      </c>
      <c r="P1414" t="s">
        <v>249</v>
      </c>
      <c r="Q1414" t="s">
        <v>250</v>
      </c>
      <c r="R1414" t="s">
        <v>251</v>
      </c>
      <c r="T1414" t="s">
        <v>389</v>
      </c>
      <c r="U1414" t="s">
        <v>632</v>
      </c>
      <c r="V1414" t="s">
        <v>633</v>
      </c>
      <c r="W1414" t="s">
        <v>634</v>
      </c>
      <c r="X1414" t="s">
        <v>635</v>
      </c>
      <c r="AJ1414" t="s">
        <v>285</v>
      </c>
      <c r="AM1414" t="s">
        <v>317</v>
      </c>
      <c r="AN1414" t="s">
        <v>259</v>
      </c>
      <c r="AO1414" t="s">
        <v>260</v>
      </c>
      <c r="AP1414" t="s">
        <v>1644</v>
      </c>
      <c r="AQ1414" t="s">
        <v>261</v>
      </c>
      <c r="AT1414" t="s">
        <v>288</v>
      </c>
      <c r="AU1414">
        <v>100</v>
      </c>
      <c r="AV1414" t="s">
        <v>289</v>
      </c>
      <c r="AW1414">
        <v>200</v>
      </c>
      <c r="AX1414" t="s">
        <v>290</v>
      </c>
      <c r="BO1414" t="s">
        <v>261</v>
      </c>
      <c r="BR1414" t="s">
        <v>288</v>
      </c>
      <c r="BS1414">
        <v>0.1</v>
      </c>
      <c r="BT1414" t="s">
        <v>289</v>
      </c>
      <c r="BU1414">
        <v>0.2</v>
      </c>
      <c r="BV1414" t="s">
        <v>263</v>
      </c>
      <c r="CM1414" t="s">
        <v>264</v>
      </c>
      <c r="CN1414" t="s">
        <v>264</v>
      </c>
      <c r="CO1414" t="s">
        <v>3044</v>
      </c>
      <c r="CP1414" t="s">
        <v>265</v>
      </c>
      <c r="CQ1414" t="s">
        <v>394</v>
      </c>
      <c r="DB1414">
        <v>1</v>
      </c>
      <c r="DG1414" t="s">
        <v>267</v>
      </c>
      <c r="DI1414">
        <v>24</v>
      </c>
      <c r="DN1414" t="s">
        <v>268</v>
      </c>
      <c r="DR1414">
        <v>136180</v>
      </c>
      <c r="DS1414">
        <v>376</v>
      </c>
      <c r="EW1414" t="s">
        <v>272</v>
      </c>
      <c r="FK1414" t="s">
        <v>3045</v>
      </c>
      <c r="FL1414" t="s">
        <v>515</v>
      </c>
      <c r="FM1414">
        <v>26</v>
      </c>
      <c r="FR1414" t="s">
        <v>295</v>
      </c>
      <c r="GU1414">
        <v>36</v>
      </c>
      <c r="GZ1414" t="s">
        <v>296</v>
      </c>
      <c r="HH1414" t="s">
        <v>272</v>
      </c>
      <c r="ID1414" t="s">
        <v>3046</v>
      </c>
      <c r="IE1414" t="s">
        <v>1648</v>
      </c>
      <c r="IF1414">
        <v>6045</v>
      </c>
      <c r="IG1414" t="s">
        <v>1649</v>
      </c>
      <c r="IH1414" t="s">
        <v>1650</v>
      </c>
      <c r="II1414">
        <v>1976</v>
      </c>
      <c r="IJ1414" t="s">
        <v>1651</v>
      </c>
    </row>
    <row r="1415" spans="1:244" x14ac:dyDescent="0.45">
      <c r="A1415">
        <v>1300801</v>
      </c>
      <c r="B1415">
        <v>756473</v>
      </c>
      <c r="C1415">
        <v>7758987</v>
      </c>
      <c r="D1415" t="s">
        <v>2545</v>
      </c>
      <c r="E1415" t="s">
        <v>386</v>
      </c>
      <c r="F1415" t="s">
        <v>245</v>
      </c>
      <c r="G1415" t="s">
        <v>246</v>
      </c>
      <c r="N1415" t="s">
        <v>387</v>
      </c>
      <c r="O1415" t="s">
        <v>388</v>
      </c>
      <c r="P1415" t="s">
        <v>249</v>
      </c>
      <c r="Q1415" t="s">
        <v>250</v>
      </c>
      <c r="R1415" t="s">
        <v>251</v>
      </c>
      <c r="T1415" t="s">
        <v>389</v>
      </c>
      <c r="U1415" t="s">
        <v>390</v>
      </c>
      <c r="V1415" t="s">
        <v>391</v>
      </c>
      <c r="W1415" t="s">
        <v>392</v>
      </c>
      <c r="X1415" t="s">
        <v>393</v>
      </c>
      <c r="Z1415" t="s">
        <v>315</v>
      </c>
      <c r="AL1415" t="s">
        <v>3069</v>
      </c>
      <c r="AM1415" t="s">
        <v>258</v>
      </c>
      <c r="AN1415" t="s">
        <v>259</v>
      </c>
      <c r="AO1415" t="s">
        <v>260</v>
      </c>
      <c r="AP1415" t="s">
        <v>2368</v>
      </c>
      <c r="AQ1415" t="s">
        <v>261</v>
      </c>
      <c r="AR1415" t="s">
        <v>515</v>
      </c>
      <c r="AS1415">
        <v>800</v>
      </c>
      <c r="AX1415" t="s">
        <v>262</v>
      </c>
      <c r="BO1415" t="s">
        <v>261</v>
      </c>
      <c r="BP1415" t="s">
        <v>515</v>
      </c>
      <c r="BQ1415">
        <v>0.8</v>
      </c>
      <c r="BV1415" t="s">
        <v>263</v>
      </c>
      <c r="CM1415" t="s">
        <v>264</v>
      </c>
      <c r="CN1415" t="s">
        <v>264</v>
      </c>
      <c r="CP1415" t="s">
        <v>265</v>
      </c>
      <c r="CQ1415" t="s">
        <v>394</v>
      </c>
      <c r="DB1415">
        <v>4</v>
      </c>
      <c r="DG1415" t="s">
        <v>267</v>
      </c>
      <c r="DI1415">
        <v>96</v>
      </c>
      <c r="DN1415" t="s">
        <v>268</v>
      </c>
      <c r="DP1415" t="s">
        <v>2554</v>
      </c>
      <c r="DR1415">
        <v>158387</v>
      </c>
      <c r="DS1415">
        <v>6038</v>
      </c>
      <c r="DT1415" t="s">
        <v>396</v>
      </c>
      <c r="EW1415" t="s">
        <v>293</v>
      </c>
      <c r="FK1415" t="s">
        <v>3076</v>
      </c>
      <c r="FO1415">
        <v>22</v>
      </c>
      <c r="FQ1415">
        <v>25</v>
      </c>
      <c r="FR1415" t="s">
        <v>295</v>
      </c>
      <c r="GW1415">
        <v>30</v>
      </c>
      <c r="GY1415">
        <v>35</v>
      </c>
      <c r="GZ1415" t="s">
        <v>296</v>
      </c>
      <c r="HH1415" t="s">
        <v>272</v>
      </c>
      <c r="ID1415" t="s">
        <v>3077</v>
      </c>
      <c r="IE1415" t="s">
        <v>400</v>
      </c>
      <c r="IF1415">
        <v>115854</v>
      </c>
      <c r="IG1415" t="s">
        <v>401</v>
      </c>
      <c r="IH1415" t="s">
        <v>402</v>
      </c>
      <c r="II1415">
        <v>2008</v>
      </c>
      <c r="IJ1415" t="s">
        <v>403</v>
      </c>
    </row>
    <row r="1416" spans="1:244" x14ac:dyDescent="0.45">
      <c r="A1416">
        <v>1300806</v>
      </c>
      <c r="B1416">
        <v>756479</v>
      </c>
      <c r="C1416">
        <v>7758987</v>
      </c>
      <c r="D1416" t="s">
        <v>2545</v>
      </c>
      <c r="E1416" t="s">
        <v>386</v>
      </c>
      <c r="F1416" t="s">
        <v>245</v>
      </c>
      <c r="G1416" t="s">
        <v>246</v>
      </c>
      <c r="N1416" t="s">
        <v>387</v>
      </c>
      <c r="O1416" t="s">
        <v>388</v>
      </c>
      <c r="P1416" t="s">
        <v>249</v>
      </c>
      <c r="Q1416" t="s">
        <v>250</v>
      </c>
      <c r="R1416" t="s">
        <v>251</v>
      </c>
      <c r="T1416" t="s">
        <v>389</v>
      </c>
      <c r="U1416" t="s">
        <v>390</v>
      </c>
      <c r="V1416" t="s">
        <v>391</v>
      </c>
      <c r="W1416" t="s">
        <v>392</v>
      </c>
      <c r="X1416" t="s">
        <v>393</v>
      </c>
      <c r="Z1416" t="s">
        <v>315</v>
      </c>
      <c r="AL1416" t="s">
        <v>3032</v>
      </c>
      <c r="AM1416" t="s">
        <v>258</v>
      </c>
      <c r="AN1416" t="s">
        <v>259</v>
      </c>
      <c r="AO1416" t="s">
        <v>260</v>
      </c>
      <c r="AP1416" t="s">
        <v>2368</v>
      </c>
      <c r="AQ1416" t="s">
        <v>261</v>
      </c>
      <c r="AT1416" t="s">
        <v>288</v>
      </c>
      <c r="AU1416">
        <v>200</v>
      </c>
      <c r="AV1416" t="s">
        <v>289</v>
      </c>
      <c r="AW1416">
        <v>400</v>
      </c>
      <c r="AX1416" t="s">
        <v>262</v>
      </c>
      <c r="BO1416" t="s">
        <v>261</v>
      </c>
      <c r="BR1416" t="s">
        <v>288</v>
      </c>
      <c r="BS1416">
        <v>0.2</v>
      </c>
      <c r="BT1416" t="s">
        <v>289</v>
      </c>
      <c r="BU1416">
        <v>0.4</v>
      </c>
      <c r="BV1416" t="s">
        <v>263</v>
      </c>
      <c r="CM1416" t="s">
        <v>264</v>
      </c>
      <c r="CN1416" t="s">
        <v>264</v>
      </c>
      <c r="CP1416" t="s">
        <v>265</v>
      </c>
      <c r="CQ1416" t="s">
        <v>394</v>
      </c>
      <c r="DB1416">
        <v>4</v>
      </c>
      <c r="DG1416" t="s">
        <v>267</v>
      </c>
      <c r="DI1416">
        <v>96</v>
      </c>
      <c r="DN1416" t="s">
        <v>268</v>
      </c>
      <c r="DP1416" t="s">
        <v>2554</v>
      </c>
      <c r="DR1416">
        <v>158387</v>
      </c>
      <c r="DS1416">
        <v>6038</v>
      </c>
      <c r="DT1416" t="s">
        <v>396</v>
      </c>
      <c r="EW1416" t="s">
        <v>293</v>
      </c>
      <c r="FK1416" t="s">
        <v>3078</v>
      </c>
      <c r="FO1416">
        <v>22</v>
      </c>
      <c r="FQ1416">
        <v>25</v>
      </c>
      <c r="FR1416" t="s">
        <v>295</v>
      </c>
      <c r="GW1416">
        <v>30</v>
      </c>
      <c r="GY1416">
        <v>35</v>
      </c>
      <c r="GZ1416" t="s">
        <v>296</v>
      </c>
      <c r="HH1416" t="s">
        <v>272</v>
      </c>
      <c r="ID1416" t="s">
        <v>3079</v>
      </c>
      <c r="IE1416" t="s">
        <v>400</v>
      </c>
      <c r="IF1416">
        <v>115854</v>
      </c>
      <c r="IG1416" t="s">
        <v>401</v>
      </c>
      <c r="IH1416" t="s">
        <v>402</v>
      </c>
      <c r="II1416">
        <v>2008</v>
      </c>
      <c r="IJ1416" t="s">
        <v>403</v>
      </c>
    </row>
    <row r="1417" spans="1:244" x14ac:dyDescent="0.45">
      <c r="A1417">
        <v>1242369</v>
      </c>
      <c r="B1417">
        <v>247013</v>
      </c>
      <c r="C1417">
        <v>7758987</v>
      </c>
      <c r="D1417" t="s">
        <v>2545</v>
      </c>
      <c r="E1417" t="s">
        <v>386</v>
      </c>
      <c r="F1417" t="s">
        <v>327</v>
      </c>
      <c r="G1417" t="s">
        <v>246</v>
      </c>
      <c r="N1417" t="s">
        <v>369</v>
      </c>
      <c r="O1417" t="s">
        <v>370</v>
      </c>
      <c r="P1417" t="s">
        <v>249</v>
      </c>
      <c r="Q1417" t="s">
        <v>250</v>
      </c>
      <c r="R1417" t="s">
        <v>251</v>
      </c>
      <c r="T1417" t="s">
        <v>252</v>
      </c>
      <c r="U1417" t="s">
        <v>371</v>
      </c>
      <c r="V1417" t="s">
        <v>372</v>
      </c>
      <c r="W1417" t="s">
        <v>373</v>
      </c>
      <c r="X1417" t="s">
        <v>374</v>
      </c>
      <c r="Z1417" t="s">
        <v>649</v>
      </c>
      <c r="AD1417">
        <v>24</v>
      </c>
      <c r="AF1417">
        <v>48</v>
      </c>
      <c r="AG1417" t="s">
        <v>268</v>
      </c>
      <c r="AJ1417" t="s">
        <v>354</v>
      </c>
      <c r="AM1417" t="s">
        <v>258</v>
      </c>
      <c r="AN1417" t="s">
        <v>259</v>
      </c>
      <c r="AO1417" t="s">
        <v>260</v>
      </c>
      <c r="AP1417">
        <v>6</v>
      </c>
      <c r="AQ1417" t="s">
        <v>504</v>
      </c>
      <c r="AS1417">
        <v>209</v>
      </c>
      <c r="AX1417" t="s">
        <v>262</v>
      </c>
      <c r="AY1417" t="s">
        <v>261</v>
      </c>
      <c r="BA1417">
        <v>322</v>
      </c>
      <c r="BF1417" t="s">
        <v>262</v>
      </c>
      <c r="BO1417" t="s">
        <v>504</v>
      </c>
      <c r="BQ1417">
        <v>0.20899999999999999</v>
      </c>
      <c r="BV1417" t="s">
        <v>263</v>
      </c>
      <c r="BW1417" t="s">
        <v>261</v>
      </c>
      <c r="BY1417">
        <v>0.32200000000000001</v>
      </c>
      <c r="CD1417" t="s">
        <v>263</v>
      </c>
      <c r="CM1417" t="s">
        <v>264</v>
      </c>
      <c r="CN1417" t="s">
        <v>264</v>
      </c>
      <c r="CO1417" t="s">
        <v>3049</v>
      </c>
      <c r="CP1417" t="s">
        <v>265</v>
      </c>
      <c r="CR1417" t="s">
        <v>394</v>
      </c>
      <c r="DB1417">
        <v>4</v>
      </c>
      <c r="DG1417" t="s">
        <v>267</v>
      </c>
      <c r="DI1417">
        <v>96</v>
      </c>
      <c r="DN1417" t="s">
        <v>268</v>
      </c>
      <c r="DR1417">
        <v>110441</v>
      </c>
      <c r="DS1417">
        <v>142</v>
      </c>
      <c r="EW1417" t="s">
        <v>2277</v>
      </c>
      <c r="FA1417" t="s">
        <v>3080</v>
      </c>
      <c r="FK1417" t="s">
        <v>3081</v>
      </c>
      <c r="FM1417">
        <v>20</v>
      </c>
      <c r="FR1417" t="s">
        <v>295</v>
      </c>
      <c r="GJ1417">
        <v>5.0999999999999996</v>
      </c>
      <c r="GL1417">
        <v>7.6</v>
      </c>
      <c r="GM1417" t="s">
        <v>356</v>
      </c>
      <c r="GQ1417">
        <v>7.68</v>
      </c>
      <c r="GS1417">
        <v>7.82</v>
      </c>
      <c r="GW1417">
        <v>28</v>
      </c>
      <c r="GY1417">
        <v>29</v>
      </c>
      <c r="GZ1417" t="s">
        <v>296</v>
      </c>
      <c r="HH1417" t="s">
        <v>272</v>
      </c>
      <c r="ID1417" t="s">
        <v>3082</v>
      </c>
      <c r="IE1417" t="s">
        <v>3053</v>
      </c>
      <c r="IF1417">
        <v>76254</v>
      </c>
      <c r="IG1417" t="s">
        <v>3054</v>
      </c>
      <c r="IH1417" t="s">
        <v>3055</v>
      </c>
      <c r="II1417">
        <v>1993</v>
      </c>
      <c r="IJ1417" t="s">
        <v>3056</v>
      </c>
    </row>
    <row r="1418" spans="1:244" x14ac:dyDescent="0.45">
      <c r="A1418">
        <v>1312278</v>
      </c>
      <c r="B1418">
        <v>769701</v>
      </c>
      <c r="C1418">
        <v>7758987</v>
      </c>
      <c r="D1418" t="s">
        <v>2545</v>
      </c>
      <c r="E1418" t="s">
        <v>386</v>
      </c>
      <c r="F1418" t="s">
        <v>245</v>
      </c>
      <c r="G1418" t="s">
        <v>246</v>
      </c>
      <c r="N1418" t="s">
        <v>387</v>
      </c>
      <c r="O1418" t="s">
        <v>388</v>
      </c>
      <c r="P1418" t="s">
        <v>249</v>
      </c>
      <c r="Q1418" t="s">
        <v>250</v>
      </c>
      <c r="R1418" t="s">
        <v>251</v>
      </c>
      <c r="T1418" t="s">
        <v>389</v>
      </c>
      <c r="U1418" t="s">
        <v>390</v>
      </c>
      <c r="V1418" t="s">
        <v>391</v>
      </c>
      <c r="W1418" t="s">
        <v>392</v>
      </c>
      <c r="X1418" t="s">
        <v>393</v>
      </c>
      <c r="Z1418" t="s">
        <v>315</v>
      </c>
      <c r="AM1418" t="s">
        <v>258</v>
      </c>
      <c r="AN1418" t="s">
        <v>259</v>
      </c>
      <c r="AO1418" t="s">
        <v>260</v>
      </c>
      <c r="AP1418" t="s">
        <v>3083</v>
      </c>
      <c r="AQ1418" t="s">
        <v>261</v>
      </c>
      <c r="AS1418">
        <v>1024</v>
      </c>
      <c r="AX1418" t="s">
        <v>262</v>
      </c>
      <c r="BO1418" t="s">
        <v>261</v>
      </c>
      <c r="BQ1418">
        <v>1.024</v>
      </c>
      <c r="BV1418" t="s">
        <v>263</v>
      </c>
      <c r="CM1418" t="s">
        <v>264</v>
      </c>
      <c r="CN1418" t="s">
        <v>264</v>
      </c>
      <c r="CP1418" t="s">
        <v>265</v>
      </c>
      <c r="CQ1418" t="s">
        <v>394</v>
      </c>
      <c r="DB1418">
        <v>4</v>
      </c>
      <c r="DG1418" t="s">
        <v>267</v>
      </c>
      <c r="DI1418">
        <v>96</v>
      </c>
      <c r="DN1418" t="s">
        <v>268</v>
      </c>
      <c r="DP1418" t="s">
        <v>2598</v>
      </c>
      <c r="DQ1418" t="s">
        <v>3084</v>
      </c>
      <c r="DR1418">
        <v>158387</v>
      </c>
      <c r="DS1418">
        <v>6038</v>
      </c>
      <c r="DT1418" t="s">
        <v>3085</v>
      </c>
      <c r="EW1418" t="s">
        <v>2277</v>
      </c>
      <c r="FA1418" t="s">
        <v>3086</v>
      </c>
      <c r="FK1418" t="s">
        <v>3087</v>
      </c>
      <c r="FM1418">
        <v>25</v>
      </c>
      <c r="FR1418" t="s">
        <v>295</v>
      </c>
      <c r="GQ1418">
        <v>7.8</v>
      </c>
      <c r="GS1418">
        <v>8.1999999999999993</v>
      </c>
      <c r="GU1418">
        <v>34.5</v>
      </c>
      <c r="GZ1418" t="s">
        <v>296</v>
      </c>
      <c r="HH1418" t="s">
        <v>272</v>
      </c>
      <c r="ID1418" t="s">
        <v>3088</v>
      </c>
      <c r="IE1418" t="s">
        <v>3089</v>
      </c>
      <c r="IF1418">
        <v>111599</v>
      </c>
      <c r="IG1418" t="s">
        <v>3090</v>
      </c>
      <c r="IH1418" t="s">
        <v>3091</v>
      </c>
      <c r="II1418">
        <v>2005</v>
      </c>
      <c r="IJ1418" t="s">
        <v>3092</v>
      </c>
    </row>
    <row r="1419" spans="1:244" x14ac:dyDescent="0.45">
      <c r="A1419">
        <v>1310608</v>
      </c>
      <c r="B1419">
        <v>767790</v>
      </c>
      <c r="C1419">
        <v>7758987</v>
      </c>
      <c r="D1419" t="s">
        <v>2545</v>
      </c>
      <c r="F1419" t="s">
        <v>245</v>
      </c>
      <c r="G1419" t="s">
        <v>246</v>
      </c>
      <c r="N1419" t="s">
        <v>723</v>
      </c>
      <c r="O1419" t="s">
        <v>631</v>
      </c>
      <c r="P1419" t="s">
        <v>249</v>
      </c>
      <c r="Q1419" t="s">
        <v>250</v>
      </c>
      <c r="R1419" t="s">
        <v>251</v>
      </c>
      <c r="T1419" t="s">
        <v>389</v>
      </c>
      <c r="U1419" t="s">
        <v>632</v>
      </c>
      <c r="V1419" t="s">
        <v>633</v>
      </c>
      <c r="W1419" t="s">
        <v>634</v>
      </c>
      <c r="X1419" t="s">
        <v>724</v>
      </c>
      <c r="AL1419" t="s">
        <v>3093</v>
      </c>
      <c r="AM1419" t="s">
        <v>317</v>
      </c>
      <c r="AN1419" t="s">
        <v>259</v>
      </c>
      <c r="AO1419" t="s">
        <v>260</v>
      </c>
      <c r="AQ1419" t="s">
        <v>261</v>
      </c>
      <c r="AS1419">
        <v>3.4000000000000002E-2</v>
      </c>
      <c r="AX1419" t="s">
        <v>356</v>
      </c>
      <c r="BO1419" t="s">
        <v>261</v>
      </c>
      <c r="BQ1419">
        <v>3.4000000000000002E-2</v>
      </c>
      <c r="BV1419" t="s">
        <v>263</v>
      </c>
      <c r="CM1419" t="s">
        <v>264</v>
      </c>
      <c r="CN1419" t="s">
        <v>264</v>
      </c>
      <c r="CP1419" t="s">
        <v>265</v>
      </c>
      <c r="CQ1419" t="s">
        <v>394</v>
      </c>
      <c r="DB1419">
        <v>2</v>
      </c>
      <c r="DG1419" t="s">
        <v>267</v>
      </c>
      <c r="DI1419">
        <v>48</v>
      </c>
      <c r="DN1419" t="s">
        <v>268</v>
      </c>
      <c r="DP1419" t="s">
        <v>2598</v>
      </c>
      <c r="DR1419">
        <v>136140</v>
      </c>
      <c r="DS1419">
        <v>1784</v>
      </c>
      <c r="EW1419" t="s">
        <v>272</v>
      </c>
      <c r="FK1419" t="s">
        <v>3094</v>
      </c>
      <c r="HH1419" t="s">
        <v>272</v>
      </c>
      <c r="ID1419" t="s">
        <v>3095</v>
      </c>
      <c r="IE1419" t="s">
        <v>2685</v>
      </c>
      <c r="IF1419">
        <v>14474</v>
      </c>
      <c r="IG1419" t="s">
        <v>2686</v>
      </c>
      <c r="IH1419" t="s">
        <v>2687</v>
      </c>
      <c r="II1419">
        <v>1986</v>
      </c>
      <c r="IJ1419" t="s">
        <v>2688</v>
      </c>
    </row>
    <row r="1420" spans="1:244" x14ac:dyDescent="0.45">
      <c r="A1420">
        <v>1101846</v>
      </c>
      <c r="B1420">
        <v>45161</v>
      </c>
      <c r="C1420">
        <v>7758987</v>
      </c>
      <c r="D1420" t="s">
        <v>2545</v>
      </c>
      <c r="F1420" t="s">
        <v>327</v>
      </c>
      <c r="G1420" t="s">
        <v>246</v>
      </c>
      <c r="N1420" t="s">
        <v>3057</v>
      </c>
      <c r="O1420" t="s">
        <v>3058</v>
      </c>
      <c r="P1420" t="s">
        <v>249</v>
      </c>
      <c r="Q1420" t="s">
        <v>250</v>
      </c>
      <c r="R1420" t="s">
        <v>251</v>
      </c>
      <c r="T1420" t="s">
        <v>252</v>
      </c>
      <c r="U1420" t="s">
        <v>253</v>
      </c>
      <c r="V1420" t="s">
        <v>1847</v>
      </c>
      <c r="W1420" t="s">
        <v>1848</v>
      </c>
      <c r="X1420" t="s">
        <v>2524</v>
      </c>
      <c r="AL1420" t="s">
        <v>3059</v>
      </c>
      <c r="AM1420" t="s">
        <v>307</v>
      </c>
      <c r="AN1420" t="s">
        <v>259</v>
      </c>
      <c r="AO1420" t="s">
        <v>260</v>
      </c>
      <c r="AQ1420" t="s">
        <v>261</v>
      </c>
      <c r="AS1420">
        <v>66</v>
      </c>
      <c r="AX1420" t="s">
        <v>262</v>
      </c>
      <c r="BO1420" t="s">
        <v>261</v>
      </c>
      <c r="BQ1420">
        <v>6.6000000000000003E-2</v>
      </c>
      <c r="BV1420" t="s">
        <v>263</v>
      </c>
      <c r="CM1420" t="s">
        <v>264</v>
      </c>
      <c r="CN1420" t="s">
        <v>264</v>
      </c>
      <c r="CP1420" t="s">
        <v>265</v>
      </c>
      <c r="CQ1420" t="s">
        <v>394</v>
      </c>
      <c r="DB1420">
        <v>4</v>
      </c>
      <c r="DG1420" t="s">
        <v>267</v>
      </c>
      <c r="DI1420">
        <v>96</v>
      </c>
      <c r="DN1420" t="s">
        <v>268</v>
      </c>
      <c r="DR1420">
        <v>397975</v>
      </c>
      <c r="DS1420">
        <v>737</v>
      </c>
      <c r="EW1420" t="s">
        <v>271</v>
      </c>
      <c r="FK1420" t="s">
        <v>3060</v>
      </c>
      <c r="FM1420">
        <v>10</v>
      </c>
      <c r="FR1420" t="s">
        <v>295</v>
      </c>
      <c r="GC1420">
        <v>116</v>
      </c>
      <c r="GE1420">
        <v>121</v>
      </c>
      <c r="GF1420" t="s">
        <v>572</v>
      </c>
      <c r="GJ1420">
        <v>7.28</v>
      </c>
      <c r="GL1420">
        <v>9.4</v>
      </c>
      <c r="GM1420" t="s">
        <v>356</v>
      </c>
      <c r="GW1420">
        <v>28.5</v>
      </c>
      <c r="GY1420">
        <v>31</v>
      </c>
      <c r="GZ1420" t="s">
        <v>296</v>
      </c>
      <c r="HH1420" t="s">
        <v>272</v>
      </c>
      <c r="ID1420" t="s">
        <v>3061</v>
      </c>
      <c r="IE1420" t="s">
        <v>3062</v>
      </c>
      <c r="IF1420">
        <v>7396</v>
      </c>
      <c r="IG1420" t="s">
        <v>3063</v>
      </c>
      <c r="IH1420" t="s">
        <v>3064</v>
      </c>
      <c r="II1420">
        <v>1976</v>
      </c>
      <c r="IJ1420" t="s">
        <v>3065</v>
      </c>
    </row>
    <row r="1421" spans="1:244" x14ac:dyDescent="0.45">
      <c r="A1421">
        <v>1205932</v>
      </c>
      <c r="B1421">
        <v>171323</v>
      </c>
      <c r="C1421">
        <v>7758987</v>
      </c>
      <c r="D1421" t="s">
        <v>2545</v>
      </c>
      <c r="F1421" t="s">
        <v>245</v>
      </c>
      <c r="G1421" t="s">
        <v>246</v>
      </c>
      <c r="N1421" t="s">
        <v>2498</v>
      </c>
      <c r="O1421" t="s">
        <v>388</v>
      </c>
      <c r="P1421" t="s">
        <v>249</v>
      </c>
      <c r="Q1421" t="s">
        <v>250</v>
      </c>
      <c r="R1421" t="s">
        <v>251</v>
      </c>
      <c r="T1421" t="s">
        <v>389</v>
      </c>
      <c r="U1421" t="s">
        <v>390</v>
      </c>
      <c r="V1421" t="s">
        <v>391</v>
      </c>
      <c r="W1421" t="s">
        <v>392</v>
      </c>
      <c r="X1421" t="s">
        <v>2499</v>
      </c>
      <c r="Z1421" t="s">
        <v>525</v>
      </c>
      <c r="AM1421" t="s">
        <v>258</v>
      </c>
      <c r="AN1421" t="s">
        <v>259</v>
      </c>
      <c r="AO1421" t="s">
        <v>260</v>
      </c>
      <c r="AQ1421" t="s">
        <v>261</v>
      </c>
      <c r="AS1421">
        <v>308</v>
      </c>
      <c r="AX1421" t="s">
        <v>262</v>
      </c>
      <c r="BO1421" t="s">
        <v>261</v>
      </c>
      <c r="BQ1421">
        <v>0.308</v>
      </c>
      <c r="BV1421" t="s">
        <v>263</v>
      </c>
      <c r="CM1421" t="s">
        <v>264</v>
      </c>
      <c r="CN1421" t="s">
        <v>264</v>
      </c>
      <c r="CP1421" t="s">
        <v>265</v>
      </c>
      <c r="CQ1421" t="s">
        <v>394</v>
      </c>
      <c r="DB1421">
        <v>4</v>
      </c>
      <c r="DG1421" t="s">
        <v>267</v>
      </c>
      <c r="DI1421">
        <v>96</v>
      </c>
      <c r="DN1421" t="s">
        <v>268</v>
      </c>
      <c r="DQ1421" t="s">
        <v>3027</v>
      </c>
      <c r="DR1421">
        <v>272819</v>
      </c>
      <c r="DS1421">
        <v>4707</v>
      </c>
      <c r="EW1421" t="s">
        <v>272</v>
      </c>
      <c r="FM1421">
        <v>20</v>
      </c>
      <c r="FR1421" t="s">
        <v>295</v>
      </c>
      <c r="GU1421">
        <v>37</v>
      </c>
      <c r="GZ1421" t="s">
        <v>296</v>
      </c>
      <c r="HH1421" t="s">
        <v>272</v>
      </c>
      <c r="IE1421" t="s">
        <v>3028</v>
      </c>
      <c r="IF1421">
        <v>18833</v>
      </c>
      <c r="IG1421" t="s">
        <v>3029</v>
      </c>
      <c r="IH1421" t="s">
        <v>3030</v>
      </c>
      <c r="II1421">
        <v>1994</v>
      </c>
      <c r="IJ1421" t="s">
        <v>3031</v>
      </c>
    </row>
    <row r="1422" spans="1:244" x14ac:dyDescent="0.45">
      <c r="A1422">
        <v>1078435</v>
      </c>
      <c r="B1422">
        <v>102769</v>
      </c>
      <c r="C1422">
        <v>7758987</v>
      </c>
      <c r="D1422" t="s">
        <v>2545</v>
      </c>
      <c r="F1422" t="s">
        <v>245</v>
      </c>
      <c r="G1422" t="s">
        <v>246</v>
      </c>
      <c r="N1422" t="s">
        <v>630</v>
      </c>
      <c r="O1422" t="s">
        <v>631</v>
      </c>
      <c r="P1422" t="s">
        <v>249</v>
      </c>
      <c r="Q1422" t="s">
        <v>250</v>
      </c>
      <c r="R1422" t="s">
        <v>251</v>
      </c>
      <c r="T1422" t="s">
        <v>389</v>
      </c>
      <c r="U1422" t="s">
        <v>632</v>
      </c>
      <c r="V1422" t="s">
        <v>633</v>
      </c>
      <c r="W1422" t="s">
        <v>634</v>
      </c>
      <c r="X1422" t="s">
        <v>635</v>
      </c>
      <c r="Z1422" t="s">
        <v>315</v>
      </c>
      <c r="AJ1422" t="s">
        <v>285</v>
      </c>
      <c r="AM1422" t="s">
        <v>317</v>
      </c>
      <c r="AN1422" t="s">
        <v>259</v>
      </c>
      <c r="AO1422" t="s">
        <v>260</v>
      </c>
      <c r="AP1422" t="s">
        <v>1644</v>
      </c>
      <c r="AQ1422" t="s">
        <v>261</v>
      </c>
      <c r="AU1422">
        <v>104</v>
      </c>
      <c r="AW1422">
        <v>311</v>
      </c>
      <c r="AX1422" t="s">
        <v>290</v>
      </c>
      <c r="BO1422" t="s">
        <v>261</v>
      </c>
      <c r="BS1422">
        <v>0.104</v>
      </c>
      <c r="BU1422">
        <v>0.311</v>
      </c>
      <c r="BV1422" t="s">
        <v>263</v>
      </c>
      <c r="CM1422" t="s">
        <v>264</v>
      </c>
      <c r="CN1422" t="s">
        <v>264</v>
      </c>
      <c r="CP1422" t="s">
        <v>265</v>
      </c>
      <c r="CQ1422" t="s">
        <v>394</v>
      </c>
      <c r="DB1422">
        <v>1</v>
      </c>
      <c r="DG1422" t="s">
        <v>267</v>
      </c>
      <c r="DI1422">
        <v>24</v>
      </c>
      <c r="DN1422" t="s">
        <v>268</v>
      </c>
      <c r="DR1422">
        <v>136180</v>
      </c>
      <c r="DS1422">
        <v>376</v>
      </c>
      <c r="EW1422" t="s">
        <v>293</v>
      </c>
      <c r="FA1422" t="s">
        <v>2760</v>
      </c>
      <c r="FK1422" t="s">
        <v>3096</v>
      </c>
      <c r="FO1422">
        <v>13</v>
      </c>
      <c r="FQ1422">
        <v>21</v>
      </c>
      <c r="FR1422" t="s">
        <v>295</v>
      </c>
      <c r="GW1422">
        <v>27</v>
      </c>
      <c r="GY1422">
        <v>36</v>
      </c>
      <c r="GZ1422" t="s">
        <v>296</v>
      </c>
      <c r="HH1422" t="s">
        <v>272</v>
      </c>
      <c r="ID1422" t="s">
        <v>3097</v>
      </c>
      <c r="IE1422" t="s">
        <v>1648</v>
      </c>
      <c r="IF1422">
        <v>6045</v>
      </c>
      <c r="IG1422" t="s">
        <v>1649</v>
      </c>
      <c r="IH1422" t="s">
        <v>1650</v>
      </c>
      <c r="II1422">
        <v>1976</v>
      </c>
      <c r="IJ1422" t="s">
        <v>1651</v>
      </c>
    </row>
    <row r="1423" spans="1:244" x14ac:dyDescent="0.45">
      <c r="A1423">
        <v>1078472</v>
      </c>
      <c r="B1423">
        <v>231985</v>
      </c>
      <c r="C1423">
        <v>7758987</v>
      </c>
      <c r="D1423" t="s">
        <v>2545</v>
      </c>
      <c r="F1423" t="s">
        <v>245</v>
      </c>
      <c r="G1423" t="s">
        <v>246</v>
      </c>
      <c r="N1423" t="s">
        <v>630</v>
      </c>
      <c r="O1423" t="s">
        <v>631</v>
      </c>
      <c r="P1423" t="s">
        <v>249</v>
      </c>
      <c r="Q1423" t="s">
        <v>250</v>
      </c>
      <c r="R1423" t="s">
        <v>251</v>
      </c>
      <c r="T1423" t="s">
        <v>389</v>
      </c>
      <c r="U1423" t="s">
        <v>632</v>
      </c>
      <c r="V1423" t="s">
        <v>633</v>
      </c>
      <c r="W1423" t="s">
        <v>634</v>
      </c>
      <c r="X1423" t="s">
        <v>635</v>
      </c>
      <c r="AJ1423" t="s">
        <v>285</v>
      </c>
      <c r="AM1423" t="s">
        <v>317</v>
      </c>
      <c r="AN1423" t="s">
        <v>259</v>
      </c>
      <c r="AO1423" t="s">
        <v>260</v>
      </c>
      <c r="AP1423" t="s">
        <v>1644</v>
      </c>
      <c r="AQ1423" t="s">
        <v>261</v>
      </c>
      <c r="AT1423" t="s">
        <v>288</v>
      </c>
      <c r="AU1423">
        <v>200</v>
      </c>
      <c r="AV1423" t="s">
        <v>289</v>
      </c>
      <c r="AW1423">
        <v>300</v>
      </c>
      <c r="AX1423" t="s">
        <v>290</v>
      </c>
      <c r="BO1423" t="s">
        <v>261</v>
      </c>
      <c r="BR1423" t="s">
        <v>288</v>
      </c>
      <c r="BS1423">
        <v>0.2</v>
      </c>
      <c r="BT1423" t="s">
        <v>289</v>
      </c>
      <c r="BU1423">
        <v>0.3</v>
      </c>
      <c r="BV1423" t="s">
        <v>263</v>
      </c>
      <c r="CM1423" t="s">
        <v>264</v>
      </c>
      <c r="CN1423" t="s">
        <v>264</v>
      </c>
      <c r="CO1423" t="s">
        <v>3044</v>
      </c>
      <c r="CP1423" t="s">
        <v>265</v>
      </c>
      <c r="CQ1423" t="s">
        <v>394</v>
      </c>
      <c r="DB1423">
        <v>1</v>
      </c>
      <c r="DG1423" t="s">
        <v>267</v>
      </c>
      <c r="DI1423">
        <v>24</v>
      </c>
      <c r="DN1423" t="s">
        <v>268</v>
      </c>
      <c r="DR1423">
        <v>136180</v>
      </c>
      <c r="DS1423">
        <v>376</v>
      </c>
      <c r="EW1423" t="s">
        <v>272</v>
      </c>
      <c r="FK1423" t="s">
        <v>3045</v>
      </c>
      <c r="FL1423" t="s">
        <v>515</v>
      </c>
      <c r="FM1423">
        <v>24</v>
      </c>
      <c r="FR1423" t="s">
        <v>295</v>
      </c>
      <c r="GU1423">
        <v>36</v>
      </c>
      <c r="GZ1423" t="s">
        <v>296</v>
      </c>
      <c r="HH1423" t="s">
        <v>272</v>
      </c>
      <c r="ID1423" t="s">
        <v>3046</v>
      </c>
      <c r="IE1423" t="s">
        <v>1648</v>
      </c>
      <c r="IF1423">
        <v>6045</v>
      </c>
      <c r="IG1423" t="s">
        <v>1649</v>
      </c>
      <c r="IH1423" t="s">
        <v>1650</v>
      </c>
      <c r="II1423">
        <v>1976</v>
      </c>
      <c r="IJ1423" t="s">
        <v>1651</v>
      </c>
    </row>
    <row r="1424" spans="1:244" x14ac:dyDescent="0.45">
      <c r="A1424">
        <v>1242373</v>
      </c>
      <c r="B1424">
        <v>247017</v>
      </c>
      <c r="C1424">
        <v>7758987</v>
      </c>
      <c r="D1424" t="s">
        <v>2545</v>
      </c>
      <c r="E1424" t="s">
        <v>386</v>
      </c>
      <c r="F1424" t="s">
        <v>327</v>
      </c>
      <c r="G1424" t="s">
        <v>246</v>
      </c>
      <c r="N1424" t="s">
        <v>369</v>
      </c>
      <c r="O1424" t="s">
        <v>370</v>
      </c>
      <c r="P1424" t="s">
        <v>249</v>
      </c>
      <c r="Q1424" t="s">
        <v>250</v>
      </c>
      <c r="R1424" t="s">
        <v>251</v>
      </c>
      <c r="T1424" t="s">
        <v>252</v>
      </c>
      <c r="U1424" t="s">
        <v>371</v>
      </c>
      <c r="V1424" t="s">
        <v>372</v>
      </c>
      <c r="W1424" t="s">
        <v>373</v>
      </c>
      <c r="X1424" t="s">
        <v>374</v>
      </c>
      <c r="Z1424" t="s">
        <v>649</v>
      </c>
      <c r="AD1424">
        <v>24</v>
      </c>
      <c r="AF1424">
        <v>48</v>
      </c>
      <c r="AG1424" t="s">
        <v>268</v>
      </c>
      <c r="AJ1424" t="s">
        <v>354</v>
      </c>
      <c r="AM1424" t="s">
        <v>258</v>
      </c>
      <c r="AN1424" t="s">
        <v>259</v>
      </c>
      <c r="AO1424" t="s">
        <v>260</v>
      </c>
      <c r="AP1424">
        <v>6</v>
      </c>
      <c r="AQ1424" t="s">
        <v>504</v>
      </c>
      <c r="AS1424">
        <v>199</v>
      </c>
      <c r="AX1424" t="s">
        <v>262</v>
      </c>
      <c r="AY1424" t="s">
        <v>261</v>
      </c>
      <c r="BA1424">
        <v>262</v>
      </c>
      <c r="BF1424" t="s">
        <v>262</v>
      </c>
      <c r="BO1424" t="s">
        <v>504</v>
      </c>
      <c r="BQ1424">
        <v>0.19900000000000001</v>
      </c>
      <c r="BV1424" t="s">
        <v>263</v>
      </c>
      <c r="BW1424" t="s">
        <v>261</v>
      </c>
      <c r="BY1424">
        <v>0.26200000000000001</v>
      </c>
      <c r="CD1424" t="s">
        <v>263</v>
      </c>
      <c r="CM1424" t="s">
        <v>264</v>
      </c>
      <c r="CN1424" t="s">
        <v>264</v>
      </c>
      <c r="CO1424" t="s">
        <v>3049</v>
      </c>
      <c r="CP1424" t="s">
        <v>265</v>
      </c>
      <c r="CR1424" t="s">
        <v>394</v>
      </c>
      <c r="DB1424">
        <v>4</v>
      </c>
      <c r="DG1424" t="s">
        <v>267</v>
      </c>
      <c r="DI1424">
        <v>96</v>
      </c>
      <c r="DN1424" t="s">
        <v>268</v>
      </c>
      <c r="DR1424">
        <v>110441</v>
      </c>
      <c r="DS1424">
        <v>142</v>
      </c>
      <c r="EW1424" t="s">
        <v>2277</v>
      </c>
      <c r="FA1424" t="s">
        <v>3098</v>
      </c>
      <c r="FK1424" t="s">
        <v>3099</v>
      </c>
      <c r="FM1424">
        <v>20</v>
      </c>
      <c r="FR1424" t="s">
        <v>295</v>
      </c>
      <c r="GJ1424">
        <v>5</v>
      </c>
      <c r="GL1424">
        <v>7.6</v>
      </c>
      <c r="GM1424" t="s">
        <v>356</v>
      </c>
      <c r="GQ1424">
        <v>7.7</v>
      </c>
      <c r="GS1424">
        <v>7.83</v>
      </c>
      <c r="GU1424">
        <v>30</v>
      </c>
      <c r="GZ1424" t="s">
        <v>296</v>
      </c>
      <c r="HH1424" t="s">
        <v>272</v>
      </c>
      <c r="ID1424" t="s">
        <v>3100</v>
      </c>
      <c r="IE1424" t="s">
        <v>3053</v>
      </c>
      <c r="IF1424">
        <v>76254</v>
      </c>
      <c r="IG1424" t="s">
        <v>3054</v>
      </c>
      <c r="IH1424" t="s">
        <v>3055</v>
      </c>
      <c r="II1424">
        <v>1993</v>
      </c>
      <c r="IJ1424" t="s">
        <v>3056</v>
      </c>
    </row>
    <row r="1425" spans="1:244" x14ac:dyDescent="0.45">
      <c r="A1425">
        <v>1242368</v>
      </c>
      <c r="B1425">
        <v>247012</v>
      </c>
      <c r="C1425">
        <v>7758987</v>
      </c>
      <c r="D1425" t="s">
        <v>2545</v>
      </c>
      <c r="E1425" t="s">
        <v>386</v>
      </c>
      <c r="F1425" t="s">
        <v>327</v>
      </c>
      <c r="G1425" t="s">
        <v>246</v>
      </c>
      <c r="N1425" t="s">
        <v>369</v>
      </c>
      <c r="O1425" t="s">
        <v>370</v>
      </c>
      <c r="P1425" t="s">
        <v>249</v>
      </c>
      <c r="Q1425" t="s">
        <v>250</v>
      </c>
      <c r="R1425" t="s">
        <v>251</v>
      </c>
      <c r="T1425" t="s">
        <v>252</v>
      </c>
      <c r="U1425" t="s">
        <v>371</v>
      </c>
      <c r="V1425" t="s">
        <v>372</v>
      </c>
      <c r="W1425" t="s">
        <v>373</v>
      </c>
      <c r="X1425" t="s">
        <v>374</v>
      </c>
      <c r="Z1425" t="s">
        <v>649</v>
      </c>
      <c r="AD1425">
        <v>24</v>
      </c>
      <c r="AF1425">
        <v>48</v>
      </c>
      <c r="AG1425" t="s">
        <v>268</v>
      </c>
      <c r="AJ1425" t="s">
        <v>354</v>
      </c>
      <c r="AM1425" t="s">
        <v>258</v>
      </c>
      <c r="AN1425" t="s">
        <v>259</v>
      </c>
      <c r="AO1425" t="s">
        <v>260</v>
      </c>
      <c r="AP1425">
        <v>6</v>
      </c>
      <c r="AQ1425" t="s">
        <v>504</v>
      </c>
      <c r="AS1425">
        <v>220</v>
      </c>
      <c r="AX1425" t="s">
        <v>262</v>
      </c>
      <c r="AY1425" t="s">
        <v>261</v>
      </c>
      <c r="BA1425">
        <v>341</v>
      </c>
      <c r="BF1425" t="s">
        <v>262</v>
      </c>
      <c r="BO1425" t="s">
        <v>504</v>
      </c>
      <c r="BQ1425">
        <v>0.22</v>
      </c>
      <c r="BV1425" t="s">
        <v>263</v>
      </c>
      <c r="BW1425" t="s">
        <v>261</v>
      </c>
      <c r="BY1425">
        <v>0.34100000000000003</v>
      </c>
      <c r="CD1425" t="s">
        <v>263</v>
      </c>
      <c r="CM1425" t="s">
        <v>264</v>
      </c>
      <c r="CN1425" t="s">
        <v>264</v>
      </c>
      <c r="CO1425" t="s">
        <v>3049</v>
      </c>
      <c r="CP1425" t="s">
        <v>265</v>
      </c>
      <c r="CR1425" t="s">
        <v>394</v>
      </c>
      <c r="DB1425">
        <v>4</v>
      </c>
      <c r="DG1425" t="s">
        <v>267</v>
      </c>
      <c r="DI1425">
        <v>96</v>
      </c>
      <c r="DN1425" t="s">
        <v>268</v>
      </c>
      <c r="DR1425">
        <v>110441</v>
      </c>
      <c r="DS1425">
        <v>142</v>
      </c>
      <c r="EW1425" t="s">
        <v>2277</v>
      </c>
      <c r="FA1425" t="s">
        <v>3101</v>
      </c>
      <c r="FK1425" t="s">
        <v>3102</v>
      </c>
      <c r="FM1425">
        <v>20</v>
      </c>
      <c r="FR1425" t="s">
        <v>295</v>
      </c>
      <c r="GJ1425">
        <v>5</v>
      </c>
      <c r="GL1425">
        <v>7.5</v>
      </c>
      <c r="GM1425" t="s">
        <v>356</v>
      </c>
      <c r="GQ1425">
        <v>7.71</v>
      </c>
      <c r="GS1425">
        <v>7.91</v>
      </c>
      <c r="GW1425">
        <v>28</v>
      </c>
      <c r="GY1425">
        <v>30</v>
      </c>
      <c r="GZ1425" t="s">
        <v>296</v>
      </c>
      <c r="HH1425" t="s">
        <v>272</v>
      </c>
      <c r="ID1425" t="s">
        <v>3103</v>
      </c>
      <c r="IE1425" t="s">
        <v>3053</v>
      </c>
      <c r="IF1425">
        <v>76254</v>
      </c>
      <c r="IG1425" t="s">
        <v>3054</v>
      </c>
      <c r="IH1425" t="s">
        <v>3055</v>
      </c>
      <c r="II1425">
        <v>1993</v>
      </c>
      <c r="IJ1425" t="s">
        <v>3056</v>
      </c>
    </row>
    <row r="1426" spans="1:244" x14ac:dyDescent="0.45">
      <c r="A1426">
        <v>1101850</v>
      </c>
      <c r="B1426">
        <v>45165</v>
      </c>
      <c r="C1426">
        <v>7758987</v>
      </c>
      <c r="D1426" t="s">
        <v>2545</v>
      </c>
      <c r="F1426" t="s">
        <v>327</v>
      </c>
      <c r="G1426" t="s">
        <v>246</v>
      </c>
      <c r="N1426" t="s">
        <v>3057</v>
      </c>
      <c r="O1426" t="s">
        <v>3058</v>
      </c>
      <c r="P1426" t="s">
        <v>249</v>
      </c>
      <c r="Q1426" t="s">
        <v>250</v>
      </c>
      <c r="R1426" t="s">
        <v>251</v>
      </c>
      <c r="T1426" t="s">
        <v>252</v>
      </c>
      <c r="U1426" t="s">
        <v>253</v>
      </c>
      <c r="V1426" t="s">
        <v>1847</v>
      </c>
      <c r="W1426" t="s">
        <v>1848</v>
      </c>
      <c r="X1426" t="s">
        <v>2524</v>
      </c>
      <c r="AL1426" t="s">
        <v>3059</v>
      </c>
      <c r="AM1426" t="s">
        <v>307</v>
      </c>
      <c r="AN1426" t="s">
        <v>259</v>
      </c>
      <c r="AO1426" t="s">
        <v>260</v>
      </c>
      <c r="AQ1426" t="s">
        <v>261</v>
      </c>
      <c r="AS1426">
        <v>42</v>
      </c>
      <c r="AX1426" t="s">
        <v>262</v>
      </c>
      <c r="BO1426" t="s">
        <v>261</v>
      </c>
      <c r="BQ1426">
        <v>4.2000000000000003E-2</v>
      </c>
      <c r="BV1426" t="s">
        <v>263</v>
      </c>
      <c r="CM1426" t="s">
        <v>264</v>
      </c>
      <c r="CN1426" t="s">
        <v>264</v>
      </c>
      <c r="CP1426" t="s">
        <v>265</v>
      </c>
      <c r="CQ1426" t="s">
        <v>394</v>
      </c>
      <c r="DB1426">
        <v>4</v>
      </c>
      <c r="DG1426" t="s">
        <v>267</v>
      </c>
      <c r="DI1426">
        <v>96</v>
      </c>
      <c r="DN1426" t="s">
        <v>268</v>
      </c>
      <c r="DR1426">
        <v>397975</v>
      </c>
      <c r="DS1426">
        <v>737</v>
      </c>
      <c r="EW1426" t="s">
        <v>271</v>
      </c>
      <c r="FK1426" t="s">
        <v>3060</v>
      </c>
      <c r="FM1426">
        <v>20</v>
      </c>
      <c r="FR1426" t="s">
        <v>295</v>
      </c>
      <c r="GC1426">
        <v>116</v>
      </c>
      <c r="GE1426">
        <v>121</v>
      </c>
      <c r="GF1426" t="s">
        <v>572</v>
      </c>
      <c r="GJ1426">
        <v>7.28</v>
      </c>
      <c r="GL1426">
        <v>9.4</v>
      </c>
      <c r="GM1426" t="s">
        <v>356</v>
      </c>
      <c r="GW1426">
        <v>28.5</v>
      </c>
      <c r="GY1426">
        <v>31</v>
      </c>
      <c r="GZ1426" t="s">
        <v>296</v>
      </c>
      <c r="HH1426" t="s">
        <v>272</v>
      </c>
      <c r="ID1426" t="s">
        <v>3061</v>
      </c>
      <c r="IE1426" t="s">
        <v>3062</v>
      </c>
      <c r="IF1426">
        <v>7396</v>
      </c>
      <c r="IG1426" t="s">
        <v>3063</v>
      </c>
      <c r="IH1426" t="s">
        <v>3064</v>
      </c>
      <c r="II1426">
        <v>1976</v>
      </c>
      <c r="IJ1426" t="s">
        <v>3065</v>
      </c>
    </row>
    <row r="1427" spans="1:244" x14ac:dyDescent="0.45">
      <c r="A1427">
        <v>1101848</v>
      </c>
      <c r="B1427">
        <v>45163</v>
      </c>
      <c r="C1427">
        <v>7758987</v>
      </c>
      <c r="D1427" t="s">
        <v>2545</v>
      </c>
      <c r="F1427" t="s">
        <v>327</v>
      </c>
      <c r="G1427" t="s">
        <v>246</v>
      </c>
      <c r="N1427" t="s">
        <v>3057</v>
      </c>
      <c r="O1427" t="s">
        <v>3058</v>
      </c>
      <c r="P1427" t="s">
        <v>249</v>
      </c>
      <c r="Q1427" t="s">
        <v>250</v>
      </c>
      <c r="R1427" t="s">
        <v>251</v>
      </c>
      <c r="T1427" t="s">
        <v>252</v>
      </c>
      <c r="U1427" t="s">
        <v>253</v>
      </c>
      <c r="V1427" t="s">
        <v>1847</v>
      </c>
      <c r="W1427" t="s">
        <v>1848</v>
      </c>
      <c r="X1427" t="s">
        <v>2524</v>
      </c>
      <c r="AL1427" t="s">
        <v>3059</v>
      </c>
      <c r="AM1427" t="s">
        <v>307</v>
      </c>
      <c r="AN1427" t="s">
        <v>259</v>
      </c>
      <c r="AO1427" t="s">
        <v>260</v>
      </c>
      <c r="AQ1427" t="s">
        <v>261</v>
      </c>
      <c r="AS1427">
        <v>49</v>
      </c>
      <c r="AX1427" t="s">
        <v>262</v>
      </c>
      <c r="BO1427" t="s">
        <v>261</v>
      </c>
      <c r="BQ1427">
        <v>4.9000000000000002E-2</v>
      </c>
      <c r="BV1427" t="s">
        <v>263</v>
      </c>
      <c r="CM1427" t="s">
        <v>264</v>
      </c>
      <c r="CN1427" t="s">
        <v>264</v>
      </c>
      <c r="CP1427" t="s">
        <v>265</v>
      </c>
      <c r="CQ1427" t="s">
        <v>394</v>
      </c>
      <c r="DB1427">
        <v>4</v>
      </c>
      <c r="DG1427" t="s">
        <v>267</v>
      </c>
      <c r="DI1427">
        <v>96</v>
      </c>
      <c r="DN1427" t="s">
        <v>268</v>
      </c>
      <c r="DR1427">
        <v>397975</v>
      </c>
      <c r="DS1427">
        <v>737</v>
      </c>
      <c r="EW1427" t="s">
        <v>271</v>
      </c>
      <c r="FK1427" t="s">
        <v>3060</v>
      </c>
      <c r="FM1427">
        <v>15</v>
      </c>
      <c r="FR1427" t="s">
        <v>295</v>
      </c>
      <c r="GC1427">
        <v>116</v>
      </c>
      <c r="GE1427">
        <v>121</v>
      </c>
      <c r="GF1427" t="s">
        <v>572</v>
      </c>
      <c r="GJ1427">
        <v>7.28</v>
      </c>
      <c r="GL1427">
        <v>9.4</v>
      </c>
      <c r="GM1427" t="s">
        <v>356</v>
      </c>
      <c r="GW1427">
        <v>28.5</v>
      </c>
      <c r="GY1427">
        <v>31</v>
      </c>
      <c r="GZ1427" t="s">
        <v>296</v>
      </c>
      <c r="HH1427" t="s">
        <v>272</v>
      </c>
      <c r="ID1427" t="s">
        <v>3061</v>
      </c>
      <c r="IE1427" t="s">
        <v>3062</v>
      </c>
      <c r="IF1427">
        <v>7396</v>
      </c>
      <c r="IG1427" t="s">
        <v>3063</v>
      </c>
      <c r="IH1427" t="s">
        <v>3064</v>
      </c>
      <c r="II1427">
        <v>1976</v>
      </c>
      <c r="IJ1427" t="s">
        <v>3065</v>
      </c>
    </row>
    <row r="1428" spans="1:244" x14ac:dyDescent="0.45">
      <c r="A1428">
        <v>1078465</v>
      </c>
      <c r="B1428">
        <v>231978</v>
      </c>
      <c r="C1428">
        <v>7758987</v>
      </c>
      <c r="D1428" t="s">
        <v>2545</v>
      </c>
      <c r="F1428" t="s">
        <v>245</v>
      </c>
      <c r="G1428" t="s">
        <v>246</v>
      </c>
      <c r="N1428" t="s">
        <v>630</v>
      </c>
      <c r="O1428" t="s">
        <v>631</v>
      </c>
      <c r="P1428" t="s">
        <v>249</v>
      </c>
      <c r="Q1428" t="s">
        <v>250</v>
      </c>
      <c r="R1428" t="s">
        <v>251</v>
      </c>
      <c r="T1428" t="s">
        <v>389</v>
      </c>
      <c r="U1428" t="s">
        <v>632</v>
      </c>
      <c r="V1428" t="s">
        <v>633</v>
      </c>
      <c r="W1428" t="s">
        <v>634</v>
      </c>
      <c r="X1428" t="s">
        <v>635</v>
      </c>
      <c r="AJ1428" t="s">
        <v>285</v>
      </c>
      <c r="AM1428" t="s">
        <v>317</v>
      </c>
      <c r="AN1428" t="s">
        <v>259</v>
      </c>
      <c r="AO1428" t="s">
        <v>260</v>
      </c>
      <c r="AP1428" t="s">
        <v>1644</v>
      </c>
      <c r="AQ1428" t="s">
        <v>261</v>
      </c>
      <c r="AS1428">
        <v>300</v>
      </c>
      <c r="AX1428" t="s">
        <v>290</v>
      </c>
      <c r="BO1428" t="s">
        <v>261</v>
      </c>
      <c r="BQ1428">
        <v>0.3</v>
      </c>
      <c r="BV1428" t="s">
        <v>263</v>
      </c>
      <c r="CM1428" t="s">
        <v>264</v>
      </c>
      <c r="CN1428" t="s">
        <v>264</v>
      </c>
      <c r="CO1428" t="s">
        <v>3044</v>
      </c>
      <c r="CP1428" t="s">
        <v>265</v>
      </c>
      <c r="CQ1428" t="s">
        <v>394</v>
      </c>
      <c r="DB1428">
        <v>1</v>
      </c>
      <c r="DG1428" t="s">
        <v>267</v>
      </c>
      <c r="DI1428">
        <v>24</v>
      </c>
      <c r="DN1428" t="s">
        <v>268</v>
      </c>
      <c r="DR1428">
        <v>136180</v>
      </c>
      <c r="DS1428">
        <v>376</v>
      </c>
      <c r="EW1428" t="s">
        <v>272</v>
      </c>
      <c r="FK1428" t="s">
        <v>3045</v>
      </c>
      <c r="FN1428" t="s">
        <v>288</v>
      </c>
      <c r="FO1428">
        <v>20</v>
      </c>
      <c r="FP1428" t="s">
        <v>289</v>
      </c>
      <c r="FQ1428">
        <v>22</v>
      </c>
      <c r="FR1428" t="s">
        <v>295</v>
      </c>
      <c r="GU1428">
        <v>36</v>
      </c>
      <c r="GZ1428" t="s">
        <v>296</v>
      </c>
      <c r="HH1428" t="s">
        <v>272</v>
      </c>
      <c r="ID1428" t="s">
        <v>3046</v>
      </c>
      <c r="IE1428" t="s">
        <v>1648</v>
      </c>
      <c r="IF1428">
        <v>6045</v>
      </c>
      <c r="IG1428" t="s">
        <v>1649</v>
      </c>
      <c r="IH1428" t="s">
        <v>1650</v>
      </c>
      <c r="II1428">
        <v>1976</v>
      </c>
      <c r="IJ1428" t="s">
        <v>1651</v>
      </c>
    </row>
    <row r="1429" spans="1:244" x14ac:dyDescent="0.45">
      <c r="A1429">
        <v>1242367</v>
      </c>
      <c r="B1429">
        <v>247011</v>
      </c>
      <c r="C1429">
        <v>7758987</v>
      </c>
      <c r="D1429" t="s">
        <v>2545</v>
      </c>
      <c r="E1429" t="s">
        <v>386</v>
      </c>
      <c r="F1429" t="s">
        <v>327</v>
      </c>
      <c r="G1429" t="s">
        <v>246</v>
      </c>
      <c r="N1429" t="s">
        <v>369</v>
      </c>
      <c r="O1429" t="s">
        <v>370</v>
      </c>
      <c r="P1429" t="s">
        <v>249</v>
      </c>
      <c r="Q1429" t="s">
        <v>250</v>
      </c>
      <c r="R1429" t="s">
        <v>251</v>
      </c>
      <c r="T1429" t="s">
        <v>252</v>
      </c>
      <c r="U1429" t="s">
        <v>371</v>
      </c>
      <c r="V1429" t="s">
        <v>372</v>
      </c>
      <c r="W1429" t="s">
        <v>373</v>
      </c>
      <c r="X1429" t="s">
        <v>374</v>
      </c>
      <c r="Z1429" t="s">
        <v>649</v>
      </c>
      <c r="AD1429">
        <v>24</v>
      </c>
      <c r="AF1429">
        <v>48</v>
      </c>
      <c r="AG1429" t="s">
        <v>268</v>
      </c>
      <c r="AJ1429" t="s">
        <v>354</v>
      </c>
      <c r="AM1429" t="s">
        <v>258</v>
      </c>
      <c r="AN1429" t="s">
        <v>259</v>
      </c>
      <c r="AO1429" t="s">
        <v>260</v>
      </c>
      <c r="AP1429">
        <v>6</v>
      </c>
      <c r="AQ1429" t="s">
        <v>504</v>
      </c>
      <c r="AS1429">
        <v>164</v>
      </c>
      <c r="AX1429" t="s">
        <v>262</v>
      </c>
      <c r="AY1429" t="s">
        <v>261</v>
      </c>
      <c r="BA1429">
        <v>209</v>
      </c>
      <c r="BF1429" t="s">
        <v>262</v>
      </c>
      <c r="BO1429" t="s">
        <v>504</v>
      </c>
      <c r="BQ1429">
        <v>0.16400000000000001</v>
      </c>
      <c r="BV1429" t="s">
        <v>263</v>
      </c>
      <c r="BW1429" t="s">
        <v>261</v>
      </c>
      <c r="BY1429">
        <v>0.20899999999999999</v>
      </c>
      <c r="CD1429" t="s">
        <v>263</v>
      </c>
      <c r="CM1429" t="s">
        <v>264</v>
      </c>
      <c r="CN1429" t="s">
        <v>264</v>
      </c>
      <c r="CO1429" t="s">
        <v>3049</v>
      </c>
      <c r="CP1429" t="s">
        <v>265</v>
      </c>
      <c r="CR1429" t="s">
        <v>394</v>
      </c>
      <c r="DB1429">
        <v>4</v>
      </c>
      <c r="DG1429" t="s">
        <v>267</v>
      </c>
      <c r="DI1429">
        <v>96</v>
      </c>
      <c r="DN1429" t="s">
        <v>268</v>
      </c>
      <c r="DR1429">
        <v>110441</v>
      </c>
      <c r="DS1429">
        <v>142</v>
      </c>
      <c r="EW1429" t="s">
        <v>2277</v>
      </c>
      <c r="FA1429" t="s">
        <v>3104</v>
      </c>
      <c r="FK1429" t="s">
        <v>3105</v>
      </c>
      <c r="FM1429">
        <v>20</v>
      </c>
      <c r="FR1429" t="s">
        <v>295</v>
      </c>
      <c r="GJ1429">
        <v>4.8</v>
      </c>
      <c r="GL1429">
        <v>7.5</v>
      </c>
      <c r="GM1429" t="s">
        <v>356</v>
      </c>
      <c r="GQ1429">
        <v>7.63</v>
      </c>
      <c r="GS1429">
        <v>7.88</v>
      </c>
      <c r="GW1429">
        <v>28</v>
      </c>
      <c r="GY1429">
        <v>32</v>
      </c>
      <c r="GZ1429" t="s">
        <v>296</v>
      </c>
      <c r="HH1429" t="s">
        <v>272</v>
      </c>
      <c r="ID1429" t="s">
        <v>3106</v>
      </c>
      <c r="IE1429" t="s">
        <v>3053</v>
      </c>
      <c r="IF1429">
        <v>76254</v>
      </c>
      <c r="IG1429" t="s">
        <v>3054</v>
      </c>
      <c r="IH1429" t="s">
        <v>3055</v>
      </c>
      <c r="II1429">
        <v>1993</v>
      </c>
      <c r="IJ1429" t="s">
        <v>3056</v>
      </c>
    </row>
    <row r="1430" spans="1:244" x14ac:dyDescent="0.45">
      <c r="A1430">
        <v>2148405</v>
      </c>
      <c r="B1430">
        <v>2283209</v>
      </c>
      <c r="C1430">
        <v>7758987</v>
      </c>
      <c r="D1430" t="s">
        <v>2545</v>
      </c>
      <c r="F1430" t="s">
        <v>327</v>
      </c>
      <c r="G1430" t="s">
        <v>272</v>
      </c>
      <c r="N1430" t="s">
        <v>566</v>
      </c>
      <c r="O1430" t="s">
        <v>388</v>
      </c>
      <c r="P1430" t="s">
        <v>249</v>
      </c>
      <c r="Q1430" t="s">
        <v>250</v>
      </c>
      <c r="R1430" t="s">
        <v>251</v>
      </c>
      <c r="T1430" t="s">
        <v>389</v>
      </c>
      <c r="U1430" t="s">
        <v>390</v>
      </c>
      <c r="V1430" t="s">
        <v>567</v>
      </c>
      <c r="W1430" t="s">
        <v>568</v>
      </c>
      <c r="X1430" t="s">
        <v>569</v>
      </c>
      <c r="Z1430" t="s">
        <v>315</v>
      </c>
      <c r="AJ1430" t="s">
        <v>285</v>
      </c>
      <c r="AM1430" t="s">
        <v>287</v>
      </c>
      <c r="AN1430" t="s">
        <v>259</v>
      </c>
      <c r="AO1430" t="s">
        <v>260</v>
      </c>
      <c r="AP1430">
        <v>6</v>
      </c>
      <c r="AQ1430" t="s">
        <v>504</v>
      </c>
      <c r="AS1430">
        <v>350</v>
      </c>
      <c r="AX1430" t="s">
        <v>262</v>
      </c>
      <c r="BO1430" t="s">
        <v>504</v>
      </c>
      <c r="BQ1430">
        <v>0.35</v>
      </c>
      <c r="BV1430" t="s">
        <v>263</v>
      </c>
      <c r="CM1430" t="s">
        <v>264</v>
      </c>
      <c r="CN1430" t="s">
        <v>264</v>
      </c>
      <c r="CP1430" t="s">
        <v>265</v>
      </c>
      <c r="CQ1430" t="s">
        <v>394</v>
      </c>
      <c r="DB1430">
        <v>4</v>
      </c>
      <c r="DG1430" t="s">
        <v>267</v>
      </c>
      <c r="DI1430">
        <v>96</v>
      </c>
      <c r="DN1430" t="s">
        <v>268</v>
      </c>
      <c r="DP1430" t="s">
        <v>2622</v>
      </c>
      <c r="DS1430">
        <v>212</v>
      </c>
      <c r="DT1430" t="s">
        <v>2801</v>
      </c>
      <c r="DV1430">
        <v>4</v>
      </c>
      <c r="EA1430" t="s">
        <v>267</v>
      </c>
      <c r="EC1430">
        <v>4</v>
      </c>
      <c r="EH1430" t="s">
        <v>267</v>
      </c>
      <c r="EJ1430">
        <v>4</v>
      </c>
      <c r="EO1430" t="s">
        <v>267</v>
      </c>
      <c r="EQ1430">
        <v>4</v>
      </c>
      <c r="EV1430" t="s">
        <v>267</v>
      </c>
      <c r="EW1430" t="s">
        <v>293</v>
      </c>
      <c r="FM1430">
        <v>21</v>
      </c>
      <c r="FR1430" t="s">
        <v>295</v>
      </c>
      <c r="GU1430">
        <v>30</v>
      </c>
      <c r="GZ1430" t="s">
        <v>362</v>
      </c>
      <c r="HH1430" t="s">
        <v>272</v>
      </c>
      <c r="ID1430" t="s">
        <v>2802</v>
      </c>
      <c r="IE1430" t="s">
        <v>2803</v>
      </c>
      <c r="IF1430">
        <v>156333</v>
      </c>
      <c r="IG1430" t="s">
        <v>2804</v>
      </c>
      <c r="IH1430" t="s">
        <v>2805</v>
      </c>
      <c r="II1430">
        <v>2011</v>
      </c>
      <c r="IJ1430" t="s">
        <v>2806</v>
      </c>
    </row>
    <row r="1431" spans="1:244" x14ac:dyDescent="0.45">
      <c r="A1431">
        <v>2148402</v>
      </c>
      <c r="B1431">
        <v>2283207</v>
      </c>
      <c r="C1431">
        <v>7758987</v>
      </c>
      <c r="D1431" t="s">
        <v>2545</v>
      </c>
      <c r="F1431" t="s">
        <v>245</v>
      </c>
      <c r="G1431" t="s">
        <v>272</v>
      </c>
      <c r="N1431" t="s">
        <v>566</v>
      </c>
      <c r="O1431" t="s">
        <v>388</v>
      </c>
      <c r="P1431" t="s">
        <v>249</v>
      </c>
      <c r="Q1431" t="s">
        <v>250</v>
      </c>
      <c r="R1431" t="s">
        <v>251</v>
      </c>
      <c r="T1431" t="s">
        <v>389</v>
      </c>
      <c r="U1431" t="s">
        <v>390</v>
      </c>
      <c r="V1431" t="s">
        <v>567</v>
      </c>
      <c r="W1431" t="s">
        <v>568</v>
      </c>
      <c r="X1431" t="s">
        <v>569</v>
      </c>
      <c r="Z1431" t="s">
        <v>315</v>
      </c>
      <c r="AJ1431" t="s">
        <v>285</v>
      </c>
      <c r="AL1431" t="s">
        <v>3107</v>
      </c>
      <c r="AM1431" t="s">
        <v>287</v>
      </c>
      <c r="AN1431" t="s">
        <v>259</v>
      </c>
      <c r="AO1431" t="s">
        <v>260</v>
      </c>
      <c r="AP1431">
        <v>5</v>
      </c>
      <c r="AQ1431" t="s">
        <v>504</v>
      </c>
      <c r="AS1431">
        <v>323</v>
      </c>
      <c r="AX1431" t="s">
        <v>262</v>
      </c>
      <c r="BO1431" t="s">
        <v>504</v>
      </c>
      <c r="BQ1431">
        <v>0.32300000000000001</v>
      </c>
      <c r="BV1431" t="s">
        <v>263</v>
      </c>
      <c r="CM1431" t="s">
        <v>264</v>
      </c>
      <c r="CN1431" t="s">
        <v>264</v>
      </c>
      <c r="CP1431" t="s">
        <v>265</v>
      </c>
      <c r="CQ1431" t="s">
        <v>394</v>
      </c>
      <c r="DB1431">
        <v>3</v>
      </c>
      <c r="DG1431" t="s">
        <v>267</v>
      </c>
      <c r="DI1431">
        <v>72</v>
      </c>
      <c r="DN1431" t="s">
        <v>268</v>
      </c>
      <c r="DP1431" t="s">
        <v>2622</v>
      </c>
      <c r="DS1431">
        <v>212</v>
      </c>
      <c r="DT1431" t="s">
        <v>2801</v>
      </c>
      <c r="DU1431" t="s">
        <v>352</v>
      </c>
      <c r="DV1431">
        <v>7</v>
      </c>
      <c r="EA1431" t="s">
        <v>267</v>
      </c>
      <c r="EB1431" t="s">
        <v>352</v>
      </c>
      <c r="EC1431">
        <v>7</v>
      </c>
      <c r="EH1431" t="s">
        <v>267</v>
      </c>
      <c r="EI1431" t="s">
        <v>352</v>
      </c>
      <c r="EJ1431">
        <v>7</v>
      </c>
      <c r="EO1431" t="s">
        <v>267</v>
      </c>
      <c r="EP1431" t="s">
        <v>352</v>
      </c>
      <c r="EQ1431">
        <v>7</v>
      </c>
      <c r="EV1431" t="s">
        <v>267</v>
      </c>
      <c r="EW1431" t="s">
        <v>293</v>
      </c>
      <c r="EZ1431">
        <v>15</v>
      </c>
      <c r="FM1431">
        <v>21</v>
      </c>
      <c r="FR1431" t="s">
        <v>295</v>
      </c>
      <c r="GU1431">
        <v>30</v>
      </c>
      <c r="GZ1431" t="s">
        <v>362</v>
      </c>
      <c r="HH1431" t="s">
        <v>272</v>
      </c>
      <c r="ID1431" t="s">
        <v>2802</v>
      </c>
      <c r="IE1431" t="s">
        <v>2803</v>
      </c>
      <c r="IF1431">
        <v>156333</v>
      </c>
      <c r="IG1431" t="s">
        <v>2804</v>
      </c>
      <c r="IH1431" t="s">
        <v>2805</v>
      </c>
      <c r="II1431">
        <v>2011</v>
      </c>
      <c r="IJ1431" t="s">
        <v>2806</v>
      </c>
    </row>
    <row r="1432" spans="1:244" x14ac:dyDescent="0.45">
      <c r="A1432">
        <v>1078466</v>
      </c>
      <c r="B1432">
        <v>231979</v>
      </c>
      <c r="C1432">
        <v>7758987</v>
      </c>
      <c r="D1432" t="s">
        <v>2545</v>
      </c>
      <c r="F1432" t="s">
        <v>245</v>
      </c>
      <c r="G1432" t="s">
        <v>246</v>
      </c>
      <c r="N1432" t="s">
        <v>630</v>
      </c>
      <c r="O1432" t="s">
        <v>631</v>
      </c>
      <c r="P1432" t="s">
        <v>249</v>
      </c>
      <c r="Q1432" t="s">
        <v>250</v>
      </c>
      <c r="R1432" t="s">
        <v>251</v>
      </c>
      <c r="T1432" t="s">
        <v>389</v>
      </c>
      <c r="U1432" t="s">
        <v>632</v>
      </c>
      <c r="V1432" t="s">
        <v>633</v>
      </c>
      <c r="W1432" t="s">
        <v>634</v>
      </c>
      <c r="X1432" t="s">
        <v>635</v>
      </c>
      <c r="AJ1432" t="s">
        <v>285</v>
      </c>
      <c r="AM1432" t="s">
        <v>317</v>
      </c>
      <c r="AN1432" t="s">
        <v>259</v>
      </c>
      <c r="AO1432" t="s">
        <v>260</v>
      </c>
      <c r="AP1432" t="s">
        <v>1644</v>
      </c>
      <c r="AQ1432" t="s">
        <v>261</v>
      </c>
      <c r="AT1432" t="s">
        <v>288</v>
      </c>
      <c r="AU1432">
        <v>100</v>
      </c>
      <c r="AV1432" t="s">
        <v>289</v>
      </c>
      <c r="AW1432">
        <v>200</v>
      </c>
      <c r="AX1432" t="s">
        <v>290</v>
      </c>
      <c r="BO1432" t="s">
        <v>261</v>
      </c>
      <c r="BR1432" t="s">
        <v>288</v>
      </c>
      <c r="BS1432">
        <v>0.1</v>
      </c>
      <c r="BT1432" t="s">
        <v>289</v>
      </c>
      <c r="BU1432">
        <v>0.2</v>
      </c>
      <c r="BV1432" t="s">
        <v>263</v>
      </c>
      <c r="CM1432" t="s">
        <v>264</v>
      </c>
      <c r="CN1432" t="s">
        <v>264</v>
      </c>
      <c r="CO1432" t="s">
        <v>3044</v>
      </c>
      <c r="CP1432" t="s">
        <v>265</v>
      </c>
      <c r="CQ1432" t="s">
        <v>394</v>
      </c>
      <c r="DB1432">
        <v>1</v>
      </c>
      <c r="DG1432" t="s">
        <v>267</v>
      </c>
      <c r="DI1432">
        <v>24</v>
      </c>
      <c r="DN1432" t="s">
        <v>268</v>
      </c>
      <c r="DR1432">
        <v>136180</v>
      </c>
      <c r="DS1432">
        <v>376</v>
      </c>
      <c r="EW1432" t="s">
        <v>272</v>
      </c>
      <c r="FK1432" t="s">
        <v>3045</v>
      </c>
      <c r="FN1432" t="s">
        <v>288</v>
      </c>
      <c r="FO1432">
        <v>20</v>
      </c>
      <c r="FP1432" t="s">
        <v>289</v>
      </c>
      <c r="FQ1432">
        <v>22</v>
      </c>
      <c r="FR1432" t="s">
        <v>295</v>
      </c>
      <c r="GU1432">
        <v>36</v>
      </c>
      <c r="GZ1432" t="s">
        <v>296</v>
      </c>
      <c r="HH1432" t="s">
        <v>272</v>
      </c>
      <c r="ID1432" t="s">
        <v>3046</v>
      </c>
      <c r="IE1432" t="s">
        <v>1648</v>
      </c>
      <c r="IF1432">
        <v>6045</v>
      </c>
      <c r="IG1432" t="s">
        <v>1649</v>
      </c>
      <c r="IH1432" t="s">
        <v>1650</v>
      </c>
      <c r="II1432">
        <v>1976</v>
      </c>
      <c r="IJ1432" t="s">
        <v>1651</v>
      </c>
    </row>
    <row r="1433" spans="1:244" x14ac:dyDescent="0.45">
      <c r="A1433">
        <v>1205934</v>
      </c>
      <c r="B1433">
        <v>171325</v>
      </c>
      <c r="C1433">
        <v>7758987</v>
      </c>
      <c r="D1433" t="s">
        <v>2545</v>
      </c>
      <c r="F1433" t="s">
        <v>245</v>
      </c>
      <c r="G1433" t="s">
        <v>246</v>
      </c>
      <c r="N1433" t="s">
        <v>2498</v>
      </c>
      <c r="O1433" t="s">
        <v>388</v>
      </c>
      <c r="P1433" t="s">
        <v>249</v>
      </c>
      <c r="Q1433" t="s">
        <v>250</v>
      </c>
      <c r="R1433" t="s">
        <v>251</v>
      </c>
      <c r="T1433" t="s">
        <v>389</v>
      </c>
      <c r="U1433" t="s">
        <v>390</v>
      </c>
      <c r="V1433" t="s">
        <v>391</v>
      </c>
      <c r="W1433" t="s">
        <v>392</v>
      </c>
      <c r="X1433" t="s">
        <v>2499</v>
      </c>
      <c r="Z1433" t="s">
        <v>315</v>
      </c>
      <c r="AM1433" t="s">
        <v>258</v>
      </c>
      <c r="AN1433" t="s">
        <v>259</v>
      </c>
      <c r="AO1433" t="s">
        <v>260</v>
      </c>
      <c r="AQ1433" t="s">
        <v>261</v>
      </c>
      <c r="AS1433">
        <v>790</v>
      </c>
      <c r="AX1433" t="s">
        <v>262</v>
      </c>
      <c r="BO1433" t="s">
        <v>261</v>
      </c>
      <c r="BQ1433">
        <v>0.79</v>
      </c>
      <c r="BV1433" t="s">
        <v>263</v>
      </c>
      <c r="CM1433" t="s">
        <v>264</v>
      </c>
      <c r="CN1433" t="s">
        <v>264</v>
      </c>
      <c r="CP1433" t="s">
        <v>265</v>
      </c>
      <c r="CQ1433" t="s">
        <v>394</v>
      </c>
      <c r="DB1433">
        <v>4</v>
      </c>
      <c r="DG1433" t="s">
        <v>267</v>
      </c>
      <c r="DI1433">
        <v>96</v>
      </c>
      <c r="DN1433" t="s">
        <v>268</v>
      </c>
      <c r="DQ1433" t="s">
        <v>3027</v>
      </c>
      <c r="DR1433">
        <v>272819</v>
      </c>
      <c r="DS1433">
        <v>4707</v>
      </c>
      <c r="EW1433" t="s">
        <v>272</v>
      </c>
      <c r="FM1433">
        <v>20</v>
      </c>
      <c r="FR1433" t="s">
        <v>295</v>
      </c>
      <c r="GU1433">
        <v>37</v>
      </c>
      <c r="GZ1433" t="s">
        <v>296</v>
      </c>
      <c r="HH1433" t="s">
        <v>272</v>
      </c>
      <c r="IE1433" t="s">
        <v>3028</v>
      </c>
      <c r="IF1433">
        <v>18833</v>
      </c>
      <c r="IG1433" t="s">
        <v>3029</v>
      </c>
      <c r="IH1433" t="s">
        <v>3030</v>
      </c>
      <c r="II1433">
        <v>1994</v>
      </c>
      <c r="IJ1433" t="s">
        <v>3031</v>
      </c>
    </row>
    <row r="1434" spans="1:244" x14ac:dyDescent="0.45">
      <c r="A1434">
        <v>1078468</v>
      </c>
      <c r="B1434">
        <v>231981</v>
      </c>
      <c r="C1434">
        <v>7758987</v>
      </c>
      <c r="D1434" t="s">
        <v>2545</v>
      </c>
      <c r="F1434" t="s">
        <v>245</v>
      </c>
      <c r="G1434" t="s">
        <v>246</v>
      </c>
      <c r="N1434" t="s">
        <v>630</v>
      </c>
      <c r="O1434" t="s">
        <v>631</v>
      </c>
      <c r="P1434" t="s">
        <v>249</v>
      </c>
      <c r="Q1434" t="s">
        <v>250</v>
      </c>
      <c r="R1434" t="s">
        <v>251</v>
      </c>
      <c r="T1434" t="s">
        <v>389</v>
      </c>
      <c r="U1434" t="s">
        <v>632</v>
      </c>
      <c r="V1434" t="s">
        <v>633</v>
      </c>
      <c r="W1434" t="s">
        <v>634</v>
      </c>
      <c r="X1434" t="s">
        <v>635</v>
      </c>
      <c r="AJ1434" t="s">
        <v>285</v>
      </c>
      <c r="AM1434" t="s">
        <v>317</v>
      </c>
      <c r="AN1434" t="s">
        <v>259</v>
      </c>
      <c r="AO1434" t="s">
        <v>260</v>
      </c>
      <c r="AP1434" t="s">
        <v>1644</v>
      </c>
      <c r="AQ1434" t="s">
        <v>261</v>
      </c>
      <c r="AT1434" t="s">
        <v>288</v>
      </c>
      <c r="AU1434">
        <v>100</v>
      </c>
      <c r="AV1434" t="s">
        <v>289</v>
      </c>
      <c r="AW1434">
        <v>200</v>
      </c>
      <c r="AX1434" t="s">
        <v>290</v>
      </c>
      <c r="BO1434" t="s">
        <v>261</v>
      </c>
      <c r="BR1434" t="s">
        <v>288</v>
      </c>
      <c r="BS1434">
        <v>0.1</v>
      </c>
      <c r="BT1434" t="s">
        <v>289</v>
      </c>
      <c r="BU1434">
        <v>0.2</v>
      </c>
      <c r="BV1434" t="s">
        <v>263</v>
      </c>
      <c r="CM1434" t="s">
        <v>264</v>
      </c>
      <c r="CN1434" t="s">
        <v>264</v>
      </c>
      <c r="CO1434" t="s">
        <v>3044</v>
      </c>
      <c r="CP1434" t="s">
        <v>265</v>
      </c>
      <c r="CQ1434" t="s">
        <v>394</v>
      </c>
      <c r="DB1434">
        <v>1</v>
      </c>
      <c r="DG1434" t="s">
        <v>267</v>
      </c>
      <c r="DI1434">
        <v>24</v>
      </c>
      <c r="DN1434" t="s">
        <v>268</v>
      </c>
      <c r="DR1434">
        <v>136180</v>
      </c>
      <c r="DS1434">
        <v>376</v>
      </c>
      <c r="EW1434" t="s">
        <v>272</v>
      </c>
      <c r="FK1434" t="s">
        <v>3045</v>
      </c>
      <c r="FN1434" t="s">
        <v>288</v>
      </c>
      <c r="FO1434">
        <v>22</v>
      </c>
      <c r="FP1434" t="s">
        <v>289</v>
      </c>
      <c r="FQ1434">
        <v>24</v>
      </c>
      <c r="FR1434" t="s">
        <v>295</v>
      </c>
      <c r="GU1434">
        <v>36</v>
      </c>
      <c r="GZ1434" t="s">
        <v>296</v>
      </c>
      <c r="HH1434" t="s">
        <v>272</v>
      </c>
      <c r="ID1434" t="s">
        <v>3046</v>
      </c>
      <c r="IE1434" t="s">
        <v>1648</v>
      </c>
      <c r="IF1434">
        <v>6045</v>
      </c>
      <c r="IG1434" t="s">
        <v>1649</v>
      </c>
      <c r="IH1434" t="s">
        <v>1650</v>
      </c>
      <c r="II1434">
        <v>1976</v>
      </c>
      <c r="IJ1434" t="s">
        <v>1651</v>
      </c>
    </row>
    <row r="1435" spans="1:244" x14ac:dyDescent="0.45">
      <c r="A1435">
        <v>1242375</v>
      </c>
      <c r="B1435">
        <v>247019</v>
      </c>
      <c r="C1435">
        <v>7758987</v>
      </c>
      <c r="D1435" t="s">
        <v>2545</v>
      </c>
      <c r="E1435" t="s">
        <v>386</v>
      </c>
      <c r="F1435" t="s">
        <v>327</v>
      </c>
      <c r="G1435" t="s">
        <v>246</v>
      </c>
      <c r="N1435" t="s">
        <v>369</v>
      </c>
      <c r="O1435" t="s">
        <v>370</v>
      </c>
      <c r="P1435" t="s">
        <v>249</v>
      </c>
      <c r="Q1435" t="s">
        <v>250</v>
      </c>
      <c r="R1435" t="s">
        <v>251</v>
      </c>
      <c r="T1435" t="s">
        <v>252</v>
      </c>
      <c r="U1435" t="s">
        <v>371</v>
      </c>
      <c r="V1435" t="s">
        <v>372</v>
      </c>
      <c r="W1435" t="s">
        <v>373</v>
      </c>
      <c r="X1435" t="s">
        <v>374</v>
      </c>
      <c r="Z1435" t="s">
        <v>649</v>
      </c>
      <c r="AD1435">
        <v>24</v>
      </c>
      <c r="AF1435">
        <v>48</v>
      </c>
      <c r="AG1435" t="s">
        <v>268</v>
      </c>
      <c r="AJ1435" t="s">
        <v>354</v>
      </c>
      <c r="AM1435" t="s">
        <v>258</v>
      </c>
      <c r="AN1435" t="s">
        <v>259</v>
      </c>
      <c r="AO1435" t="s">
        <v>260</v>
      </c>
      <c r="AP1435">
        <v>6</v>
      </c>
      <c r="AQ1435" t="s">
        <v>504</v>
      </c>
      <c r="AS1435">
        <v>204</v>
      </c>
      <c r="AX1435" t="s">
        <v>262</v>
      </c>
      <c r="AY1435" t="s">
        <v>261</v>
      </c>
      <c r="BA1435">
        <v>277</v>
      </c>
      <c r="BF1435" t="s">
        <v>262</v>
      </c>
      <c r="BO1435" t="s">
        <v>504</v>
      </c>
      <c r="BQ1435">
        <v>0.20399999999999999</v>
      </c>
      <c r="BV1435" t="s">
        <v>263</v>
      </c>
      <c r="BW1435" t="s">
        <v>261</v>
      </c>
      <c r="BY1435">
        <v>0.27700000000000002</v>
      </c>
      <c r="CD1435" t="s">
        <v>263</v>
      </c>
      <c r="CM1435" t="s">
        <v>264</v>
      </c>
      <c r="CN1435" t="s">
        <v>264</v>
      </c>
      <c r="CO1435" t="s">
        <v>3049</v>
      </c>
      <c r="CP1435" t="s">
        <v>265</v>
      </c>
      <c r="CR1435" t="s">
        <v>394</v>
      </c>
      <c r="DB1435">
        <v>4</v>
      </c>
      <c r="DG1435" t="s">
        <v>267</v>
      </c>
      <c r="DI1435">
        <v>96</v>
      </c>
      <c r="DN1435" t="s">
        <v>268</v>
      </c>
      <c r="DR1435">
        <v>110441</v>
      </c>
      <c r="DS1435">
        <v>142</v>
      </c>
      <c r="EW1435" t="s">
        <v>2277</v>
      </c>
      <c r="FA1435" t="s">
        <v>3108</v>
      </c>
      <c r="FK1435" t="s">
        <v>3109</v>
      </c>
      <c r="FM1435">
        <v>20</v>
      </c>
      <c r="FR1435" t="s">
        <v>295</v>
      </c>
      <c r="GJ1435">
        <v>4.8</v>
      </c>
      <c r="GL1435">
        <v>7.4</v>
      </c>
      <c r="GM1435" t="s">
        <v>356</v>
      </c>
      <c r="GQ1435">
        <v>7.53</v>
      </c>
      <c r="GS1435">
        <v>7.7</v>
      </c>
      <c r="GW1435">
        <v>28</v>
      </c>
      <c r="GY1435">
        <v>29</v>
      </c>
      <c r="GZ1435" t="s">
        <v>296</v>
      </c>
      <c r="HH1435" t="s">
        <v>272</v>
      </c>
      <c r="ID1435" t="s">
        <v>3110</v>
      </c>
      <c r="IE1435" t="s">
        <v>3053</v>
      </c>
      <c r="IF1435">
        <v>76254</v>
      </c>
      <c r="IG1435" t="s">
        <v>3054</v>
      </c>
      <c r="IH1435" t="s">
        <v>3055</v>
      </c>
      <c r="II1435">
        <v>1993</v>
      </c>
      <c r="IJ1435" t="s">
        <v>3056</v>
      </c>
    </row>
    <row r="1436" spans="1:244" x14ac:dyDescent="0.45">
      <c r="A1436">
        <v>1078464</v>
      </c>
      <c r="B1436">
        <v>231977</v>
      </c>
      <c r="C1436">
        <v>7758987</v>
      </c>
      <c r="D1436" t="s">
        <v>2545</v>
      </c>
      <c r="F1436" t="s">
        <v>245</v>
      </c>
      <c r="G1436" t="s">
        <v>246</v>
      </c>
      <c r="N1436" t="s">
        <v>630</v>
      </c>
      <c r="O1436" t="s">
        <v>631</v>
      </c>
      <c r="P1436" t="s">
        <v>249</v>
      </c>
      <c r="Q1436" t="s">
        <v>250</v>
      </c>
      <c r="R1436" t="s">
        <v>251</v>
      </c>
      <c r="T1436" t="s">
        <v>389</v>
      </c>
      <c r="U1436" t="s">
        <v>632</v>
      </c>
      <c r="V1436" t="s">
        <v>633</v>
      </c>
      <c r="W1436" t="s">
        <v>634</v>
      </c>
      <c r="X1436" t="s">
        <v>635</v>
      </c>
      <c r="AJ1436" t="s">
        <v>285</v>
      </c>
      <c r="AM1436" t="s">
        <v>317</v>
      </c>
      <c r="AN1436" t="s">
        <v>259</v>
      </c>
      <c r="AO1436" t="s">
        <v>260</v>
      </c>
      <c r="AP1436" t="s">
        <v>1644</v>
      </c>
      <c r="AQ1436" t="s">
        <v>261</v>
      </c>
      <c r="AT1436" t="s">
        <v>288</v>
      </c>
      <c r="AU1436">
        <v>300</v>
      </c>
      <c r="AV1436" t="s">
        <v>289</v>
      </c>
      <c r="AW1436">
        <v>400</v>
      </c>
      <c r="AX1436" t="s">
        <v>290</v>
      </c>
      <c r="BO1436" t="s">
        <v>261</v>
      </c>
      <c r="BR1436" t="s">
        <v>288</v>
      </c>
      <c r="BS1436">
        <v>0.3</v>
      </c>
      <c r="BT1436" t="s">
        <v>289</v>
      </c>
      <c r="BU1436">
        <v>0.4</v>
      </c>
      <c r="BV1436" t="s">
        <v>263</v>
      </c>
      <c r="CM1436" t="s">
        <v>264</v>
      </c>
      <c r="CN1436" t="s">
        <v>264</v>
      </c>
      <c r="CO1436" t="s">
        <v>3044</v>
      </c>
      <c r="CP1436" t="s">
        <v>265</v>
      </c>
      <c r="CQ1436" t="s">
        <v>394</v>
      </c>
      <c r="DB1436">
        <v>1</v>
      </c>
      <c r="DG1436" t="s">
        <v>267</v>
      </c>
      <c r="DI1436">
        <v>24</v>
      </c>
      <c r="DN1436" t="s">
        <v>268</v>
      </c>
      <c r="DR1436">
        <v>136180</v>
      </c>
      <c r="DS1436">
        <v>376</v>
      </c>
      <c r="EW1436" t="s">
        <v>272</v>
      </c>
      <c r="FK1436" t="s">
        <v>3045</v>
      </c>
      <c r="FN1436" t="s">
        <v>288</v>
      </c>
      <c r="FO1436">
        <v>20</v>
      </c>
      <c r="FP1436" t="s">
        <v>289</v>
      </c>
      <c r="FQ1436">
        <v>22</v>
      </c>
      <c r="FR1436" t="s">
        <v>295</v>
      </c>
      <c r="GU1436">
        <v>36</v>
      </c>
      <c r="GZ1436" t="s">
        <v>296</v>
      </c>
      <c r="HH1436" t="s">
        <v>272</v>
      </c>
      <c r="ID1436" t="s">
        <v>3046</v>
      </c>
      <c r="IE1436" t="s">
        <v>1648</v>
      </c>
      <c r="IF1436">
        <v>6045</v>
      </c>
      <c r="IG1436" t="s">
        <v>1649</v>
      </c>
      <c r="IH1436" t="s">
        <v>1650</v>
      </c>
      <c r="II1436">
        <v>1976</v>
      </c>
      <c r="IJ1436" t="s">
        <v>1651</v>
      </c>
    </row>
    <row r="1437" spans="1:244" x14ac:dyDescent="0.45">
      <c r="A1437">
        <v>1101845</v>
      </c>
      <c r="B1437">
        <v>45160</v>
      </c>
      <c r="C1437">
        <v>7758987</v>
      </c>
      <c r="D1437" t="s">
        <v>2545</v>
      </c>
      <c r="F1437" t="s">
        <v>327</v>
      </c>
      <c r="G1437" t="s">
        <v>246</v>
      </c>
      <c r="N1437" t="s">
        <v>3057</v>
      </c>
      <c r="O1437" t="s">
        <v>3058</v>
      </c>
      <c r="P1437" t="s">
        <v>249</v>
      </c>
      <c r="Q1437" t="s">
        <v>250</v>
      </c>
      <c r="R1437" t="s">
        <v>251</v>
      </c>
      <c r="T1437" t="s">
        <v>252</v>
      </c>
      <c r="U1437" t="s">
        <v>253</v>
      </c>
      <c r="V1437" t="s">
        <v>1847</v>
      </c>
      <c r="W1437" t="s">
        <v>1848</v>
      </c>
      <c r="X1437" t="s">
        <v>2524</v>
      </c>
      <c r="AL1437" t="s">
        <v>3059</v>
      </c>
      <c r="AM1437" t="s">
        <v>307</v>
      </c>
      <c r="AN1437" t="s">
        <v>259</v>
      </c>
      <c r="AO1437" t="s">
        <v>260</v>
      </c>
      <c r="AQ1437" t="s">
        <v>261</v>
      </c>
      <c r="AS1437">
        <v>37</v>
      </c>
      <c r="AX1437" t="s">
        <v>262</v>
      </c>
      <c r="BO1437" t="s">
        <v>261</v>
      </c>
      <c r="BQ1437">
        <v>3.6999999999999998E-2</v>
      </c>
      <c r="BV1437" t="s">
        <v>263</v>
      </c>
      <c r="CM1437" t="s">
        <v>264</v>
      </c>
      <c r="CN1437" t="s">
        <v>264</v>
      </c>
      <c r="CP1437" t="s">
        <v>265</v>
      </c>
      <c r="CQ1437" t="s">
        <v>394</v>
      </c>
      <c r="DB1437">
        <v>4</v>
      </c>
      <c r="DG1437" t="s">
        <v>267</v>
      </c>
      <c r="DI1437">
        <v>96</v>
      </c>
      <c r="DN1437" t="s">
        <v>268</v>
      </c>
      <c r="DR1437">
        <v>397975</v>
      </c>
      <c r="DS1437">
        <v>737</v>
      </c>
      <c r="EW1437" t="s">
        <v>271</v>
      </c>
      <c r="FK1437" t="s">
        <v>3060</v>
      </c>
      <c r="FM1437">
        <v>10</v>
      </c>
      <c r="FR1437" t="s">
        <v>295</v>
      </c>
      <c r="GC1437">
        <v>116</v>
      </c>
      <c r="GE1437">
        <v>121</v>
      </c>
      <c r="GF1437" t="s">
        <v>572</v>
      </c>
      <c r="GJ1437">
        <v>7.28</v>
      </c>
      <c r="GL1437">
        <v>9.4</v>
      </c>
      <c r="GM1437" t="s">
        <v>356</v>
      </c>
      <c r="GW1437">
        <v>28.5</v>
      </c>
      <c r="GY1437">
        <v>31</v>
      </c>
      <c r="GZ1437" t="s">
        <v>296</v>
      </c>
      <c r="HH1437" t="s">
        <v>272</v>
      </c>
      <c r="ID1437" t="s">
        <v>3061</v>
      </c>
      <c r="IE1437" t="s">
        <v>3062</v>
      </c>
      <c r="IF1437">
        <v>7396</v>
      </c>
      <c r="IG1437" t="s">
        <v>3063</v>
      </c>
      <c r="IH1437" t="s">
        <v>3064</v>
      </c>
      <c r="II1437">
        <v>1976</v>
      </c>
      <c r="IJ1437" t="s">
        <v>3065</v>
      </c>
    </row>
    <row r="1438" spans="1:244" x14ac:dyDescent="0.45">
      <c r="A1438">
        <v>1242374</v>
      </c>
      <c r="B1438">
        <v>247018</v>
      </c>
      <c r="C1438">
        <v>7758987</v>
      </c>
      <c r="D1438" t="s">
        <v>2545</v>
      </c>
      <c r="E1438" t="s">
        <v>386</v>
      </c>
      <c r="F1438" t="s">
        <v>327</v>
      </c>
      <c r="G1438" t="s">
        <v>246</v>
      </c>
      <c r="N1438" t="s">
        <v>369</v>
      </c>
      <c r="O1438" t="s">
        <v>370</v>
      </c>
      <c r="P1438" t="s">
        <v>249</v>
      </c>
      <c r="Q1438" t="s">
        <v>250</v>
      </c>
      <c r="R1438" t="s">
        <v>251</v>
      </c>
      <c r="T1438" t="s">
        <v>252</v>
      </c>
      <c r="U1438" t="s">
        <v>371</v>
      </c>
      <c r="V1438" t="s">
        <v>372</v>
      </c>
      <c r="W1438" t="s">
        <v>373</v>
      </c>
      <c r="X1438" t="s">
        <v>374</v>
      </c>
      <c r="Z1438" t="s">
        <v>649</v>
      </c>
      <c r="AD1438">
        <v>24</v>
      </c>
      <c r="AF1438">
        <v>48</v>
      </c>
      <c r="AG1438" t="s">
        <v>268</v>
      </c>
      <c r="AJ1438" t="s">
        <v>354</v>
      </c>
      <c r="AM1438" t="s">
        <v>258</v>
      </c>
      <c r="AN1438" t="s">
        <v>259</v>
      </c>
      <c r="AO1438" t="s">
        <v>260</v>
      </c>
      <c r="AP1438">
        <v>6</v>
      </c>
      <c r="AQ1438" t="s">
        <v>504</v>
      </c>
      <c r="AS1438">
        <v>284</v>
      </c>
      <c r="AX1438" t="s">
        <v>262</v>
      </c>
      <c r="AY1438" t="s">
        <v>261</v>
      </c>
      <c r="BA1438">
        <v>383</v>
      </c>
      <c r="BF1438" t="s">
        <v>262</v>
      </c>
      <c r="BO1438" t="s">
        <v>504</v>
      </c>
      <c r="BQ1438">
        <v>0.28399999999999997</v>
      </c>
      <c r="BV1438" t="s">
        <v>263</v>
      </c>
      <c r="BW1438" t="s">
        <v>261</v>
      </c>
      <c r="BY1438">
        <v>0.38300000000000001</v>
      </c>
      <c r="CD1438" t="s">
        <v>263</v>
      </c>
      <c r="CM1438" t="s">
        <v>264</v>
      </c>
      <c r="CN1438" t="s">
        <v>264</v>
      </c>
      <c r="CO1438" t="s">
        <v>3049</v>
      </c>
      <c r="CP1438" t="s">
        <v>265</v>
      </c>
      <c r="CR1438" t="s">
        <v>394</v>
      </c>
      <c r="DB1438">
        <v>4</v>
      </c>
      <c r="DG1438" t="s">
        <v>267</v>
      </c>
      <c r="DI1438">
        <v>96</v>
      </c>
      <c r="DN1438" t="s">
        <v>268</v>
      </c>
      <c r="DR1438">
        <v>110441</v>
      </c>
      <c r="DS1438">
        <v>142</v>
      </c>
      <c r="EW1438" t="s">
        <v>2277</v>
      </c>
      <c r="FA1438" t="s">
        <v>3111</v>
      </c>
      <c r="FK1438" t="s">
        <v>3112</v>
      </c>
      <c r="FM1438">
        <v>20</v>
      </c>
      <c r="FR1438" t="s">
        <v>295</v>
      </c>
      <c r="GJ1438">
        <v>2.9</v>
      </c>
      <c r="GL1438">
        <v>7.3</v>
      </c>
      <c r="GM1438" t="s">
        <v>356</v>
      </c>
      <c r="GQ1438">
        <v>7.68</v>
      </c>
      <c r="GS1438">
        <v>7.85</v>
      </c>
      <c r="GW1438">
        <v>29</v>
      </c>
      <c r="GY1438">
        <v>30</v>
      </c>
      <c r="GZ1438" t="s">
        <v>296</v>
      </c>
      <c r="HH1438" t="s">
        <v>272</v>
      </c>
      <c r="ID1438" t="s">
        <v>3113</v>
      </c>
      <c r="IE1438" t="s">
        <v>3053</v>
      </c>
      <c r="IF1438">
        <v>76254</v>
      </c>
      <c r="IG1438" t="s">
        <v>3054</v>
      </c>
      <c r="IH1438" t="s">
        <v>3055</v>
      </c>
      <c r="II1438">
        <v>1993</v>
      </c>
      <c r="IJ1438" t="s">
        <v>3056</v>
      </c>
    </row>
    <row r="1439" spans="1:244" x14ac:dyDescent="0.45">
      <c r="A1439">
        <v>1300799</v>
      </c>
      <c r="B1439">
        <v>756471</v>
      </c>
      <c r="C1439">
        <v>7758987</v>
      </c>
      <c r="D1439" t="s">
        <v>2545</v>
      </c>
      <c r="E1439" t="s">
        <v>386</v>
      </c>
      <c r="F1439" t="s">
        <v>245</v>
      </c>
      <c r="G1439" t="s">
        <v>246</v>
      </c>
      <c r="N1439" t="s">
        <v>387</v>
      </c>
      <c r="O1439" t="s">
        <v>388</v>
      </c>
      <c r="P1439" t="s">
        <v>249</v>
      </c>
      <c r="Q1439" t="s">
        <v>250</v>
      </c>
      <c r="R1439" t="s">
        <v>251</v>
      </c>
      <c r="T1439" t="s">
        <v>389</v>
      </c>
      <c r="U1439" t="s">
        <v>390</v>
      </c>
      <c r="V1439" t="s">
        <v>391</v>
      </c>
      <c r="W1439" t="s">
        <v>392</v>
      </c>
      <c r="X1439" t="s">
        <v>393</v>
      </c>
      <c r="Z1439" t="s">
        <v>315</v>
      </c>
      <c r="AL1439" t="s">
        <v>3032</v>
      </c>
      <c r="AM1439" t="s">
        <v>258</v>
      </c>
      <c r="AN1439" t="s">
        <v>259</v>
      </c>
      <c r="AO1439" t="s">
        <v>260</v>
      </c>
      <c r="AP1439" t="s">
        <v>2368</v>
      </c>
      <c r="AQ1439" t="s">
        <v>261</v>
      </c>
      <c r="AT1439" t="s">
        <v>288</v>
      </c>
      <c r="AU1439">
        <v>400</v>
      </c>
      <c r="AV1439" t="s">
        <v>289</v>
      </c>
      <c r="AW1439">
        <v>600</v>
      </c>
      <c r="AX1439" t="s">
        <v>262</v>
      </c>
      <c r="BO1439" t="s">
        <v>261</v>
      </c>
      <c r="BR1439" t="s">
        <v>288</v>
      </c>
      <c r="BS1439">
        <v>0.4</v>
      </c>
      <c r="BT1439" t="s">
        <v>289</v>
      </c>
      <c r="BU1439">
        <v>0.6</v>
      </c>
      <c r="BV1439" t="s">
        <v>263</v>
      </c>
      <c r="CM1439" t="s">
        <v>264</v>
      </c>
      <c r="CN1439" t="s">
        <v>264</v>
      </c>
      <c r="CP1439" t="s">
        <v>265</v>
      </c>
      <c r="CQ1439" t="s">
        <v>394</v>
      </c>
      <c r="DB1439">
        <v>4</v>
      </c>
      <c r="DG1439" t="s">
        <v>267</v>
      </c>
      <c r="DI1439">
        <v>96</v>
      </c>
      <c r="DN1439" t="s">
        <v>268</v>
      </c>
      <c r="DP1439" t="s">
        <v>2554</v>
      </c>
      <c r="DR1439">
        <v>158387</v>
      </c>
      <c r="DS1439">
        <v>6038</v>
      </c>
      <c r="DT1439" t="s">
        <v>396</v>
      </c>
      <c r="EW1439" t="s">
        <v>293</v>
      </c>
      <c r="FK1439" t="s">
        <v>3114</v>
      </c>
      <c r="FO1439">
        <v>22</v>
      </c>
      <c r="FQ1439">
        <v>25</v>
      </c>
      <c r="FR1439" t="s">
        <v>295</v>
      </c>
      <c r="GW1439">
        <v>30</v>
      </c>
      <c r="GY1439">
        <v>35</v>
      </c>
      <c r="GZ1439" t="s">
        <v>296</v>
      </c>
      <c r="HH1439" t="s">
        <v>272</v>
      </c>
      <c r="ID1439" t="s">
        <v>3115</v>
      </c>
      <c r="IE1439" t="s">
        <v>400</v>
      </c>
      <c r="IF1439">
        <v>115854</v>
      </c>
      <c r="IG1439" t="s">
        <v>401</v>
      </c>
      <c r="IH1439" t="s">
        <v>402</v>
      </c>
      <c r="II1439">
        <v>2008</v>
      </c>
      <c r="IJ1439" t="s">
        <v>403</v>
      </c>
    </row>
    <row r="1440" spans="1:244" x14ac:dyDescent="0.45">
      <c r="A1440">
        <v>1048499</v>
      </c>
      <c r="B1440">
        <v>107313</v>
      </c>
      <c r="C1440">
        <v>7758987</v>
      </c>
      <c r="D1440" t="s">
        <v>2545</v>
      </c>
      <c r="F1440" t="s">
        <v>327</v>
      </c>
      <c r="G1440" t="s">
        <v>246</v>
      </c>
      <c r="N1440" t="s">
        <v>312</v>
      </c>
      <c r="O1440" t="s">
        <v>313</v>
      </c>
      <c r="P1440" t="s">
        <v>249</v>
      </c>
      <c r="Q1440" t="s">
        <v>250</v>
      </c>
      <c r="R1440" t="s">
        <v>251</v>
      </c>
      <c r="T1440" t="s">
        <v>252</v>
      </c>
      <c r="U1440" t="s">
        <v>253</v>
      </c>
      <c r="V1440" t="s">
        <v>304</v>
      </c>
      <c r="W1440" t="s">
        <v>305</v>
      </c>
      <c r="X1440" t="s">
        <v>314</v>
      </c>
      <c r="Z1440" t="s">
        <v>649</v>
      </c>
      <c r="AL1440" t="s">
        <v>2093</v>
      </c>
      <c r="AM1440" t="s">
        <v>317</v>
      </c>
      <c r="AN1440" t="s">
        <v>259</v>
      </c>
      <c r="AO1440" t="s">
        <v>260</v>
      </c>
      <c r="AQ1440" t="s">
        <v>261</v>
      </c>
      <c r="AS1440">
        <v>2100</v>
      </c>
      <c r="AU1440">
        <v>1520</v>
      </c>
      <c r="AW1440">
        <v>3030</v>
      </c>
      <c r="AX1440" t="s">
        <v>262</v>
      </c>
      <c r="BO1440" t="s">
        <v>261</v>
      </c>
      <c r="BQ1440">
        <v>2.1</v>
      </c>
      <c r="BS1440">
        <v>1.52</v>
      </c>
      <c r="BU1440">
        <v>3.03</v>
      </c>
      <c r="BV1440" t="s">
        <v>263</v>
      </c>
      <c r="CM1440" t="s">
        <v>264</v>
      </c>
      <c r="CN1440" t="s">
        <v>264</v>
      </c>
      <c r="CP1440" t="s">
        <v>265</v>
      </c>
      <c r="CQ1440" t="s">
        <v>394</v>
      </c>
      <c r="DB1440">
        <v>2</v>
      </c>
      <c r="DG1440" t="s">
        <v>267</v>
      </c>
      <c r="DI1440">
        <v>48</v>
      </c>
      <c r="DN1440" t="s">
        <v>268</v>
      </c>
      <c r="DP1440" t="s">
        <v>1013</v>
      </c>
      <c r="DR1440">
        <v>221654</v>
      </c>
      <c r="DS1440">
        <v>65263</v>
      </c>
      <c r="DT1440" t="s">
        <v>2094</v>
      </c>
      <c r="EW1440" t="s">
        <v>1512</v>
      </c>
      <c r="FM1440">
        <v>20</v>
      </c>
      <c r="FR1440" t="s">
        <v>295</v>
      </c>
      <c r="GG1440" t="s">
        <v>288</v>
      </c>
      <c r="GH1440">
        <v>40</v>
      </c>
      <c r="GM1440" t="s">
        <v>900</v>
      </c>
      <c r="GO1440">
        <v>7.5</v>
      </c>
      <c r="GQ1440">
        <v>6.1</v>
      </c>
      <c r="GS1440">
        <v>8</v>
      </c>
      <c r="GU1440">
        <v>10</v>
      </c>
      <c r="GZ1440" t="s">
        <v>296</v>
      </c>
      <c r="HH1440" t="s">
        <v>272</v>
      </c>
      <c r="ID1440" t="s">
        <v>2095</v>
      </c>
      <c r="IE1440" t="s">
        <v>2096</v>
      </c>
      <c r="IF1440">
        <v>3163</v>
      </c>
      <c r="IG1440" t="s">
        <v>2097</v>
      </c>
      <c r="IH1440" t="s">
        <v>2098</v>
      </c>
      <c r="II1440">
        <v>1990</v>
      </c>
      <c r="IJ1440" t="s">
        <v>2099</v>
      </c>
    </row>
    <row r="1441" spans="1:244" x14ac:dyDescent="0.45">
      <c r="A1441">
        <v>1272812</v>
      </c>
      <c r="B1441">
        <v>724111</v>
      </c>
      <c r="C1441">
        <v>7758987</v>
      </c>
      <c r="D1441" t="s">
        <v>2545</v>
      </c>
      <c r="F1441" t="s">
        <v>245</v>
      </c>
      <c r="G1441" t="s">
        <v>246</v>
      </c>
      <c r="N1441" t="s">
        <v>2183</v>
      </c>
      <c r="O1441" t="s">
        <v>498</v>
      </c>
      <c r="P1441" t="s">
        <v>249</v>
      </c>
      <c r="Q1441" t="s">
        <v>250</v>
      </c>
      <c r="R1441" t="s">
        <v>251</v>
      </c>
      <c r="T1441" t="s">
        <v>252</v>
      </c>
      <c r="U1441" t="s">
        <v>499</v>
      </c>
      <c r="V1441" t="s">
        <v>1281</v>
      </c>
      <c r="W1441" t="s">
        <v>1282</v>
      </c>
      <c r="X1441" t="s">
        <v>2184</v>
      </c>
      <c r="Z1441" t="s">
        <v>315</v>
      </c>
      <c r="AL1441" t="s">
        <v>2475</v>
      </c>
      <c r="AM1441" t="s">
        <v>317</v>
      </c>
      <c r="AN1441" t="s">
        <v>259</v>
      </c>
      <c r="AO1441" t="s">
        <v>260</v>
      </c>
      <c r="AQ1441" t="s">
        <v>261</v>
      </c>
      <c r="AS1441">
        <v>37.590000000000003</v>
      </c>
      <c r="AU1441">
        <v>26.07</v>
      </c>
      <c r="AW1441">
        <v>54.2</v>
      </c>
      <c r="AX1441" t="s">
        <v>356</v>
      </c>
      <c r="BO1441" t="s">
        <v>261</v>
      </c>
      <c r="BQ1441">
        <v>37.590000000000003</v>
      </c>
      <c r="BS1441">
        <v>26.07</v>
      </c>
      <c r="BU1441">
        <v>54.2</v>
      </c>
      <c r="BV1441" t="s">
        <v>263</v>
      </c>
      <c r="CM1441" t="s">
        <v>264</v>
      </c>
      <c r="CN1441" t="s">
        <v>264</v>
      </c>
      <c r="CP1441" t="s">
        <v>265</v>
      </c>
      <c r="CQ1441" t="s">
        <v>394</v>
      </c>
      <c r="DB1441">
        <v>4</v>
      </c>
      <c r="DG1441" t="s">
        <v>267</v>
      </c>
      <c r="DI1441">
        <v>96</v>
      </c>
      <c r="DN1441" t="s">
        <v>268</v>
      </c>
      <c r="DP1441" t="s">
        <v>2607</v>
      </c>
      <c r="DR1441">
        <v>371472</v>
      </c>
      <c r="DS1441">
        <v>1342</v>
      </c>
      <c r="DT1441" t="s">
        <v>2476</v>
      </c>
      <c r="EW1441" t="s">
        <v>293</v>
      </c>
      <c r="FA1441" t="s">
        <v>2477</v>
      </c>
      <c r="FK1441" t="s">
        <v>3116</v>
      </c>
      <c r="FM1441">
        <v>11</v>
      </c>
      <c r="FR1441" t="s">
        <v>295</v>
      </c>
      <c r="GH1441">
        <v>75</v>
      </c>
      <c r="GM1441" t="s">
        <v>1224</v>
      </c>
      <c r="GO1441">
        <v>7.24</v>
      </c>
      <c r="GU1441">
        <v>32</v>
      </c>
      <c r="GZ1441" t="s">
        <v>296</v>
      </c>
      <c r="HH1441" t="s">
        <v>272</v>
      </c>
      <c r="ID1441" t="s">
        <v>3117</v>
      </c>
      <c r="IE1441" t="s">
        <v>2480</v>
      </c>
      <c r="IF1441">
        <v>47359</v>
      </c>
      <c r="IG1441" t="s">
        <v>2481</v>
      </c>
      <c r="IH1441" t="s">
        <v>2482</v>
      </c>
      <c r="II1441">
        <v>1998</v>
      </c>
      <c r="IJ1441" t="s">
        <v>2483</v>
      </c>
    </row>
    <row r="1442" spans="1:244" x14ac:dyDescent="0.45">
      <c r="A1442">
        <v>1300788</v>
      </c>
      <c r="B1442">
        <v>756460</v>
      </c>
      <c r="C1442">
        <v>7758987</v>
      </c>
      <c r="D1442" t="s">
        <v>2545</v>
      </c>
      <c r="E1442" t="s">
        <v>386</v>
      </c>
      <c r="F1442" t="s">
        <v>245</v>
      </c>
      <c r="G1442" t="s">
        <v>246</v>
      </c>
      <c r="N1442" t="s">
        <v>387</v>
      </c>
      <c r="O1442" t="s">
        <v>388</v>
      </c>
      <c r="P1442" t="s">
        <v>249</v>
      </c>
      <c r="Q1442" t="s">
        <v>250</v>
      </c>
      <c r="R1442" t="s">
        <v>251</v>
      </c>
      <c r="T1442" t="s">
        <v>389</v>
      </c>
      <c r="U1442" t="s">
        <v>390</v>
      </c>
      <c r="V1442" t="s">
        <v>391</v>
      </c>
      <c r="W1442" t="s">
        <v>392</v>
      </c>
      <c r="X1442" t="s">
        <v>393</v>
      </c>
      <c r="Z1442" t="s">
        <v>315</v>
      </c>
      <c r="AL1442" t="s">
        <v>3069</v>
      </c>
      <c r="AM1442" t="s">
        <v>258</v>
      </c>
      <c r="AN1442" t="s">
        <v>259</v>
      </c>
      <c r="AO1442" t="s">
        <v>260</v>
      </c>
      <c r="AP1442" t="s">
        <v>2368</v>
      </c>
      <c r="AQ1442" t="s">
        <v>261</v>
      </c>
      <c r="AS1442">
        <v>585</v>
      </c>
      <c r="AX1442" t="s">
        <v>262</v>
      </c>
      <c r="BO1442" t="s">
        <v>261</v>
      </c>
      <c r="BQ1442">
        <v>0.58499999999999996</v>
      </c>
      <c r="BV1442" t="s">
        <v>263</v>
      </c>
      <c r="CM1442" t="s">
        <v>264</v>
      </c>
      <c r="CN1442" t="s">
        <v>264</v>
      </c>
      <c r="CP1442" t="s">
        <v>265</v>
      </c>
      <c r="CQ1442" t="s">
        <v>394</v>
      </c>
      <c r="DB1442">
        <v>4</v>
      </c>
      <c r="DG1442" t="s">
        <v>267</v>
      </c>
      <c r="DI1442">
        <v>96</v>
      </c>
      <c r="DN1442" t="s">
        <v>268</v>
      </c>
      <c r="DP1442" t="s">
        <v>2554</v>
      </c>
      <c r="DR1442">
        <v>158387</v>
      </c>
      <c r="DS1442">
        <v>6038</v>
      </c>
      <c r="DT1442" t="s">
        <v>396</v>
      </c>
      <c r="EW1442" t="s">
        <v>293</v>
      </c>
      <c r="FK1442" t="s">
        <v>3118</v>
      </c>
      <c r="FO1442">
        <v>22</v>
      </c>
      <c r="FQ1442">
        <v>25</v>
      </c>
      <c r="FR1442" t="s">
        <v>295</v>
      </c>
      <c r="GW1442">
        <v>30</v>
      </c>
      <c r="GY1442">
        <v>35</v>
      </c>
      <c r="GZ1442" t="s">
        <v>296</v>
      </c>
      <c r="HH1442" t="s">
        <v>272</v>
      </c>
      <c r="ID1442" t="s">
        <v>3119</v>
      </c>
      <c r="IE1442" t="s">
        <v>400</v>
      </c>
      <c r="IF1442">
        <v>115854</v>
      </c>
      <c r="IG1442" t="s">
        <v>401</v>
      </c>
      <c r="IH1442" t="s">
        <v>402</v>
      </c>
      <c r="II1442">
        <v>2008</v>
      </c>
      <c r="IJ1442" t="s">
        <v>403</v>
      </c>
    </row>
    <row r="1443" spans="1:244" x14ac:dyDescent="0.45">
      <c r="A1443">
        <v>1101849</v>
      </c>
      <c r="B1443">
        <v>45164</v>
      </c>
      <c r="C1443">
        <v>7758987</v>
      </c>
      <c r="D1443" t="s">
        <v>2545</v>
      </c>
      <c r="F1443" t="s">
        <v>327</v>
      </c>
      <c r="G1443" t="s">
        <v>246</v>
      </c>
      <c r="N1443" t="s">
        <v>3057</v>
      </c>
      <c r="O1443" t="s">
        <v>3058</v>
      </c>
      <c r="P1443" t="s">
        <v>249</v>
      </c>
      <c r="Q1443" t="s">
        <v>250</v>
      </c>
      <c r="R1443" t="s">
        <v>251</v>
      </c>
      <c r="T1443" t="s">
        <v>252</v>
      </c>
      <c r="U1443" t="s">
        <v>253</v>
      </c>
      <c r="V1443" t="s">
        <v>1847</v>
      </c>
      <c r="W1443" t="s">
        <v>1848</v>
      </c>
      <c r="X1443" t="s">
        <v>2524</v>
      </c>
      <c r="AL1443" t="s">
        <v>3059</v>
      </c>
      <c r="AM1443" t="s">
        <v>307</v>
      </c>
      <c r="AN1443" t="s">
        <v>259</v>
      </c>
      <c r="AO1443" t="s">
        <v>260</v>
      </c>
      <c r="AQ1443" t="s">
        <v>261</v>
      </c>
      <c r="AS1443">
        <v>31</v>
      </c>
      <c r="AX1443" t="s">
        <v>262</v>
      </c>
      <c r="BO1443" t="s">
        <v>261</v>
      </c>
      <c r="BQ1443">
        <v>3.1E-2</v>
      </c>
      <c r="BV1443" t="s">
        <v>263</v>
      </c>
      <c r="CM1443" t="s">
        <v>264</v>
      </c>
      <c r="CN1443" t="s">
        <v>264</v>
      </c>
      <c r="CP1443" t="s">
        <v>265</v>
      </c>
      <c r="CQ1443" t="s">
        <v>394</v>
      </c>
      <c r="DB1443">
        <v>4</v>
      </c>
      <c r="DG1443" t="s">
        <v>267</v>
      </c>
      <c r="DI1443">
        <v>96</v>
      </c>
      <c r="DN1443" t="s">
        <v>268</v>
      </c>
      <c r="DR1443">
        <v>397975</v>
      </c>
      <c r="DS1443">
        <v>737</v>
      </c>
      <c r="EW1443" t="s">
        <v>271</v>
      </c>
      <c r="FK1443" t="s">
        <v>3060</v>
      </c>
      <c r="FM1443">
        <v>20</v>
      </c>
      <c r="FR1443" t="s">
        <v>295</v>
      </c>
      <c r="GC1443">
        <v>116</v>
      </c>
      <c r="GE1443">
        <v>121</v>
      </c>
      <c r="GF1443" t="s">
        <v>572</v>
      </c>
      <c r="GJ1443">
        <v>7.28</v>
      </c>
      <c r="GL1443">
        <v>9.4</v>
      </c>
      <c r="GM1443" t="s">
        <v>356</v>
      </c>
      <c r="GW1443">
        <v>28.5</v>
      </c>
      <c r="GY1443">
        <v>31</v>
      </c>
      <c r="GZ1443" t="s">
        <v>296</v>
      </c>
      <c r="HH1443" t="s">
        <v>272</v>
      </c>
      <c r="ID1443" t="s">
        <v>3061</v>
      </c>
      <c r="IE1443" t="s">
        <v>3062</v>
      </c>
      <c r="IF1443">
        <v>7396</v>
      </c>
      <c r="IG1443" t="s">
        <v>3063</v>
      </c>
      <c r="IH1443" t="s">
        <v>3064</v>
      </c>
      <c r="II1443">
        <v>1976</v>
      </c>
      <c r="IJ1443" t="s">
        <v>3065</v>
      </c>
    </row>
    <row r="1444" spans="1:244" x14ac:dyDescent="0.45">
      <c r="A1444">
        <v>1078470</v>
      </c>
      <c r="B1444">
        <v>231983</v>
      </c>
      <c r="C1444">
        <v>7758987</v>
      </c>
      <c r="D1444" t="s">
        <v>2545</v>
      </c>
      <c r="F1444" t="s">
        <v>245</v>
      </c>
      <c r="G1444" t="s">
        <v>246</v>
      </c>
      <c r="N1444" t="s">
        <v>630</v>
      </c>
      <c r="O1444" t="s">
        <v>631</v>
      </c>
      <c r="P1444" t="s">
        <v>249</v>
      </c>
      <c r="Q1444" t="s">
        <v>250</v>
      </c>
      <c r="R1444" t="s">
        <v>251</v>
      </c>
      <c r="T1444" t="s">
        <v>389</v>
      </c>
      <c r="U1444" t="s">
        <v>632</v>
      </c>
      <c r="V1444" t="s">
        <v>633</v>
      </c>
      <c r="W1444" t="s">
        <v>634</v>
      </c>
      <c r="X1444" t="s">
        <v>635</v>
      </c>
      <c r="AJ1444" t="s">
        <v>285</v>
      </c>
      <c r="AM1444" t="s">
        <v>317</v>
      </c>
      <c r="AN1444" t="s">
        <v>259</v>
      </c>
      <c r="AO1444" t="s">
        <v>260</v>
      </c>
      <c r="AP1444" t="s">
        <v>1644</v>
      </c>
      <c r="AQ1444" t="s">
        <v>261</v>
      </c>
      <c r="AT1444" t="s">
        <v>288</v>
      </c>
      <c r="AU1444">
        <v>300</v>
      </c>
      <c r="AV1444" t="s">
        <v>289</v>
      </c>
      <c r="AW1444">
        <v>400</v>
      </c>
      <c r="AX1444" t="s">
        <v>290</v>
      </c>
      <c r="BO1444" t="s">
        <v>261</v>
      </c>
      <c r="BR1444" t="s">
        <v>288</v>
      </c>
      <c r="BS1444">
        <v>0.3</v>
      </c>
      <c r="BT1444" t="s">
        <v>289</v>
      </c>
      <c r="BU1444">
        <v>0.4</v>
      </c>
      <c r="BV1444" t="s">
        <v>263</v>
      </c>
      <c r="CM1444" t="s">
        <v>264</v>
      </c>
      <c r="CN1444" t="s">
        <v>264</v>
      </c>
      <c r="CO1444" t="s">
        <v>3044</v>
      </c>
      <c r="CP1444" t="s">
        <v>265</v>
      </c>
      <c r="CQ1444" t="s">
        <v>394</v>
      </c>
      <c r="DB1444">
        <v>1</v>
      </c>
      <c r="DG1444" t="s">
        <v>267</v>
      </c>
      <c r="DI1444">
        <v>24</v>
      </c>
      <c r="DN1444" t="s">
        <v>268</v>
      </c>
      <c r="DR1444">
        <v>136180</v>
      </c>
      <c r="DS1444">
        <v>376</v>
      </c>
      <c r="EW1444" t="s">
        <v>272</v>
      </c>
      <c r="FK1444" t="s">
        <v>3045</v>
      </c>
      <c r="FN1444" t="s">
        <v>288</v>
      </c>
      <c r="FO1444">
        <v>22</v>
      </c>
      <c r="FP1444" t="s">
        <v>289</v>
      </c>
      <c r="FQ1444">
        <v>24</v>
      </c>
      <c r="FR1444" t="s">
        <v>295</v>
      </c>
      <c r="GU1444">
        <v>36</v>
      </c>
      <c r="GZ1444" t="s">
        <v>296</v>
      </c>
      <c r="HH1444" t="s">
        <v>272</v>
      </c>
      <c r="ID1444" t="s">
        <v>3046</v>
      </c>
      <c r="IE1444" t="s">
        <v>1648</v>
      </c>
      <c r="IF1444">
        <v>6045</v>
      </c>
      <c r="IG1444" t="s">
        <v>1649</v>
      </c>
      <c r="IH1444" t="s">
        <v>1650</v>
      </c>
      <c r="II1444">
        <v>1976</v>
      </c>
      <c r="IJ1444" t="s">
        <v>1651</v>
      </c>
    </row>
    <row r="1445" spans="1:244" x14ac:dyDescent="0.45">
      <c r="A1445">
        <v>1310606</v>
      </c>
      <c r="B1445">
        <v>767787</v>
      </c>
      <c r="C1445">
        <v>7758987</v>
      </c>
      <c r="D1445" t="s">
        <v>2545</v>
      </c>
      <c r="F1445" t="s">
        <v>245</v>
      </c>
      <c r="G1445" t="s">
        <v>246</v>
      </c>
      <c r="N1445" t="s">
        <v>723</v>
      </c>
      <c r="O1445" t="s">
        <v>631</v>
      </c>
      <c r="P1445" t="s">
        <v>249</v>
      </c>
      <c r="Q1445" t="s">
        <v>250</v>
      </c>
      <c r="R1445" t="s">
        <v>251</v>
      </c>
      <c r="T1445" t="s">
        <v>389</v>
      </c>
      <c r="U1445" t="s">
        <v>632</v>
      </c>
      <c r="V1445" t="s">
        <v>633</v>
      </c>
      <c r="W1445" t="s">
        <v>634</v>
      </c>
      <c r="X1445" t="s">
        <v>724</v>
      </c>
      <c r="AL1445" t="s">
        <v>3120</v>
      </c>
      <c r="AM1445" t="s">
        <v>317</v>
      </c>
      <c r="AN1445" t="s">
        <v>259</v>
      </c>
      <c r="AO1445" t="s">
        <v>260</v>
      </c>
      <c r="AQ1445" t="s">
        <v>261</v>
      </c>
      <c r="AS1445">
        <v>8.2000000000000003E-2</v>
      </c>
      <c r="AX1445" t="s">
        <v>356</v>
      </c>
      <c r="BO1445" t="s">
        <v>261</v>
      </c>
      <c r="BQ1445">
        <v>8.2000000000000003E-2</v>
      </c>
      <c r="BV1445" t="s">
        <v>263</v>
      </c>
      <c r="CM1445" t="s">
        <v>264</v>
      </c>
      <c r="CN1445" t="s">
        <v>264</v>
      </c>
      <c r="CP1445" t="s">
        <v>265</v>
      </c>
      <c r="CQ1445" t="s">
        <v>394</v>
      </c>
      <c r="DB1445">
        <v>2</v>
      </c>
      <c r="DG1445" t="s">
        <v>267</v>
      </c>
      <c r="DI1445">
        <v>48</v>
      </c>
      <c r="DN1445" t="s">
        <v>268</v>
      </c>
      <c r="DP1445" t="s">
        <v>2598</v>
      </c>
      <c r="DR1445">
        <v>136140</v>
      </c>
      <c r="DS1445">
        <v>1784</v>
      </c>
      <c r="EW1445" t="s">
        <v>272</v>
      </c>
      <c r="FK1445" t="s">
        <v>3121</v>
      </c>
      <c r="HH1445" t="s">
        <v>272</v>
      </c>
      <c r="ID1445" t="s">
        <v>3122</v>
      </c>
      <c r="IE1445" t="s">
        <v>2685</v>
      </c>
      <c r="IF1445">
        <v>14474</v>
      </c>
      <c r="IG1445" t="s">
        <v>2686</v>
      </c>
      <c r="IH1445" t="s">
        <v>2687</v>
      </c>
      <c r="II1445">
        <v>1986</v>
      </c>
      <c r="IJ1445" t="s">
        <v>2688</v>
      </c>
    </row>
    <row r="1446" spans="1:244" x14ac:dyDescent="0.45">
      <c r="A1446">
        <v>2145987</v>
      </c>
      <c r="B1446">
        <v>2276128</v>
      </c>
      <c r="C1446">
        <v>7758987</v>
      </c>
      <c r="D1446" t="s">
        <v>2545</v>
      </c>
      <c r="F1446" t="s">
        <v>245</v>
      </c>
      <c r="G1446" t="s">
        <v>272</v>
      </c>
      <c r="H1446" t="s">
        <v>288</v>
      </c>
      <c r="I1446">
        <v>99</v>
      </c>
      <c r="N1446" t="s">
        <v>387</v>
      </c>
      <c r="O1446" t="s">
        <v>388</v>
      </c>
      <c r="P1446" t="s">
        <v>249</v>
      </c>
      <c r="Q1446" t="s">
        <v>250</v>
      </c>
      <c r="R1446" t="s">
        <v>251</v>
      </c>
      <c r="T1446" t="s">
        <v>389</v>
      </c>
      <c r="U1446" t="s">
        <v>390</v>
      </c>
      <c r="V1446" t="s">
        <v>391</v>
      </c>
      <c r="W1446" t="s">
        <v>392</v>
      </c>
      <c r="X1446" t="s">
        <v>393</v>
      </c>
      <c r="Z1446" t="s">
        <v>315</v>
      </c>
      <c r="AA1446" t="s">
        <v>515</v>
      </c>
      <c r="AB1446">
        <v>3</v>
      </c>
      <c r="AG1446" t="s">
        <v>516</v>
      </c>
      <c r="AI1446">
        <v>3</v>
      </c>
      <c r="AJ1446" t="s">
        <v>354</v>
      </c>
      <c r="AK1446" t="s">
        <v>517</v>
      </c>
      <c r="AM1446" t="s">
        <v>317</v>
      </c>
      <c r="AN1446" t="s">
        <v>259</v>
      </c>
      <c r="AO1446" t="s">
        <v>260</v>
      </c>
      <c r="AP1446">
        <v>17</v>
      </c>
      <c r="AQ1446" t="s">
        <v>504</v>
      </c>
      <c r="AS1446">
        <v>32.75</v>
      </c>
      <c r="AU1446">
        <v>31.85</v>
      </c>
      <c r="AW1446">
        <v>33.68</v>
      </c>
      <c r="AX1446" t="s">
        <v>356</v>
      </c>
      <c r="BO1446" t="s">
        <v>504</v>
      </c>
      <c r="BQ1446">
        <v>32.75</v>
      </c>
      <c r="BS1446">
        <v>31.85</v>
      </c>
      <c r="BU1446">
        <v>33.68</v>
      </c>
      <c r="BV1446" t="s">
        <v>263</v>
      </c>
      <c r="CM1446" t="s">
        <v>264</v>
      </c>
      <c r="CN1446" t="s">
        <v>264</v>
      </c>
      <c r="CP1446" t="s">
        <v>265</v>
      </c>
      <c r="CQ1446" t="s">
        <v>394</v>
      </c>
      <c r="DB1446">
        <v>4</v>
      </c>
      <c r="DG1446" t="s">
        <v>267</v>
      </c>
      <c r="DI1446">
        <v>96</v>
      </c>
      <c r="DN1446" t="s">
        <v>268</v>
      </c>
      <c r="DP1446" t="s">
        <v>2622</v>
      </c>
      <c r="DR1446">
        <v>158387</v>
      </c>
      <c r="DS1446">
        <v>6038</v>
      </c>
      <c r="DT1446" t="s">
        <v>520</v>
      </c>
      <c r="DV1446">
        <v>96</v>
      </c>
      <c r="EA1446" t="s">
        <v>268</v>
      </c>
      <c r="EC1446">
        <v>4</v>
      </c>
      <c r="EH1446" t="s">
        <v>267</v>
      </c>
      <c r="EJ1446">
        <v>96</v>
      </c>
      <c r="EO1446" t="s">
        <v>268</v>
      </c>
      <c r="EQ1446">
        <v>4</v>
      </c>
      <c r="EV1446" t="s">
        <v>267</v>
      </c>
      <c r="EW1446" t="s">
        <v>293</v>
      </c>
      <c r="EY1446" t="s">
        <v>377</v>
      </c>
      <c r="EZ1446">
        <v>10</v>
      </c>
      <c r="FA1446" t="s">
        <v>397</v>
      </c>
      <c r="FM1446">
        <v>20</v>
      </c>
      <c r="FR1446" t="s">
        <v>295</v>
      </c>
      <c r="GO1446">
        <v>8.65</v>
      </c>
      <c r="GU1446">
        <v>35</v>
      </c>
      <c r="GZ1446" t="s">
        <v>296</v>
      </c>
      <c r="HH1446" t="s">
        <v>272</v>
      </c>
      <c r="IE1446" t="s">
        <v>521</v>
      </c>
      <c r="IF1446">
        <v>169694</v>
      </c>
      <c r="IG1446" t="s">
        <v>522</v>
      </c>
      <c r="IH1446" t="s">
        <v>523</v>
      </c>
      <c r="II1446">
        <v>2014</v>
      </c>
      <c r="IJ1446" t="s">
        <v>524</v>
      </c>
    </row>
    <row r="1447" spans="1:244" x14ac:dyDescent="0.45">
      <c r="A1447">
        <v>2140455</v>
      </c>
      <c r="B1447">
        <v>2262926</v>
      </c>
      <c r="C1447">
        <v>7758987</v>
      </c>
      <c r="D1447" t="s">
        <v>2545</v>
      </c>
      <c r="F1447" t="s">
        <v>245</v>
      </c>
      <c r="G1447" t="s">
        <v>272</v>
      </c>
      <c r="H1447" t="s">
        <v>278</v>
      </c>
      <c r="I1447">
        <v>99.5</v>
      </c>
      <c r="N1447" t="s">
        <v>387</v>
      </c>
      <c r="O1447" t="s">
        <v>388</v>
      </c>
      <c r="P1447" t="s">
        <v>249</v>
      </c>
      <c r="Q1447" t="s">
        <v>250</v>
      </c>
      <c r="R1447" t="s">
        <v>251</v>
      </c>
      <c r="T1447" t="s">
        <v>389</v>
      </c>
      <c r="U1447" t="s">
        <v>390</v>
      </c>
      <c r="V1447" t="s">
        <v>391</v>
      </c>
      <c r="W1447" t="s">
        <v>392</v>
      </c>
      <c r="X1447" t="s">
        <v>393</v>
      </c>
      <c r="Z1447" t="s">
        <v>315</v>
      </c>
      <c r="AI1447">
        <v>3</v>
      </c>
      <c r="AJ1447" t="s">
        <v>285</v>
      </c>
      <c r="AK1447" t="s">
        <v>709</v>
      </c>
      <c r="AM1447" t="s">
        <v>258</v>
      </c>
      <c r="AN1447" t="s">
        <v>259</v>
      </c>
      <c r="AO1447" t="s">
        <v>260</v>
      </c>
      <c r="AP1447">
        <v>10</v>
      </c>
      <c r="AQ1447" t="s">
        <v>261</v>
      </c>
      <c r="AS1447">
        <v>330</v>
      </c>
      <c r="AU1447">
        <v>280</v>
      </c>
      <c r="AW1447">
        <v>390</v>
      </c>
      <c r="AX1447" t="s">
        <v>262</v>
      </c>
      <c r="BO1447" t="s">
        <v>261</v>
      </c>
      <c r="BQ1447">
        <v>0.33</v>
      </c>
      <c r="BS1447">
        <v>0.28000000000000003</v>
      </c>
      <c r="BU1447">
        <v>0.39</v>
      </c>
      <c r="BV1447" t="s">
        <v>263</v>
      </c>
      <c r="CM1447" t="s">
        <v>264</v>
      </c>
      <c r="CN1447" t="s">
        <v>264</v>
      </c>
      <c r="CP1447" t="s">
        <v>265</v>
      </c>
      <c r="CQ1447" t="s">
        <v>394</v>
      </c>
      <c r="DB1447">
        <v>4</v>
      </c>
      <c r="DG1447" t="s">
        <v>267</v>
      </c>
      <c r="DI1447">
        <v>96</v>
      </c>
      <c r="DN1447" t="s">
        <v>268</v>
      </c>
      <c r="DP1447" t="s">
        <v>2622</v>
      </c>
      <c r="DR1447">
        <v>158387</v>
      </c>
      <c r="DS1447">
        <v>6038</v>
      </c>
      <c r="DT1447" t="s">
        <v>3123</v>
      </c>
      <c r="DV1447">
        <v>96</v>
      </c>
      <c r="EA1447" t="s">
        <v>268</v>
      </c>
      <c r="EC1447">
        <v>4</v>
      </c>
      <c r="EH1447" t="s">
        <v>267</v>
      </c>
      <c r="EJ1447">
        <v>96</v>
      </c>
      <c r="EO1447" t="s">
        <v>268</v>
      </c>
      <c r="EQ1447">
        <v>4</v>
      </c>
      <c r="EV1447" t="s">
        <v>267</v>
      </c>
      <c r="EW1447" t="s">
        <v>293</v>
      </c>
      <c r="EY1447" t="s">
        <v>377</v>
      </c>
      <c r="EZ1447">
        <v>20</v>
      </c>
      <c r="FA1447" t="s">
        <v>397</v>
      </c>
      <c r="FM1447">
        <v>25</v>
      </c>
      <c r="FR1447" t="s">
        <v>295</v>
      </c>
      <c r="GQ1447">
        <v>8.1</v>
      </c>
      <c r="GS1447">
        <v>8.4</v>
      </c>
      <c r="GU1447">
        <v>33</v>
      </c>
      <c r="GZ1447" t="s">
        <v>296</v>
      </c>
      <c r="HH1447" t="s">
        <v>272</v>
      </c>
      <c r="IE1447" t="s">
        <v>3124</v>
      </c>
      <c r="IF1447">
        <v>166160</v>
      </c>
      <c r="IG1447" t="s">
        <v>3125</v>
      </c>
      <c r="IH1447" t="s">
        <v>3126</v>
      </c>
      <c r="II1447">
        <v>2013</v>
      </c>
      <c r="IJ1447" t="s">
        <v>3127</v>
      </c>
    </row>
    <row r="1448" spans="1:244" x14ac:dyDescent="0.45">
      <c r="A1448">
        <v>2140455</v>
      </c>
      <c r="B1448">
        <v>2262923</v>
      </c>
      <c r="C1448">
        <v>7758987</v>
      </c>
      <c r="D1448" t="s">
        <v>2545</v>
      </c>
      <c r="F1448" t="s">
        <v>245</v>
      </c>
      <c r="G1448" t="s">
        <v>272</v>
      </c>
      <c r="H1448" t="s">
        <v>278</v>
      </c>
      <c r="I1448">
        <v>99.5</v>
      </c>
      <c r="N1448" t="s">
        <v>387</v>
      </c>
      <c r="O1448" t="s">
        <v>388</v>
      </c>
      <c r="P1448" t="s">
        <v>249</v>
      </c>
      <c r="Q1448" t="s">
        <v>250</v>
      </c>
      <c r="R1448" t="s">
        <v>251</v>
      </c>
      <c r="T1448" t="s">
        <v>389</v>
      </c>
      <c r="U1448" t="s">
        <v>390</v>
      </c>
      <c r="V1448" t="s">
        <v>391</v>
      </c>
      <c r="W1448" t="s">
        <v>392</v>
      </c>
      <c r="X1448" t="s">
        <v>393</v>
      </c>
      <c r="Z1448" t="s">
        <v>315</v>
      </c>
      <c r="AI1448">
        <v>3</v>
      </c>
      <c r="AJ1448" t="s">
        <v>285</v>
      </c>
      <c r="AK1448" t="s">
        <v>709</v>
      </c>
      <c r="AM1448" t="s">
        <v>258</v>
      </c>
      <c r="AN1448" t="s">
        <v>259</v>
      </c>
      <c r="AO1448" t="s">
        <v>260</v>
      </c>
      <c r="AP1448">
        <v>10</v>
      </c>
      <c r="AQ1448" t="s">
        <v>261</v>
      </c>
      <c r="AR1448" t="s">
        <v>288</v>
      </c>
      <c r="AS1448">
        <v>1000</v>
      </c>
      <c r="AX1448" t="s">
        <v>262</v>
      </c>
      <c r="BO1448" t="s">
        <v>261</v>
      </c>
      <c r="BP1448" t="s">
        <v>288</v>
      </c>
      <c r="BQ1448">
        <v>1</v>
      </c>
      <c r="BV1448" t="s">
        <v>263</v>
      </c>
      <c r="CM1448" t="s">
        <v>264</v>
      </c>
      <c r="CN1448" t="s">
        <v>264</v>
      </c>
      <c r="CP1448" t="s">
        <v>265</v>
      </c>
      <c r="CQ1448" t="s">
        <v>394</v>
      </c>
      <c r="DB1448">
        <v>1</v>
      </c>
      <c r="DG1448" t="s">
        <v>267</v>
      </c>
      <c r="DI1448">
        <v>24</v>
      </c>
      <c r="DN1448" t="s">
        <v>268</v>
      </c>
      <c r="DP1448" t="s">
        <v>2622</v>
      </c>
      <c r="DR1448">
        <v>158387</v>
      </c>
      <c r="DS1448">
        <v>6038</v>
      </c>
      <c r="DT1448" t="s">
        <v>3123</v>
      </c>
      <c r="DV1448">
        <v>96</v>
      </c>
      <c r="EA1448" t="s">
        <v>268</v>
      </c>
      <c r="EC1448">
        <v>4</v>
      </c>
      <c r="EH1448" t="s">
        <v>267</v>
      </c>
      <c r="EJ1448">
        <v>96</v>
      </c>
      <c r="EO1448" t="s">
        <v>268</v>
      </c>
      <c r="EQ1448">
        <v>4</v>
      </c>
      <c r="EV1448" t="s">
        <v>267</v>
      </c>
      <c r="EW1448" t="s">
        <v>293</v>
      </c>
      <c r="EY1448" t="s">
        <v>377</v>
      </c>
      <c r="EZ1448">
        <v>20</v>
      </c>
      <c r="FA1448" t="s">
        <v>397</v>
      </c>
      <c r="FM1448">
        <v>25</v>
      </c>
      <c r="FR1448" t="s">
        <v>295</v>
      </c>
      <c r="GQ1448">
        <v>8.1</v>
      </c>
      <c r="GS1448">
        <v>8.4</v>
      </c>
      <c r="GU1448">
        <v>33</v>
      </c>
      <c r="GZ1448" t="s">
        <v>296</v>
      </c>
      <c r="HH1448" t="s">
        <v>272</v>
      </c>
      <c r="IE1448" t="s">
        <v>3124</v>
      </c>
      <c r="IF1448">
        <v>166160</v>
      </c>
      <c r="IG1448" t="s">
        <v>3125</v>
      </c>
      <c r="IH1448" t="s">
        <v>3126</v>
      </c>
      <c r="II1448">
        <v>2013</v>
      </c>
      <c r="IJ1448" t="s">
        <v>3127</v>
      </c>
    </row>
    <row r="1449" spans="1:244" x14ac:dyDescent="0.45">
      <c r="A1449">
        <v>1242370</v>
      </c>
      <c r="B1449">
        <v>247014</v>
      </c>
      <c r="C1449">
        <v>7758987</v>
      </c>
      <c r="D1449" t="s">
        <v>2545</v>
      </c>
      <c r="E1449" t="s">
        <v>386</v>
      </c>
      <c r="F1449" t="s">
        <v>327</v>
      </c>
      <c r="G1449" t="s">
        <v>246</v>
      </c>
      <c r="N1449" t="s">
        <v>369</v>
      </c>
      <c r="O1449" t="s">
        <v>370</v>
      </c>
      <c r="P1449" t="s">
        <v>249</v>
      </c>
      <c r="Q1449" t="s">
        <v>250</v>
      </c>
      <c r="R1449" t="s">
        <v>251</v>
      </c>
      <c r="T1449" t="s">
        <v>252</v>
      </c>
      <c r="U1449" t="s">
        <v>371</v>
      </c>
      <c r="V1449" t="s">
        <v>372</v>
      </c>
      <c r="W1449" t="s">
        <v>373</v>
      </c>
      <c r="X1449" t="s">
        <v>374</v>
      </c>
      <c r="Z1449" t="s">
        <v>649</v>
      </c>
      <c r="AD1449">
        <v>24</v>
      </c>
      <c r="AF1449">
        <v>48</v>
      </c>
      <c r="AG1449" t="s">
        <v>268</v>
      </c>
      <c r="AJ1449" t="s">
        <v>354</v>
      </c>
      <c r="AM1449" t="s">
        <v>258</v>
      </c>
      <c r="AN1449" t="s">
        <v>259</v>
      </c>
      <c r="AO1449" t="s">
        <v>260</v>
      </c>
      <c r="AP1449">
        <v>6</v>
      </c>
      <c r="AQ1449" t="s">
        <v>504</v>
      </c>
      <c r="AS1449">
        <v>189</v>
      </c>
      <c r="AX1449" t="s">
        <v>262</v>
      </c>
      <c r="AY1449" t="s">
        <v>261</v>
      </c>
      <c r="BA1449">
        <v>265</v>
      </c>
      <c r="BF1449" t="s">
        <v>262</v>
      </c>
      <c r="BO1449" t="s">
        <v>504</v>
      </c>
      <c r="BQ1449">
        <v>0.189</v>
      </c>
      <c r="BV1449" t="s">
        <v>263</v>
      </c>
      <c r="BW1449" t="s">
        <v>261</v>
      </c>
      <c r="BY1449">
        <v>0.26500000000000001</v>
      </c>
      <c r="CD1449" t="s">
        <v>263</v>
      </c>
      <c r="CM1449" t="s">
        <v>264</v>
      </c>
      <c r="CN1449" t="s">
        <v>264</v>
      </c>
      <c r="CO1449" t="s">
        <v>3049</v>
      </c>
      <c r="CP1449" t="s">
        <v>265</v>
      </c>
      <c r="CR1449" t="s">
        <v>394</v>
      </c>
      <c r="DB1449">
        <v>4</v>
      </c>
      <c r="DG1449" t="s">
        <v>267</v>
      </c>
      <c r="DI1449">
        <v>96</v>
      </c>
      <c r="DN1449" t="s">
        <v>268</v>
      </c>
      <c r="DR1449">
        <v>110441</v>
      </c>
      <c r="DS1449">
        <v>142</v>
      </c>
      <c r="EW1449" t="s">
        <v>2277</v>
      </c>
      <c r="FA1449" t="s">
        <v>3128</v>
      </c>
      <c r="FK1449" t="s">
        <v>3129</v>
      </c>
      <c r="FM1449">
        <v>20</v>
      </c>
      <c r="FR1449" t="s">
        <v>295</v>
      </c>
      <c r="GJ1449">
        <v>5.5</v>
      </c>
      <c r="GL1449">
        <v>7.7</v>
      </c>
      <c r="GM1449" t="s">
        <v>356</v>
      </c>
      <c r="GQ1449">
        <v>7.64</v>
      </c>
      <c r="GS1449">
        <v>7.74</v>
      </c>
      <c r="GW1449">
        <v>27</v>
      </c>
      <c r="GY1449">
        <v>28</v>
      </c>
      <c r="GZ1449" t="s">
        <v>296</v>
      </c>
      <c r="HH1449" t="s">
        <v>272</v>
      </c>
      <c r="ID1449" t="s">
        <v>3130</v>
      </c>
      <c r="IE1449" t="s">
        <v>3053</v>
      </c>
      <c r="IF1449">
        <v>76254</v>
      </c>
      <c r="IG1449" t="s">
        <v>3054</v>
      </c>
      <c r="IH1449" t="s">
        <v>3055</v>
      </c>
      <c r="II1449">
        <v>1993</v>
      </c>
      <c r="IJ1449" t="s">
        <v>3056</v>
      </c>
    </row>
    <row r="1450" spans="1:244" x14ac:dyDescent="0.45">
      <c r="A1450">
        <v>2140455</v>
      </c>
      <c r="B1450">
        <v>2262924</v>
      </c>
      <c r="C1450">
        <v>7758987</v>
      </c>
      <c r="D1450" t="s">
        <v>2545</v>
      </c>
      <c r="F1450" t="s">
        <v>245</v>
      </c>
      <c r="G1450" t="s">
        <v>272</v>
      </c>
      <c r="H1450" t="s">
        <v>278</v>
      </c>
      <c r="I1450">
        <v>99.5</v>
      </c>
      <c r="N1450" t="s">
        <v>387</v>
      </c>
      <c r="O1450" t="s">
        <v>388</v>
      </c>
      <c r="P1450" t="s">
        <v>249</v>
      </c>
      <c r="Q1450" t="s">
        <v>250</v>
      </c>
      <c r="R1450" t="s">
        <v>251</v>
      </c>
      <c r="T1450" t="s">
        <v>389</v>
      </c>
      <c r="U1450" t="s">
        <v>390</v>
      </c>
      <c r="V1450" t="s">
        <v>391</v>
      </c>
      <c r="W1450" t="s">
        <v>392</v>
      </c>
      <c r="X1450" t="s">
        <v>393</v>
      </c>
      <c r="Z1450" t="s">
        <v>315</v>
      </c>
      <c r="AI1450">
        <v>3</v>
      </c>
      <c r="AJ1450" t="s">
        <v>285</v>
      </c>
      <c r="AK1450" t="s">
        <v>709</v>
      </c>
      <c r="AM1450" t="s">
        <v>258</v>
      </c>
      <c r="AN1450" t="s">
        <v>259</v>
      </c>
      <c r="AO1450" t="s">
        <v>260</v>
      </c>
      <c r="AP1450">
        <v>10</v>
      </c>
      <c r="AQ1450" t="s">
        <v>261</v>
      </c>
      <c r="AR1450" t="s">
        <v>288</v>
      </c>
      <c r="AS1450">
        <v>1000</v>
      </c>
      <c r="AX1450" t="s">
        <v>262</v>
      </c>
      <c r="BO1450" t="s">
        <v>261</v>
      </c>
      <c r="BP1450" t="s">
        <v>288</v>
      </c>
      <c r="BQ1450">
        <v>1</v>
      </c>
      <c r="BV1450" t="s">
        <v>263</v>
      </c>
      <c r="CM1450" t="s">
        <v>264</v>
      </c>
      <c r="CN1450" t="s">
        <v>264</v>
      </c>
      <c r="CP1450" t="s">
        <v>265</v>
      </c>
      <c r="CQ1450" t="s">
        <v>394</v>
      </c>
      <c r="DB1450">
        <v>2</v>
      </c>
      <c r="DG1450" t="s">
        <v>267</v>
      </c>
      <c r="DI1450">
        <v>48</v>
      </c>
      <c r="DN1450" t="s">
        <v>268</v>
      </c>
      <c r="DP1450" t="s">
        <v>2622</v>
      </c>
      <c r="DR1450">
        <v>158387</v>
      </c>
      <c r="DS1450">
        <v>6038</v>
      </c>
      <c r="DT1450" t="s">
        <v>3123</v>
      </c>
      <c r="DV1450">
        <v>96</v>
      </c>
      <c r="EA1450" t="s">
        <v>268</v>
      </c>
      <c r="EC1450">
        <v>4</v>
      </c>
      <c r="EH1450" t="s">
        <v>267</v>
      </c>
      <c r="EJ1450">
        <v>96</v>
      </c>
      <c r="EO1450" t="s">
        <v>268</v>
      </c>
      <c r="EQ1450">
        <v>4</v>
      </c>
      <c r="EV1450" t="s">
        <v>267</v>
      </c>
      <c r="EW1450" t="s">
        <v>293</v>
      </c>
      <c r="EY1450" t="s">
        <v>377</v>
      </c>
      <c r="EZ1450">
        <v>20</v>
      </c>
      <c r="FA1450" t="s">
        <v>397</v>
      </c>
      <c r="FM1450">
        <v>25</v>
      </c>
      <c r="FR1450" t="s">
        <v>295</v>
      </c>
      <c r="GQ1450">
        <v>8.1</v>
      </c>
      <c r="GS1450">
        <v>8.4</v>
      </c>
      <c r="GU1450">
        <v>33</v>
      </c>
      <c r="GZ1450" t="s">
        <v>296</v>
      </c>
      <c r="HH1450" t="s">
        <v>272</v>
      </c>
      <c r="IE1450" t="s">
        <v>3124</v>
      </c>
      <c r="IF1450">
        <v>166160</v>
      </c>
      <c r="IG1450" t="s">
        <v>3125</v>
      </c>
      <c r="IH1450" t="s">
        <v>3126</v>
      </c>
      <c r="II1450">
        <v>2013</v>
      </c>
      <c r="IJ1450" t="s">
        <v>3127</v>
      </c>
    </row>
    <row r="1451" spans="1:244" x14ac:dyDescent="0.45">
      <c r="A1451">
        <v>2140455</v>
      </c>
      <c r="B1451">
        <v>2262925</v>
      </c>
      <c r="C1451">
        <v>7758987</v>
      </c>
      <c r="D1451" t="s">
        <v>2545</v>
      </c>
      <c r="F1451" t="s">
        <v>245</v>
      </c>
      <c r="G1451" t="s">
        <v>272</v>
      </c>
      <c r="H1451" t="s">
        <v>278</v>
      </c>
      <c r="I1451">
        <v>99.5</v>
      </c>
      <c r="N1451" t="s">
        <v>387</v>
      </c>
      <c r="O1451" t="s">
        <v>388</v>
      </c>
      <c r="P1451" t="s">
        <v>249</v>
      </c>
      <c r="Q1451" t="s">
        <v>250</v>
      </c>
      <c r="R1451" t="s">
        <v>251</v>
      </c>
      <c r="T1451" t="s">
        <v>389</v>
      </c>
      <c r="U1451" t="s">
        <v>390</v>
      </c>
      <c r="V1451" t="s">
        <v>391</v>
      </c>
      <c r="W1451" t="s">
        <v>392</v>
      </c>
      <c r="X1451" t="s">
        <v>393</v>
      </c>
      <c r="Z1451" t="s">
        <v>315</v>
      </c>
      <c r="AI1451">
        <v>3</v>
      </c>
      <c r="AJ1451" t="s">
        <v>285</v>
      </c>
      <c r="AK1451" t="s">
        <v>709</v>
      </c>
      <c r="AM1451" t="s">
        <v>258</v>
      </c>
      <c r="AN1451" t="s">
        <v>259</v>
      </c>
      <c r="AO1451" t="s">
        <v>260</v>
      </c>
      <c r="AP1451">
        <v>10</v>
      </c>
      <c r="AQ1451" t="s">
        <v>261</v>
      </c>
      <c r="AS1451">
        <v>590</v>
      </c>
      <c r="AU1451">
        <v>510</v>
      </c>
      <c r="AW1451">
        <v>690</v>
      </c>
      <c r="AX1451" t="s">
        <v>262</v>
      </c>
      <c r="BO1451" t="s">
        <v>261</v>
      </c>
      <c r="BQ1451">
        <v>0.59</v>
      </c>
      <c r="BS1451">
        <v>0.51</v>
      </c>
      <c r="BU1451">
        <v>0.69</v>
      </c>
      <c r="BV1451" t="s">
        <v>263</v>
      </c>
      <c r="CM1451" t="s">
        <v>264</v>
      </c>
      <c r="CN1451" t="s">
        <v>264</v>
      </c>
      <c r="CP1451" t="s">
        <v>265</v>
      </c>
      <c r="CQ1451" t="s">
        <v>394</v>
      </c>
      <c r="DB1451">
        <v>3</v>
      </c>
      <c r="DG1451" t="s">
        <v>267</v>
      </c>
      <c r="DI1451">
        <v>72</v>
      </c>
      <c r="DN1451" t="s">
        <v>268</v>
      </c>
      <c r="DP1451" t="s">
        <v>2622</v>
      </c>
      <c r="DR1451">
        <v>158387</v>
      </c>
      <c r="DS1451">
        <v>6038</v>
      </c>
      <c r="DT1451" t="s">
        <v>3123</v>
      </c>
      <c r="DV1451">
        <v>96</v>
      </c>
      <c r="EA1451" t="s">
        <v>268</v>
      </c>
      <c r="EC1451">
        <v>4</v>
      </c>
      <c r="EH1451" t="s">
        <v>267</v>
      </c>
      <c r="EJ1451">
        <v>96</v>
      </c>
      <c r="EO1451" t="s">
        <v>268</v>
      </c>
      <c r="EQ1451">
        <v>4</v>
      </c>
      <c r="EV1451" t="s">
        <v>267</v>
      </c>
      <c r="EW1451" t="s">
        <v>293</v>
      </c>
      <c r="EY1451" t="s">
        <v>377</v>
      </c>
      <c r="EZ1451">
        <v>20</v>
      </c>
      <c r="FA1451" t="s">
        <v>397</v>
      </c>
      <c r="FM1451">
        <v>25</v>
      </c>
      <c r="FR1451" t="s">
        <v>295</v>
      </c>
      <c r="GQ1451">
        <v>8.1</v>
      </c>
      <c r="GS1451">
        <v>8.4</v>
      </c>
      <c r="GU1451">
        <v>33</v>
      </c>
      <c r="GZ1451" t="s">
        <v>296</v>
      </c>
      <c r="HH1451" t="s">
        <v>272</v>
      </c>
      <c r="IE1451" t="s">
        <v>3124</v>
      </c>
      <c r="IF1451">
        <v>166160</v>
      </c>
      <c r="IG1451" t="s">
        <v>3125</v>
      </c>
      <c r="IH1451" t="s">
        <v>3126</v>
      </c>
      <c r="II1451">
        <v>2013</v>
      </c>
      <c r="IJ1451" t="s">
        <v>3127</v>
      </c>
    </row>
    <row r="1452" spans="1:244" x14ac:dyDescent="0.45">
      <c r="A1452">
        <v>1242372</v>
      </c>
      <c r="B1452">
        <v>247016</v>
      </c>
      <c r="C1452">
        <v>7758987</v>
      </c>
      <c r="D1452" t="s">
        <v>2545</v>
      </c>
      <c r="E1452" t="s">
        <v>386</v>
      </c>
      <c r="F1452" t="s">
        <v>327</v>
      </c>
      <c r="G1452" t="s">
        <v>246</v>
      </c>
      <c r="N1452" t="s">
        <v>369</v>
      </c>
      <c r="O1452" t="s">
        <v>370</v>
      </c>
      <c r="P1452" t="s">
        <v>249</v>
      </c>
      <c r="Q1452" t="s">
        <v>250</v>
      </c>
      <c r="R1452" t="s">
        <v>251</v>
      </c>
      <c r="T1452" t="s">
        <v>252</v>
      </c>
      <c r="U1452" t="s">
        <v>371</v>
      </c>
      <c r="V1452" t="s">
        <v>372</v>
      </c>
      <c r="W1452" t="s">
        <v>373</v>
      </c>
      <c r="X1452" t="s">
        <v>374</v>
      </c>
      <c r="Z1452" t="s">
        <v>649</v>
      </c>
      <c r="AD1452">
        <v>24</v>
      </c>
      <c r="AF1452">
        <v>48</v>
      </c>
      <c r="AG1452" t="s">
        <v>268</v>
      </c>
      <c r="AJ1452" t="s">
        <v>354</v>
      </c>
      <c r="AM1452" t="s">
        <v>258</v>
      </c>
      <c r="AN1452" t="s">
        <v>259</v>
      </c>
      <c r="AO1452" t="s">
        <v>260</v>
      </c>
      <c r="AP1452">
        <v>6</v>
      </c>
      <c r="AQ1452" t="s">
        <v>504</v>
      </c>
      <c r="AS1452">
        <v>218</v>
      </c>
      <c r="AX1452" t="s">
        <v>262</v>
      </c>
      <c r="AY1452" t="s">
        <v>261</v>
      </c>
      <c r="BA1452">
        <v>310</v>
      </c>
      <c r="BF1452" t="s">
        <v>262</v>
      </c>
      <c r="BO1452" t="s">
        <v>504</v>
      </c>
      <c r="BQ1452">
        <v>0.218</v>
      </c>
      <c r="BV1452" t="s">
        <v>263</v>
      </c>
      <c r="BW1452" t="s">
        <v>261</v>
      </c>
      <c r="BY1452">
        <v>0.31</v>
      </c>
      <c r="CD1452" t="s">
        <v>263</v>
      </c>
      <c r="CM1452" t="s">
        <v>264</v>
      </c>
      <c r="CN1452" t="s">
        <v>264</v>
      </c>
      <c r="CO1452" t="s">
        <v>3049</v>
      </c>
      <c r="CP1452" t="s">
        <v>265</v>
      </c>
      <c r="CR1452" t="s">
        <v>394</v>
      </c>
      <c r="DB1452">
        <v>4</v>
      </c>
      <c r="DG1452" t="s">
        <v>267</v>
      </c>
      <c r="DI1452">
        <v>96</v>
      </c>
      <c r="DN1452" t="s">
        <v>268</v>
      </c>
      <c r="DR1452">
        <v>110441</v>
      </c>
      <c r="DS1452">
        <v>142</v>
      </c>
      <c r="EW1452" t="s">
        <v>2277</v>
      </c>
      <c r="FA1452" t="s">
        <v>3131</v>
      </c>
      <c r="FK1452" t="s">
        <v>3132</v>
      </c>
      <c r="FM1452">
        <v>20</v>
      </c>
      <c r="FR1452" t="s">
        <v>295</v>
      </c>
      <c r="GJ1452">
        <v>5.3</v>
      </c>
      <c r="GL1452">
        <v>7.5</v>
      </c>
      <c r="GM1452" t="s">
        <v>356</v>
      </c>
      <c r="GQ1452">
        <v>7.72</v>
      </c>
      <c r="GS1452">
        <v>7.84</v>
      </c>
      <c r="GW1452">
        <v>29</v>
      </c>
      <c r="GY1452">
        <v>30</v>
      </c>
      <c r="GZ1452" t="s">
        <v>296</v>
      </c>
      <c r="HH1452" t="s">
        <v>272</v>
      </c>
      <c r="ID1452" t="s">
        <v>3133</v>
      </c>
      <c r="IE1452" t="s">
        <v>3053</v>
      </c>
      <c r="IF1452">
        <v>76254</v>
      </c>
      <c r="IG1452" t="s">
        <v>3054</v>
      </c>
      <c r="IH1452" t="s">
        <v>3055</v>
      </c>
      <c r="II1452">
        <v>1993</v>
      </c>
      <c r="IJ1452" t="s">
        <v>3056</v>
      </c>
    </row>
    <row r="1453" spans="1:244" x14ac:dyDescent="0.45">
      <c r="A1453">
        <v>2135202</v>
      </c>
      <c r="B1453">
        <v>2249959</v>
      </c>
      <c r="C1453">
        <v>7758987</v>
      </c>
      <c r="D1453" t="s">
        <v>2545</v>
      </c>
      <c r="E1453" t="s">
        <v>386</v>
      </c>
      <c r="F1453" t="s">
        <v>245</v>
      </c>
      <c r="G1453" t="s">
        <v>3035</v>
      </c>
      <c r="I1453">
        <v>99</v>
      </c>
      <c r="N1453" t="s">
        <v>623</v>
      </c>
      <c r="O1453" t="s">
        <v>388</v>
      </c>
      <c r="P1453" t="s">
        <v>249</v>
      </c>
      <c r="Q1453" t="s">
        <v>250</v>
      </c>
      <c r="R1453" t="s">
        <v>251</v>
      </c>
      <c r="T1453" t="s">
        <v>389</v>
      </c>
      <c r="U1453" t="s">
        <v>390</v>
      </c>
      <c r="V1453" t="s">
        <v>472</v>
      </c>
      <c r="W1453" t="s">
        <v>473</v>
      </c>
      <c r="X1453" t="s">
        <v>624</v>
      </c>
      <c r="Z1453" t="s">
        <v>3043</v>
      </c>
      <c r="AI1453">
        <v>5</v>
      </c>
      <c r="AJ1453" t="s">
        <v>354</v>
      </c>
      <c r="AK1453" t="s">
        <v>517</v>
      </c>
      <c r="AM1453" t="s">
        <v>317</v>
      </c>
      <c r="AN1453" t="s">
        <v>259</v>
      </c>
      <c r="AO1453" t="s">
        <v>260</v>
      </c>
      <c r="AP1453">
        <v>9</v>
      </c>
      <c r="AQ1453" t="s">
        <v>504</v>
      </c>
      <c r="AS1453">
        <v>256</v>
      </c>
      <c r="AX1453" t="s">
        <v>262</v>
      </c>
      <c r="BO1453" t="s">
        <v>504</v>
      </c>
      <c r="BQ1453">
        <v>0.25600000000000001</v>
      </c>
      <c r="BV1453" t="s">
        <v>263</v>
      </c>
      <c r="CM1453" t="s">
        <v>264</v>
      </c>
      <c r="CN1453" t="s">
        <v>264</v>
      </c>
      <c r="CP1453" t="s">
        <v>265</v>
      </c>
      <c r="CQ1453" t="s">
        <v>394</v>
      </c>
      <c r="DB1453">
        <v>2</v>
      </c>
      <c r="DG1453" t="s">
        <v>267</v>
      </c>
      <c r="DI1453">
        <v>48</v>
      </c>
      <c r="DN1453" t="s">
        <v>268</v>
      </c>
      <c r="DO1453" t="s">
        <v>1587</v>
      </c>
      <c r="DP1453" t="s">
        <v>3036</v>
      </c>
      <c r="DS1453">
        <v>4676</v>
      </c>
      <c r="DT1453" t="s">
        <v>3037</v>
      </c>
      <c r="DV1453">
        <v>72</v>
      </c>
      <c r="EA1453" t="s">
        <v>268</v>
      </c>
      <c r="EC1453">
        <v>3</v>
      </c>
      <c r="EH1453" t="s">
        <v>267</v>
      </c>
      <c r="EJ1453">
        <v>72</v>
      </c>
      <c r="EO1453" t="s">
        <v>268</v>
      </c>
      <c r="EQ1453">
        <v>3</v>
      </c>
      <c r="EV1453" t="s">
        <v>267</v>
      </c>
      <c r="EW1453" t="s">
        <v>293</v>
      </c>
      <c r="EY1453" t="s">
        <v>377</v>
      </c>
      <c r="EZ1453">
        <v>10</v>
      </c>
      <c r="FA1453" t="s">
        <v>3038</v>
      </c>
      <c r="FM1453">
        <v>20</v>
      </c>
      <c r="FR1453" t="s">
        <v>295</v>
      </c>
      <c r="GJ1453">
        <v>4.8</v>
      </c>
      <c r="GL1453">
        <v>5</v>
      </c>
      <c r="GM1453" t="s">
        <v>356</v>
      </c>
      <c r="GO1453">
        <v>8.1999999999999993</v>
      </c>
      <c r="GU1453">
        <v>35</v>
      </c>
      <c r="GZ1453" t="s">
        <v>296</v>
      </c>
      <c r="HH1453" t="s">
        <v>272</v>
      </c>
      <c r="IE1453" t="s">
        <v>3039</v>
      </c>
      <c r="IF1453">
        <v>119554</v>
      </c>
      <c r="IG1453" t="s">
        <v>3040</v>
      </c>
      <c r="IH1453" t="s">
        <v>3041</v>
      </c>
      <c r="II1453">
        <v>2009</v>
      </c>
      <c r="IJ1453" t="s">
        <v>3042</v>
      </c>
    </row>
    <row r="1454" spans="1:244" x14ac:dyDescent="0.45">
      <c r="A1454">
        <v>1073232</v>
      </c>
      <c r="B1454">
        <v>47462</v>
      </c>
      <c r="C1454">
        <v>7758987</v>
      </c>
      <c r="D1454" t="s">
        <v>2545</v>
      </c>
      <c r="F1454" t="s">
        <v>245</v>
      </c>
      <c r="G1454" t="s">
        <v>246</v>
      </c>
      <c r="N1454" t="s">
        <v>1895</v>
      </c>
      <c r="O1454" t="s">
        <v>1896</v>
      </c>
      <c r="P1454" t="s">
        <v>249</v>
      </c>
      <c r="Q1454" t="s">
        <v>250</v>
      </c>
      <c r="R1454" t="s">
        <v>251</v>
      </c>
      <c r="T1454" t="s">
        <v>252</v>
      </c>
      <c r="U1454" t="s">
        <v>253</v>
      </c>
      <c r="V1454" t="s">
        <v>254</v>
      </c>
      <c r="W1454" t="s">
        <v>1897</v>
      </c>
      <c r="X1454" t="s">
        <v>1898</v>
      </c>
      <c r="Z1454" t="s">
        <v>315</v>
      </c>
      <c r="AM1454" t="s">
        <v>317</v>
      </c>
      <c r="AN1454" t="s">
        <v>259</v>
      </c>
      <c r="AO1454" t="s">
        <v>260</v>
      </c>
      <c r="AQ1454" t="s">
        <v>261</v>
      </c>
      <c r="AS1454">
        <v>109000</v>
      </c>
      <c r="AX1454" t="s">
        <v>262</v>
      </c>
      <c r="BO1454" t="s">
        <v>261</v>
      </c>
      <c r="BQ1454">
        <v>109</v>
      </c>
      <c r="BV1454" t="s">
        <v>263</v>
      </c>
      <c r="CM1454" t="s">
        <v>264</v>
      </c>
      <c r="CN1454" t="s">
        <v>264</v>
      </c>
      <c r="CP1454" t="s">
        <v>265</v>
      </c>
      <c r="CQ1454" t="s">
        <v>394</v>
      </c>
      <c r="DB1454">
        <v>2</v>
      </c>
      <c r="DG1454" t="s">
        <v>267</v>
      </c>
      <c r="DI1454">
        <v>48</v>
      </c>
      <c r="DN1454" t="s">
        <v>268</v>
      </c>
      <c r="DR1454">
        <v>6759</v>
      </c>
      <c r="DS1454">
        <v>10</v>
      </c>
      <c r="DT1454" t="s">
        <v>1656</v>
      </c>
      <c r="EW1454" t="s">
        <v>333</v>
      </c>
      <c r="FK1454" t="s">
        <v>3134</v>
      </c>
      <c r="FM1454">
        <v>15</v>
      </c>
      <c r="FR1454" t="s">
        <v>295</v>
      </c>
      <c r="HH1454" t="s">
        <v>272</v>
      </c>
      <c r="ID1454" t="s">
        <v>3135</v>
      </c>
      <c r="IE1454" t="s">
        <v>1659</v>
      </c>
      <c r="IF1454">
        <v>5732</v>
      </c>
      <c r="IG1454" t="s">
        <v>1660</v>
      </c>
      <c r="IH1454" t="s">
        <v>1661</v>
      </c>
      <c r="II1454">
        <v>1972</v>
      </c>
      <c r="IJ1454" t="s">
        <v>1662</v>
      </c>
    </row>
    <row r="1455" spans="1:244" x14ac:dyDescent="0.45">
      <c r="A1455">
        <v>1026080</v>
      </c>
      <c r="B1455">
        <v>123826</v>
      </c>
      <c r="C1455">
        <v>7758987</v>
      </c>
      <c r="D1455" t="s">
        <v>2545</v>
      </c>
      <c r="F1455" t="s">
        <v>245</v>
      </c>
      <c r="G1455" t="s">
        <v>246</v>
      </c>
      <c r="N1455" t="s">
        <v>1895</v>
      </c>
      <c r="O1455" t="s">
        <v>1896</v>
      </c>
      <c r="P1455" t="s">
        <v>249</v>
      </c>
      <c r="Q1455" t="s">
        <v>250</v>
      </c>
      <c r="R1455" t="s">
        <v>251</v>
      </c>
      <c r="T1455" t="s">
        <v>252</v>
      </c>
      <c r="U1455" t="s">
        <v>253</v>
      </c>
      <c r="V1455" t="s">
        <v>254</v>
      </c>
      <c r="W1455" t="s">
        <v>1897</v>
      </c>
      <c r="X1455" t="s">
        <v>1898</v>
      </c>
      <c r="Z1455" t="s">
        <v>315</v>
      </c>
      <c r="AM1455" t="s">
        <v>258</v>
      </c>
      <c r="AN1455" t="s">
        <v>259</v>
      </c>
      <c r="AO1455" t="s">
        <v>260</v>
      </c>
      <c r="AQ1455" t="s">
        <v>261</v>
      </c>
      <c r="AS1455">
        <v>109000</v>
      </c>
      <c r="AX1455" t="s">
        <v>262</v>
      </c>
      <c r="BO1455" t="s">
        <v>261</v>
      </c>
      <c r="BQ1455">
        <v>109</v>
      </c>
      <c r="BV1455" t="s">
        <v>263</v>
      </c>
      <c r="CM1455" t="s">
        <v>264</v>
      </c>
      <c r="CN1455" t="s">
        <v>264</v>
      </c>
      <c r="CP1455" t="s">
        <v>265</v>
      </c>
      <c r="CQ1455" t="s">
        <v>394</v>
      </c>
      <c r="DB1455">
        <v>2</v>
      </c>
      <c r="DG1455" t="s">
        <v>267</v>
      </c>
      <c r="DI1455">
        <v>48</v>
      </c>
      <c r="DN1455" t="s">
        <v>268</v>
      </c>
      <c r="DR1455">
        <v>6759</v>
      </c>
      <c r="DS1455">
        <v>10</v>
      </c>
      <c r="EW1455" t="s">
        <v>360</v>
      </c>
      <c r="FM1455">
        <v>15</v>
      </c>
      <c r="FR1455" t="s">
        <v>295</v>
      </c>
      <c r="HH1455" t="s">
        <v>272</v>
      </c>
      <c r="IE1455" t="s">
        <v>552</v>
      </c>
      <c r="IF1455">
        <v>906</v>
      </c>
      <c r="IG1455" t="s">
        <v>553</v>
      </c>
      <c r="IH1455" t="s">
        <v>554</v>
      </c>
      <c r="II1455">
        <v>1971</v>
      </c>
      <c r="IJ1455" t="s">
        <v>555</v>
      </c>
    </row>
    <row r="1456" spans="1:244" x14ac:dyDescent="0.45">
      <c r="A1456">
        <v>1073233</v>
      </c>
      <c r="B1456">
        <v>47463</v>
      </c>
      <c r="C1456">
        <v>7758987</v>
      </c>
      <c r="D1456" t="s">
        <v>2545</v>
      </c>
      <c r="F1456" t="s">
        <v>245</v>
      </c>
      <c r="G1456" t="s">
        <v>246</v>
      </c>
      <c r="N1456" t="s">
        <v>1895</v>
      </c>
      <c r="O1456" t="s">
        <v>1896</v>
      </c>
      <c r="P1456" t="s">
        <v>249</v>
      </c>
      <c r="Q1456" t="s">
        <v>250</v>
      </c>
      <c r="R1456" t="s">
        <v>251</v>
      </c>
      <c r="T1456" t="s">
        <v>252</v>
      </c>
      <c r="U1456" t="s">
        <v>253</v>
      </c>
      <c r="V1456" t="s">
        <v>254</v>
      </c>
      <c r="W1456" t="s">
        <v>1897</v>
      </c>
      <c r="X1456" t="s">
        <v>1898</v>
      </c>
      <c r="Z1456" t="s">
        <v>284</v>
      </c>
      <c r="AD1456">
        <v>1</v>
      </c>
      <c r="AF1456">
        <v>3</v>
      </c>
      <c r="AG1456" t="s">
        <v>267</v>
      </c>
      <c r="AM1456" t="s">
        <v>317</v>
      </c>
      <c r="AN1456" t="s">
        <v>259</v>
      </c>
      <c r="AO1456" t="s">
        <v>260</v>
      </c>
      <c r="AQ1456" t="s">
        <v>261</v>
      </c>
      <c r="AS1456">
        <v>600</v>
      </c>
      <c r="AX1456" t="s">
        <v>262</v>
      </c>
      <c r="BO1456" t="s">
        <v>261</v>
      </c>
      <c r="BQ1456">
        <v>0.6</v>
      </c>
      <c r="BV1456" t="s">
        <v>263</v>
      </c>
      <c r="CM1456" t="s">
        <v>264</v>
      </c>
      <c r="CN1456" t="s">
        <v>264</v>
      </c>
      <c r="CP1456" t="s">
        <v>265</v>
      </c>
      <c r="CQ1456" t="s">
        <v>394</v>
      </c>
      <c r="DB1456">
        <v>2</v>
      </c>
      <c r="DG1456" t="s">
        <v>267</v>
      </c>
      <c r="DI1456">
        <v>48</v>
      </c>
      <c r="DN1456" t="s">
        <v>268</v>
      </c>
      <c r="DR1456">
        <v>6759</v>
      </c>
      <c r="DS1456">
        <v>10</v>
      </c>
      <c r="DT1456" t="s">
        <v>1656</v>
      </c>
      <c r="EW1456" t="s">
        <v>333</v>
      </c>
      <c r="FK1456" t="s">
        <v>3134</v>
      </c>
      <c r="FM1456">
        <v>15</v>
      </c>
      <c r="FR1456" t="s">
        <v>295</v>
      </c>
      <c r="HH1456" t="s">
        <v>272</v>
      </c>
      <c r="ID1456" t="s">
        <v>3135</v>
      </c>
      <c r="IE1456" t="s">
        <v>1659</v>
      </c>
      <c r="IF1456">
        <v>5732</v>
      </c>
      <c r="IG1456" t="s">
        <v>1660</v>
      </c>
      <c r="IH1456" t="s">
        <v>1661</v>
      </c>
      <c r="II1456">
        <v>1972</v>
      </c>
      <c r="IJ1456" t="s">
        <v>1662</v>
      </c>
    </row>
    <row r="1457" spans="1:244" x14ac:dyDescent="0.45">
      <c r="A1457">
        <v>2071602</v>
      </c>
      <c r="B1457">
        <v>2113005</v>
      </c>
      <c r="C1457">
        <v>7758998</v>
      </c>
      <c r="D1457" t="s">
        <v>3136</v>
      </c>
      <c r="F1457" t="s">
        <v>246</v>
      </c>
      <c r="G1457" t="s">
        <v>368</v>
      </c>
      <c r="I1457">
        <v>99</v>
      </c>
      <c r="N1457" t="s">
        <v>1564</v>
      </c>
      <c r="O1457" t="s">
        <v>1565</v>
      </c>
      <c r="P1457" t="s">
        <v>249</v>
      </c>
      <c r="Q1457" t="s">
        <v>250</v>
      </c>
      <c r="R1457" t="s">
        <v>251</v>
      </c>
      <c r="T1457" t="s">
        <v>252</v>
      </c>
      <c r="U1457" t="s">
        <v>253</v>
      </c>
      <c r="V1457" t="s">
        <v>254</v>
      </c>
      <c r="W1457" t="s">
        <v>1566</v>
      </c>
      <c r="X1457" t="s">
        <v>1567</v>
      </c>
      <c r="AL1457" t="s">
        <v>3137</v>
      </c>
      <c r="AM1457" t="s">
        <v>317</v>
      </c>
      <c r="AN1457" t="s">
        <v>259</v>
      </c>
      <c r="AO1457" t="s">
        <v>260</v>
      </c>
      <c r="AS1457">
        <v>28</v>
      </c>
      <c r="AU1457">
        <v>19.440000000000001</v>
      </c>
      <c r="AW1457">
        <v>40.32</v>
      </c>
      <c r="AX1457" t="s">
        <v>422</v>
      </c>
      <c r="BQ1457">
        <v>28</v>
      </c>
      <c r="BS1457">
        <v>19.440000000000001</v>
      </c>
      <c r="BU1457">
        <v>40.32</v>
      </c>
      <c r="BV1457" t="s">
        <v>263</v>
      </c>
      <c r="CM1457" t="s">
        <v>264</v>
      </c>
      <c r="CN1457" t="s">
        <v>264</v>
      </c>
      <c r="CP1457" t="s">
        <v>265</v>
      </c>
      <c r="DB1457">
        <v>4</v>
      </c>
      <c r="DG1457" t="s">
        <v>267</v>
      </c>
      <c r="DI1457">
        <v>96</v>
      </c>
      <c r="DN1457" t="s">
        <v>268</v>
      </c>
      <c r="DP1457" t="s">
        <v>3138</v>
      </c>
      <c r="DR1457">
        <v>6763</v>
      </c>
      <c r="DS1457">
        <v>76</v>
      </c>
      <c r="EJ1457">
        <v>96</v>
      </c>
      <c r="EO1457" t="s">
        <v>268</v>
      </c>
      <c r="EQ1457">
        <v>4</v>
      </c>
      <c r="EV1457" t="s">
        <v>267</v>
      </c>
      <c r="EW1457" t="s">
        <v>376</v>
      </c>
      <c r="EY1457" t="s">
        <v>377</v>
      </c>
      <c r="FR1457" t="s">
        <v>378</v>
      </c>
      <c r="FY1457" t="s">
        <v>378</v>
      </c>
      <c r="GF1457" t="s">
        <v>378</v>
      </c>
      <c r="GM1457" t="s">
        <v>378</v>
      </c>
      <c r="GZ1457" t="s">
        <v>378</v>
      </c>
      <c r="HG1457" t="s">
        <v>378</v>
      </c>
      <c r="HH1457" t="s">
        <v>379</v>
      </c>
      <c r="HO1457" t="s">
        <v>378</v>
      </c>
      <c r="HV1457" t="s">
        <v>378</v>
      </c>
      <c r="IC1457" t="s">
        <v>378</v>
      </c>
      <c r="ID1457" t="s">
        <v>380</v>
      </c>
      <c r="IE1457" t="s">
        <v>381</v>
      </c>
      <c r="IF1457">
        <v>344</v>
      </c>
      <c r="IG1457" t="s">
        <v>382</v>
      </c>
      <c r="IH1457" t="s">
        <v>383</v>
      </c>
      <c r="II1457">
        <v>1992</v>
      </c>
      <c r="IJ1457" t="s">
        <v>384</v>
      </c>
    </row>
    <row r="1458" spans="1:244" x14ac:dyDescent="0.45">
      <c r="A1458">
        <v>2074477</v>
      </c>
      <c r="B1458">
        <v>2104815</v>
      </c>
      <c r="C1458">
        <v>7758998</v>
      </c>
      <c r="D1458" t="s">
        <v>3136</v>
      </c>
      <c r="F1458" t="s">
        <v>246</v>
      </c>
      <c r="G1458" t="s">
        <v>368</v>
      </c>
      <c r="I1458">
        <v>99</v>
      </c>
      <c r="N1458" t="s">
        <v>328</v>
      </c>
      <c r="O1458" t="s">
        <v>329</v>
      </c>
      <c r="P1458" t="s">
        <v>249</v>
      </c>
      <c r="Q1458" t="s">
        <v>250</v>
      </c>
      <c r="R1458" t="s">
        <v>251</v>
      </c>
      <c r="T1458" t="s">
        <v>252</v>
      </c>
      <c r="U1458" t="s">
        <v>253</v>
      </c>
      <c r="V1458" t="s">
        <v>304</v>
      </c>
      <c r="W1458" t="s">
        <v>330</v>
      </c>
      <c r="X1458" t="s">
        <v>331</v>
      </c>
      <c r="AL1458" t="s">
        <v>3137</v>
      </c>
      <c r="AM1458" t="s">
        <v>317</v>
      </c>
      <c r="AN1458" t="s">
        <v>259</v>
      </c>
      <c r="AO1458" t="s">
        <v>260</v>
      </c>
      <c r="AS1458">
        <v>17</v>
      </c>
      <c r="AU1458">
        <v>8.9</v>
      </c>
      <c r="AW1458">
        <v>32.299999999999997</v>
      </c>
      <c r="AX1458" t="s">
        <v>422</v>
      </c>
      <c r="BQ1458">
        <v>17</v>
      </c>
      <c r="BS1458">
        <v>8.9</v>
      </c>
      <c r="BU1458">
        <v>32.299999999999997</v>
      </c>
      <c r="BV1458" t="s">
        <v>263</v>
      </c>
      <c r="CM1458" t="s">
        <v>264</v>
      </c>
      <c r="CN1458" t="s">
        <v>264</v>
      </c>
      <c r="CP1458" t="s">
        <v>265</v>
      </c>
      <c r="DB1458">
        <v>4</v>
      </c>
      <c r="DG1458" t="s">
        <v>267</v>
      </c>
      <c r="DI1458">
        <v>96</v>
      </c>
      <c r="DN1458" t="s">
        <v>268</v>
      </c>
      <c r="DP1458" t="s">
        <v>3138</v>
      </c>
      <c r="DR1458">
        <v>294125</v>
      </c>
      <c r="DS1458">
        <v>72</v>
      </c>
      <c r="EJ1458">
        <v>96</v>
      </c>
      <c r="EO1458" t="s">
        <v>268</v>
      </c>
      <c r="EQ1458">
        <v>4</v>
      </c>
      <c r="EV1458" t="s">
        <v>267</v>
      </c>
      <c r="EW1458" t="s">
        <v>376</v>
      </c>
      <c r="EY1458" t="s">
        <v>377</v>
      </c>
      <c r="FR1458" t="s">
        <v>378</v>
      </c>
      <c r="FY1458" t="s">
        <v>378</v>
      </c>
      <c r="GF1458" t="s">
        <v>378</v>
      </c>
      <c r="GM1458" t="s">
        <v>378</v>
      </c>
      <c r="GZ1458" t="s">
        <v>378</v>
      </c>
      <c r="HG1458" t="s">
        <v>378</v>
      </c>
      <c r="HH1458" t="s">
        <v>379</v>
      </c>
      <c r="HO1458" t="s">
        <v>378</v>
      </c>
      <c r="HV1458" t="s">
        <v>378</v>
      </c>
      <c r="IC1458" t="s">
        <v>378</v>
      </c>
      <c r="ID1458" t="s">
        <v>380</v>
      </c>
      <c r="IE1458" t="s">
        <v>381</v>
      </c>
      <c r="IF1458">
        <v>344</v>
      </c>
      <c r="IG1458" t="s">
        <v>382</v>
      </c>
      <c r="IH1458" t="s">
        <v>383</v>
      </c>
      <c r="II1458">
        <v>1992</v>
      </c>
      <c r="IJ1458" t="s">
        <v>384</v>
      </c>
    </row>
    <row r="1459" spans="1:244" x14ac:dyDescent="0.45">
      <c r="A1459">
        <v>2060863</v>
      </c>
      <c r="B1459">
        <v>2107170</v>
      </c>
      <c r="C1459">
        <v>7758998</v>
      </c>
      <c r="D1459" t="s">
        <v>3136</v>
      </c>
      <c r="F1459" t="s">
        <v>246</v>
      </c>
      <c r="G1459" t="s">
        <v>368</v>
      </c>
      <c r="I1459">
        <v>25.2</v>
      </c>
      <c r="N1459" t="s">
        <v>328</v>
      </c>
      <c r="O1459" t="s">
        <v>329</v>
      </c>
      <c r="P1459" t="s">
        <v>249</v>
      </c>
      <c r="Q1459" t="s">
        <v>250</v>
      </c>
      <c r="R1459" t="s">
        <v>251</v>
      </c>
      <c r="T1459" t="s">
        <v>252</v>
      </c>
      <c r="U1459" t="s">
        <v>253</v>
      </c>
      <c r="V1459" t="s">
        <v>304</v>
      </c>
      <c r="W1459" t="s">
        <v>330</v>
      </c>
      <c r="X1459" t="s">
        <v>331</v>
      </c>
      <c r="AM1459" t="s">
        <v>317</v>
      </c>
      <c r="AN1459" t="s">
        <v>259</v>
      </c>
      <c r="AO1459" t="s">
        <v>260</v>
      </c>
      <c r="AS1459">
        <v>17</v>
      </c>
      <c r="AU1459">
        <v>8.9</v>
      </c>
      <c r="AW1459">
        <v>32.299999999999997</v>
      </c>
      <c r="AX1459" t="s">
        <v>422</v>
      </c>
      <c r="BQ1459">
        <v>17</v>
      </c>
      <c r="BS1459">
        <v>8.9</v>
      </c>
      <c r="BU1459">
        <v>32.299999999999997</v>
      </c>
      <c r="BV1459" t="s">
        <v>263</v>
      </c>
      <c r="CM1459" t="s">
        <v>264</v>
      </c>
      <c r="CN1459" t="s">
        <v>264</v>
      </c>
      <c r="CP1459" t="s">
        <v>265</v>
      </c>
      <c r="DB1459">
        <v>4</v>
      </c>
      <c r="DG1459" t="s">
        <v>267</v>
      </c>
      <c r="DI1459">
        <v>96</v>
      </c>
      <c r="DN1459" t="s">
        <v>268</v>
      </c>
      <c r="DP1459" t="s">
        <v>3139</v>
      </c>
      <c r="DR1459">
        <v>294125</v>
      </c>
      <c r="DS1459">
        <v>72</v>
      </c>
      <c r="EJ1459">
        <v>96</v>
      </c>
      <c r="EO1459" t="s">
        <v>268</v>
      </c>
      <c r="EQ1459">
        <v>4</v>
      </c>
      <c r="EV1459" t="s">
        <v>267</v>
      </c>
      <c r="EW1459" t="s">
        <v>376</v>
      </c>
      <c r="EY1459" t="s">
        <v>377</v>
      </c>
      <c r="FR1459" t="s">
        <v>378</v>
      </c>
      <c r="FY1459" t="s">
        <v>378</v>
      </c>
      <c r="GF1459" t="s">
        <v>378</v>
      </c>
      <c r="GM1459" t="s">
        <v>378</v>
      </c>
      <c r="GZ1459" t="s">
        <v>378</v>
      </c>
      <c r="HG1459" t="s">
        <v>378</v>
      </c>
      <c r="HH1459" t="s">
        <v>379</v>
      </c>
      <c r="HO1459" t="s">
        <v>378</v>
      </c>
      <c r="HV1459" t="s">
        <v>378</v>
      </c>
      <c r="IC1459" t="s">
        <v>378</v>
      </c>
      <c r="ID1459" t="s">
        <v>380</v>
      </c>
      <c r="IE1459" t="s">
        <v>381</v>
      </c>
      <c r="IF1459">
        <v>344</v>
      </c>
      <c r="IG1459" t="s">
        <v>382</v>
      </c>
      <c r="IH1459" t="s">
        <v>383</v>
      </c>
      <c r="II1459">
        <v>1992</v>
      </c>
      <c r="IJ1459" t="s">
        <v>384</v>
      </c>
    </row>
    <row r="1460" spans="1:244" x14ac:dyDescent="0.45">
      <c r="A1460">
        <v>2067058</v>
      </c>
      <c r="B1460">
        <v>2107157</v>
      </c>
      <c r="C1460">
        <v>7758998</v>
      </c>
      <c r="D1460" t="s">
        <v>3136</v>
      </c>
      <c r="F1460" t="s">
        <v>246</v>
      </c>
      <c r="G1460" t="s">
        <v>368</v>
      </c>
      <c r="I1460">
        <v>99</v>
      </c>
      <c r="N1460" t="s">
        <v>1564</v>
      </c>
      <c r="O1460" t="s">
        <v>1565</v>
      </c>
      <c r="P1460" t="s">
        <v>249</v>
      </c>
      <c r="Q1460" t="s">
        <v>250</v>
      </c>
      <c r="R1460" t="s">
        <v>251</v>
      </c>
      <c r="T1460" t="s">
        <v>252</v>
      </c>
      <c r="U1460" t="s">
        <v>253</v>
      </c>
      <c r="V1460" t="s">
        <v>254</v>
      </c>
      <c r="W1460" t="s">
        <v>1566</v>
      </c>
      <c r="X1460" t="s">
        <v>1567</v>
      </c>
      <c r="AL1460" t="s">
        <v>3137</v>
      </c>
      <c r="AM1460" t="s">
        <v>317</v>
      </c>
      <c r="AN1460" t="s">
        <v>259</v>
      </c>
      <c r="AO1460" t="s">
        <v>260</v>
      </c>
      <c r="AS1460">
        <v>3</v>
      </c>
      <c r="AU1460">
        <v>2</v>
      </c>
      <c r="AW1460">
        <v>4.5</v>
      </c>
      <c r="AX1460" t="s">
        <v>422</v>
      </c>
      <c r="BQ1460">
        <v>3</v>
      </c>
      <c r="BS1460">
        <v>2</v>
      </c>
      <c r="BU1460">
        <v>4.5</v>
      </c>
      <c r="BV1460" t="s">
        <v>263</v>
      </c>
      <c r="CM1460" t="s">
        <v>264</v>
      </c>
      <c r="CN1460" t="s">
        <v>264</v>
      </c>
      <c r="CP1460" t="s">
        <v>265</v>
      </c>
      <c r="DB1460">
        <v>4</v>
      </c>
      <c r="DG1460" t="s">
        <v>267</v>
      </c>
      <c r="DI1460">
        <v>96</v>
      </c>
      <c r="DN1460" t="s">
        <v>268</v>
      </c>
      <c r="DP1460" t="s">
        <v>3138</v>
      </c>
      <c r="DR1460">
        <v>6763</v>
      </c>
      <c r="DS1460">
        <v>76</v>
      </c>
      <c r="EJ1460">
        <v>96</v>
      </c>
      <c r="EO1460" t="s">
        <v>268</v>
      </c>
      <c r="EQ1460">
        <v>4</v>
      </c>
      <c r="EV1460" t="s">
        <v>267</v>
      </c>
      <c r="EW1460" t="s">
        <v>376</v>
      </c>
      <c r="EY1460" t="s">
        <v>377</v>
      </c>
      <c r="FR1460" t="s">
        <v>378</v>
      </c>
      <c r="FY1460" t="s">
        <v>378</v>
      </c>
      <c r="GF1460" t="s">
        <v>378</v>
      </c>
      <c r="GM1460" t="s">
        <v>378</v>
      </c>
      <c r="GZ1460" t="s">
        <v>378</v>
      </c>
      <c r="HG1460" t="s">
        <v>378</v>
      </c>
      <c r="HH1460" t="s">
        <v>379</v>
      </c>
      <c r="HO1460" t="s">
        <v>378</v>
      </c>
      <c r="HV1460" t="s">
        <v>378</v>
      </c>
      <c r="IC1460" t="s">
        <v>378</v>
      </c>
      <c r="ID1460" t="s">
        <v>380</v>
      </c>
      <c r="IE1460" t="s">
        <v>381</v>
      </c>
      <c r="IF1460">
        <v>344</v>
      </c>
      <c r="IG1460" t="s">
        <v>382</v>
      </c>
      <c r="IH1460" t="s">
        <v>383</v>
      </c>
      <c r="II1460">
        <v>1992</v>
      </c>
      <c r="IJ1460" t="s">
        <v>384</v>
      </c>
    </row>
    <row r="1461" spans="1:244" x14ac:dyDescent="0.45">
      <c r="A1461">
        <v>2060853</v>
      </c>
      <c r="B1461">
        <v>2107156</v>
      </c>
      <c r="C1461">
        <v>7758998</v>
      </c>
      <c r="D1461" t="s">
        <v>3136</v>
      </c>
      <c r="E1461" t="s">
        <v>2689</v>
      </c>
      <c r="F1461" t="s">
        <v>246</v>
      </c>
      <c r="G1461" t="s">
        <v>368</v>
      </c>
      <c r="N1461" t="s">
        <v>1583</v>
      </c>
      <c r="O1461" t="s">
        <v>1584</v>
      </c>
      <c r="P1461" t="s">
        <v>249</v>
      </c>
      <c r="Q1461" t="s">
        <v>250</v>
      </c>
      <c r="R1461" t="s">
        <v>251</v>
      </c>
      <c r="T1461" t="s">
        <v>252</v>
      </c>
      <c r="U1461" t="s">
        <v>253</v>
      </c>
      <c r="V1461" t="s">
        <v>418</v>
      </c>
      <c r="W1461" t="s">
        <v>1585</v>
      </c>
      <c r="X1461" t="s">
        <v>1586</v>
      </c>
      <c r="AL1461" t="s">
        <v>3137</v>
      </c>
      <c r="AM1461" t="s">
        <v>317</v>
      </c>
      <c r="AN1461" t="s">
        <v>259</v>
      </c>
      <c r="AO1461" t="s">
        <v>260</v>
      </c>
      <c r="AS1461">
        <v>16</v>
      </c>
      <c r="AU1461">
        <v>11</v>
      </c>
      <c r="AW1461">
        <v>22</v>
      </c>
      <c r="AX1461" t="s">
        <v>422</v>
      </c>
      <c r="BQ1461">
        <v>16</v>
      </c>
      <c r="BS1461">
        <v>11</v>
      </c>
      <c r="BU1461">
        <v>22</v>
      </c>
      <c r="BV1461" t="s">
        <v>263</v>
      </c>
      <c r="CM1461" t="s">
        <v>264</v>
      </c>
      <c r="CN1461" t="s">
        <v>264</v>
      </c>
      <c r="CP1461" t="s">
        <v>265</v>
      </c>
      <c r="DB1461">
        <v>4</v>
      </c>
      <c r="DG1461" t="s">
        <v>267</v>
      </c>
      <c r="DI1461">
        <v>96</v>
      </c>
      <c r="DN1461" t="s">
        <v>268</v>
      </c>
      <c r="DP1461" t="s">
        <v>3140</v>
      </c>
      <c r="DR1461">
        <v>64466</v>
      </c>
      <c r="DS1461">
        <v>49914</v>
      </c>
      <c r="EJ1461">
        <v>96</v>
      </c>
      <c r="EO1461" t="s">
        <v>268</v>
      </c>
      <c r="EQ1461">
        <v>4</v>
      </c>
      <c r="EV1461" t="s">
        <v>267</v>
      </c>
      <c r="EW1461" t="s">
        <v>376</v>
      </c>
      <c r="EY1461" t="s">
        <v>377</v>
      </c>
      <c r="FR1461" t="s">
        <v>378</v>
      </c>
      <c r="FY1461" t="s">
        <v>378</v>
      </c>
      <c r="GF1461" t="s">
        <v>378</v>
      </c>
      <c r="GM1461" t="s">
        <v>378</v>
      </c>
      <c r="GZ1461" t="s">
        <v>378</v>
      </c>
      <c r="HG1461" t="s">
        <v>378</v>
      </c>
      <c r="HH1461" t="s">
        <v>379</v>
      </c>
      <c r="HO1461" t="s">
        <v>378</v>
      </c>
      <c r="HV1461" t="s">
        <v>378</v>
      </c>
      <c r="IC1461" t="s">
        <v>378</v>
      </c>
      <c r="ID1461" t="s">
        <v>380</v>
      </c>
      <c r="IE1461" t="s">
        <v>381</v>
      </c>
      <c r="IF1461">
        <v>344</v>
      </c>
      <c r="IG1461" t="s">
        <v>382</v>
      </c>
      <c r="IH1461" t="s">
        <v>383</v>
      </c>
      <c r="II1461">
        <v>1992</v>
      </c>
      <c r="IJ1461" t="s">
        <v>384</v>
      </c>
    </row>
    <row r="1462" spans="1:244" x14ac:dyDescent="0.45">
      <c r="A1462">
        <v>1053941</v>
      </c>
      <c r="B1462">
        <v>194585</v>
      </c>
      <c r="C1462">
        <v>7761888</v>
      </c>
      <c r="D1462" t="s">
        <v>3141</v>
      </c>
      <c r="F1462" t="s">
        <v>245</v>
      </c>
      <c r="G1462" t="s">
        <v>246</v>
      </c>
      <c r="N1462" t="s">
        <v>1364</v>
      </c>
      <c r="O1462" t="s">
        <v>1365</v>
      </c>
      <c r="P1462" t="s">
        <v>249</v>
      </c>
      <c r="Q1462" t="s">
        <v>250</v>
      </c>
      <c r="R1462" t="s">
        <v>251</v>
      </c>
      <c r="T1462" t="s">
        <v>252</v>
      </c>
      <c r="U1462" t="s">
        <v>253</v>
      </c>
      <c r="V1462" t="s">
        <v>548</v>
      </c>
      <c r="W1462" t="s">
        <v>549</v>
      </c>
      <c r="X1462" t="s">
        <v>351</v>
      </c>
      <c r="Z1462" t="s">
        <v>315</v>
      </c>
      <c r="AL1462" t="s">
        <v>3142</v>
      </c>
      <c r="AM1462" t="s">
        <v>307</v>
      </c>
      <c r="AN1462" t="s">
        <v>259</v>
      </c>
      <c r="AO1462" t="s">
        <v>260</v>
      </c>
      <c r="AQ1462" t="s">
        <v>261</v>
      </c>
      <c r="AR1462" t="s">
        <v>288</v>
      </c>
      <c r="AS1462">
        <v>838</v>
      </c>
      <c r="AX1462" t="s">
        <v>262</v>
      </c>
      <c r="BO1462" t="s">
        <v>261</v>
      </c>
      <c r="BP1462" t="s">
        <v>288</v>
      </c>
      <c r="BQ1462">
        <v>0.83799999999999997</v>
      </c>
      <c r="BV1462" t="s">
        <v>263</v>
      </c>
      <c r="CM1462" t="s">
        <v>264</v>
      </c>
      <c r="CN1462" t="s">
        <v>264</v>
      </c>
      <c r="CP1462" t="s">
        <v>265</v>
      </c>
      <c r="CQ1462" t="s">
        <v>878</v>
      </c>
      <c r="DB1462">
        <v>4</v>
      </c>
      <c r="DG1462" t="s">
        <v>267</v>
      </c>
      <c r="DI1462">
        <v>96</v>
      </c>
      <c r="DN1462" t="s">
        <v>268</v>
      </c>
      <c r="DR1462">
        <v>98082</v>
      </c>
      <c r="DS1462">
        <v>2125</v>
      </c>
      <c r="EW1462" t="s">
        <v>293</v>
      </c>
      <c r="FM1462">
        <v>13.9</v>
      </c>
      <c r="FR1462" t="s">
        <v>295</v>
      </c>
      <c r="GH1462">
        <v>6.9</v>
      </c>
      <c r="GM1462" t="s">
        <v>356</v>
      </c>
      <c r="GO1462">
        <v>7.9</v>
      </c>
      <c r="GU1462">
        <v>30.1</v>
      </c>
      <c r="GZ1462" t="s">
        <v>296</v>
      </c>
      <c r="HH1462" t="s">
        <v>272</v>
      </c>
      <c r="IE1462" t="s">
        <v>1472</v>
      </c>
      <c r="IF1462">
        <v>3752</v>
      </c>
      <c r="IG1462" t="s">
        <v>1473</v>
      </c>
      <c r="IH1462" t="s">
        <v>1474</v>
      </c>
      <c r="II1462">
        <v>1983</v>
      </c>
      <c r="IJ1462" t="s">
        <v>1475</v>
      </c>
    </row>
    <row r="1463" spans="1:244" x14ac:dyDescent="0.45">
      <c r="A1463">
        <v>1071377</v>
      </c>
      <c r="B1463">
        <v>42350</v>
      </c>
      <c r="C1463">
        <v>7761888</v>
      </c>
      <c r="D1463" t="s">
        <v>3141</v>
      </c>
      <c r="F1463" t="s">
        <v>327</v>
      </c>
      <c r="G1463" t="s">
        <v>246</v>
      </c>
      <c r="N1463" t="s">
        <v>916</v>
      </c>
      <c r="O1463" t="s">
        <v>917</v>
      </c>
      <c r="P1463" t="s">
        <v>249</v>
      </c>
      <c r="Q1463" t="s">
        <v>250</v>
      </c>
      <c r="R1463" t="s">
        <v>251</v>
      </c>
      <c r="T1463" t="s">
        <v>252</v>
      </c>
      <c r="U1463" t="s">
        <v>253</v>
      </c>
      <c r="V1463" t="s">
        <v>304</v>
      </c>
      <c r="W1463" t="s">
        <v>305</v>
      </c>
      <c r="X1463" t="s">
        <v>918</v>
      </c>
      <c r="AL1463" t="s">
        <v>3143</v>
      </c>
      <c r="AM1463" t="s">
        <v>317</v>
      </c>
      <c r="AN1463" t="s">
        <v>259</v>
      </c>
      <c r="AO1463" t="s">
        <v>260</v>
      </c>
      <c r="AQ1463" t="s">
        <v>261</v>
      </c>
      <c r="AU1463">
        <v>128</v>
      </c>
      <c r="AW1463">
        <v>3200</v>
      </c>
      <c r="AX1463" t="s">
        <v>262</v>
      </c>
      <c r="BO1463" t="s">
        <v>261</v>
      </c>
      <c r="BS1463">
        <v>0.128</v>
      </c>
      <c r="BU1463">
        <v>3.2</v>
      </c>
      <c r="BV1463" t="s">
        <v>263</v>
      </c>
      <c r="CM1463" t="s">
        <v>264</v>
      </c>
      <c r="CN1463" t="s">
        <v>264</v>
      </c>
      <c r="CP1463" t="s">
        <v>265</v>
      </c>
      <c r="CQ1463" t="s">
        <v>878</v>
      </c>
      <c r="DB1463">
        <v>4</v>
      </c>
      <c r="DG1463" t="s">
        <v>267</v>
      </c>
      <c r="DI1463">
        <v>96</v>
      </c>
      <c r="DN1463" t="s">
        <v>268</v>
      </c>
      <c r="DR1463">
        <v>645159</v>
      </c>
      <c r="DS1463">
        <v>730</v>
      </c>
      <c r="DT1463" t="s">
        <v>3144</v>
      </c>
      <c r="EW1463" t="s">
        <v>271</v>
      </c>
      <c r="FK1463" t="s">
        <v>3145</v>
      </c>
      <c r="FM1463">
        <v>15</v>
      </c>
      <c r="FR1463" t="s">
        <v>295</v>
      </c>
      <c r="HH1463" t="s">
        <v>272</v>
      </c>
      <c r="ID1463" t="s">
        <v>3146</v>
      </c>
      <c r="IE1463" t="s">
        <v>3147</v>
      </c>
      <c r="IF1463">
        <v>5628</v>
      </c>
      <c r="IG1463" t="s">
        <v>3148</v>
      </c>
      <c r="IH1463" t="s">
        <v>3149</v>
      </c>
      <c r="II1463">
        <v>1976</v>
      </c>
      <c r="IJ1463" t="s">
        <v>3150</v>
      </c>
    </row>
    <row r="1464" spans="1:244" x14ac:dyDescent="0.45">
      <c r="A1464">
        <v>2317092</v>
      </c>
      <c r="B1464">
        <v>2796455</v>
      </c>
      <c r="C1464">
        <v>7761888</v>
      </c>
      <c r="D1464" t="s">
        <v>3141</v>
      </c>
      <c r="E1464" t="s">
        <v>439</v>
      </c>
      <c r="F1464" t="s">
        <v>245</v>
      </c>
      <c r="G1464" t="s">
        <v>272</v>
      </c>
      <c r="N1464" t="s">
        <v>1492</v>
      </c>
      <c r="O1464" t="s">
        <v>1493</v>
      </c>
      <c r="P1464" t="s">
        <v>249</v>
      </c>
      <c r="Q1464" t="s">
        <v>250</v>
      </c>
      <c r="R1464" t="s">
        <v>251</v>
      </c>
      <c r="T1464" t="s">
        <v>252</v>
      </c>
      <c r="U1464" t="s">
        <v>253</v>
      </c>
      <c r="V1464" t="s">
        <v>281</v>
      </c>
      <c r="W1464" t="s">
        <v>282</v>
      </c>
      <c r="X1464" t="s">
        <v>1494</v>
      </c>
      <c r="Z1464" t="s">
        <v>1046</v>
      </c>
      <c r="AB1464">
        <v>1</v>
      </c>
      <c r="AG1464" t="s">
        <v>598</v>
      </c>
      <c r="AJ1464" t="s">
        <v>354</v>
      </c>
      <c r="AM1464" t="s">
        <v>287</v>
      </c>
      <c r="AN1464" t="s">
        <v>259</v>
      </c>
      <c r="AO1464" t="s">
        <v>260</v>
      </c>
      <c r="AQ1464" t="s">
        <v>261</v>
      </c>
      <c r="AS1464">
        <v>55</v>
      </c>
      <c r="AX1464" t="s">
        <v>262</v>
      </c>
      <c r="BO1464" t="s">
        <v>261</v>
      </c>
      <c r="BQ1464">
        <v>5.5E-2</v>
      </c>
      <c r="BV1464" t="s">
        <v>263</v>
      </c>
      <c r="CM1464" t="s">
        <v>264</v>
      </c>
      <c r="CN1464" t="s">
        <v>264</v>
      </c>
      <c r="CP1464" t="s">
        <v>265</v>
      </c>
      <c r="CQ1464" t="s">
        <v>878</v>
      </c>
      <c r="DB1464">
        <v>4</v>
      </c>
      <c r="DG1464" t="s">
        <v>267</v>
      </c>
      <c r="DI1464">
        <v>96</v>
      </c>
      <c r="DN1464" t="s">
        <v>268</v>
      </c>
      <c r="DP1464" t="s">
        <v>3151</v>
      </c>
      <c r="DR1464">
        <v>29965</v>
      </c>
      <c r="DS1464">
        <v>339</v>
      </c>
      <c r="DT1464" t="s">
        <v>1771</v>
      </c>
      <c r="DV1464">
        <v>96</v>
      </c>
      <c r="EA1464" t="s">
        <v>268</v>
      </c>
      <c r="EC1464">
        <v>4</v>
      </c>
      <c r="EH1464" t="s">
        <v>267</v>
      </c>
      <c r="EJ1464">
        <v>96</v>
      </c>
      <c r="EO1464" t="s">
        <v>268</v>
      </c>
      <c r="EQ1464">
        <v>4</v>
      </c>
      <c r="EV1464" t="s">
        <v>267</v>
      </c>
      <c r="EW1464" t="s">
        <v>293</v>
      </c>
      <c r="EZ1464">
        <v>20</v>
      </c>
      <c r="FM1464">
        <v>15</v>
      </c>
      <c r="FR1464" t="s">
        <v>295</v>
      </c>
      <c r="GJ1464">
        <v>6.5</v>
      </c>
      <c r="GL1464">
        <v>8</v>
      </c>
      <c r="GM1464" t="s">
        <v>356</v>
      </c>
      <c r="GO1464">
        <v>8.1</v>
      </c>
      <c r="GU1464">
        <v>33.79</v>
      </c>
      <c r="GZ1464" t="s">
        <v>296</v>
      </c>
      <c r="HH1464" t="s">
        <v>272</v>
      </c>
      <c r="ID1464" t="s">
        <v>1772</v>
      </c>
      <c r="IE1464" t="s">
        <v>1773</v>
      </c>
      <c r="IF1464">
        <v>15497</v>
      </c>
      <c r="IG1464" t="s">
        <v>1774</v>
      </c>
      <c r="IH1464" t="s">
        <v>1775</v>
      </c>
      <c r="II1464">
        <v>1981</v>
      </c>
      <c r="IJ1464" t="s">
        <v>1776</v>
      </c>
    </row>
    <row r="1465" spans="1:244" x14ac:dyDescent="0.45">
      <c r="A1465">
        <v>1079008</v>
      </c>
      <c r="B1465">
        <v>294</v>
      </c>
      <c r="C1465">
        <v>7761888</v>
      </c>
      <c r="D1465" t="s">
        <v>3141</v>
      </c>
      <c r="F1465" t="s">
        <v>245</v>
      </c>
      <c r="G1465" t="s">
        <v>246</v>
      </c>
      <c r="N1465" t="s">
        <v>916</v>
      </c>
      <c r="O1465" t="s">
        <v>917</v>
      </c>
      <c r="P1465" t="s">
        <v>249</v>
      </c>
      <c r="Q1465" t="s">
        <v>250</v>
      </c>
      <c r="R1465" t="s">
        <v>251</v>
      </c>
      <c r="T1465" t="s">
        <v>252</v>
      </c>
      <c r="U1465" t="s">
        <v>253</v>
      </c>
      <c r="V1465" t="s">
        <v>304</v>
      </c>
      <c r="W1465" t="s">
        <v>305</v>
      </c>
      <c r="X1465" t="s">
        <v>918</v>
      </c>
      <c r="AL1465" t="s">
        <v>3143</v>
      </c>
      <c r="AM1465" t="s">
        <v>317</v>
      </c>
      <c r="AN1465" t="s">
        <v>259</v>
      </c>
      <c r="AO1465" t="s">
        <v>260</v>
      </c>
      <c r="AQ1465" t="s">
        <v>261</v>
      </c>
      <c r="AS1465">
        <v>6.35</v>
      </c>
      <c r="AX1465" t="s">
        <v>262</v>
      </c>
      <c r="BO1465" t="s">
        <v>261</v>
      </c>
      <c r="BQ1465">
        <v>6.3499999999999997E-3</v>
      </c>
      <c r="BV1465" t="s">
        <v>263</v>
      </c>
      <c r="CM1465" t="s">
        <v>264</v>
      </c>
      <c r="CN1465" t="s">
        <v>264</v>
      </c>
      <c r="CP1465" t="s">
        <v>265</v>
      </c>
      <c r="CQ1465" t="s">
        <v>878</v>
      </c>
      <c r="DB1465">
        <v>4</v>
      </c>
      <c r="DG1465" t="s">
        <v>267</v>
      </c>
      <c r="DI1465">
        <v>96</v>
      </c>
      <c r="DN1465" t="s">
        <v>268</v>
      </c>
      <c r="DR1465">
        <v>645159</v>
      </c>
      <c r="DS1465">
        <v>730</v>
      </c>
      <c r="EW1465" t="s">
        <v>271</v>
      </c>
      <c r="FM1465">
        <v>15</v>
      </c>
      <c r="FR1465" t="s">
        <v>295</v>
      </c>
      <c r="GO1465">
        <v>7.8</v>
      </c>
      <c r="HH1465" t="s">
        <v>272</v>
      </c>
      <c r="IE1465" t="s">
        <v>3147</v>
      </c>
      <c r="IF1465">
        <v>6097</v>
      </c>
      <c r="IG1465" t="s">
        <v>3152</v>
      </c>
      <c r="IH1465" t="s">
        <v>3153</v>
      </c>
      <c r="II1465">
        <v>1976</v>
      </c>
      <c r="IJ1465" t="s">
        <v>3154</v>
      </c>
    </row>
    <row r="1466" spans="1:244" x14ac:dyDescent="0.45">
      <c r="A1466">
        <v>1037179</v>
      </c>
      <c r="B1466">
        <v>110114</v>
      </c>
      <c r="C1466">
        <v>7761888</v>
      </c>
      <c r="D1466" t="s">
        <v>3141</v>
      </c>
      <c r="F1466" t="s">
        <v>327</v>
      </c>
      <c r="G1466" t="s">
        <v>246</v>
      </c>
      <c r="N1466" t="s">
        <v>1364</v>
      </c>
      <c r="O1466" t="s">
        <v>1365</v>
      </c>
      <c r="P1466" t="s">
        <v>249</v>
      </c>
      <c r="Q1466" t="s">
        <v>250</v>
      </c>
      <c r="R1466" t="s">
        <v>251</v>
      </c>
      <c r="T1466" t="s">
        <v>252</v>
      </c>
      <c r="U1466" t="s">
        <v>253</v>
      </c>
      <c r="V1466" t="s">
        <v>548</v>
      </c>
      <c r="W1466" t="s">
        <v>549</v>
      </c>
      <c r="X1466" t="s">
        <v>351</v>
      </c>
      <c r="Z1466" t="s">
        <v>315</v>
      </c>
      <c r="AL1466" t="s">
        <v>3142</v>
      </c>
      <c r="AM1466" t="s">
        <v>307</v>
      </c>
      <c r="AN1466" t="s">
        <v>259</v>
      </c>
      <c r="AO1466" t="s">
        <v>260</v>
      </c>
      <c r="AQ1466" t="s">
        <v>261</v>
      </c>
      <c r="AR1466" t="s">
        <v>288</v>
      </c>
      <c r="AS1466">
        <v>838</v>
      </c>
      <c r="AX1466" t="s">
        <v>262</v>
      </c>
      <c r="BO1466" t="s">
        <v>261</v>
      </c>
      <c r="BP1466" t="s">
        <v>288</v>
      </c>
      <c r="BQ1466">
        <v>0.83799999999999997</v>
      </c>
      <c r="BV1466" t="s">
        <v>263</v>
      </c>
      <c r="CM1466" t="s">
        <v>264</v>
      </c>
      <c r="CN1466" t="s">
        <v>264</v>
      </c>
      <c r="CP1466" t="s">
        <v>265</v>
      </c>
      <c r="CQ1466" t="s">
        <v>878</v>
      </c>
      <c r="DB1466">
        <v>4</v>
      </c>
      <c r="DG1466" t="s">
        <v>267</v>
      </c>
      <c r="DI1466">
        <v>96</v>
      </c>
      <c r="DN1466" t="s">
        <v>268</v>
      </c>
      <c r="DR1466">
        <v>98082</v>
      </c>
      <c r="DS1466">
        <v>2125</v>
      </c>
      <c r="DT1466" t="s">
        <v>1367</v>
      </c>
      <c r="EW1466" t="s">
        <v>333</v>
      </c>
      <c r="FM1466">
        <v>13.9</v>
      </c>
      <c r="FR1466" t="s">
        <v>295</v>
      </c>
      <c r="GH1466">
        <v>6.9</v>
      </c>
      <c r="GM1466" t="s">
        <v>356</v>
      </c>
      <c r="GO1466">
        <v>7.9</v>
      </c>
      <c r="GU1466">
        <v>30.1</v>
      </c>
      <c r="GZ1466" t="s">
        <v>296</v>
      </c>
      <c r="HH1466" t="s">
        <v>272</v>
      </c>
      <c r="IE1466" t="s">
        <v>1368</v>
      </c>
      <c r="IF1466">
        <v>2264</v>
      </c>
      <c r="IG1466" t="s">
        <v>1369</v>
      </c>
      <c r="IH1466" t="s">
        <v>1370</v>
      </c>
      <c r="II1466">
        <v>1989</v>
      </c>
      <c r="IJ1466" t="s">
        <v>1371</v>
      </c>
    </row>
    <row r="1467" spans="1:244" x14ac:dyDescent="0.45">
      <c r="A1467">
        <v>1079010</v>
      </c>
      <c r="B1467">
        <v>371</v>
      </c>
      <c r="C1467">
        <v>7761888</v>
      </c>
      <c r="D1467" t="s">
        <v>3141</v>
      </c>
      <c r="F1467" t="s">
        <v>245</v>
      </c>
      <c r="G1467" t="s">
        <v>246</v>
      </c>
      <c r="N1467" t="s">
        <v>916</v>
      </c>
      <c r="O1467" t="s">
        <v>917</v>
      </c>
      <c r="P1467" t="s">
        <v>249</v>
      </c>
      <c r="Q1467" t="s">
        <v>250</v>
      </c>
      <c r="R1467" t="s">
        <v>251</v>
      </c>
      <c r="T1467" t="s">
        <v>252</v>
      </c>
      <c r="U1467" t="s">
        <v>253</v>
      </c>
      <c r="V1467" t="s">
        <v>304</v>
      </c>
      <c r="W1467" t="s">
        <v>305</v>
      </c>
      <c r="X1467" t="s">
        <v>918</v>
      </c>
      <c r="Z1467" t="s">
        <v>315</v>
      </c>
      <c r="AM1467" t="s">
        <v>317</v>
      </c>
      <c r="AN1467" t="s">
        <v>259</v>
      </c>
      <c r="AO1467" t="s">
        <v>260</v>
      </c>
      <c r="AQ1467" t="s">
        <v>261</v>
      </c>
      <c r="AS1467">
        <v>6350</v>
      </c>
      <c r="AX1467" t="s">
        <v>262</v>
      </c>
      <c r="BO1467" t="s">
        <v>261</v>
      </c>
      <c r="BQ1467">
        <v>6.35</v>
      </c>
      <c r="BV1467" t="s">
        <v>263</v>
      </c>
      <c r="CM1467" t="s">
        <v>264</v>
      </c>
      <c r="CN1467" t="s">
        <v>264</v>
      </c>
      <c r="CP1467" t="s">
        <v>265</v>
      </c>
      <c r="CQ1467" t="s">
        <v>878</v>
      </c>
      <c r="DB1467">
        <v>4</v>
      </c>
      <c r="DG1467" t="s">
        <v>267</v>
      </c>
      <c r="DI1467">
        <v>96</v>
      </c>
      <c r="DN1467" t="s">
        <v>268</v>
      </c>
      <c r="DR1467">
        <v>645159</v>
      </c>
      <c r="DS1467">
        <v>730</v>
      </c>
      <c r="EW1467" t="s">
        <v>271</v>
      </c>
      <c r="FM1467">
        <v>15</v>
      </c>
      <c r="FR1467" t="s">
        <v>295</v>
      </c>
      <c r="GO1467">
        <v>7.8</v>
      </c>
      <c r="HH1467" t="s">
        <v>272</v>
      </c>
      <c r="IE1467" t="s">
        <v>3147</v>
      </c>
      <c r="IF1467">
        <v>6097</v>
      </c>
      <c r="IG1467" t="s">
        <v>3152</v>
      </c>
      <c r="IH1467" t="s">
        <v>3153</v>
      </c>
      <c r="II1467">
        <v>1976</v>
      </c>
      <c r="IJ1467" t="s">
        <v>3154</v>
      </c>
    </row>
    <row r="1468" spans="1:244" x14ac:dyDescent="0.45">
      <c r="A1468">
        <v>1053852</v>
      </c>
      <c r="B1468">
        <v>194143</v>
      </c>
      <c r="C1468">
        <v>7761888</v>
      </c>
      <c r="D1468" t="s">
        <v>3141</v>
      </c>
      <c r="F1468" t="s">
        <v>245</v>
      </c>
      <c r="G1468" t="s">
        <v>246</v>
      </c>
      <c r="N1468" t="s">
        <v>1492</v>
      </c>
      <c r="O1468" t="s">
        <v>1493</v>
      </c>
      <c r="P1468" t="s">
        <v>249</v>
      </c>
      <c r="Q1468" t="s">
        <v>250</v>
      </c>
      <c r="R1468" t="s">
        <v>251</v>
      </c>
      <c r="T1468" t="s">
        <v>252</v>
      </c>
      <c r="U1468" t="s">
        <v>253</v>
      </c>
      <c r="V1468" t="s">
        <v>281</v>
      </c>
      <c r="W1468" t="s">
        <v>282</v>
      </c>
      <c r="X1468" t="s">
        <v>1494</v>
      </c>
      <c r="Z1468" t="s">
        <v>1046</v>
      </c>
      <c r="AB1468">
        <v>1</v>
      </c>
      <c r="AG1468" t="s">
        <v>598</v>
      </c>
      <c r="AM1468" t="s">
        <v>317</v>
      </c>
      <c r="AN1468" t="s">
        <v>259</v>
      </c>
      <c r="AO1468" t="s">
        <v>260</v>
      </c>
      <c r="AQ1468" t="s">
        <v>261</v>
      </c>
      <c r="AS1468">
        <v>33.1</v>
      </c>
      <c r="AU1468">
        <v>15.5</v>
      </c>
      <c r="AW1468">
        <v>87.2</v>
      </c>
      <c r="AX1468" t="s">
        <v>262</v>
      </c>
      <c r="BO1468" t="s">
        <v>261</v>
      </c>
      <c r="BQ1468">
        <v>3.3099999999999997E-2</v>
      </c>
      <c r="BS1468">
        <v>1.55E-2</v>
      </c>
      <c r="BU1468">
        <v>8.72E-2</v>
      </c>
      <c r="BV1468" t="s">
        <v>263</v>
      </c>
      <c r="CM1468" t="s">
        <v>264</v>
      </c>
      <c r="CN1468" t="s">
        <v>264</v>
      </c>
      <c r="CP1468" t="s">
        <v>265</v>
      </c>
      <c r="CQ1468" t="s">
        <v>878</v>
      </c>
      <c r="DB1468">
        <v>4</v>
      </c>
      <c r="DG1468" t="s">
        <v>267</v>
      </c>
      <c r="DI1468">
        <v>96</v>
      </c>
      <c r="DN1468" t="s">
        <v>268</v>
      </c>
      <c r="DR1468">
        <v>29965</v>
      </c>
      <c r="DS1468">
        <v>339</v>
      </c>
      <c r="EW1468" t="s">
        <v>272</v>
      </c>
      <c r="FM1468">
        <v>8.5</v>
      </c>
      <c r="FR1468" t="s">
        <v>295</v>
      </c>
      <c r="GO1468">
        <v>8.1</v>
      </c>
      <c r="GU1468">
        <v>30</v>
      </c>
      <c r="GZ1468" t="s">
        <v>296</v>
      </c>
      <c r="HH1468" t="s">
        <v>272</v>
      </c>
      <c r="IE1468" t="s">
        <v>1472</v>
      </c>
      <c r="IF1468">
        <v>3752</v>
      </c>
      <c r="IG1468" t="s">
        <v>1473</v>
      </c>
      <c r="IH1468" t="s">
        <v>1474</v>
      </c>
      <c r="II1468">
        <v>1983</v>
      </c>
      <c r="IJ1468" t="s">
        <v>1475</v>
      </c>
    </row>
    <row r="1469" spans="1:244" x14ac:dyDescent="0.45">
      <c r="A1469">
        <v>1079011</v>
      </c>
      <c r="B1469">
        <v>1655</v>
      </c>
      <c r="C1469">
        <v>7761888</v>
      </c>
      <c r="D1469" t="s">
        <v>3141</v>
      </c>
      <c r="F1469" t="s">
        <v>245</v>
      </c>
      <c r="G1469" t="s">
        <v>246</v>
      </c>
      <c r="N1469" t="s">
        <v>916</v>
      </c>
      <c r="O1469" t="s">
        <v>917</v>
      </c>
      <c r="P1469" t="s">
        <v>249</v>
      </c>
      <c r="Q1469" t="s">
        <v>250</v>
      </c>
      <c r="R1469" t="s">
        <v>251</v>
      </c>
      <c r="T1469" t="s">
        <v>252</v>
      </c>
      <c r="U1469" t="s">
        <v>253</v>
      </c>
      <c r="V1469" t="s">
        <v>304</v>
      </c>
      <c r="W1469" t="s">
        <v>305</v>
      </c>
      <c r="X1469" t="s">
        <v>918</v>
      </c>
      <c r="AL1469" t="s">
        <v>3143</v>
      </c>
      <c r="AM1469" t="s">
        <v>317</v>
      </c>
      <c r="AN1469" t="s">
        <v>259</v>
      </c>
      <c r="AO1469" t="s">
        <v>260</v>
      </c>
      <c r="AQ1469" t="s">
        <v>261</v>
      </c>
      <c r="AU1469">
        <v>127</v>
      </c>
      <c r="AW1469">
        <v>3175</v>
      </c>
      <c r="AX1469" t="s">
        <v>262</v>
      </c>
      <c r="BO1469" t="s">
        <v>261</v>
      </c>
      <c r="BS1469">
        <v>0.127</v>
      </c>
      <c r="BU1469">
        <v>3.1749999999999998</v>
      </c>
      <c r="BV1469" t="s">
        <v>263</v>
      </c>
      <c r="CM1469" t="s">
        <v>264</v>
      </c>
      <c r="CN1469" t="s">
        <v>264</v>
      </c>
      <c r="CP1469" t="s">
        <v>265</v>
      </c>
      <c r="CQ1469" t="s">
        <v>878</v>
      </c>
      <c r="DB1469">
        <v>4</v>
      </c>
      <c r="DG1469" t="s">
        <v>267</v>
      </c>
      <c r="DI1469">
        <v>96</v>
      </c>
      <c r="DN1469" t="s">
        <v>268</v>
      </c>
      <c r="DR1469">
        <v>645159</v>
      </c>
      <c r="DS1469">
        <v>730</v>
      </c>
      <c r="EW1469" t="s">
        <v>271</v>
      </c>
      <c r="FM1469">
        <v>15</v>
      </c>
      <c r="FR1469" t="s">
        <v>295</v>
      </c>
      <c r="GO1469">
        <v>7.8</v>
      </c>
      <c r="HH1469" t="s">
        <v>272</v>
      </c>
      <c r="IE1469" t="s">
        <v>3147</v>
      </c>
      <c r="IF1469">
        <v>6097</v>
      </c>
      <c r="IG1469" t="s">
        <v>3152</v>
      </c>
      <c r="IH1469" t="s">
        <v>3153</v>
      </c>
      <c r="II1469">
        <v>1976</v>
      </c>
      <c r="IJ1469" t="s">
        <v>3154</v>
      </c>
    </row>
    <row r="1470" spans="1:244" x14ac:dyDescent="0.45">
      <c r="A1470">
        <v>1054966</v>
      </c>
      <c r="B1470">
        <v>220853</v>
      </c>
      <c r="C1470">
        <v>7761888</v>
      </c>
      <c r="D1470" t="s">
        <v>3141</v>
      </c>
      <c r="F1470" t="s">
        <v>245</v>
      </c>
      <c r="G1470" t="s">
        <v>246</v>
      </c>
      <c r="N1470" t="s">
        <v>369</v>
      </c>
      <c r="O1470" t="s">
        <v>370</v>
      </c>
      <c r="P1470" t="s">
        <v>249</v>
      </c>
      <c r="Q1470" t="s">
        <v>250</v>
      </c>
      <c r="R1470" t="s">
        <v>251</v>
      </c>
      <c r="T1470" t="s">
        <v>252</v>
      </c>
      <c r="U1470" t="s">
        <v>371</v>
      </c>
      <c r="V1470" t="s">
        <v>372</v>
      </c>
      <c r="W1470" t="s">
        <v>373</v>
      </c>
      <c r="X1470" t="s">
        <v>374</v>
      </c>
      <c r="Z1470" t="s">
        <v>649</v>
      </c>
      <c r="AB1470">
        <v>1</v>
      </c>
      <c r="AG1470" t="s">
        <v>267</v>
      </c>
      <c r="AM1470" t="s">
        <v>307</v>
      </c>
      <c r="AN1470" t="s">
        <v>259</v>
      </c>
      <c r="AO1470" t="s">
        <v>260</v>
      </c>
      <c r="AQ1470" t="s">
        <v>261</v>
      </c>
      <c r="AS1470">
        <v>249.3</v>
      </c>
      <c r="AU1470">
        <v>220.3</v>
      </c>
      <c r="AW1470">
        <v>282.8</v>
      </c>
      <c r="AX1470" t="s">
        <v>290</v>
      </c>
      <c r="BO1470" t="s">
        <v>261</v>
      </c>
      <c r="BQ1470">
        <v>0.24929999999999999</v>
      </c>
      <c r="BS1470">
        <v>0.2203</v>
      </c>
      <c r="BU1470">
        <v>0.2828</v>
      </c>
      <c r="BV1470" t="s">
        <v>263</v>
      </c>
      <c r="CM1470" t="s">
        <v>264</v>
      </c>
      <c r="CN1470" t="s">
        <v>264</v>
      </c>
      <c r="CP1470" t="s">
        <v>265</v>
      </c>
      <c r="CQ1470" t="s">
        <v>878</v>
      </c>
      <c r="DB1470">
        <v>4</v>
      </c>
      <c r="DG1470" t="s">
        <v>267</v>
      </c>
      <c r="DI1470">
        <v>96</v>
      </c>
      <c r="DN1470" t="s">
        <v>268</v>
      </c>
      <c r="DR1470">
        <v>110441</v>
      </c>
      <c r="DS1470">
        <v>142</v>
      </c>
      <c r="EW1470" t="s">
        <v>293</v>
      </c>
      <c r="FM1470">
        <v>21</v>
      </c>
      <c r="FR1470" t="s">
        <v>295</v>
      </c>
      <c r="GU1470">
        <v>30</v>
      </c>
      <c r="GZ1470" t="s">
        <v>296</v>
      </c>
      <c r="HH1470" t="s">
        <v>272</v>
      </c>
      <c r="IE1470" t="s">
        <v>725</v>
      </c>
      <c r="IF1470">
        <v>3825</v>
      </c>
      <c r="IG1470" t="s">
        <v>726</v>
      </c>
      <c r="IH1470" t="s">
        <v>727</v>
      </c>
      <c r="II1470">
        <v>1985</v>
      </c>
      <c r="IJ1470" t="s">
        <v>728</v>
      </c>
    </row>
    <row r="1471" spans="1:244" x14ac:dyDescent="0.45">
      <c r="A1471">
        <v>1053603</v>
      </c>
      <c r="B1471">
        <v>126399</v>
      </c>
      <c r="C1471">
        <v>7761888</v>
      </c>
      <c r="D1471" t="s">
        <v>3141</v>
      </c>
      <c r="F1471" t="s">
        <v>245</v>
      </c>
      <c r="G1471" t="s">
        <v>246</v>
      </c>
      <c r="N1471" t="s">
        <v>369</v>
      </c>
      <c r="O1471" t="s">
        <v>370</v>
      </c>
      <c r="P1471" t="s">
        <v>249</v>
      </c>
      <c r="Q1471" t="s">
        <v>250</v>
      </c>
      <c r="R1471" t="s">
        <v>251</v>
      </c>
      <c r="T1471" t="s">
        <v>252</v>
      </c>
      <c r="U1471" t="s">
        <v>371</v>
      </c>
      <c r="V1471" t="s">
        <v>372</v>
      </c>
      <c r="W1471" t="s">
        <v>373</v>
      </c>
      <c r="X1471" t="s">
        <v>374</v>
      </c>
      <c r="AA1471" t="s">
        <v>289</v>
      </c>
      <c r="AB1471">
        <v>2</v>
      </c>
      <c r="AG1471" t="s">
        <v>267</v>
      </c>
      <c r="AM1471" t="s">
        <v>307</v>
      </c>
      <c r="AN1471" t="s">
        <v>259</v>
      </c>
      <c r="AO1471" t="s">
        <v>260</v>
      </c>
      <c r="AQ1471" t="s">
        <v>261</v>
      </c>
      <c r="AS1471">
        <v>248</v>
      </c>
      <c r="AU1471">
        <v>219</v>
      </c>
      <c r="AW1471">
        <v>282</v>
      </c>
      <c r="AX1471" t="s">
        <v>262</v>
      </c>
      <c r="BO1471" t="s">
        <v>261</v>
      </c>
      <c r="BQ1471">
        <v>0.248</v>
      </c>
      <c r="BS1471">
        <v>0.219</v>
      </c>
      <c r="BU1471">
        <v>0.28199999999999997</v>
      </c>
      <c r="BV1471" t="s">
        <v>263</v>
      </c>
      <c r="CM1471" t="s">
        <v>264</v>
      </c>
      <c r="CN1471" t="s">
        <v>264</v>
      </c>
      <c r="CP1471" t="s">
        <v>265</v>
      </c>
      <c r="CQ1471" t="s">
        <v>878</v>
      </c>
      <c r="DB1471">
        <v>4</v>
      </c>
      <c r="DG1471" t="s">
        <v>267</v>
      </c>
      <c r="DI1471">
        <v>96</v>
      </c>
      <c r="DN1471" t="s">
        <v>268</v>
      </c>
      <c r="DP1471" t="s">
        <v>3155</v>
      </c>
      <c r="DR1471">
        <v>110441</v>
      </c>
      <c r="DS1471">
        <v>142</v>
      </c>
      <c r="EW1471" t="s">
        <v>333</v>
      </c>
      <c r="FA1471" t="s">
        <v>3156</v>
      </c>
      <c r="FK1471" t="s">
        <v>3157</v>
      </c>
      <c r="FM1471">
        <v>22</v>
      </c>
      <c r="FR1471" t="s">
        <v>295</v>
      </c>
      <c r="GG1471" t="s">
        <v>288</v>
      </c>
      <c r="GH1471">
        <v>50</v>
      </c>
      <c r="GM1471" t="s">
        <v>900</v>
      </c>
      <c r="GU1471">
        <v>28</v>
      </c>
      <c r="GZ1471" t="s">
        <v>296</v>
      </c>
      <c r="HH1471" t="s">
        <v>272</v>
      </c>
      <c r="ID1471" t="s">
        <v>3158</v>
      </c>
      <c r="IE1471" t="s">
        <v>3159</v>
      </c>
      <c r="IF1471">
        <v>3740</v>
      </c>
      <c r="IG1471" t="s">
        <v>3160</v>
      </c>
      <c r="IH1471" t="s">
        <v>3161</v>
      </c>
      <c r="II1471">
        <v>1981</v>
      </c>
      <c r="IJ1471" t="s">
        <v>3162</v>
      </c>
    </row>
    <row r="1472" spans="1:244" x14ac:dyDescent="0.45">
      <c r="A1472">
        <v>1053593</v>
      </c>
      <c r="B1472">
        <v>126389</v>
      </c>
      <c r="C1472">
        <v>7761888</v>
      </c>
      <c r="D1472" t="s">
        <v>3141</v>
      </c>
      <c r="F1472" t="s">
        <v>245</v>
      </c>
      <c r="G1472" t="s">
        <v>246</v>
      </c>
      <c r="N1472" t="s">
        <v>369</v>
      </c>
      <c r="O1472" t="s">
        <v>370</v>
      </c>
      <c r="P1472" t="s">
        <v>249</v>
      </c>
      <c r="Q1472" t="s">
        <v>250</v>
      </c>
      <c r="R1472" t="s">
        <v>251</v>
      </c>
      <c r="T1472" t="s">
        <v>252</v>
      </c>
      <c r="U1472" t="s">
        <v>371</v>
      </c>
      <c r="V1472" t="s">
        <v>372</v>
      </c>
      <c r="W1472" t="s">
        <v>373</v>
      </c>
      <c r="X1472" t="s">
        <v>374</v>
      </c>
      <c r="AA1472" t="s">
        <v>289</v>
      </c>
      <c r="AB1472">
        <v>2</v>
      </c>
      <c r="AG1472" t="s">
        <v>267</v>
      </c>
      <c r="AM1472" t="s">
        <v>317</v>
      </c>
      <c r="AN1472" t="s">
        <v>259</v>
      </c>
      <c r="AO1472" t="s">
        <v>260</v>
      </c>
      <c r="AQ1472" t="s">
        <v>261</v>
      </c>
      <c r="AS1472">
        <v>264</v>
      </c>
      <c r="AU1472">
        <v>229</v>
      </c>
      <c r="AW1472">
        <v>307</v>
      </c>
      <c r="AX1472" t="s">
        <v>262</v>
      </c>
      <c r="BO1472" t="s">
        <v>261</v>
      </c>
      <c r="BQ1472">
        <v>0.26400000000000001</v>
      </c>
      <c r="BS1472">
        <v>0.22900000000000001</v>
      </c>
      <c r="BU1472">
        <v>0.307</v>
      </c>
      <c r="BV1472" t="s">
        <v>263</v>
      </c>
      <c r="CM1472" t="s">
        <v>264</v>
      </c>
      <c r="CN1472" t="s">
        <v>264</v>
      </c>
      <c r="CP1472" t="s">
        <v>265</v>
      </c>
      <c r="CQ1472" t="s">
        <v>878</v>
      </c>
      <c r="DB1472">
        <v>4</v>
      </c>
      <c r="DG1472" t="s">
        <v>267</v>
      </c>
      <c r="DI1472">
        <v>96</v>
      </c>
      <c r="DN1472" t="s">
        <v>268</v>
      </c>
      <c r="DP1472" t="s">
        <v>3155</v>
      </c>
      <c r="DR1472">
        <v>110441</v>
      </c>
      <c r="DS1472">
        <v>142</v>
      </c>
      <c r="EW1472" t="s">
        <v>333</v>
      </c>
      <c r="FA1472" t="s">
        <v>3156</v>
      </c>
      <c r="FK1472" t="s">
        <v>1014</v>
      </c>
      <c r="FM1472">
        <v>22</v>
      </c>
      <c r="FR1472" t="s">
        <v>295</v>
      </c>
      <c r="GG1472" t="s">
        <v>288</v>
      </c>
      <c r="GH1472">
        <v>50</v>
      </c>
      <c r="GM1472" t="s">
        <v>900</v>
      </c>
      <c r="GU1472">
        <v>28</v>
      </c>
      <c r="GZ1472" t="s">
        <v>296</v>
      </c>
      <c r="HH1472" t="s">
        <v>272</v>
      </c>
      <c r="ID1472" t="s">
        <v>1015</v>
      </c>
      <c r="IE1472" t="s">
        <v>3159</v>
      </c>
      <c r="IF1472">
        <v>3740</v>
      </c>
      <c r="IG1472" t="s">
        <v>3160</v>
      </c>
      <c r="IH1472" t="s">
        <v>3161</v>
      </c>
      <c r="II1472">
        <v>1981</v>
      </c>
      <c r="IJ1472" t="s">
        <v>3162</v>
      </c>
    </row>
    <row r="1473" spans="1:244" x14ac:dyDescent="0.45">
      <c r="A1473">
        <v>1053709</v>
      </c>
      <c r="B1473">
        <v>194900</v>
      </c>
      <c r="C1473">
        <v>7761888</v>
      </c>
      <c r="D1473" t="s">
        <v>3141</v>
      </c>
      <c r="F1473" t="s">
        <v>272</v>
      </c>
      <c r="G1473" t="s">
        <v>246</v>
      </c>
      <c r="N1473" t="s">
        <v>369</v>
      </c>
      <c r="O1473" t="s">
        <v>370</v>
      </c>
      <c r="P1473" t="s">
        <v>249</v>
      </c>
      <c r="Q1473" t="s">
        <v>250</v>
      </c>
      <c r="R1473" t="s">
        <v>251</v>
      </c>
      <c r="T1473" t="s">
        <v>252</v>
      </c>
      <c r="U1473" t="s">
        <v>371</v>
      </c>
      <c r="V1473" t="s">
        <v>372</v>
      </c>
      <c r="W1473" t="s">
        <v>373</v>
      </c>
      <c r="X1473" t="s">
        <v>374</v>
      </c>
      <c r="Z1473" t="s">
        <v>649</v>
      </c>
      <c r="AB1473">
        <v>1</v>
      </c>
      <c r="AG1473" t="s">
        <v>267</v>
      </c>
      <c r="AM1473" t="s">
        <v>307</v>
      </c>
      <c r="AN1473" t="s">
        <v>259</v>
      </c>
      <c r="AO1473" t="s">
        <v>260</v>
      </c>
      <c r="AQ1473" t="s">
        <v>261</v>
      </c>
      <c r="AS1473">
        <v>249.3</v>
      </c>
      <c r="AU1473">
        <v>220.3</v>
      </c>
      <c r="AW1473">
        <v>282.8</v>
      </c>
      <c r="AX1473" t="s">
        <v>262</v>
      </c>
      <c r="BO1473" t="s">
        <v>261</v>
      </c>
      <c r="BQ1473">
        <v>0.24929999999999999</v>
      </c>
      <c r="BS1473">
        <v>0.2203</v>
      </c>
      <c r="BU1473">
        <v>0.2828</v>
      </c>
      <c r="BV1473" t="s">
        <v>263</v>
      </c>
      <c r="CM1473" t="s">
        <v>264</v>
      </c>
      <c r="CN1473" t="s">
        <v>264</v>
      </c>
      <c r="CP1473" t="s">
        <v>265</v>
      </c>
      <c r="DB1473">
        <v>4</v>
      </c>
      <c r="DG1473" t="s">
        <v>267</v>
      </c>
      <c r="DI1473">
        <v>96</v>
      </c>
      <c r="DN1473" t="s">
        <v>268</v>
      </c>
      <c r="DR1473">
        <v>110441</v>
      </c>
      <c r="DS1473">
        <v>142</v>
      </c>
      <c r="EW1473" t="s">
        <v>293</v>
      </c>
      <c r="FM1473">
        <v>21</v>
      </c>
      <c r="FR1473" t="s">
        <v>295</v>
      </c>
      <c r="GU1473">
        <v>30</v>
      </c>
      <c r="GZ1473" t="s">
        <v>296</v>
      </c>
      <c r="HH1473" t="s">
        <v>272</v>
      </c>
      <c r="IE1473" t="s">
        <v>740</v>
      </c>
      <c r="IF1473">
        <v>3751</v>
      </c>
      <c r="IG1473" t="s">
        <v>741</v>
      </c>
      <c r="IH1473" t="s">
        <v>742</v>
      </c>
      <c r="II1473">
        <v>1980</v>
      </c>
      <c r="IJ1473" t="s">
        <v>743</v>
      </c>
    </row>
    <row r="1474" spans="1:244" x14ac:dyDescent="0.45">
      <c r="A1474">
        <v>1053601</v>
      </c>
      <c r="B1474">
        <v>126397</v>
      </c>
      <c r="C1474">
        <v>7761888</v>
      </c>
      <c r="D1474" t="s">
        <v>3141</v>
      </c>
      <c r="F1474" t="s">
        <v>245</v>
      </c>
      <c r="G1474" t="s">
        <v>246</v>
      </c>
      <c r="N1474" t="s">
        <v>369</v>
      </c>
      <c r="O1474" t="s">
        <v>370</v>
      </c>
      <c r="P1474" t="s">
        <v>249</v>
      </c>
      <c r="Q1474" t="s">
        <v>250</v>
      </c>
      <c r="R1474" t="s">
        <v>251</v>
      </c>
      <c r="T1474" t="s">
        <v>252</v>
      </c>
      <c r="U1474" t="s">
        <v>371</v>
      </c>
      <c r="V1474" t="s">
        <v>372</v>
      </c>
      <c r="W1474" t="s">
        <v>373</v>
      </c>
      <c r="X1474" t="s">
        <v>374</v>
      </c>
      <c r="AD1474">
        <v>6</v>
      </c>
      <c r="AF1474">
        <v>8</v>
      </c>
      <c r="AG1474" t="s">
        <v>267</v>
      </c>
      <c r="AM1474" t="s">
        <v>307</v>
      </c>
      <c r="AN1474" t="s">
        <v>259</v>
      </c>
      <c r="AO1474" t="s">
        <v>260</v>
      </c>
      <c r="AQ1474" t="s">
        <v>261</v>
      </c>
      <c r="AS1474">
        <v>168</v>
      </c>
      <c r="AU1474">
        <v>138</v>
      </c>
      <c r="AW1474">
        <v>209</v>
      </c>
      <c r="AX1474" t="s">
        <v>262</v>
      </c>
      <c r="BO1474" t="s">
        <v>261</v>
      </c>
      <c r="BQ1474">
        <v>0.16800000000000001</v>
      </c>
      <c r="BS1474">
        <v>0.13800000000000001</v>
      </c>
      <c r="BU1474">
        <v>0.20899999999999999</v>
      </c>
      <c r="BV1474" t="s">
        <v>263</v>
      </c>
      <c r="CM1474" t="s">
        <v>264</v>
      </c>
      <c r="CN1474" t="s">
        <v>264</v>
      </c>
      <c r="CP1474" t="s">
        <v>265</v>
      </c>
      <c r="CQ1474" t="s">
        <v>878</v>
      </c>
      <c r="DB1474">
        <v>4</v>
      </c>
      <c r="DG1474" t="s">
        <v>267</v>
      </c>
      <c r="DI1474">
        <v>96</v>
      </c>
      <c r="DN1474" t="s">
        <v>268</v>
      </c>
      <c r="DP1474" t="s">
        <v>3155</v>
      </c>
      <c r="DR1474">
        <v>110441</v>
      </c>
      <c r="DS1474">
        <v>142</v>
      </c>
      <c r="EW1474" t="s">
        <v>333</v>
      </c>
      <c r="FA1474" t="s">
        <v>3156</v>
      </c>
      <c r="FK1474" t="s">
        <v>1014</v>
      </c>
      <c r="FM1474">
        <v>22</v>
      </c>
      <c r="FR1474" t="s">
        <v>295</v>
      </c>
      <c r="GG1474" t="s">
        <v>288</v>
      </c>
      <c r="GH1474">
        <v>50</v>
      </c>
      <c r="GM1474" t="s">
        <v>900</v>
      </c>
      <c r="GU1474">
        <v>28</v>
      </c>
      <c r="GZ1474" t="s">
        <v>296</v>
      </c>
      <c r="HH1474" t="s">
        <v>272</v>
      </c>
      <c r="ID1474" t="s">
        <v>1015</v>
      </c>
      <c r="IE1474" t="s">
        <v>3159</v>
      </c>
      <c r="IF1474">
        <v>3740</v>
      </c>
      <c r="IG1474" t="s">
        <v>3160</v>
      </c>
      <c r="IH1474" t="s">
        <v>3161</v>
      </c>
      <c r="II1474">
        <v>1981</v>
      </c>
      <c r="IJ1474" t="s">
        <v>3162</v>
      </c>
    </row>
    <row r="1475" spans="1:244" x14ac:dyDescent="0.45">
      <c r="A1475">
        <v>1053588</v>
      </c>
      <c r="B1475">
        <v>126384</v>
      </c>
      <c r="C1475">
        <v>7761888</v>
      </c>
      <c r="D1475" t="s">
        <v>3141</v>
      </c>
      <c r="F1475" t="s">
        <v>245</v>
      </c>
      <c r="G1475" t="s">
        <v>246</v>
      </c>
      <c r="N1475" t="s">
        <v>630</v>
      </c>
      <c r="O1475" t="s">
        <v>631</v>
      </c>
      <c r="P1475" t="s">
        <v>249</v>
      </c>
      <c r="Q1475" t="s">
        <v>250</v>
      </c>
      <c r="R1475" t="s">
        <v>251</v>
      </c>
      <c r="T1475" t="s">
        <v>389</v>
      </c>
      <c r="U1475" t="s">
        <v>632</v>
      </c>
      <c r="V1475" t="s">
        <v>633</v>
      </c>
      <c r="W1475" t="s">
        <v>634</v>
      </c>
      <c r="X1475" t="s">
        <v>635</v>
      </c>
      <c r="AM1475" t="s">
        <v>317</v>
      </c>
      <c r="AN1475" t="s">
        <v>259</v>
      </c>
      <c r="AO1475" t="s">
        <v>260</v>
      </c>
      <c r="AQ1475" t="s">
        <v>261</v>
      </c>
      <c r="AS1475">
        <v>30.9</v>
      </c>
      <c r="AU1475">
        <v>22.3</v>
      </c>
      <c r="AW1475">
        <v>46.7</v>
      </c>
      <c r="AX1475" t="s">
        <v>262</v>
      </c>
      <c r="BO1475" t="s">
        <v>261</v>
      </c>
      <c r="BQ1475">
        <v>3.09E-2</v>
      </c>
      <c r="BS1475">
        <v>2.23E-2</v>
      </c>
      <c r="BU1475">
        <v>4.6699999999999998E-2</v>
      </c>
      <c r="BV1475" t="s">
        <v>263</v>
      </c>
      <c r="CM1475" t="s">
        <v>264</v>
      </c>
      <c r="CN1475" t="s">
        <v>264</v>
      </c>
      <c r="CP1475" t="s">
        <v>265</v>
      </c>
      <c r="CQ1475" t="s">
        <v>878</v>
      </c>
      <c r="DB1475">
        <v>4</v>
      </c>
      <c r="DG1475" t="s">
        <v>267</v>
      </c>
      <c r="DI1475">
        <v>96</v>
      </c>
      <c r="DN1475" t="s">
        <v>268</v>
      </c>
      <c r="DP1475" t="s">
        <v>3155</v>
      </c>
      <c r="DR1475">
        <v>136180</v>
      </c>
      <c r="DS1475">
        <v>376</v>
      </c>
      <c r="EW1475" t="s">
        <v>638</v>
      </c>
      <c r="FA1475" t="s">
        <v>3156</v>
      </c>
      <c r="FK1475" t="s">
        <v>1014</v>
      </c>
      <c r="FM1475">
        <v>22</v>
      </c>
      <c r="FR1475" t="s">
        <v>295</v>
      </c>
      <c r="GG1475" t="s">
        <v>288</v>
      </c>
      <c r="GH1475">
        <v>50</v>
      </c>
      <c r="GM1475" t="s">
        <v>900</v>
      </c>
      <c r="GU1475">
        <v>28</v>
      </c>
      <c r="GZ1475" t="s">
        <v>296</v>
      </c>
      <c r="HH1475" t="s">
        <v>272</v>
      </c>
      <c r="ID1475" t="s">
        <v>1015</v>
      </c>
      <c r="IE1475" t="s">
        <v>3159</v>
      </c>
      <c r="IF1475">
        <v>3740</v>
      </c>
      <c r="IG1475" t="s">
        <v>3160</v>
      </c>
      <c r="IH1475" t="s">
        <v>3161</v>
      </c>
      <c r="II1475">
        <v>1981</v>
      </c>
      <c r="IJ1475" t="s">
        <v>3162</v>
      </c>
    </row>
    <row r="1476" spans="1:244" x14ac:dyDescent="0.45">
      <c r="A1476">
        <v>1285141</v>
      </c>
      <c r="B1476">
        <v>739206</v>
      </c>
      <c r="C1476">
        <v>7761888</v>
      </c>
      <c r="D1476" t="s">
        <v>3141</v>
      </c>
      <c r="F1476" t="s">
        <v>327</v>
      </c>
      <c r="G1476" t="s">
        <v>246</v>
      </c>
      <c r="I1476">
        <v>99.9</v>
      </c>
      <c r="N1476" t="s">
        <v>369</v>
      </c>
      <c r="O1476" t="s">
        <v>370</v>
      </c>
      <c r="P1476" t="s">
        <v>249</v>
      </c>
      <c r="Q1476" t="s">
        <v>250</v>
      </c>
      <c r="R1476" t="s">
        <v>251</v>
      </c>
      <c r="T1476" t="s">
        <v>252</v>
      </c>
      <c r="U1476" t="s">
        <v>371</v>
      </c>
      <c r="V1476" t="s">
        <v>372</v>
      </c>
      <c r="W1476" t="s">
        <v>373</v>
      </c>
      <c r="X1476" t="s">
        <v>374</v>
      </c>
      <c r="AA1476" t="s">
        <v>289</v>
      </c>
      <c r="AB1476">
        <v>24</v>
      </c>
      <c r="AG1476" t="s">
        <v>268</v>
      </c>
      <c r="AM1476" t="s">
        <v>307</v>
      </c>
      <c r="AN1476" t="s">
        <v>259</v>
      </c>
      <c r="AO1476" t="s">
        <v>260</v>
      </c>
      <c r="AP1476">
        <v>6</v>
      </c>
      <c r="AQ1476" t="s">
        <v>504</v>
      </c>
      <c r="AS1476">
        <v>260</v>
      </c>
      <c r="AU1476">
        <v>120</v>
      </c>
      <c r="AW1476">
        <v>410</v>
      </c>
      <c r="AX1476" t="s">
        <v>262</v>
      </c>
      <c r="BO1476" t="s">
        <v>504</v>
      </c>
      <c r="BQ1476">
        <v>0.26</v>
      </c>
      <c r="BS1476">
        <v>0.12</v>
      </c>
      <c r="BU1476">
        <v>0.41</v>
      </c>
      <c r="BV1476" t="s">
        <v>263</v>
      </c>
      <c r="CM1476" t="s">
        <v>264</v>
      </c>
      <c r="CN1476" t="s">
        <v>264</v>
      </c>
      <c r="CP1476" t="s">
        <v>265</v>
      </c>
      <c r="CQ1476" t="s">
        <v>878</v>
      </c>
      <c r="DB1476">
        <v>4</v>
      </c>
      <c r="DG1476" t="s">
        <v>267</v>
      </c>
      <c r="DI1476">
        <v>96</v>
      </c>
      <c r="DN1476" t="s">
        <v>268</v>
      </c>
      <c r="DP1476" t="s">
        <v>3163</v>
      </c>
      <c r="DR1476">
        <v>110441</v>
      </c>
      <c r="DS1476">
        <v>142</v>
      </c>
      <c r="DT1476" t="s">
        <v>3164</v>
      </c>
      <c r="EW1476" t="s">
        <v>293</v>
      </c>
      <c r="FK1476" t="s">
        <v>3165</v>
      </c>
      <c r="FO1476">
        <v>26</v>
      </c>
      <c r="FQ1476">
        <v>28</v>
      </c>
      <c r="FR1476" t="s">
        <v>295</v>
      </c>
      <c r="GJ1476">
        <v>6.2</v>
      </c>
      <c r="GL1476">
        <v>7.9</v>
      </c>
      <c r="GM1476" t="s">
        <v>356</v>
      </c>
      <c r="GQ1476">
        <v>7.7</v>
      </c>
      <c r="GS1476">
        <v>8.1999999999999993</v>
      </c>
      <c r="GU1476">
        <v>20</v>
      </c>
      <c r="GZ1476" t="s">
        <v>296</v>
      </c>
      <c r="HH1476" t="s">
        <v>272</v>
      </c>
      <c r="ID1476" t="s">
        <v>3166</v>
      </c>
      <c r="IE1476" t="s">
        <v>3167</v>
      </c>
      <c r="IF1476">
        <v>65743</v>
      </c>
      <c r="IG1476" t="s">
        <v>3168</v>
      </c>
      <c r="IH1476" t="s">
        <v>3169</v>
      </c>
      <c r="II1476">
        <v>2002</v>
      </c>
      <c r="IJ1476" t="s">
        <v>3170</v>
      </c>
    </row>
    <row r="1477" spans="1:244" x14ac:dyDescent="0.45">
      <c r="A1477">
        <v>1053497</v>
      </c>
      <c r="B1477">
        <v>131936</v>
      </c>
      <c r="C1477">
        <v>7761888</v>
      </c>
      <c r="D1477" t="s">
        <v>3141</v>
      </c>
      <c r="F1477" t="s">
        <v>327</v>
      </c>
      <c r="G1477" t="s">
        <v>246</v>
      </c>
      <c r="N1477" t="s">
        <v>369</v>
      </c>
      <c r="O1477" t="s">
        <v>370</v>
      </c>
      <c r="P1477" t="s">
        <v>249</v>
      </c>
      <c r="Q1477" t="s">
        <v>250</v>
      </c>
      <c r="R1477" t="s">
        <v>251</v>
      </c>
      <c r="T1477" t="s">
        <v>252</v>
      </c>
      <c r="U1477" t="s">
        <v>371</v>
      </c>
      <c r="V1477" t="s">
        <v>372</v>
      </c>
      <c r="W1477" t="s">
        <v>373</v>
      </c>
      <c r="X1477" t="s">
        <v>374</v>
      </c>
      <c r="Z1477" t="s">
        <v>649</v>
      </c>
      <c r="AM1477" t="s">
        <v>307</v>
      </c>
      <c r="AN1477" t="s">
        <v>259</v>
      </c>
      <c r="AO1477" t="s">
        <v>260</v>
      </c>
      <c r="AQ1477" t="s">
        <v>261</v>
      </c>
      <c r="AS1477">
        <v>300</v>
      </c>
      <c r="AX1477" t="s">
        <v>262</v>
      </c>
      <c r="BO1477" t="s">
        <v>261</v>
      </c>
      <c r="BQ1477">
        <v>0.3</v>
      </c>
      <c r="BV1477" t="s">
        <v>263</v>
      </c>
      <c r="CM1477" t="s">
        <v>264</v>
      </c>
      <c r="CN1477" t="s">
        <v>264</v>
      </c>
      <c r="CP1477" t="s">
        <v>265</v>
      </c>
      <c r="DB1477">
        <v>4</v>
      </c>
      <c r="DG1477" t="s">
        <v>267</v>
      </c>
      <c r="DI1477">
        <v>96</v>
      </c>
      <c r="DN1477" t="s">
        <v>268</v>
      </c>
      <c r="DP1477" t="s">
        <v>3155</v>
      </c>
      <c r="DR1477">
        <v>110441</v>
      </c>
      <c r="DS1477">
        <v>142</v>
      </c>
      <c r="EW1477" t="s">
        <v>271</v>
      </c>
      <c r="FA1477" t="s">
        <v>3171</v>
      </c>
      <c r="FM1477">
        <v>25</v>
      </c>
      <c r="FR1477" t="s">
        <v>295</v>
      </c>
      <c r="GG1477" t="s">
        <v>288</v>
      </c>
      <c r="GH1477">
        <v>60</v>
      </c>
      <c r="GM1477" t="s">
        <v>900</v>
      </c>
      <c r="GW1477">
        <v>15</v>
      </c>
      <c r="GY1477">
        <v>30</v>
      </c>
      <c r="GZ1477" t="s">
        <v>296</v>
      </c>
      <c r="HH1477" t="s">
        <v>272</v>
      </c>
      <c r="IE1477" t="s">
        <v>3172</v>
      </c>
      <c r="IF1477">
        <v>3736</v>
      </c>
      <c r="IG1477" t="s">
        <v>3173</v>
      </c>
      <c r="IH1477" t="s">
        <v>3174</v>
      </c>
      <c r="II1477">
        <v>1982</v>
      </c>
      <c r="IJ1477" t="s">
        <v>3175</v>
      </c>
    </row>
    <row r="1478" spans="1:244" x14ac:dyDescent="0.45">
      <c r="A1478">
        <v>1053718</v>
      </c>
      <c r="B1478">
        <v>194909</v>
      </c>
      <c r="C1478">
        <v>7761888</v>
      </c>
      <c r="D1478" t="s">
        <v>3141</v>
      </c>
      <c r="F1478" t="s">
        <v>245</v>
      </c>
      <c r="G1478" t="s">
        <v>246</v>
      </c>
      <c r="N1478" t="s">
        <v>630</v>
      </c>
      <c r="O1478" t="s">
        <v>631</v>
      </c>
      <c r="P1478" t="s">
        <v>249</v>
      </c>
      <c r="Q1478" t="s">
        <v>250</v>
      </c>
      <c r="R1478" t="s">
        <v>251</v>
      </c>
      <c r="T1478" t="s">
        <v>389</v>
      </c>
      <c r="U1478" t="s">
        <v>632</v>
      </c>
      <c r="V1478" t="s">
        <v>633</v>
      </c>
      <c r="W1478" t="s">
        <v>634</v>
      </c>
      <c r="X1478" t="s">
        <v>635</v>
      </c>
      <c r="Z1478" t="s">
        <v>315</v>
      </c>
      <c r="AM1478" t="s">
        <v>317</v>
      </c>
      <c r="AN1478" t="s">
        <v>259</v>
      </c>
      <c r="AO1478" t="s">
        <v>260</v>
      </c>
      <c r="AQ1478" t="s">
        <v>261</v>
      </c>
      <c r="AS1478">
        <v>36.299999999999997</v>
      </c>
      <c r="AU1478">
        <v>21.8</v>
      </c>
      <c r="AW1478">
        <v>102</v>
      </c>
      <c r="AX1478" t="s">
        <v>262</v>
      </c>
      <c r="BO1478" t="s">
        <v>261</v>
      </c>
      <c r="BQ1478">
        <v>3.6299999999999999E-2</v>
      </c>
      <c r="BS1478">
        <v>2.18E-2</v>
      </c>
      <c r="BU1478">
        <v>0.10199999999999999</v>
      </c>
      <c r="BV1478" t="s">
        <v>263</v>
      </c>
      <c r="CM1478" t="s">
        <v>264</v>
      </c>
      <c r="CN1478" t="s">
        <v>264</v>
      </c>
      <c r="CP1478" t="s">
        <v>265</v>
      </c>
      <c r="DB1478">
        <v>4</v>
      </c>
      <c r="DG1478" t="s">
        <v>267</v>
      </c>
      <c r="DI1478">
        <v>96</v>
      </c>
      <c r="DN1478" t="s">
        <v>268</v>
      </c>
      <c r="DR1478">
        <v>136180</v>
      </c>
      <c r="DS1478">
        <v>376</v>
      </c>
      <c r="EW1478" t="s">
        <v>293</v>
      </c>
      <c r="FM1478">
        <v>20</v>
      </c>
      <c r="FR1478" t="s">
        <v>295</v>
      </c>
      <c r="GU1478">
        <v>30</v>
      </c>
      <c r="GZ1478" t="s">
        <v>296</v>
      </c>
      <c r="HH1478" t="s">
        <v>272</v>
      </c>
      <c r="IE1478" t="s">
        <v>740</v>
      </c>
      <c r="IF1478">
        <v>3751</v>
      </c>
      <c r="IG1478" t="s">
        <v>741</v>
      </c>
      <c r="IH1478" t="s">
        <v>742</v>
      </c>
      <c r="II1478">
        <v>1980</v>
      </c>
      <c r="IJ1478" t="s">
        <v>743</v>
      </c>
    </row>
    <row r="1479" spans="1:244" x14ac:dyDescent="0.45">
      <c r="A1479">
        <v>1054942</v>
      </c>
      <c r="B1479">
        <v>134343</v>
      </c>
      <c r="C1479">
        <v>7761888</v>
      </c>
      <c r="D1479" t="s">
        <v>3141</v>
      </c>
      <c r="F1479" t="s">
        <v>245</v>
      </c>
      <c r="G1479" t="s">
        <v>246</v>
      </c>
      <c r="N1479" t="s">
        <v>723</v>
      </c>
      <c r="O1479" t="s">
        <v>631</v>
      </c>
      <c r="P1479" t="s">
        <v>249</v>
      </c>
      <c r="Q1479" t="s">
        <v>250</v>
      </c>
      <c r="R1479" t="s">
        <v>251</v>
      </c>
      <c r="T1479" t="s">
        <v>389</v>
      </c>
      <c r="U1479" t="s">
        <v>632</v>
      </c>
      <c r="V1479" t="s">
        <v>633</v>
      </c>
      <c r="W1479" t="s">
        <v>634</v>
      </c>
      <c r="X1479" t="s">
        <v>724</v>
      </c>
      <c r="Z1479" t="s">
        <v>315</v>
      </c>
      <c r="AM1479" t="s">
        <v>317</v>
      </c>
      <c r="AN1479" t="s">
        <v>259</v>
      </c>
      <c r="AO1479" t="s">
        <v>260</v>
      </c>
      <c r="AQ1479" t="s">
        <v>261</v>
      </c>
      <c r="AS1479">
        <v>43</v>
      </c>
      <c r="AX1479" t="s">
        <v>262</v>
      </c>
      <c r="BO1479" t="s">
        <v>261</v>
      </c>
      <c r="BQ1479">
        <v>4.2999999999999997E-2</v>
      </c>
      <c r="BV1479" t="s">
        <v>263</v>
      </c>
      <c r="CM1479" t="s">
        <v>264</v>
      </c>
      <c r="CN1479" t="s">
        <v>264</v>
      </c>
      <c r="CP1479" t="s">
        <v>265</v>
      </c>
      <c r="DB1479">
        <v>4</v>
      </c>
      <c r="DG1479" t="s">
        <v>267</v>
      </c>
      <c r="DI1479">
        <v>96</v>
      </c>
      <c r="DN1479" t="s">
        <v>268</v>
      </c>
      <c r="DR1479">
        <v>136140</v>
      </c>
      <c r="DS1479">
        <v>1784</v>
      </c>
      <c r="EW1479" t="s">
        <v>293</v>
      </c>
      <c r="FA1479" t="s">
        <v>3176</v>
      </c>
      <c r="FM1479">
        <v>8</v>
      </c>
      <c r="FR1479" t="s">
        <v>295</v>
      </c>
      <c r="GU1479">
        <v>30</v>
      </c>
      <c r="GZ1479" t="s">
        <v>296</v>
      </c>
      <c r="HH1479" t="s">
        <v>272</v>
      </c>
      <c r="IE1479" t="s">
        <v>725</v>
      </c>
      <c r="IF1479">
        <v>3825</v>
      </c>
      <c r="IG1479" t="s">
        <v>726</v>
      </c>
      <c r="IH1479" t="s">
        <v>727</v>
      </c>
      <c r="II1479">
        <v>1985</v>
      </c>
      <c r="IJ1479" t="s">
        <v>728</v>
      </c>
    </row>
    <row r="1480" spans="1:244" x14ac:dyDescent="0.45">
      <c r="A1480">
        <v>1211481</v>
      </c>
      <c r="B1480">
        <v>184788</v>
      </c>
      <c r="C1480">
        <v>7761888</v>
      </c>
      <c r="D1480" t="s">
        <v>3141</v>
      </c>
      <c r="F1480" t="s">
        <v>245</v>
      </c>
      <c r="G1480" t="s">
        <v>246</v>
      </c>
      <c r="I1480">
        <v>99.5</v>
      </c>
      <c r="N1480" t="s">
        <v>2498</v>
      </c>
      <c r="O1480" t="s">
        <v>388</v>
      </c>
      <c r="P1480" t="s">
        <v>249</v>
      </c>
      <c r="Q1480" t="s">
        <v>250</v>
      </c>
      <c r="R1480" t="s">
        <v>251</v>
      </c>
      <c r="T1480" t="s">
        <v>389</v>
      </c>
      <c r="U1480" t="s">
        <v>390</v>
      </c>
      <c r="V1480" t="s">
        <v>391</v>
      </c>
      <c r="W1480" t="s">
        <v>392</v>
      </c>
      <c r="X1480" t="s">
        <v>2499</v>
      </c>
      <c r="Z1480" t="s">
        <v>315</v>
      </c>
      <c r="AL1480" t="s">
        <v>2122</v>
      </c>
      <c r="AM1480" t="s">
        <v>287</v>
      </c>
      <c r="AN1480" t="s">
        <v>259</v>
      </c>
      <c r="AO1480" t="s">
        <v>260</v>
      </c>
      <c r="AQ1480" t="s">
        <v>261</v>
      </c>
      <c r="AS1480">
        <v>87.5</v>
      </c>
      <c r="AX1480" t="s">
        <v>262</v>
      </c>
      <c r="BO1480" t="s">
        <v>261</v>
      </c>
      <c r="BQ1480">
        <v>8.7499999999999994E-2</v>
      </c>
      <c r="BV1480" t="s">
        <v>263</v>
      </c>
      <c r="CM1480" t="s">
        <v>264</v>
      </c>
      <c r="CN1480" t="s">
        <v>264</v>
      </c>
      <c r="CO1480" t="s">
        <v>3177</v>
      </c>
      <c r="CP1480" t="s">
        <v>265</v>
      </c>
      <c r="CQ1480" t="s">
        <v>878</v>
      </c>
      <c r="DB1480">
        <v>4</v>
      </c>
      <c r="DG1480" t="s">
        <v>267</v>
      </c>
      <c r="DI1480">
        <v>96</v>
      </c>
      <c r="DN1480" t="s">
        <v>268</v>
      </c>
      <c r="DO1480" t="s">
        <v>1587</v>
      </c>
      <c r="DQ1480" t="s">
        <v>3178</v>
      </c>
      <c r="DR1480">
        <v>272819</v>
      </c>
      <c r="DS1480">
        <v>4707</v>
      </c>
      <c r="EW1480" t="s">
        <v>293</v>
      </c>
      <c r="FA1480" t="s">
        <v>3179</v>
      </c>
      <c r="FM1480">
        <v>20</v>
      </c>
      <c r="FR1480" t="s">
        <v>295</v>
      </c>
      <c r="HH1480" t="s">
        <v>272</v>
      </c>
      <c r="IE1480" t="s">
        <v>3180</v>
      </c>
      <c r="IF1480">
        <v>19538</v>
      </c>
      <c r="IG1480" t="s">
        <v>3181</v>
      </c>
      <c r="IH1480" t="s">
        <v>3182</v>
      </c>
      <c r="II1480">
        <v>1995</v>
      </c>
      <c r="IJ1480" t="s">
        <v>3183</v>
      </c>
    </row>
    <row r="1481" spans="1:244" x14ac:dyDescent="0.45">
      <c r="A1481">
        <v>1053597</v>
      </c>
      <c r="B1481">
        <v>126393</v>
      </c>
      <c r="C1481">
        <v>7761888</v>
      </c>
      <c r="D1481" t="s">
        <v>3141</v>
      </c>
      <c r="F1481" t="s">
        <v>245</v>
      </c>
      <c r="G1481" t="s">
        <v>246</v>
      </c>
      <c r="N1481" t="s">
        <v>369</v>
      </c>
      <c r="O1481" t="s">
        <v>370</v>
      </c>
      <c r="P1481" t="s">
        <v>249</v>
      </c>
      <c r="Q1481" t="s">
        <v>250</v>
      </c>
      <c r="R1481" t="s">
        <v>251</v>
      </c>
      <c r="T1481" t="s">
        <v>252</v>
      </c>
      <c r="U1481" t="s">
        <v>371</v>
      </c>
      <c r="V1481" t="s">
        <v>372</v>
      </c>
      <c r="W1481" t="s">
        <v>373</v>
      </c>
      <c r="X1481" t="s">
        <v>374</v>
      </c>
      <c r="AA1481" t="s">
        <v>289</v>
      </c>
      <c r="AB1481">
        <v>2</v>
      </c>
      <c r="AG1481" t="s">
        <v>267</v>
      </c>
      <c r="AM1481" t="s">
        <v>317</v>
      </c>
      <c r="AN1481" t="s">
        <v>259</v>
      </c>
      <c r="AO1481" t="s">
        <v>260</v>
      </c>
      <c r="AQ1481" t="s">
        <v>261</v>
      </c>
      <c r="AS1481">
        <v>178</v>
      </c>
      <c r="AU1481">
        <v>163</v>
      </c>
      <c r="AW1481">
        <v>190</v>
      </c>
      <c r="AX1481" t="s">
        <v>262</v>
      </c>
      <c r="BO1481" t="s">
        <v>261</v>
      </c>
      <c r="BQ1481">
        <v>0.17799999999999999</v>
      </c>
      <c r="BS1481">
        <v>0.16300000000000001</v>
      </c>
      <c r="BU1481">
        <v>0.19</v>
      </c>
      <c r="BV1481" t="s">
        <v>263</v>
      </c>
      <c r="CM1481" t="s">
        <v>264</v>
      </c>
      <c r="CN1481" t="s">
        <v>264</v>
      </c>
      <c r="CP1481" t="s">
        <v>265</v>
      </c>
      <c r="CQ1481" t="s">
        <v>878</v>
      </c>
      <c r="DB1481">
        <v>4</v>
      </c>
      <c r="DG1481" t="s">
        <v>267</v>
      </c>
      <c r="DI1481">
        <v>96</v>
      </c>
      <c r="DN1481" t="s">
        <v>268</v>
      </c>
      <c r="DP1481" t="s">
        <v>3155</v>
      </c>
      <c r="DR1481">
        <v>110441</v>
      </c>
      <c r="DS1481">
        <v>142</v>
      </c>
      <c r="EW1481" t="s">
        <v>333</v>
      </c>
      <c r="FA1481" t="s">
        <v>3156</v>
      </c>
      <c r="FK1481" t="s">
        <v>1014</v>
      </c>
      <c r="FM1481">
        <v>22</v>
      </c>
      <c r="FR1481" t="s">
        <v>295</v>
      </c>
      <c r="GG1481" t="s">
        <v>288</v>
      </c>
      <c r="GH1481">
        <v>50</v>
      </c>
      <c r="GM1481" t="s">
        <v>900</v>
      </c>
      <c r="GU1481">
        <v>28</v>
      </c>
      <c r="GZ1481" t="s">
        <v>296</v>
      </c>
      <c r="HH1481" t="s">
        <v>272</v>
      </c>
      <c r="ID1481" t="s">
        <v>1015</v>
      </c>
      <c r="IE1481" t="s">
        <v>3159</v>
      </c>
      <c r="IF1481">
        <v>3740</v>
      </c>
      <c r="IG1481" t="s">
        <v>3160</v>
      </c>
      <c r="IH1481" t="s">
        <v>3161</v>
      </c>
      <c r="II1481">
        <v>1981</v>
      </c>
      <c r="IJ1481" t="s">
        <v>3162</v>
      </c>
    </row>
    <row r="1482" spans="1:244" x14ac:dyDescent="0.45">
      <c r="A1482">
        <v>1053616</v>
      </c>
      <c r="B1482">
        <v>126412</v>
      </c>
      <c r="C1482">
        <v>7761888</v>
      </c>
      <c r="D1482" t="s">
        <v>3141</v>
      </c>
      <c r="F1482" t="s">
        <v>327</v>
      </c>
      <c r="G1482" t="s">
        <v>246</v>
      </c>
      <c r="N1482" t="s">
        <v>369</v>
      </c>
      <c r="O1482" t="s">
        <v>370</v>
      </c>
      <c r="P1482" t="s">
        <v>249</v>
      </c>
      <c r="Q1482" t="s">
        <v>250</v>
      </c>
      <c r="R1482" t="s">
        <v>251</v>
      </c>
      <c r="T1482" t="s">
        <v>252</v>
      </c>
      <c r="U1482" t="s">
        <v>371</v>
      </c>
      <c r="V1482" t="s">
        <v>372</v>
      </c>
      <c r="W1482" t="s">
        <v>373</v>
      </c>
      <c r="X1482" t="s">
        <v>374</v>
      </c>
      <c r="AD1482">
        <v>6</v>
      </c>
      <c r="AF1482">
        <v>8</v>
      </c>
      <c r="AG1482" t="s">
        <v>267</v>
      </c>
      <c r="AM1482" t="s">
        <v>307</v>
      </c>
      <c r="AN1482" t="s">
        <v>259</v>
      </c>
      <c r="AO1482" t="s">
        <v>260</v>
      </c>
      <c r="AQ1482" t="s">
        <v>261</v>
      </c>
      <c r="AS1482">
        <v>86</v>
      </c>
      <c r="AU1482">
        <v>68</v>
      </c>
      <c r="AW1482">
        <v>112</v>
      </c>
      <c r="AX1482" t="s">
        <v>262</v>
      </c>
      <c r="BO1482" t="s">
        <v>261</v>
      </c>
      <c r="BQ1482">
        <v>8.5999999999999993E-2</v>
      </c>
      <c r="BS1482">
        <v>6.8000000000000005E-2</v>
      </c>
      <c r="BU1482">
        <v>0.112</v>
      </c>
      <c r="BV1482" t="s">
        <v>263</v>
      </c>
      <c r="CM1482" t="s">
        <v>264</v>
      </c>
      <c r="CN1482" t="s">
        <v>264</v>
      </c>
      <c r="CP1482" t="s">
        <v>265</v>
      </c>
      <c r="CQ1482" t="s">
        <v>878</v>
      </c>
      <c r="DB1482">
        <v>4</v>
      </c>
      <c r="DG1482" t="s">
        <v>267</v>
      </c>
      <c r="DI1482">
        <v>96</v>
      </c>
      <c r="DN1482" t="s">
        <v>268</v>
      </c>
      <c r="DP1482" t="s">
        <v>3155</v>
      </c>
      <c r="DR1482">
        <v>110441</v>
      </c>
      <c r="DS1482">
        <v>142</v>
      </c>
      <c r="EW1482" t="s">
        <v>333</v>
      </c>
      <c r="FA1482" t="s">
        <v>3156</v>
      </c>
      <c r="FK1482" t="s">
        <v>1014</v>
      </c>
      <c r="FM1482">
        <v>22</v>
      </c>
      <c r="FR1482" t="s">
        <v>295</v>
      </c>
      <c r="GG1482" t="s">
        <v>288</v>
      </c>
      <c r="GH1482">
        <v>50</v>
      </c>
      <c r="GM1482" t="s">
        <v>900</v>
      </c>
      <c r="GU1482">
        <v>28</v>
      </c>
      <c r="GZ1482" t="s">
        <v>296</v>
      </c>
      <c r="HH1482" t="s">
        <v>272</v>
      </c>
      <c r="ID1482" t="s">
        <v>1015</v>
      </c>
      <c r="IE1482" t="s">
        <v>3159</v>
      </c>
      <c r="IF1482">
        <v>3740</v>
      </c>
      <c r="IG1482" t="s">
        <v>3160</v>
      </c>
      <c r="IH1482" t="s">
        <v>3161</v>
      </c>
      <c r="II1482">
        <v>1981</v>
      </c>
      <c r="IJ1482" t="s">
        <v>3162</v>
      </c>
    </row>
    <row r="1483" spans="1:244" x14ac:dyDescent="0.45">
      <c r="A1483">
        <v>1053599</v>
      </c>
      <c r="B1483">
        <v>126395</v>
      </c>
      <c r="C1483">
        <v>7761888</v>
      </c>
      <c r="D1483" t="s">
        <v>3141</v>
      </c>
      <c r="F1483" t="s">
        <v>245</v>
      </c>
      <c r="G1483" t="s">
        <v>246</v>
      </c>
      <c r="N1483" t="s">
        <v>369</v>
      </c>
      <c r="O1483" t="s">
        <v>370</v>
      </c>
      <c r="P1483" t="s">
        <v>249</v>
      </c>
      <c r="Q1483" t="s">
        <v>250</v>
      </c>
      <c r="R1483" t="s">
        <v>251</v>
      </c>
      <c r="T1483" t="s">
        <v>252</v>
      </c>
      <c r="U1483" t="s">
        <v>371</v>
      </c>
      <c r="V1483" t="s">
        <v>372</v>
      </c>
      <c r="W1483" t="s">
        <v>373</v>
      </c>
      <c r="X1483" t="s">
        <v>374</v>
      </c>
      <c r="AA1483" t="s">
        <v>289</v>
      </c>
      <c r="AB1483">
        <v>2</v>
      </c>
      <c r="AG1483" t="s">
        <v>267</v>
      </c>
      <c r="AM1483" t="s">
        <v>307</v>
      </c>
      <c r="AN1483" t="s">
        <v>259</v>
      </c>
      <c r="AO1483" t="s">
        <v>260</v>
      </c>
      <c r="AQ1483" t="s">
        <v>261</v>
      </c>
      <c r="AS1483">
        <v>274</v>
      </c>
      <c r="AU1483">
        <v>239</v>
      </c>
      <c r="AW1483">
        <v>326</v>
      </c>
      <c r="AX1483" t="s">
        <v>262</v>
      </c>
      <c r="BO1483" t="s">
        <v>261</v>
      </c>
      <c r="BQ1483">
        <v>0.27400000000000002</v>
      </c>
      <c r="BS1483">
        <v>0.23899999999999999</v>
      </c>
      <c r="BU1483">
        <v>0.32600000000000001</v>
      </c>
      <c r="BV1483" t="s">
        <v>263</v>
      </c>
      <c r="CM1483" t="s">
        <v>264</v>
      </c>
      <c r="CN1483" t="s">
        <v>264</v>
      </c>
      <c r="CP1483" t="s">
        <v>265</v>
      </c>
      <c r="CQ1483" t="s">
        <v>878</v>
      </c>
      <c r="DB1483">
        <v>4</v>
      </c>
      <c r="DG1483" t="s">
        <v>267</v>
      </c>
      <c r="DI1483">
        <v>96</v>
      </c>
      <c r="DN1483" t="s">
        <v>268</v>
      </c>
      <c r="DP1483" t="s">
        <v>3155</v>
      </c>
      <c r="DR1483">
        <v>110441</v>
      </c>
      <c r="DS1483">
        <v>142</v>
      </c>
      <c r="EW1483" t="s">
        <v>333</v>
      </c>
      <c r="FA1483" t="s">
        <v>3156</v>
      </c>
      <c r="FK1483" t="s">
        <v>1014</v>
      </c>
      <c r="FM1483">
        <v>22</v>
      </c>
      <c r="FR1483" t="s">
        <v>295</v>
      </c>
      <c r="GG1483" t="s">
        <v>288</v>
      </c>
      <c r="GH1483">
        <v>50</v>
      </c>
      <c r="GM1483" t="s">
        <v>900</v>
      </c>
      <c r="GU1483">
        <v>28</v>
      </c>
      <c r="GZ1483" t="s">
        <v>296</v>
      </c>
      <c r="HH1483" t="s">
        <v>272</v>
      </c>
      <c r="ID1483" t="s">
        <v>1015</v>
      </c>
      <c r="IE1483" t="s">
        <v>3159</v>
      </c>
      <c r="IF1483">
        <v>3740</v>
      </c>
      <c r="IG1483" t="s">
        <v>3160</v>
      </c>
      <c r="IH1483" t="s">
        <v>3161</v>
      </c>
      <c r="II1483">
        <v>1981</v>
      </c>
      <c r="IJ1483" t="s">
        <v>3162</v>
      </c>
    </row>
    <row r="1484" spans="1:244" x14ac:dyDescent="0.45">
      <c r="A1484">
        <v>1285123</v>
      </c>
      <c r="B1484">
        <v>739185</v>
      </c>
      <c r="C1484">
        <v>7761888</v>
      </c>
      <c r="D1484" t="s">
        <v>3141</v>
      </c>
      <c r="F1484" t="s">
        <v>327</v>
      </c>
      <c r="G1484" t="s">
        <v>246</v>
      </c>
      <c r="I1484">
        <v>99.9</v>
      </c>
      <c r="N1484" t="s">
        <v>369</v>
      </c>
      <c r="O1484" t="s">
        <v>370</v>
      </c>
      <c r="P1484" t="s">
        <v>249</v>
      </c>
      <c r="Q1484" t="s">
        <v>250</v>
      </c>
      <c r="R1484" t="s">
        <v>251</v>
      </c>
      <c r="T1484" t="s">
        <v>252</v>
      </c>
      <c r="U1484" t="s">
        <v>371</v>
      </c>
      <c r="V1484" t="s">
        <v>372</v>
      </c>
      <c r="W1484" t="s">
        <v>373</v>
      </c>
      <c r="X1484" t="s">
        <v>374</v>
      </c>
      <c r="AB1484">
        <v>7</v>
      </c>
      <c r="AG1484" t="s">
        <v>267</v>
      </c>
      <c r="AL1484" t="s">
        <v>2122</v>
      </c>
      <c r="AM1484" t="s">
        <v>307</v>
      </c>
      <c r="AN1484" t="s">
        <v>259</v>
      </c>
      <c r="AO1484" t="s">
        <v>260</v>
      </c>
      <c r="AP1484">
        <v>6</v>
      </c>
      <c r="AQ1484" t="s">
        <v>504</v>
      </c>
      <c r="AS1484">
        <v>260</v>
      </c>
      <c r="AU1484">
        <v>120</v>
      </c>
      <c r="AW1484">
        <v>430</v>
      </c>
      <c r="AX1484" t="s">
        <v>262</v>
      </c>
      <c r="BO1484" t="s">
        <v>504</v>
      </c>
      <c r="BQ1484">
        <v>0.26</v>
      </c>
      <c r="BS1484">
        <v>0.12</v>
      </c>
      <c r="BU1484">
        <v>0.43</v>
      </c>
      <c r="BV1484" t="s">
        <v>263</v>
      </c>
      <c r="CM1484" t="s">
        <v>264</v>
      </c>
      <c r="CN1484" t="s">
        <v>264</v>
      </c>
      <c r="CP1484" t="s">
        <v>265</v>
      </c>
      <c r="CQ1484" t="s">
        <v>878</v>
      </c>
      <c r="DB1484">
        <v>4</v>
      </c>
      <c r="DG1484" t="s">
        <v>267</v>
      </c>
      <c r="DI1484">
        <v>96</v>
      </c>
      <c r="DN1484" t="s">
        <v>268</v>
      </c>
      <c r="DP1484" t="s">
        <v>3163</v>
      </c>
      <c r="DR1484">
        <v>110441</v>
      </c>
      <c r="DS1484">
        <v>142</v>
      </c>
      <c r="DT1484" t="s">
        <v>3164</v>
      </c>
      <c r="EW1484" t="s">
        <v>293</v>
      </c>
      <c r="FK1484" t="s">
        <v>3184</v>
      </c>
      <c r="FO1484">
        <v>26</v>
      </c>
      <c r="FQ1484">
        <v>28</v>
      </c>
      <c r="FR1484" t="s">
        <v>295</v>
      </c>
      <c r="GJ1484">
        <v>6.2</v>
      </c>
      <c r="GL1484">
        <v>7.9</v>
      </c>
      <c r="GM1484" t="s">
        <v>356</v>
      </c>
      <c r="GQ1484">
        <v>7.7</v>
      </c>
      <c r="GS1484">
        <v>8.1999999999999993</v>
      </c>
      <c r="GU1484">
        <v>20</v>
      </c>
      <c r="GZ1484" t="s">
        <v>296</v>
      </c>
      <c r="HH1484" t="s">
        <v>272</v>
      </c>
      <c r="ID1484" t="s">
        <v>3185</v>
      </c>
      <c r="IE1484" t="s">
        <v>3167</v>
      </c>
      <c r="IF1484">
        <v>65743</v>
      </c>
      <c r="IG1484" t="s">
        <v>3168</v>
      </c>
      <c r="IH1484" t="s">
        <v>3169</v>
      </c>
      <c r="II1484">
        <v>2002</v>
      </c>
      <c r="IJ1484" t="s">
        <v>3170</v>
      </c>
    </row>
    <row r="1485" spans="1:244" x14ac:dyDescent="0.45">
      <c r="A1485">
        <v>1205927</v>
      </c>
      <c r="B1485">
        <v>171318</v>
      </c>
      <c r="C1485">
        <v>7761888</v>
      </c>
      <c r="D1485" t="s">
        <v>3141</v>
      </c>
      <c r="F1485" t="s">
        <v>245</v>
      </c>
      <c r="G1485" t="s">
        <v>246</v>
      </c>
      <c r="N1485" t="s">
        <v>2498</v>
      </c>
      <c r="O1485" t="s">
        <v>388</v>
      </c>
      <c r="P1485" t="s">
        <v>249</v>
      </c>
      <c r="Q1485" t="s">
        <v>250</v>
      </c>
      <c r="R1485" t="s">
        <v>251</v>
      </c>
      <c r="T1485" t="s">
        <v>389</v>
      </c>
      <c r="U1485" t="s">
        <v>390</v>
      </c>
      <c r="V1485" t="s">
        <v>391</v>
      </c>
      <c r="W1485" t="s">
        <v>392</v>
      </c>
      <c r="X1485" t="s">
        <v>2499</v>
      </c>
      <c r="Z1485" t="s">
        <v>1123</v>
      </c>
      <c r="AM1485" t="s">
        <v>258</v>
      </c>
      <c r="AN1485" t="s">
        <v>259</v>
      </c>
      <c r="AO1485" t="s">
        <v>260</v>
      </c>
      <c r="AQ1485" t="s">
        <v>261</v>
      </c>
      <c r="AS1485">
        <v>55.66</v>
      </c>
      <c r="AX1485" t="s">
        <v>262</v>
      </c>
      <c r="BO1485" t="s">
        <v>261</v>
      </c>
      <c r="BQ1485">
        <v>5.5660000000000001E-2</v>
      </c>
      <c r="BV1485" t="s">
        <v>263</v>
      </c>
      <c r="CM1485" t="s">
        <v>264</v>
      </c>
      <c r="CN1485" t="s">
        <v>264</v>
      </c>
      <c r="CP1485" t="s">
        <v>265</v>
      </c>
      <c r="CQ1485" t="s">
        <v>878</v>
      </c>
      <c r="DB1485">
        <v>4</v>
      </c>
      <c r="DG1485" t="s">
        <v>267</v>
      </c>
      <c r="DI1485">
        <v>96</v>
      </c>
      <c r="DN1485" t="s">
        <v>268</v>
      </c>
      <c r="DQ1485" t="s">
        <v>3186</v>
      </c>
      <c r="DR1485">
        <v>272819</v>
      </c>
      <c r="DS1485">
        <v>4707</v>
      </c>
      <c r="EW1485" t="s">
        <v>272</v>
      </c>
      <c r="FM1485">
        <v>20</v>
      </c>
      <c r="FR1485" t="s">
        <v>295</v>
      </c>
      <c r="GU1485">
        <v>37</v>
      </c>
      <c r="GZ1485" t="s">
        <v>296</v>
      </c>
      <c r="HH1485" t="s">
        <v>272</v>
      </c>
      <c r="IE1485" t="s">
        <v>3028</v>
      </c>
      <c r="IF1485">
        <v>18833</v>
      </c>
      <c r="IG1485" t="s">
        <v>3029</v>
      </c>
      <c r="IH1485" t="s">
        <v>3030</v>
      </c>
      <c r="II1485">
        <v>1994</v>
      </c>
      <c r="IJ1485" t="s">
        <v>3031</v>
      </c>
    </row>
    <row r="1486" spans="1:244" x14ac:dyDescent="0.45">
      <c r="A1486">
        <v>1053495</v>
      </c>
      <c r="B1486">
        <v>131934</v>
      </c>
      <c r="C1486">
        <v>7761888</v>
      </c>
      <c r="D1486" t="s">
        <v>3141</v>
      </c>
      <c r="F1486" t="s">
        <v>327</v>
      </c>
      <c r="G1486" t="s">
        <v>246</v>
      </c>
      <c r="N1486" t="s">
        <v>369</v>
      </c>
      <c r="O1486" t="s">
        <v>370</v>
      </c>
      <c r="P1486" t="s">
        <v>249</v>
      </c>
      <c r="Q1486" t="s">
        <v>250</v>
      </c>
      <c r="R1486" t="s">
        <v>251</v>
      </c>
      <c r="T1486" t="s">
        <v>252</v>
      </c>
      <c r="U1486" t="s">
        <v>371</v>
      </c>
      <c r="V1486" t="s">
        <v>372</v>
      </c>
      <c r="W1486" t="s">
        <v>373</v>
      </c>
      <c r="X1486" t="s">
        <v>374</v>
      </c>
      <c r="Z1486" t="s">
        <v>649</v>
      </c>
      <c r="AM1486" t="s">
        <v>307</v>
      </c>
      <c r="AN1486" t="s">
        <v>259</v>
      </c>
      <c r="AO1486" t="s">
        <v>260</v>
      </c>
      <c r="AQ1486" t="s">
        <v>261</v>
      </c>
      <c r="AS1486">
        <v>141</v>
      </c>
      <c r="AX1486" t="s">
        <v>262</v>
      </c>
      <c r="BO1486" t="s">
        <v>261</v>
      </c>
      <c r="BQ1486">
        <v>0.14099999999999999</v>
      </c>
      <c r="BV1486" t="s">
        <v>263</v>
      </c>
      <c r="CM1486" t="s">
        <v>264</v>
      </c>
      <c r="CN1486" t="s">
        <v>264</v>
      </c>
      <c r="CP1486" t="s">
        <v>265</v>
      </c>
      <c r="DB1486">
        <v>4</v>
      </c>
      <c r="DG1486" t="s">
        <v>267</v>
      </c>
      <c r="DI1486">
        <v>96</v>
      </c>
      <c r="DN1486" t="s">
        <v>268</v>
      </c>
      <c r="DP1486" t="s">
        <v>3155</v>
      </c>
      <c r="DR1486">
        <v>110441</v>
      </c>
      <c r="DS1486">
        <v>142</v>
      </c>
      <c r="EW1486" t="s">
        <v>271</v>
      </c>
      <c r="FA1486" t="s">
        <v>3171</v>
      </c>
      <c r="FM1486">
        <v>25</v>
      </c>
      <c r="FR1486" t="s">
        <v>295</v>
      </c>
      <c r="GG1486" t="s">
        <v>288</v>
      </c>
      <c r="GH1486">
        <v>60</v>
      </c>
      <c r="GM1486" t="s">
        <v>900</v>
      </c>
      <c r="GW1486">
        <v>15</v>
      </c>
      <c r="GY1486">
        <v>30</v>
      </c>
      <c r="GZ1486" t="s">
        <v>296</v>
      </c>
      <c r="HH1486" t="s">
        <v>272</v>
      </c>
      <c r="IE1486" t="s">
        <v>3172</v>
      </c>
      <c r="IF1486">
        <v>3736</v>
      </c>
      <c r="IG1486" t="s">
        <v>3173</v>
      </c>
      <c r="IH1486" t="s">
        <v>3174</v>
      </c>
      <c r="II1486">
        <v>1982</v>
      </c>
      <c r="IJ1486" t="s">
        <v>3175</v>
      </c>
    </row>
    <row r="1487" spans="1:244" x14ac:dyDescent="0.45">
      <c r="A1487">
        <v>1053602</v>
      </c>
      <c r="B1487">
        <v>126398</v>
      </c>
      <c r="C1487">
        <v>7761888</v>
      </c>
      <c r="D1487" t="s">
        <v>3141</v>
      </c>
      <c r="F1487" t="s">
        <v>245</v>
      </c>
      <c r="G1487" t="s">
        <v>246</v>
      </c>
      <c r="N1487" t="s">
        <v>369</v>
      </c>
      <c r="O1487" t="s">
        <v>370</v>
      </c>
      <c r="P1487" t="s">
        <v>249</v>
      </c>
      <c r="Q1487" t="s">
        <v>250</v>
      </c>
      <c r="R1487" t="s">
        <v>251</v>
      </c>
      <c r="T1487" t="s">
        <v>252</v>
      </c>
      <c r="U1487" t="s">
        <v>371</v>
      </c>
      <c r="V1487" t="s">
        <v>372</v>
      </c>
      <c r="W1487" t="s">
        <v>373</v>
      </c>
      <c r="X1487" t="s">
        <v>374</v>
      </c>
      <c r="AA1487" t="s">
        <v>289</v>
      </c>
      <c r="AB1487">
        <v>2</v>
      </c>
      <c r="AG1487" t="s">
        <v>267</v>
      </c>
      <c r="AM1487" t="s">
        <v>307</v>
      </c>
      <c r="AN1487" t="s">
        <v>259</v>
      </c>
      <c r="AO1487" t="s">
        <v>260</v>
      </c>
      <c r="AQ1487" t="s">
        <v>261</v>
      </c>
      <c r="AS1487">
        <v>325</v>
      </c>
      <c r="AU1487">
        <v>277</v>
      </c>
      <c r="AW1487">
        <v>426</v>
      </c>
      <c r="AX1487" t="s">
        <v>262</v>
      </c>
      <c r="BO1487" t="s">
        <v>261</v>
      </c>
      <c r="BQ1487">
        <v>0.32500000000000001</v>
      </c>
      <c r="BS1487">
        <v>0.27700000000000002</v>
      </c>
      <c r="BU1487">
        <v>0.42599999999999999</v>
      </c>
      <c r="BV1487" t="s">
        <v>263</v>
      </c>
      <c r="CM1487" t="s">
        <v>264</v>
      </c>
      <c r="CN1487" t="s">
        <v>264</v>
      </c>
      <c r="CP1487" t="s">
        <v>265</v>
      </c>
      <c r="CQ1487" t="s">
        <v>878</v>
      </c>
      <c r="DB1487">
        <v>4</v>
      </c>
      <c r="DG1487" t="s">
        <v>267</v>
      </c>
      <c r="DI1487">
        <v>96</v>
      </c>
      <c r="DN1487" t="s">
        <v>268</v>
      </c>
      <c r="DP1487" t="s">
        <v>3155</v>
      </c>
      <c r="DR1487">
        <v>110441</v>
      </c>
      <c r="DS1487">
        <v>142</v>
      </c>
      <c r="EW1487" t="s">
        <v>333</v>
      </c>
      <c r="FA1487" t="s">
        <v>3156</v>
      </c>
      <c r="FK1487" t="s">
        <v>1014</v>
      </c>
      <c r="FM1487">
        <v>22</v>
      </c>
      <c r="FR1487" t="s">
        <v>295</v>
      </c>
      <c r="GG1487" t="s">
        <v>288</v>
      </c>
      <c r="GH1487">
        <v>50</v>
      </c>
      <c r="GM1487" t="s">
        <v>900</v>
      </c>
      <c r="GU1487">
        <v>28</v>
      </c>
      <c r="GZ1487" t="s">
        <v>296</v>
      </c>
      <c r="HH1487" t="s">
        <v>272</v>
      </c>
      <c r="ID1487" t="s">
        <v>1015</v>
      </c>
      <c r="IE1487" t="s">
        <v>3159</v>
      </c>
      <c r="IF1487">
        <v>3740</v>
      </c>
      <c r="IG1487" t="s">
        <v>3160</v>
      </c>
      <c r="IH1487" t="s">
        <v>3161</v>
      </c>
      <c r="II1487">
        <v>1981</v>
      </c>
      <c r="IJ1487" t="s">
        <v>3162</v>
      </c>
    </row>
    <row r="1488" spans="1:244" x14ac:dyDescent="0.45">
      <c r="A1488">
        <v>1053496</v>
      </c>
      <c r="B1488">
        <v>131935</v>
      </c>
      <c r="C1488">
        <v>7761888</v>
      </c>
      <c r="D1488" t="s">
        <v>3141</v>
      </c>
      <c r="F1488" t="s">
        <v>327</v>
      </c>
      <c r="G1488" t="s">
        <v>246</v>
      </c>
      <c r="N1488" t="s">
        <v>369</v>
      </c>
      <c r="O1488" t="s">
        <v>370</v>
      </c>
      <c r="P1488" t="s">
        <v>249</v>
      </c>
      <c r="Q1488" t="s">
        <v>250</v>
      </c>
      <c r="R1488" t="s">
        <v>251</v>
      </c>
      <c r="T1488" t="s">
        <v>252</v>
      </c>
      <c r="U1488" t="s">
        <v>371</v>
      </c>
      <c r="V1488" t="s">
        <v>372</v>
      </c>
      <c r="W1488" t="s">
        <v>373</v>
      </c>
      <c r="X1488" t="s">
        <v>374</v>
      </c>
      <c r="Z1488" t="s">
        <v>649</v>
      </c>
      <c r="AM1488" t="s">
        <v>307</v>
      </c>
      <c r="AN1488" t="s">
        <v>259</v>
      </c>
      <c r="AO1488" t="s">
        <v>260</v>
      </c>
      <c r="AQ1488" t="s">
        <v>261</v>
      </c>
      <c r="AS1488">
        <v>300</v>
      </c>
      <c r="AX1488" t="s">
        <v>262</v>
      </c>
      <c r="BO1488" t="s">
        <v>261</v>
      </c>
      <c r="BQ1488">
        <v>0.3</v>
      </c>
      <c r="BV1488" t="s">
        <v>263</v>
      </c>
      <c r="CM1488" t="s">
        <v>264</v>
      </c>
      <c r="CN1488" t="s">
        <v>264</v>
      </c>
      <c r="CP1488" t="s">
        <v>265</v>
      </c>
      <c r="DB1488">
        <v>4</v>
      </c>
      <c r="DG1488" t="s">
        <v>267</v>
      </c>
      <c r="DI1488">
        <v>96</v>
      </c>
      <c r="DN1488" t="s">
        <v>268</v>
      </c>
      <c r="DP1488" t="s">
        <v>3155</v>
      </c>
      <c r="DR1488">
        <v>110441</v>
      </c>
      <c r="DS1488">
        <v>142</v>
      </c>
      <c r="EW1488" t="s">
        <v>271</v>
      </c>
      <c r="FA1488" t="s">
        <v>3171</v>
      </c>
      <c r="FM1488">
        <v>25</v>
      </c>
      <c r="FR1488" t="s">
        <v>295</v>
      </c>
      <c r="GG1488" t="s">
        <v>288</v>
      </c>
      <c r="GH1488">
        <v>60</v>
      </c>
      <c r="GM1488" t="s">
        <v>900</v>
      </c>
      <c r="GW1488">
        <v>15</v>
      </c>
      <c r="GY1488">
        <v>30</v>
      </c>
      <c r="GZ1488" t="s">
        <v>296</v>
      </c>
      <c r="HH1488" t="s">
        <v>272</v>
      </c>
      <c r="IE1488" t="s">
        <v>3172</v>
      </c>
      <c r="IF1488">
        <v>3736</v>
      </c>
      <c r="IG1488" t="s">
        <v>3173</v>
      </c>
      <c r="IH1488" t="s">
        <v>3174</v>
      </c>
      <c r="II1488">
        <v>1982</v>
      </c>
      <c r="IJ1488" t="s">
        <v>3175</v>
      </c>
    </row>
    <row r="1489" spans="1:244" x14ac:dyDescent="0.45">
      <c r="A1489">
        <v>1053596</v>
      </c>
      <c r="B1489">
        <v>126392</v>
      </c>
      <c r="C1489">
        <v>7761888</v>
      </c>
      <c r="D1489" t="s">
        <v>3141</v>
      </c>
      <c r="F1489" t="s">
        <v>245</v>
      </c>
      <c r="G1489" t="s">
        <v>246</v>
      </c>
      <c r="N1489" t="s">
        <v>369</v>
      </c>
      <c r="O1489" t="s">
        <v>370</v>
      </c>
      <c r="P1489" t="s">
        <v>249</v>
      </c>
      <c r="Q1489" t="s">
        <v>250</v>
      </c>
      <c r="R1489" t="s">
        <v>251</v>
      </c>
      <c r="T1489" t="s">
        <v>252</v>
      </c>
      <c r="U1489" t="s">
        <v>371</v>
      </c>
      <c r="V1489" t="s">
        <v>372</v>
      </c>
      <c r="W1489" t="s">
        <v>373</v>
      </c>
      <c r="X1489" t="s">
        <v>374</v>
      </c>
      <c r="AA1489" t="s">
        <v>289</v>
      </c>
      <c r="AB1489">
        <v>2</v>
      </c>
      <c r="AG1489" t="s">
        <v>267</v>
      </c>
      <c r="AM1489" t="s">
        <v>317</v>
      </c>
      <c r="AN1489" t="s">
        <v>259</v>
      </c>
      <c r="AO1489" t="s">
        <v>260</v>
      </c>
      <c r="AQ1489" t="s">
        <v>261</v>
      </c>
      <c r="AS1489">
        <v>248</v>
      </c>
      <c r="AU1489">
        <v>219</v>
      </c>
      <c r="AW1489">
        <v>283</v>
      </c>
      <c r="AX1489" t="s">
        <v>262</v>
      </c>
      <c r="BO1489" t="s">
        <v>261</v>
      </c>
      <c r="BQ1489">
        <v>0.248</v>
      </c>
      <c r="BS1489">
        <v>0.219</v>
      </c>
      <c r="BU1489">
        <v>0.28299999999999997</v>
      </c>
      <c r="BV1489" t="s">
        <v>263</v>
      </c>
      <c r="CM1489" t="s">
        <v>264</v>
      </c>
      <c r="CN1489" t="s">
        <v>264</v>
      </c>
      <c r="CP1489" t="s">
        <v>265</v>
      </c>
      <c r="CQ1489" t="s">
        <v>878</v>
      </c>
      <c r="DB1489">
        <v>4</v>
      </c>
      <c r="DG1489" t="s">
        <v>267</v>
      </c>
      <c r="DI1489">
        <v>96</v>
      </c>
      <c r="DN1489" t="s">
        <v>268</v>
      </c>
      <c r="DP1489" t="s">
        <v>3155</v>
      </c>
      <c r="DR1489">
        <v>110441</v>
      </c>
      <c r="DS1489">
        <v>142</v>
      </c>
      <c r="EW1489" t="s">
        <v>333</v>
      </c>
      <c r="FA1489" t="s">
        <v>3156</v>
      </c>
      <c r="FK1489" t="s">
        <v>3157</v>
      </c>
      <c r="FM1489">
        <v>22</v>
      </c>
      <c r="FR1489" t="s">
        <v>295</v>
      </c>
      <c r="GG1489" t="s">
        <v>288</v>
      </c>
      <c r="GH1489">
        <v>50</v>
      </c>
      <c r="GM1489" t="s">
        <v>900</v>
      </c>
      <c r="GU1489">
        <v>28</v>
      </c>
      <c r="GZ1489" t="s">
        <v>296</v>
      </c>
      <c r="HH1489" t="s">
        <v>272</v>
      </c>
      <c r="ID1489" t="s">
        <v>3158</v>
      </c>
      <c r="IE1489" t="s">
        <v>3159</v>
      </c>
      <c r="IF1489">
        <v>3740</v>
      </c>
      <c r="IG1489" t="s">
        <v>3160</v>
      </c>
      <c r="IH1489" t="s">
        <v>3161</v>
      </c>
      <c r="II1489">
        <v>1981</v>
      </c>
      <c r="IJ1489" t="s">
        <v>3162</v>
      </c>
    </row>
    <row r="1490" spans="1:244" x14ac:dyDescent="0.45">
      <c r="A1490">
        <v>1053614</v>
      </c>
      <c r="B1490">
        <v>126410</v>
      </c>
      <c r="C1490">
        <v>7761888</v>
      </c>
      <c r="D1490" t="s">
        <v>3141</v>
      </c>
      <c r="F1490" t="s">
        <v>327</v>
      </c>
      <c r="G1490" t="s">
        <v>246</v>
      </c>
      <c r="N1490" t="s">
        <v>369</v>
      </c>
      <c r="O1490" t="s">
        <v>370</v>
      </c>
      <c r="P1490" t="s">
        <v>249</v>
      </c>
      <c r="Q1490" t="s">
        <v>250</v>
      </c>
      <c r="R1490" t="s">
        <v>251</v>
      </c>
      <c r="T1490" t="s">
        <v>252</v>
      </c>
      <c r="U1490" t="s">
        <v>371</v>
      </c>
      <c r="V1490" t="s">
        <v>372</v>
      </c>
      <c r="W1490" t="s">
        <v>373</v>
      </c>
      <c r="X1490" t="s">
        <v>374</v>
      </c>
      <c r="AA1490" t="s">
        <v>289</v>
      </c>
      <c r="AB1490">
        <v>2</v>
      </c>
      <c r="AG1490" t="s">
        <v>267</v>
      </c>
      <c r="AM1490" t="s">
        <v>307</v>
      </c>
      <c r="AN1490" t="s">
        <v>259</v>
      </c>
      <c r="AO1490" t="s">
        <v>260</v>
      </c>
      <c r="AQ1490" t="s">
        <v>261</v>
      </c>
      <c r="AS1490">
        <v>256</v>
      </c>
      <c r="AU1490">
        <v>224</v>
      </c>
      <c r="AW1490">
        <v>301</v>
      </c>
      <c r="AX1490" t="s">
        <v>262</v>
      </c>
      <c r="BO1490" t="s">
        <v>261</v>
      </c>
      <c r="BQ1490">
        <v>0.25600000000000001</v>
      </c>
      <c r="BS1490">
        <v>0.224</v>
      </c>
      <c r="BU1490">
        <v>0.30099999999999999</v>
      </c>
      <c r="BV1490" t="s">
        <v>263</v>
      </c>
      <c r="CM1490" t="s">
        <v>264</v>
      </c>
      <c r="CN1490" t="s">
        <v>264</v>
      </c>
      <c r="CP1490" t="s">
        <v>265</v>
      </c>
      <c r="CQ1490" t="s">
        <v>878</v>
      </c>
      <c r="DB1490">
        <v>4</v>
      </c>
      <c r="DG1490" t="s">
        <v>267</v>
      </c>
      <c r="DI1490">
        <v>96</v>
      </c>
      <c r="DN1490" t="s">
        <v>268</v>
      </c>
      <c r="DP1490" t="s">
        <v>3155</v>
      </c>
      <c r="DR1490">
        <v>110441</v>
      </c>
      <c r="DS1490">
        <v>142</v>
      </c>
      <c r="EW1490" t="s">
        <v>333</v>
      </c>
      <c r="FA1490" t="s">
        <v>3156</v>
      </c>
      <c r="FK1490" t="s">
        <v>1014</v>
      </c>
      <c r="FM1490">
        <v>22</v>
      </c>
      <c r="FR1490" t="s">
        <v>295</v>
      </c>
      <c r="GG1490" t="s">
        <v>288</v>
      </c>
      <c r="GH1490">
        <v>50</v>
      </c>
      <c r="GM1490" t="s">
        <v>900</v>
      </c>
      <c r="GU1490">
        <v>28</v>
      </c>
      <c r="GZ1490" t="s">
        <v>296</v>
      </c>
      <c r="HH1490" t="s">
        <v>272</v>
      </c>
      <c r="ID1490" t="s">
        <v>1015</v>
      </c>
      <c r="IE1490" t="s">
        <v>3159</v>
      </c>
      <c r="IF1490">
        <v>3740</v>
      </c>
      <c r="IG1490" t="s">
        <v>3160</v>
      </c>
      <c r="IH1490" t="s">
        <v>3161</v>
      </c>
      <c r="II1490">
        <v>1981</v>
      </c>
      <c r="IJ1490" t="s">
        <v>3162</v>
      </c>
    </row>
    <row r="1491" spans="1:244" x14ac:dyDescent="0.45">
      <c r="A1491">
        <v>1205928</v>
      </c>
      <c r="B1491">
        <v>171319</v>
      </c>
      <c r="C1491">
        <v>7761888</v>
      </c>
      <c r="D1491" t="s">
        <v>3141</v>
      </c>
      <c r="F1491" t="s">
        <v>245</v>
      </c>
      <c r="G1491" t="s">
        <v>246</v>
      </c>
      <c r="N1491" t="s">
        <v>2498</v>
      </c>
      <c r="O1491" t="s">
        <v>388</v>
      </c>
      <c r="P1491" t="s">
        <v>249</v>
      </c>
      <c r="Q1491" t="s">
        <v>250</v>
      </c>
      <c r="R1491" t="s">
        <v>251</v>
      </c>
      <c r="T1491" t="s">
        <v>389</v>
      </c>
      <c r="U1491" t="s">
        <v>390</v>
      </c>
      <c r="V1491" t="s">
        <v>391</v>
      </c>
      <c r="W1491" t="s">
        <v>392</v>
      </c>
      <c r="X1491" t="s">
        <v>2499</v>
      </c>
      <c r="Z1491" t="s">
        <v>315</v>
      </c>
      <c r="AM1491" t="s">
        <v>258</v>
      </c>
      <c r="AN1491" t="s">
        <v>259</v>
      </c>
      <c r="AO1491" t="s">
        <v>260</v>
      </c>
      <c r="AQ1491" t="s">
        <v>261</v>
      </c>
      <c r="AS1491">
        <v>120.81</v>
      </c>
      <c r="AX1491" t="s">
        <v>262</v>
      </c>
      <c r="BO1491" t="s">
        <v>261</v>
      </c>
      <c r="BQ1491">
        <v>0.12081</v>
      </c>
      <c r="BV1491" t="s">
        <v>263</v>
      </c>
      <c r="CM1491" t="s">
        <v>264</v>
      </c>
      <c r="CN1491" t="s">
        <v>264</v>
      </c>
      <c r="CP1491" t="s">
        <v>265</v>
      </c>
      <c r="CQ1491" t="s">
        <v>878</v>
      </c>
      <c r="DB1491">
        <v>4</v>
      </c>
      <c r="DG1491" t="s">
        <v>267</v>
      </c>
      <c r="DI1491">
        <v>96</v>
      </c>
      <c r="DN1491" t="s">
        <v>268</v>
      </c>
      <c r="DQ1491" t="s">
        <v>3186</v>
      </c>
      <c r="DR1491">
        <v>272819</v>
      </c>
      <c r="DS1491">
        <v>4707</v>
      </c>
      <c r="EW1491" t="s">
        <v>272</v>
      </c>
      <c r="FM1491">
        <v>20</v>
      </c>
      <c r="FR1491" t="s">
        <v>295</v>
      </c>
      <c r="GU1491">
        <v>37</v>
      </c>
      <c r="GZ1491" t="s">
        <v>296</v>
      </c>
      <c r="HH1491" t="s">
        <v>272</v>
      </c>
      <c r="IE1491" t="s">
        <v>3028</v>
      </c>
      <c r="IF1491">
        <v>18833</v>
      </c>
      <c r="IG1491" t="s">
        <v>3029</v>
      </c>
      <c r="IH1491" t="s">
        <v>3030</v>
      </c>
      <c r="II1491">
        <v>1994</v>
      </c>
      <c r="IJ1491" t="s">
        <v>3031</v>
      </c>
    </row>
    <row r="1492" spans="1:244" x14ac:dyDescent="0.45">
      <c r="A1492">
        <v>1053595</v>
      </c>
      <c r="B1492">
        <v>126391</v>
      </c>
      <c r="C1492">
        <v>7761888</v>
      </c>
      <c r="D1492" t="s">
        <v>3141</v>
      </c>
      <c r="F1492" t="s">
        <v>245</v>
      </c>
      <c r="G1492" t="s">
        <v>246</v>
      </c>
      <c r="N1492" t="s">
        <v>369</v>
      </c>
      <c r="O1492" t="s">
        <v>370</v>
      </c>
      <c r="P1492" t="s">
        <v>249</v>
      </c>
      <c r="Q1492" t="s">
        <v>250</v>
      </c>
      <c r="R1492" t="s">
        <v>251</v>
      </c>
      <c r="T1492" t="s">
        <v>252</v>
      </c>
      <c r="U1492" t="s">
        <v>371</v>
      </c>
      <c r="V1492" t="s">
        <v>372</v>
      </c>
      <c r="W1492" t="s">
        <v>373</v>
      </c>
      <c r="X1492" t="s">
        <v>374</v>
      </c>
      <c r="AD1492">
        <v>6</v>
      </c>
      <c r="AF1492">
        <v>8</v>
      </c>
      <c r="AG1492" t="s">
        <v>267</v>
      </c>
      <c r="AM1492" t="s">
        <v>317</v>
      </c>
      <c r="AN1492" t="s">
        <v>259</v>
      </c>
      <c r="AO1492" t="s">
        <v>260</v>
      </c>
      <c r="AQ1492" t="s">
        <v>261</v>
      </c>
      <c r="AS1492">
        <v>203</v>
      </c>
      <c r="AU1492">
        <v>158</v>
      </c>
      <c r="AW1492">
        <v>263</v>
      </c>
      <c r="AX1492" t="s">
        <v>262</v>
      </c>
      <c r="BO1492" t="s">
        <v>261</v>
      </c>
      <c r="BQ1492">
        <v>0.20300000000000001</v>
      </c>
      <c r="BS1492">
        <v>0.158</v>
      </c>
      <c r="BU1492">
        <v>0.26300000000000001</v>
      </c>
      <c r="BV1492" t="s">
        <v>263</v>
      </c>
      <c r="CM1492" t="s">
        <v>264</v>
      </c>
      <c r="CN1492" t="s">
        <v>264</v>
      </c>
      <c r="CP1492" t="s">
        <v>265</v>
      </c>
      <c r="CQ1492" t="s">
        <v>878</v>
      </c>
      <c r="DB1492">
        <v>4</v>
      </c>
      <c r="DG1492" t="s">
        <v>267</v>
      </c>
      <c r="DI1492">
        <v>96</v>
      </c>
      <c r="DN1492" t="s">
        <v>268</v>
      </c>
      <c r="DP1492" t="s">
        <v>3155</v>
      </c>
      <c r="DR1492">
        <v>110441</v>
      </c>
      <c r="DS1492">
        <v>142</v>
      </c>
      <c r="EW1492" t="s">
        <v>333</v>
      </c>
      <c r="FA1492" t="s">
        <v>3156</v>
      </c>
      <c r="FK1492" t="s">
        <v>1014</v>
      </c>
      <c r="FM1492">
        <v>22</v>
      </c>
      <c r="FR1492" t="s">
        <v>295</v>
      </c>
      <c r="GG1492" t="s">
        <v>288</v>
      </c>
      <c r="GH1492">
        <v>50</v>
      </c>
      <c r="GM1492" t="s">
        <v>900</v>
      </c>
      <c r="GU1492">
        <v>28</v>
      </c>
      <c r="GZ1492" t="s">
        <v>296</v>
      </c>
      <c r="HH1492" t="s">
        <v>272</v>
      </c>
      <c r="ID1492" t="s">
        <v>1015</v>
      </c>
      <c r="IE1492" t="s">
        <v>3159</v>
      </c>
      <c r="IF1492">
        <v>3740</v>
      </c>
      <c r="IG1492" t="s">
        <v>3160</v>
      </c>
      <c r="IH1492" t="s">
        <v>3161</v>
      </c>
      <c r="II1492">
        <v>1981</v>
      </c>
      <c r="IJ1492" t="s">
        <v>3162</v>
      </c>
    </row>
    <row r="1493" spans="1:244" x14ac:dyDescent="0.45">
      <c r="A1493">
        <v>1205926</v>
      </c>
      <c r="B1493">
        <v>171317</v>
      </c>
      <c r="C1493">
        <v>7761888</v>
      </c>
      <c r="D1493" t="s">
        <v>3141</v>
      </c>
      <c r="F1493" t="s">
        <v>245</v>
      </c>
      <c r="G1493" t="s">
        <v>246</v>
      </c>
      <c r="N1493" t="s">
        <v>2498</v>
      </c>
      <c r="O1493" t="s">
        <v>388</v>
      </c>
      <c r="P1493" t="s">
        <v>249</v>
      </c>
      <c r="Q1493" t="s">
        <v>250</v>
      </c>
      <c r="R1493" t="s">
        <v>251</v>
      </c>
      <c r="T1493" t="s">
        <v>389</v>
      </c>
      <c r="U1493" t="s">
        <v>390</v>
      </c>
      <c r="V1493" t="s">
        <v>391</v>
      </c>
      <c r="W1493" t="s">
        <v>392</v>
      </c>
      <c r="X1493" t="s">
        <v>2499</v>
      </c>
      <c r="Z1493" t="s">
        <v>525</v>
      </c>
      <c r="AM1493" t="s">
        <v>258</v>
      </c>
      <c r="AN1493" t="s">
        <v>259</v>
      </c>
      <c r="AO1493" t="s">
        <v>260</v>
      </c>
      <c r="AQ1493" t="s">
        <v>261</v>
      </c>
      <c r="AS1493">
        <v>36.369999999999997</v>
      </c>
      <c r="AX1493" t="s">
        <v>262</v>
      </c>
      <c r="BO1493" t="s">
        <v>261</v>
      </c>
      <c r="BQ1493">
        <v>3.637E-2</v>
      </c>
      <c r="BV1493" t="s">
        <v>263</v>
      </c>
      <c r="CM1493" t="s">
        <v>264</v>
      </c>
      <c r="CN1493" t="s">
        <v>264</v>
      </c>
      <c r="CP1493" t="s">
        <v>265</v>
      </c>
      <c r="CQ1493" t="s">
        <v>878</v>
      </c>
      <c r="DB1493">
        <v>4</v>
      </c>
      <c r="DG1493" t="s">
        <v>267</v>
      </c>
      <c r="DI1493">
        <v>96</v>
      </c>
      <c r="DN1493" t="s">
        <v>268</v>
      </c>
      <c r="DQ1493" t="s">
        <v>3186</v>
      </c>
      <c r="DR1493">
        <v>272819</v>
      </c>
      <c r="DS1493">
        <v>4707</v>
      </c>
      <c r="EW1493" t="s">
        <v>272</v>
      </c>
      <c r="FM1493">
        <v>20</v>
      </c>
      <c r="FR1493" t="s">
        <v>295</v>
      </c>
      <c r="GU1493">
        <v>37</v>
      </c>
      <c r="GZ1493" t="s">
        <v>296</v>
      </c>
      <c r="HH1493" t="s">
        <v>272</v>
      </c>
      <c r="IE1493" t="s">
        <v>3028</v>
      </c>
      <c r="IF1493">
        <v>18833</v>
      </c>
      <c r="IG1493" t="s">
        <v>3029</v>
      </c>
      <c r="IH1493" t="s">
        <v>3030</v>
      </c>
      <c r="II1493">
        <v>1994</v>
      </c>
      <c r="IJ1493" t="s">
        <v>3031</v>
      </c>
    </row>
    <row r="1494" spans="1:244" x14ac:dyDescent="0.45">
      <c r="A1494">
        <v>1053598</v>
      </c>
      <c r="B1494">
        <v>126394</v>
      </c>
      <c r="C1494">
        <v>7761888</v>
      </c>
      <c r="D1494" t="s">
        <v>3141</v>
      </c>
      <c r="F1494" t="s">
        <v>245</v>
      </c>
      <c r="G1494" t="s">
        <v>246</v>
      </c>
      <c r="N1494" t="s">
        <v>369</v>
      </c>
      <c r="O1494" t="s">
        <v>370</v>
      </c>
      <c r="P1494" t="s">
        <v>249</v>
      </c>
      <c r="Q1494" t="s">
        <v>250</v>
      </c>
      <c r="R1494" t="s">
        <v>251</v>
      </c>
      <c r="T1494" t="s">
        <v>252</v>
      </c>
      <c r="U1494" t="s">
        <v>371</v>
      </c>
      <c r="V1494" t="s">
        <v>372</v>
      </c>
      <c r="W1494" t="s">
        <v>373</v>
      </c>
      <c r="X1494" t="s">
        <v>374</v>
      </c>
      <c r="AA1494" t="s">
        <v>289</v>
      </c>
      <c r="AB1494">
        <v>2</v>
      </c>
      <c r="AG1494" t="s">
        <v>267</v>
      </c>
      <c r="AM1494" t="s">
        <v>317</v>
      </c>
      <c r="AN1494" t="s">
        <v>259</v>
      </c>
      <c r="AO1494" t="s">
        <v>260</v>
      </c>
      <c r="AQ1494" t="s">
        <v>261</v>
      </c>
      <c r="AS1494">
        <v>117</v>
      </c>
      <c r="AU1494">
        <v>98</v>
      </c>
      <c r="AW1494">
        <v>140</v>
      </c>
      <c r="AX1494" t="s">
        <v>262</v>
      </c>
      <c r="BO1494" t="s">
        <v>261</v>
      </c>
      <c r="BQ1494">
        <v>0.11700000000000001</v>
      </c>
      <c r="BS1494">
        <v>9.8000000000000004E-2</v>
      </c>
      <c r="BU1494">
        <v>0.14000000000000001</v>
      </c>
      <c r="BV1494" t="s">
        <v>263</v>
      </c>
      <c r="CM1494" t="s">
        <v>264</v>
      </c>
      <c r="CN1494" t="s">
        <v>264</v>
      </c>
      <c r="CP1494" t="s">
        <v>265</v>
      </c>
      <c r="CQ1494" t="s">
        <v>878</v>
      </c>
      <c r="DB1494">
        <v>4</v>
      </c>
      <c r="DG1494" t="s">
        <v>267</v>
      </c>
      <c r="DI1494">
        <v>96</v>
      </c>
      <c r="DN1494" t="s">
        <v>268</v>
      </c>
      <c r="DP1494" t="s">
        <v>3155</v>
      </c>
      <c r="DR1494">
        <v>110441</v>
      </c>
      <c r="DS1494">
        <v>142</v>
      </c>
      <c r="EW1494" t="s">
        <v>333</v>
      </c>
      <c r="FA1494" t="s">
        <v>3156</v>
      </c>
      <c r="FK1494" t="s">
        <v>1014</v>
      </c>
      <c r="FM1494">
        <v>22</v>
      </c>
      <c r="FR1494" t="s">
        <v>295</v>
      </c>
      <c r="GG1494" t="s">
        <v>288</v>
      </c>
      <c r="GH1494">
        <v>50</v>
      </c>
      <c r="GM1494" t="s">
        <v>900</v>
      </c>
      <c r="GU1494">
        <v>28</v>
      </c>
      <c r="GZ1494" t="s">
        <v>296</v>
      </c>
      <c r="HH1494" t="s">
        <v>272</v>
      </c>
      <c r="ID1494" t="s">
        <v>1015</v>
      </c>
      <c r="IE1494" t="s">
        <v>3159</v>
      </c>
      <c r="IF1494">
        <v>3740</v>
      </c>
      <c r="IG1494" t="s">
        <v>3160</v>
      </c>
      <c r="IH1494" t="s">
        <v>3161</v>
      </c>
      <c r="II1494">
        <v>1981</v>
      </c>
      <c r="IJ1494" t="s">
        <v>3162</v>
      </c>
    </row>
    <row r="1495" spans="1:244" x14ac:dyDescent="0.45">
      <c r="A1495">
        <v>1285255</v>
      </c>
      <c r="B1495">
        <v>739335</v>
      </c>
      <c r="C1495">
        <v>7761888</v>
      </c>
      <c r="D1495" t="s">
        <v>3141</v>
      </c>
      <c r="F1495" t="s">
        <v>245</v>
      </c>
      <c r="G1495" t="s">
        <v>246</v>
      </c>
      <c r="N1495" t="s">
        <v>2498</v>
      </c>
      <c r="O1495" t="s">
        <v>388</v>
      </c>
      <c r="P1495" t="s">
        <v>249</v>
      </c>
      <c r="Q1495" t="s">
        <v>250</v>
      </c>
      <c r="R1495" t="s">
        <v>251</v>
      </c>
      <c r="T1495" t="s">
        <v>389</v>
      </c>
      <c r="U1495" t="s">
        <v>390</v>
      </c>
      <c r="V1495" t="s">
        <v>391</v>
      </c>
      <c r="W1495" t="s">
        <v>392</v>
      </c>
      <c r="X1495" t="s">
        <v>2499</v>
      </c>
      <c r="Z1495" t="s">
        <v>315</v>
      </c>
      <c r="AL1495" t="s">
        <v>3187</v>
      </c>
      <c r="AM1495" t="s">
        <v>258</v>
      </c>
      <c r="AN1495" t="s">
        <v>259</v>
      </c>
      <c r="AO1495" t="s">
        <v>260</v>
      </c>
      <c r="AQ1495" t="s">
        <v>261</v>
      </c>
      <c r="AS1495">
        <v>95</v>
      </c>
      <c r="AX1495" t="s">
        <v>262</v>
      </c>
      <c r="BO1495" t="s">
        <v>261</v>
      </c>
      <c r="BQ1495">
        <v>9.5000000000000001E-2</v>
      </c>
      <c r="BV1495" t="s">
        <v>263</v>
      </c>
      <c r="CM1495" t="s">
        <v>264</v>
      </c>
      <c r="CN1495" t="s">
        <v>264</v>
      </c>
      <c r="CP1495" t="s">
        <v>265</v>
      </c>
      <c r="CQ1495" t="s">
        <v>878</v>
      </c>
      <c r="DB1495">
        <v>4</v>
      </c>
      <c r="DG1495" t="s">
        <v>267</v>
      </c>
      <c r="DI1495">
        <v>96</v>
      </c>
      <c r="DN1495" t="s">
        <v>268</v>
      </c>
      <c r="DP1495" t="s">
        <v>3163</v>
      </c>
      <c r="DR1495">
        <v>272819</v>
      </c>
      <c r="DS1495">
        <v>4707</v>
      </c>
      <c r="EW1495" t="s">
        <v>293</v>
      </c>
      <c r="FA1495" t="s">
        <v>3188</v>
      </c>
      <c r="FK1495" t="s">
        <v>3189</v>
      </c>
      <c r="FM1495">
        <v>20</v>
      </c>
      <c r="FR1495" t="s">
        <v>295</v>
      </c>
      <c r="GO1495">
        <v>8.1999999999999993</v>
      </c>
      <c r="GU1495">
        <v>34.5</v>
      </c>
      <c r="GZ1495" t="s">
        <v>296</v>
      </c>
      <c r="HH1495" t="s">
        <v>272</v>
      </c>
      <c r="ID1495" t="s">
        <v>3190</v>
      </c>
      <c r="IE1495" t="s">
        <v>3191</v>
      </c>
      <c r="IF1495">
        <v>76315</v>
      </c>
      <c r="IG1495" t="s">
        <v>3192</v>
      </c>
      <c r="IH1495" t="s">
        <v>3193</v>
      </c>
      <c r="II1495">
        <v>2002</v>
      </c>
      <c r="IJ1495" t="s">
        <v>3194</v>
      </c>
    </row>
    <row r="1496" spans="1:244" x14ac:dyDescent="0.45">
      <c r="A1496">
        <v>1053499</v>
      </c>
      <c r="B1496">
        <v>131938</v>
      </c>
      <c r="C1496">
        <v>7761888</v>
      </c>
      <c r="D1496" t="s">
        <v>3141</v>
      </c>
      <c r="F1496" t="s">
        <v>327</v>
      </c>
      <c r="G1496" t="s">
        <v>246</v>
      </c>
      <c r="N1496" t="s">
        <v>369</v>
      </c>
      <c r="O1496" t="s">
        <v>370</v>
      </c>
      <c r="P1496" t="s">
        <v>249</v>
      </c>
      <c r="Q1496" t="s">
        <v>250</v>
      </c>
      <c r="R1496" t="s">
        <v>251</v>
      </c>
      <c r="T1496" t="s">
        <v>252</v>
      </c>
      <c r="U1496" t="s">
        <v>371</v>
      </c>
      <c r="V1496" t="s">
        <v>372</v>
      </c>
      <c r="W1496" t="s">
        <v>373</v>
      </c>
      <c r="X1496" t="s">
        <v>374</v>
      </c>
      <c r="Z1496" t="s">
        <v>649</v>
      </c>
      <c r="AM1496" t="s">
        <v>307</v>
      </c>
      <c r="AN1496" t="s">
        <v>259</v>
      </c>
      <c r="AO1496" t="s">
        <v>260</v>
      </c>
      <c r="AQ1496" t="s">
        <v>261</v>
      </c>
      <c r="AS1496">
        <v>298</v>
      </c>
      <c r="AX1496" t="s">
        <v>262</v>
      </c>
      <c r="BO1496" t="s">
        <v>261</v>
      </c>
      <c r="BQ1496">
        <v>0.29799999999999999</v>
      </c>
      <c r="BV1496" t="s">
        <v>263</v>
      </c>
      <c r="CM1496" t="s">
        <v>264</v>
      </c>
      <c r="CN1496" t="s">
        <v>264</v>
      </c>
      <c r="CP1496" t="s">
        <v>265</v>
      </c>
      <c r="DB1496">
        <v>4</v>
      </c>
      <c r="DG1496" t="s">
        <v>267</v>
      </c>
      <c r="DI1496">
        <v>96</v>
      </c>
      <c r="DN1496" t="s">
        <v>268</v>
      </c>
      <c r="DP1496" t="s">
        <v>3155</v>
      </c>
      <c r="DR1496">
        <v>110441</v>
      </c>
      <c r="DS1496">
        <v>142</v>
      </c>
      <c r="EW1496" t="s">
        <v>271</v>
      </c>
      <c r="FA1496" t="s">
        <v>3171</v>
      </c>
      <c r="FM1496">
        <v>25</v>
      </c>
      <c r="FR1496" t="s">
        <v>295</v>
      </c>
      <c r="GG1496" t="s">
        <v>288</v>
      </c>
      <c r="GH1496">
        <v>60</v>
      </c>
      <c r="GM1496" t="s">
        <v>900</v>
      </c>
      <c r="GW1496">
        <v>15</v>
      </c>
      <c r="GY1496">
        <v>30</v>
      </c>
      <c r="GZ1496" t="s">
        <v>296</v>
      </c>
      <c r="HH1496" t="s">
        <v>272</v>
      </c>
      <c r="IE1496" t="s">
        <v>3172</v>
      </c>
      <c r="IF1496">
        <v>3736</v>
      </c>
      <c r="IG1496" t="s">
        <v>3173</v>
      </c>
      <c r="IH1496" t="s">
        <v>3174</v>
      </c>
      <c r="II1496">
        <v>1982</v>
      </c>
      <c r="IJ1496" t="s">
        <v>3175</v>
      </c>
    </row>
    <row r="1497" spans="1:244" x14ac:dyDescent="0.45">
      <c r="A1497">
        <v>1054943</v>
      </c>
      <c r="B1497">
        <v>134344</v>
      </c>
      <c r="C1497">
        <v>7761888</v>
      </c>
      <c r="D1497" t="s">
        <v>3141</v>
      </c>
      <c r="F1497" t="s">
        <v>245</v>
      </c>
      <c r="G1497" t="s">
        <v>246</v>
      </c>
      <c r="N1497" t="s">
        <v>630</v>
      </c>
      <c r="O1497" t="s">
        <v>631</v>
      </c>
      <c r="P1497" t="s">
        <v>249</v>
      </c>
      <c r="Q1497" t="s">
        <v>250</v>
      </c>
      <c r="R1497" t="s">
        <v>251</v>
      </c>
      <c r="T1497" t="s">
        <v>389</v>
      </c>
      <c r="U1497" t="s">
        <v>632</v>
      </c>
      <c r="V1497" t="s">
        <v>633</v>
      </c>
      <c r="W1497" t="s">
        <v>634</v>
      </c>
      <c r="X1497" t="s">
        <v>635</v>
      </c>
      <c r="Z1497" t="s">
        <v>315</v>
      </c>
      <c r="AM1497" t="s">
        <v>317</v>
      </c>
      <c r="AN1497" t="s">
        <v>259</v>
      </c>
      <c r="AO1497" t="s">
        <v>260</v>
      </c>
      <c r="AQ1497" t="s">
        <v>261</v>
      </c>
      <c r="AS1497">
        <v>36.299999999999997</v>
      </c>
      <c r="AX1497" t="s">
        <v>262</v>
      </c>
      <c r="BO1497" t="s">
        <v>261</v>
      </c>
      <c r="BQ1497">
        <v>3.6299999999999999E-2</v>
      </c>
      <c r="BV1497" t="s">
        <v>263</v>
      </c>
      <c r="CM1497" t="s">
        <v>264</v>
      </c>
      <c r="CN1497" t="s">
        <v>264</v>
      </c>
      <c r="CP1497" t="s">
        <v>265</v>
      </c>
      <c r="DB1497">
        <v>4</v>
      </c>
      <c r="DG1497" t="s">
        <v>267</v>
      </c>
      <c r="DI1497">
        <v>96</v>
      </c>
      <c r="DN1497" t="s">
        <v>268</v>
      </c>
      <c r="DR1497">
        <v>136180</v>
      </c>
      <c r="DS1497">
        <v>376</v>
      </c>
      <c r="EW1497" t="s">
        <v>293</v>
      </c>
      <c r="FA1497" t="s">
        <v>3195</v>
      </c>
      <c r="FM1497">
        <v>20</v>
      </c>
      <c r="FR1497" t="s">
        <v>295</v>
      </c>
      <c r="HH1497" t="s">
        <v>272</v>
      </c>
      <c r="IE1497" t="s">
        <v>725</v>
      </c>
      <c r="IF1497">
        <v>3825</v>
      </c>
      <c r="IG1497" t="s">
        <v>726</v>
      </c>
      <c r="IH1497" t="s">
        <v>727</v>
      </c>
      <c r="II1497">
        <v>1985</v>
      </c>
      <c r="IJ1497" t="s">
        <v>728</v>
      </c>
    </row>
    <row r="1498" spans="1:244" x14ac:dyDescent="0.45">
      <c r="A1498">
        <v>1053615</v>
      </c>
      <c r="B1498">
        <v>126411</v>
      </c>
      <c r="C1498">
        <v>7761888</v>
      </c>
      <c r="D1498" t="s">
        <v>3141</v>
      </c>
      <c r="F1498" t="s">
        <v>327</v>
      </c>
      <c r="G1498" t="s">
        <v>246</v>
      </c>
      <c r="N1498" t="s">
        <v>369</v>
      </c>
      <c r="O1498" t="s">
        <v>370</v>
      </c>
      <c r="P1498" t="s">
        <v>249</v>
      </c>
      <c r="Q1498" t="s">
        <v>250</v>
      </c>
      <c r="R1498" t="s">
        <v>251</v>
      </c>
      <c r="T1498" t="s">
        <v>252</v>
      </c>
      <c r="U1498" t="s">
        <v>371</v>
      </c>
      <c r="V1498" t="s">
        <v>372</v>
      </c>
      <c r="W1498" t="s">
        <v>373</v>
      </c>
      <c r="X1498" t="s">
        <v>374</v>
      </c>
      <c r="AA1498" t="s">
        <v>289</v>
      </c>
      <c r="AB1498">
        <v>2</v>
      </c>
      <c r="AG1498" t="s">
        <v>267</v>
      </c>
      <c r="AM1498" t="s">
        <v>307</v>
      </c>
      <c r="AN1498" t="s">
        <v>259</v>
      </c>
      <c r="AO1498" t="s">
        <v>260</v>
      </c>
      <c r="AQ1498" t="s">
        <v>261</v>
      </c>
      <c r="AS1498">
        <v>300</v>
      </c>
      <c r="AU1498">
        <v>256</v>
      </c>
      <c r="AW1498">
        <v>346</v>
      </c>
      <c r="AX1498" t="s">
        <v>262</v>
      </c>
      <c r="BO1498" t="s">
        <v>261</v>
      </c>
      <c r="BQ1498">
        <v>0.3</v>
      </c>
      <c r="BS1498">
        <v>0.25600000000000001</v>
      </c>
      <c r="BU1498">
        <v>0.34599999999999997</v>
      </c>
      <c r="BV1498" t="s">
        <v>263</v>
      </c>
      <c r="CM1498" t="s">
        <v>264</v>
      </c>
      <c r="CN1498" t="s">
        <v>264</v>
      </c>
      <c r="CP1498" t="s">
        <v>265</v>
      </c>
      <c r="CQ1498" t="s">
        <v>878</v>
      </c>
      <c r="DB1498">
        <v>4</v>
      </c>
      <c r="DG1498" t="s">
        <v>267</v>
      </c>
      <c r="DI1498">
        <v>96</v>
      </c>
      <c r="DN1498" t="s">
        <v>268</v>
      </c>
      <c r="DP1498" t="s">
        <v>3155</v>
      </c>
      <c r="DR1498">
        <v>110441</v>
      </c>
      <c r="DS1498">
        <v>142</v>
      </c>
      <c r="EW1498" t="s">
        <v>333</v>
      </c>
      <c r="FA1498" t="s">
        <v>3156</v>
      </c>
      <c r="FK1498" t="s">
        <v>1014</v>
      </c>
      <c r="FM1498">
        <v>22</v>
      </c>
      <c r="FR1498" t="s">
        <v>295</v>
      </c>
      <c r="GG1498" t="s">
        <v>288</v>
      </c>
      <c r="GH1498">
        <v>50</v>
      </c>
      <c r="GM1498" t="s">
        <v>900</v>
      </c>
      <c r="GU1498">
        <v>28</v>
      </c>
      <c r="GZ1498" t="s">
        <v>296</v>
      </c>
      <c r="HH1498" t="s">
        <v>272</v>
      </c>
      <c r="ID1498" t="s">
        <v>1015</v>
      </c>
      <c r="IE1498" t="s">
        <v>3159</v>
      </c>
      <c r="IF1498">
        <v>3740</v>
      </c>
      <c r="IG1498" t="s">
        <v>3160</v>
      </c>
      <c r="IH1498" t="s">
        <v>3161</v>
      </c>
      <c r="II1498">
        <v>1981</v>
      </c>
      <c r="IJ1498" t="s">
        <v>3162</v>
      </c>
    </row>
    <row r="1499" spans="1:244" x14ac:dyDescent="0.45">
      <c r="A1499">
        <v>1053498</v>
      </c>
      <c r="B1499">
        <v>131937</v>
      </c>
      <c r="C1499">
        <v>7761888</v>
      </c>
      <c r="D1499" t="s">
        <v>3141</v>
      </c>
      <c r="F1499" t="s">
        <v>327</v>
      </c>
      <c r="G1499" t="s">
        <v>246</v>
      </c>
      <c r="N1499" t="s">
        <v>369</v>
      </c>
      <c r="O1499" t="s">
        <v>370</v>
      </c>
      <c r="P1499" t="s">
        <v>249</v>
      </c>
      <c r="Q1499" t="s">
        <v>250</v>
      </c>
      <c r="R1499" t="s">
        <v>251</v>
      </c>
      <c r="T1499" t="s">
        <v>252</v>
      </c>
      <c r="U1499" t="s">
        <v>371</v>
      </c>
      <c r="V1499" t="s">
        <v>372</v>
      </c>
      <c r="W1499" t="s">
        <v>373</v>
      </c>
      <c r="X1499" t="s">
        <v>374</v>
      </c>
      <c r="Z1499" t="s">
        <v>649</v>
      </c>
      <c r="AM1499" t="s">
        <v>307</v>
      </c>
      <c r="AN1499" t="s">
        <v>259</v>
      </c>
      <c r="AO1499" t="s">
        <v>260</v>
      </c>
      <c r="AQ1499" t="s">
        <v>261</v>
      </c>
      <c r="AS1499">
        <v>64</v>
      </c>
      <c r="AX1499" t="s">
        <v>262</v>
      </c>
      <c r="BO1499" t="s">
        <v>261</v>
      </c>
      <c r="BQ1499">
        <v>6.4000000000000001E-2</v>
      </c>
      <c r="BV1499" t="s">
        <v>263</v>
      </c>
      <c r="CM1499" t="s">
        <v>264</v>
      </c>
      <c r="CN1499" t="s">
        <v>264</v>
      </c>
      <c r="CP1499" t="s">
        <v>265</v>
      </c>
      <c r="DB1499">
        <v>4</v>
      </c>
      <c r="DG1499" t="s">
        <v>267</v>
      </c>
      <c r="DI1499">
        <v>96</v>
      </c>
      <c r="DN1499" t="s">
        <v>268</v>
      </c>
      <c r="DP1499" t="s">
        <v>3155</v>
      </c>
      <c r="DR1499">
        <v>110441</v>
      </c>
      <c r="DS1499">
        <v>142</v>
      </c>
      <c r="EW1499" t="s">
        <v>271</v>
      </c>
      <c r="FA1499" t="s">
        <v>3171</v>
      </c>
      <c r="FM1499">
        <v>25</v>
      </c>
      <c r="FR1499" t="s">
        <v>295</v>
      </c>
      <c r="GG1499" t="s">
        <v>288</v>
      </c>
      <c r="GH1499">
        <v>60</v>
      </c>
      <c r="GM1499" t="s">
        <v>900</v>
      </c>
      <c r="GW1499">
        <v>15</v>
      </c>
      <c r="GY1499">
        <v>30</v>
      </c>
      <c r="GZ1499" t="s">
        <v>296</v>
      </c>
      <c r="HH1499" t="s">
        <v>272</v>
      </c>
      <c r="IE1499" t="s">
        <v>3172</v>
      </c>
      <c r="IF1499">
        <v>3736</v>
      </c>
      <c r="IG1499" t="s">
        <v>3173</v>
      </c>
      <c r="IH1499" t="s">
        <v>3174</v>
      </c>
      <c r="II1499">
        <v>1982</v>
      </c>
      <c r="IJ1499" t="s">
        <v>3175</v>
      </c>
    </row>
    <row r="1500" spans="1:244" x14ac:dyDescent="0.45">
      <c r="A1500">
        <v>1053594</v>
      </c>
      <c r="B1500">
        <v>126390</v>
      </c>
      <c r="C1500">
        <v>7761888</v>
      </c>
      <c r="D1500" t="s">
        <v>3141</v>
      </c>
      <c r="F1500" t="s">
        <v>245</v>
      </c>
      <c r="G1500" t="s">
        <v>246</v>
      </c>
      <c r="N1500" t="s">
        <v>369</v>
      </c>
      <c r="O1500" t="s">
        <v>370</v>
      </c>
      <c r="P1500" t="s">
        <v>249</v>
      </c>
      <c r="Q1500" t="s">
        <v>250</v>
      </c>
      <c r="R1500" t="s">
        <v>251</v>
      </c>
      <c r="T1500" t="s">
        <v>252</v>
      </c>
      <c r="U1500" t="s">
        <v>371</v>
      </c>
      <c r="V1500" t="s">
        <v>372</v>
      </c>
      <c r="W1500" t="s">
        <v>373</v>
      </c>
      <c r="X1500" t="s">
        <v>374</v>
      </c>
      <c r="AA1500" t="s">
        <v>289</v>
      </c>
      <c r="AB1500">
        <v>2</v>
      </c>
      <c r="AG1500" t="s">
        <v>267</v>
      </c>
      <c r="AM1500" t="s">
        <v>317</v>
      </c>
      <c r="AN1500" t="s">
        <v>259</v>
      </c>
      <c r="AO1500" t="s">
        <v>260</v>
      </c>
      <c r="AQ1500" t="s">
        <v>261</v>
      </c>
      <c r="AS1500">
        <v>251</v>
      </c>
      <c r="AU1500">
        <v>207</v>
      </c>
      <c r="AW1500">
        <v>303</v>
      </c>
      <c r="AX1500" t="s">
        <v>262</v>
      </c>
      <c r="BO1500" t="s">
        <v>261</v>
      </c>
      <c r="BQ1500">
        <v>0.251</v>
      </c>
      <c r="BS1500">
        <v>0.20699999999999999</v>
      </c>
      <c r="BU1500">
        <v>0.30299999999999999</v>
      </c>
      <c r="BV1500" t="s">
        <v>263</v>
      </c>
      <c r="CM1500" t="s">
        <v>264</v>
      </c>
      <c r="CN1500" t="s">
        <v>264</v>
      </c>
      <c r="CP1500" t="s">
        <v>265</v>
      </c>
      <c r="CQ1500" t="s">
        <v>878</v>
      </c>
      <c r="DB1500">
        <v>4</v>
      </c>
      <c r="DG1500" t="s">
        <v>267</v>
      </c>
      <c r="DI1500">
        <v>96</v>
      </c>
      <c r="DN1500" t="s">
        <v>268</v>
      </c>
      <c r="DP1500" t="s">
        <v>3155</v>
      </c>
      <c r="DR1500">
        <v>110441</v>
      </c>
      <c r="DS1500">
        <v>142</v>
      </c>
      <c r="EW1500" t="s">
        <v>333</v>
      </c>
      <c r="FA1500" t="s">
        <v>3156</v>
      </c>
      <c r="FK1500" t="s">
        <v>1014</v>
      </c>
      <c r="FM1500">
        <v>22</v>
      </c>
      <c r="FR1500" t="s">
        <v>295</v>
      </c>
      <c r="GG1500" t="s">
        <v>288</v>
      </c>
      <c r="GH1500">
        <v>50</v>
      </c>
      <c r="GM1500" t="s">
        <v>900</v>
      </c>
      <c r="GU1500">
        <v>28</v>
      </c>
      <c r="GZ1500" t="s">
        <v>296</v>
      </c>
      <c r="HH1500" t="s">
        <v>272</v>
      </c>
      <c r="ID1500" t="s">
        <v>1015</v>
      </c>
      <c r="IE1500" t="s">
        <v>3159</v>
      </c>
      <c r="IF1500">
        <v>3740</v>
      </c>
      <c r="IG1500" t="s">
        <v>3160</v>
      </c>
      <c r="IH1500" t="s">
        <v>3161</v>
      </c>
      <c r="II1500">
        <v>1981</v>
      </c>
      <c r="IJ1500" t="s">
        <v>3162</v>
      </c>
    </row>
    <row r="1501" spans="1:244" x14ac:dyDescent="0.45">
      <c r="A1501">
        <v>1053591</v>
      </c>
      <c r="B1501">
        <v>126387</v>
      </c>
      <c r="C1501">
        <v>7761888</v>
      </c>
      <c r="D1501" t="s">
        <v>3141</v>
      </c>
      <c r="F1501" t="s">
        <v>245</v>
      </c>
      <c r="G1501" t="s">
        <v>246</v>
      </c>
      <c r="N1501" t="s">
        <v>630</v>
      </c>
      <c r="O1501" t="s">
        <v>631</v>
      </c>
      <c r="P1501" t="s">
        <v>249</v>
      </c>
      <c r="Q1501" t="s">
        <v>250</v>
      </c>
      <c r="R1501" t="s">
        <v>251</v>
      </c>
      <c r="T1501" t="s">
        <v>389</v>
      </c>
      <c r="U1501" t="s">
        <v>632</v>
      </c>
      <c r="V1501" t="s">
        <v>633</v>
      </c>
      <c r="W1501" t="s">
        <v>634</v>
      </c>
      <c r="X1501" t="s">
        <v>635</v>
      </c>
      <c r="AM1501" t="s">
        <v>317</v>
      </c>
      <c r="AN1501" t="s">
        <v>259</v>
      </c>
      <c r="AO1501" t="s">
        <v>260</v>
      </c>
      <c r="AQ1501" t="s">
        <v>261</v>
      </c>
      <c r="AS1501">
        <v>23.5</v>
      </c>
      <c r="AU1501">
        <v>17.2</v>
      </c>
      <c r="AW1501">
        <v>29.6</v>
      </c>
      <c r="AX1501" t="s">
        <v>262</v>
      </c>
      <c r="BO1501" t="s">
        <v>261</v>
      </c>
      <c r="BQ1501">
        <v>2.35E-2</v>
      </c>
      <c r="BS1501">
        <v>1.72E-2</v>
      </c>
      <c r="BU1501">
        <v>2.9600000000000001E-2</v>
      </c>
      <c r="BV1501" t="s">
        <v>263</v>
      </c>
      <c r="CM1501" t="s">
        <v>264</v>
      </c>
      <c r="CN1501" t="s">
        <v>264</v>
      </c>
      <c r="CP1501" t="s">
        <v>265</v>
      </c>
      <c r="CQ1501" t="s">
        <v>878</v>
      </c>
      <c r="DB1501">
        <v>4</v>
      </c>
      <c r="DG1501" t="s">
        <v>267</v>
      </c>
      <c r="DI1501">
        <v>96</v>
      </c>
      <c r="DN1501" t="s">
        <v>268</v>
      </c>
      <c r="DP1501" t="s">
        <v>3155</v>
      </c>
      <c r="DR1501">
        <v>136180</v>
      </c>
      <c r="DS1501">
        <v>376</v>
      </c>
      <c r="EW1501" t="s">
        <v>638</v>
      </c>
      <c r="FA1501" t="s">
        <v>3156</v>
      </c>
      <c r="FK1501" t="s">
        <v>1014</v>
      </c>
      <c r="FM1501">
        <v>22</v>
      </c>
      <c r="FR1501" t="s">
        <v>295</v>
      </c>
      <c r="GG1501" t="s">
        <v>288</v>
      </c>
      <c r="GH1501">
        <v>50</v>
      </c>
      <c r="GM1501" t="s">
        <v>900</v>
      </c>
      <c r="GU1501">
        <v>28</v>
      </c>
      <c r="GZ1501" t="s">
        <v>296</v>
      </c>
      <c r="HH1501" t="s">
        <v>272</v>
      </c>
      <c r="ID1501" t="s">
        <v>1015</v>
      </c>
      <c r="IE1501" t="s">
        <v>3159</v>
      </c>
      <c r="IF1501">
        <v>3740</v>
      </c>
      <c r="IG1501" t="s">
        <v>3160</v>
      </c>
      <c r="IH1501" t="s">
        <v>3161</v>
      </c>
      <c r="II1501">
        <v>1981</v>
      </c>
      <c r="IJ1501" t="s">
        <v>3162</v>
      </c>
    </row>
    <row r="1502" spans="1:244" x14ac:dyDescent="0.45">
      <c r="A1502">
        <v>1053617</v>
      </c>
      <c r="B1502">
        <v>126413</v>
      </c>
      <c r="C1502">
        <v>7761888</v>
      </c>
      <c r="D1502" t="s">
        <v>3141</v>
      </c>
      <c r="F1502" t="s">
        <v>327</v>
      </c>
      <c r="G1502" t="s">
        <v>246</v>
      </c>
      <c r="N1502" t="s">
        <v>369</v>
      </c>
      <c r="O1502" t="s">
        <v>370</v>
      </c>
      <c r="P1502" t="s">
        <v>249</v>
      </c>
      <c r="Q1502" t="s">
        <v>250</v>
      </c>
      <c r="R1502" t="s">
        <v>251</v>
      </c>
      <c r="T1502" t="s">
        <v>252</v>
      </c>
      <c r="U1502" t="s">
        <v>371</v>
      </c>
      <c r="V1502" t="s">
        <v>372</v>
      </c>
      <c r="W1502" t="s">
        <v>373</v>
      </c>
      <c r="X1502" t="s">
        <v>374</v>
      </c>
      <c r="AA1502" t="s">
        <v>289</v>
      </c>
      <c r="AB1502">
        <v>2</v>
      </c>
      <c r="AG1502" t="s">
        <v>267</v>
      </c>
      <c r="AM1502" t="s">
        <v>307</v>
      </c>
      <c r="AN1502" t="s">
        <v>259</v>
      </c>
      <c r="AO1502" t="s">
        <v>260</v>
      </c>
      <c r="AQ1502" t="s">
        <v>261</v>
      </c>
      <c r="AS1502">
        <v>313</v>
      </c>
      <c r="AU1502">
        <v>267</v>
      </c>
      <c r="AW1502">
        <v>377</v>
      </c>
      <c r="AX1502" t="s">
        <v>262</v>
      </c>
      <c r="BO1502" t="s">
        <v>261</v>
      </c>
      <c r="BQ1502">
        <v>0.313</v>
      </c>
      <c r="BS1502">
        <v>0.26700000000000002</v>
      </c>
      <c r="BU1502">
        <v>0.377</v>
      </c>
      <c r="BV1502" t="s">
        <v>263</v>
      </c>
      <c r="CM1502" t="s">
        <v>264</v>
      </c>
      <c r="CN1502" t="s">
        <v>264</v>
      </c>
      <c r="CP1502" t="s">
        <v>265</v>
      </c>
      <c r="CQ1502" t="s">
        <v>878</v>
      </c>
      <c r="DB1502">
        <v>4</v>
      </c>
      <c r="DG1502" t="s">
        <v>267</v>
      </c>
      <c r="DI1502">
        <v>96</v>
      </c>
      <c r="DN1502" t="s">
        <v>268</v>
      </c>
      <c r="DP1502" t="s">
        <v>3155</v>
      </c>
      <c r="DR1502">
        <v>110441</v>
      </c>
      <c r="DS1502">
        <v>142</v>
      </c>
      <c r="EW1502" t="s">
        <v>333</v>
      </c>
      <c r="FA1502" t="s">
        <v>3156</v>
      </c>
      <c r="FK1502" t="s">
        <v>3157</v>
      </c>
      <c r="FM1502">
        <v>22</v>
      </c>
      <c r="FR1502" t="s">
        <v>295</v>
      </c>
      <c r="GG1502" t="s">
        <v>288</v>
      </c>
      <c r="GH1502">
        <v>50</v>
      </c>
      <c r="GM1502" t="s">
        <v>900</v>
      </c>
      <c r="GU1502">
        <v>28</v>
      </c>
      <c r="GZ1502" t="s">
        <v>296</v>
      </c>
      <c r="HH1502" t="s">
        <v>272</v>
      </c>
      <c r="ID1502" t="s">
        <v>3158</v>
      </c>
      <c r="IE1502" t="s">
        <v>3159</v>
      </c>
      <c r="IF1502">
        <v>3740</v>
      </c>
      <c r="IG1502" t="s">
        <v>3160</v>
      </c>
      <c r="IH1502" t="s">
        <v>3161</v>
      </c>
      <c r="II1502">
        <v>1981</v>
      </c>
      <c r="IJ1502" t="s">
        <v>3162</v>
      </c>
    </row>
    <row r="1503" spans="1:244" x14ac:dyDescent="0.45">
      <c r="A1503">
        <v>1053592</v>
      </c>
      <c r="B1503">
        <v>126388</v>
      </c>
      <c r="C1503">
        <v>7761888</v>
      </c>
      <c r="D1503" t="s">
        <v>3141</v>
      </c>
      <c r="F1503" t="s">
        <v>245</v>
      </c>
      <c r="G1503" t="s">
        <v>246</v>
      </c>
      <c r="N1503" t="s">
        <v>630</v>
      </c>
      <c r="O1503" t="s">
        <v>631</v>
      </c>
      <c r="P1503" t="s">
        <v>249</v>
      </c>
      <c r="Q1503" t="s">
        <v>250</v>
      </c>
      <c r="R1503" t="s">
        <v>251</v>
      </c>
      <c r="T1503" t="s">
        <v>389</v>
      </c>
      <c r="U1503" t="s">
        <v>632</v>
      </c>
      <c r="V1503" t="s">
        <v>633</v>
      </c>
      <c r="W1503" t="s">
        <v>634</v>
      </c>
      <c r="X1503" t="s">
        <v>635</v>
      </c>
      <c r="AM1503" t="s">
        <v>317</v>
      </c>
      <c r="AN1503" t="s">
        <v>259</v>
      </c>
      <c r="AO1503" t="s">
        <v>260</v>
      </c>
      <c r="AQ1503" t="s">
        <v>261</v>
      </c>
      <c r="AS1503">
        <v>36.4</v>
      </c>
      <c r="AU1503">
        <v>29.4</v>
      </c>
      <c r="AW1503">
        <v>45.8</v>
      </c>
      <c r="AX1503" t="s">
        <v>262</v>
      </c>
      <c r="BO1503" t="s">
        <v>261</v>
      </c>
      <c r="BQ1503">
        <v>3.6400000000000002E-2</v>
      </c>
      <c r="BS1503">
        <v>2.9399999999999999E-2</v>
      </c>
      <c r="BU1503">
        <v>4.58E-2</v>
      </c>
      <c r="BV1503" t="s">
        <v>263</v>
      </c>
      <c r="CM1503" t="s">
        <v>264</v>
      </c>
      <c r="CN1503" t="s">
        <v>264</v>
      </c>
      <c r="CP1503" t="s">
        <v>265</v>
      </c>
      <c r="CQ1503" t="s">
        <v>878</v>
      </c>
      <c r="DB1503">
        <v>4</v>
      </c>
      <c r="DG1503" t="s">
        <v>267</v>
      </c>
      <c r="DI1503">
        <v>96</v>
      </c>
      <c r="DN1503" t="s">
        <v>268</v>
      </c>
      <c r="DP1503" t="s">
        <v>3155</v>
      </c>
      <c r="DR1503">
        <v>136180</v>
      </c>
      <c r="DS1503">
        <v>376</v>
      </c>
      <c r="EW1503" t="s">
        <v>638</v>
      </c>
      <c r="FA1503" t="s">
        <v>3156</v>
      </c>
      <c r="FK1503" t="s">
        <v>1014</v>
      </c>
      <c r="FM1503">
        <v>22</v>
      </c>
      <c r="FR1503" t="s">
        <v>295</v>
      </c>
      <c r="GG1503" t="s">
        <v>288</v>
      </c>
      <c r="GH1503">
        <v>50</v>
      </c>
      <c r="GM1503" t="s">
        <v>900</v>
      </c>
      <c r="GU1503">
        <v>28</v>
      </c>
      <c r="GZ1503" t="s">
        <v>296</v>
      </c>
      <c r="HH1503" t="s">
        <v>272</v>
      </c>
      <c r="ID1503" t="s">
        <v>1015</v>
      </c>
      <c r="IE1503" t="s">
        <v>3159</v>
      </c>
      <c r="IF1503">
        <v>3740</v>
      </c>
      <c r="IG1503" t="s">
        <v>3160</v>
      </c>
      <c r="IH1503" t="s">
        <v>3161</v>
      </c>
      <c r="II1503">
        <v>1981</v>
      </c>
      <c r="IJ1503" t="s">
        <v>3162</v>
      </c>
    </row>
    <row r="1504" spans="1:244" x14ac:dyDescent="0.45">
      <c r="A1504">
        <v>1286030</v>
      </c>
      <c r="B1504">
        <v>740209</v>
      </c>
      <c r="C1504">
        <v>7761888</v>
      </c>
      <c r="D1504" t="s">
        <v>3141</v>
      </c>
      <c r="F1504" t="s">
        <v>327</v>
      </c>
      <c r="G1504" t="s">
        <v>246</v>
      </c>
      <c r="I1504">
        <v>99.9</v>
      </c>
      <c r="N1504" t="s">
        <v>369</v>
      </c>
      <c r="O1504" t="s">
        <v>370</v>
      </c>
      <c r="P1504" t="s">
        <v>249</v>
      </c>
      <c r="Q1504" t="s">
        <v>250</v>
      </c>
      <c r="R1504" t="s">
        <v>251</v>
      </c>
      <c r="T1504" t="s">
        <v>252</v>
      </c>
      <c r="U1504" t="s">
        <v>371</v>
      </c>
      <c r="V1504" t="s">
        <v>372</v>
      </c>
      <c r="W1504" t="s">
        <v>373</v>
      </c>
      <c r="X1504" t="s">
        <v>374</v>
      </c>
      <c r="AA1504" t="s">
        <v>289</v>
      </c>
      <c r="AB1504">
        <v>24</v>
      </c>
      <c r="AG1504" t="s">
        <v>268</v>
      </c>
      <c r="AM1504" t="s">
        <v>307</v>
      </c>
      <c r="AN1504" t="s">
        <v>259</v>
      </c>
      <c r="AO1504" t="s">
        <v>260</v>
      </c>
      <c r="AP1504">
        <v>6</v>
      </c>
      <c r="AQ1504" t="s">
        <v>504</v>
      </c>
      <c r="AS1504">
        <v>280</v>
      </c>
      <c r="AU1504">
        <v>240</v>
      </c>
      <c r="AW1504">
        <v>430</v>
      </c>
      <c r="AX1504" t="s">
        <v>262</v>
      </c>
      <c r="BO1504" t="s">
        <v>504</v>
      </c>
      <c r="BQ1504">
        <v>0.28000000000000003</v>
      </c>
      <c r="BS1504">
        <v>0.24</v>
      </c>
      <c r="BU1504">
        <v>0.43</v>
      </c>
      <c r="BV1504" t="s">
        <v>263</v>
      </c>
      <c r="CM1504" t="s">
        <v>264</v>
      </c>
      <c r="CN1504" t="s">
        <v>264</v>
      </c>
      <c r="CP1504" t="s">
        <v>265</v>
      </c>
      <c r="CQ1504" t="s">
        <v>878</v>
      </c>
      <c r="DB1504">
        <v>4</v>
      </c>
      <c r="DG1504" t="s">
        <v>267</v>
      </c>
      <c r="DI1504">
        <v>96</v>
      </c>
      <c r="DN1504" t="s">
        <v>268</v>
      </c>
      <c r="DP1504" t="s">
        <v>3163</v>
      </c>
      <c r="DR1504">
        <v>110441</v>
      </c>
      <c r="DS1504">
        <v>142</v>
      </c>
      <c r="DT1504" t="s">
        <v>3164</v>
      </c>
      <c r="EW1504" t="s">
        <v>293</v>
      </c>
      <c r="FK1504" t="s">
        <v>3196</v>
      </c>
      <c r="FO1504">
        <v>26</v>
      </c>
      <c r="FQ1504">
        <v>28</v>
      </c>
      <c r="FR1504" t="s">
        <v>295</v>
      </c>
      <c r="GJ1504">
        <v>6.2</v>
      </c>
      <c r="GL1504">
        <v>7.9</v>
      </c>
      <c r="GM1504" t="s">
        <v>356</v>
      </c>
      <c r="GQ1504">
        <v>7.7</v>
      </c>
      <c r="GS1504">
        <v>8.1999999999999993</v>
      </c>
      <c r="GU1504">
        <v>20</v>
      </c>
      <c r="GZ1504" t="s">
        <v>296</v>
      </c>
      <c r="HH1504" t="s">
        <v>272</v>
      </c>
      <c r="ID1504" t="s">
        <v>3197</v>
      </c>
      <c r="IE1504" t="s">
        <v>3167</v>
      </c>
      <c r="IF1504">
        <v>65743</v>
      </c>
      <c r="IG1504" t="s">
        <v>3168</v>
      </c>
      <c r="IH1504" t="s">
        <v>3169</v>
      </c>
      <c r="II1504">
        <v>2002</v>
      </c>
      <c r="IJ1504" t="s">
        <v>3170</v>
      </c>
    </row>
    <row r="1505" spans="1:244" x14ac:dyDescent="0.45">
      <c r="A1505">
        <v>1053618</v>
      </c>
      <c r="B1505">
        <v>126414</v>
      </c>
      <c r="C1505">
        <v>7761888</v>
      </c>
      <c r="D1505" t="s">
        <v>3141</v>
      </c>
      <c r="F1505" t="s">
        <v>327</v>
      </c>
      <c r="G1505" t="s">
        <v>246</v>
      </c>
      <c r="N1505" t="s">
        <v>369</v>
      </c>
      <c r="O1505" t="s">
        <v>370</v>
      </c>
      <c r="P1505" t="s">
        <v>249</v>
      </c>
      <c r="Q1505" t="s">
        <v>250</v>
      </c>
      <c r="R1505" t="s">
        <v>251</v>
      </c>
      <c r="T1505" t="s">
        <v>252</v>
      </c>
      <c r="U1505" t="s">
        <v>371</v>
      </c>
      <c r="V1505" t="s">
        <v>372</v>
      </c>
      <c r="W1505" t="s">
        <v>373</v>
      </c>
      <c r="X1505" t="s">
        <v>374</v>
      </c>
      <c r="AA1505" t="s">
        <v>289</v>
      </c>
      <c r="AB1505">
        <v>2</v>
      </c>
      <c r="AG1505" t="s">
        <v>267</v>
      </c>
      <c r="AM1505" t="s">
        <v>307</v>
      </c>
      <c r="AN1505" t="s">
        <v>259</v>
      </c>
      <c r="AO1505" t="s">
        <v>260</v>
      </c>
      <c r="AQ1505" t="s">
        <v>261</v>
      </c>
      <c r="AS1505">
        <v>65</v>
      </c>
      <c r="AU1505">
        <v>51.6</v>
      </c>
      <c r="AW1505">
        <v>87</v>
      </c>
      <c r="AX1505" t="s">
        <v>262</v>
      </c>
      <c r="BO1505" t="s">
        <v>261</v>
      </c>
      <c r="BQ1505">
        <v>6.5000000000000002E-2</v>
      </c>
      <c r="BS1505">
        <v>5.16E-2</v>
      </c>
      <c r="BU1505">
        <v>8.6999999999999994E-2</v>
      </c>
      <c r="BV1505" t="s">
        <v>263</v>
      </c>
      <c r="CM1505" t="s">
        <v>264</v>
      </c>
      <c r="CN1505" t="s">
        <v>264</v>
      </c>
      <c r="CP1505" t="s">
        <v>265</v>
      </c>
      <c r="CQ1505" t="s">
        <v>878</v>
      </c>
      <c r="DB1505">
        <v>4</v>
      </c>
      <c r="DG1505" t="s">
        <v>267</v>
      </c>
      <c r="DI1505">
        <v>96</v>
      </c>
      <c r="DN1505" t="s">
        <v>268</v>
      </c>
      <c r="DP1505" t="s">
        <v>3155</v>
      </c>
      <c r="DR1505">
        <v>110441</v>
      </c>
      <c r="DS1505">
        <v>142</v>
      </c>
      <c r="EW1505" t="s">
        <v>333</v>
      </c>
      <c r="FA1505" t="s">
        <v>3156</v>
      </c>
      <c r="FK1505" t="s">
        <v>3157</v>
      </c>
      <c r="FM1505">
        <v>22</v>
      </c>
      <c r="FR1505" t="s">
        <v>295</v>
      </c>
      <c r="GG1505" t="s">
        <v>288</v>
      </c>
      <c r="GH1505">
        <v>50</v>
      </c>
      <c r="GM1505" t="s">
        <v>900</v>
      </c>
      <c r="GU1505">
        <v>28</v>
      </c>
      <c r="GZ1505" t="s">
        <v>296</v>
      </c>
      <c r="HH1505" t="s">
        <v>272</v>
      </c>
      <c r="ID1505" t="s">
        <v>3158</v>
      </c>
      <c r="IE1505" t="s">
        <v>3159</v>
      </c>
      <c r="IF1505">
        <v>3740</v>
      </c>
      <c r="IG1505" t="s">
        <v>3160</v>
      </c>
      <c r="IH1505" t="s">
        <v>3161</v>
      </c>
      <c r="II1505">
        <v>1981</v>
      </c>
      <c r="IJ1505" t="s">
        <v>3162</v>
      </c>
    </row>
    <row r="1506" spans="1:244" x14ac:dyDescent="0.45">
      <c r="A1506">
        <v>1326414</v>
      </c>
      <c r="B1506">
        <v>785777</v>
      </c>
      <c r="C1506">
        <v>7761888</v>
      </c>
      <c r="D1506" t="s">
        <v>3141</v>
      </c>
      <c r="F1506" t="s">
        <v>245</v>
      </c>
      <c r="G1506" t="s">
        <v>246</v>
      </c>
      <c r="N1506" t="s">
        <v>387</v>
      </c>
      <c r="O1506" t="s">
        <v>388</v>
      </c>
      <c r="P1506" t="s">
        <v>249</v>
      </c>
      <c r="Q1506" t="s">
        <v>250</v>
      </c>
      <c r="R1506" t="s">
        <v>251</v>
      </c>
      <c r="T1506" t="s">
        <v>389</v>
      </c>
      <c r="U1506" t="s">
        <v>390</v>
      </c>
      <c r="V1506" t="s">
        <v>391</v>
      </c>
      <c r="W1506" t="s">
        <v>392</v>
      </c>
      <c r="X1506" t="s">
        <v>393</v>
      </c>
      <c r="Z1506" t="s">
        <v>315</v>
      </c>
      <c r="AL1506" t="s">
        <v>1113</v>
      </c>
      <c r="AM1506" t="s">
        <v>258</v>
      </c>
      <c r="AN1506" t="s">
        <v>259</v>
      </c>
      <c r="AO1506" t="s">
        <v>260</v>
      </c>
      <c r="AQ1506" t="s">
        <v>261</v>
      </c>
      <c r="AS1506">
        <v>2.4E-2</v>
      </c>
      <c r="AU1506">
        <v>2.1999999999999999E-2</v>
      </c>
      <c r="AW1506">
        <v>2.8000000000000001E-2</v>
      </c>
      <c r="AX1506" t="s">
        <v>356</v>
      </c>
      <c r="BO1506" t="s">
        <v>261</v>
      </c>
      <c r="BQ1506">
        <v>2.4E-2</v>
      </c>
      <c r="BS1506">
        <v>2.1999999999999999E-2</v>
      </c>
      <c r="BU1506">
        <v>2.8000000000000001E-2</v>
      </c>
      <c r="BV1506" t="s">
        <v>263</v>
      </c>
      <c r="CM1506" t="s">
        <v>264</v>
      </c>
      <c r="CN1506" t="s">
        <v>264</v>
      </c>
      <c r="CP1506" t="s">
        <v>265</v>
      </c>
      <c r="CQ1506" t="s">
        <v>878</v>
      </c>
      <c r="DB1506">
        <v>4</v>
      </c>
      <c r="DG1506" t="s">
        <v>267</v>
      </c>
      <c r="DI1506">
        <v>96</v>
      </c>
      <c r="DN1506" t="s">
        <v>268</v>
      </c>
      <c r="DP1506" t="s">
        <v>3163</v>
      </c>
      <c r="DR1506">
        <v>158387</v>
      </c>
      <c r="DS1506">
        <v>6038</v>
      </c>
      <c r="DT1506" t="s">
        <v>3198</v>
      </c>
      <c r="EW1506" t="s">
        <v>272</v>
      </c>
      <c r="FK1506" t="s">
        <v>962</v>
      </c>
      <c r="FM1506">
        <v>20</v>
      </c>
      <c r="FR1506" t="s">
        <v>295</v>
      </c>
      <c r="GH1506">
        <v>3.9</v>
      </c>
      <c r="GM1506" t="s">
        <v>356</v>
      </c>
      <c r="GU1506">
        <v>32</v>
      </c>
      <c r="GZ1506" t="s">
        <v>296</v>
      </c>
      <c r="HH1506" t="s">
        <v>272</v>
      </c>
      <c r="ID1506" t="s">
        <v>963</v>
      </c>
      <c r="IE1506" t="s">
        <v>3199</v>
      </c>
      <c r="IF1506">
        <v>107127</v>
      </c>
      <c r="IG1506" t="s">
        <v>3200</v>
      </c>
      <c r="IH1506" t="s">
        <v>3201</v>
      </c>
      <c r="II1506">
        <v>2008</v>
      </c>
      <c r="IJ1506" t="s">
        <v>3202</v>
      </c>
    </row>
    <row r="1507" spans="1:244" x14ac:dyDescent="0.45">
      <c r="A1507">
        <v>1211482</v>
      </c>
      <c r="B1507">
        <v>184789</v>
      </c>
      <c r="C1507">
        <v>7761888</v>
      </c>
      <c r="D1507" t="s">
        <v>3141</v>
      </c>
      <c r="F1507" t="s">
        <v>245</v>
      </c>
      <c r="G1507" t="s">
        <v>246</v>
      </c>
      <c r="I1507">
        <v>99.5</v>
      </c>
      <c r="N1507" t="s">
        <v>2498</v>
      </c>
      <c r="O1507" t="s">
        <v>388</v>
      </c>
      <c r="P1507" t="s">
        <v>249</v>
      </c>
      <c r="Q1507" t="s">
        <v>250</v>
      </c>
      <c r="R1507" t="s">
        <v>251</v>
      </c>
      <c r="T1507" t="s">
        <v>389</v>
      </c>
      <c r="U1507" t="s">
        <v>390</v>
      </c>
      <c r="V1507" t="s">
        <v>391</v>
      </c>
      <c r="W1507" t="s">
        <v>392</v>
      </c>
      <c r="X1507" t="s">
        <v>2499</v>
      </c>
      <c r="Z1507" t="s">
        <v>315</v>
      </c>
      <c r="AL1507" t="s">
        <v>2122</v>
      </c>
      <c r="AM1507" t="s">
        <v>287</v>
      </c>
      <c r="AN1507" t="s">
        <v>259</v>
      </c>
      <c r="AO1507" t="s">
        <v>260</v>
      </c>
      <c r="AQ1507" t="s">
        <v>261</v>
      </c>
      <c r="AS1507">
        <v>129.4</v>
      </c>
      <c r="AX1507" t="s">
        <v>262</v>
      </c>
      <c r="BO1507" t="s">
        <v>261</v>
      </c>
      <c r="BQ1507">
        <v>0.12939999999999999</v>
      </c>
      <c r="BV1507" t="s">
        <v>263</v>
      </c>
      <c r="CM1507" t="s">
        <v>264</v>
      </c>
      <c r="CN1507" t="s">
        <v>264</v>
      </c>
      <c r="CO1507" t="s">
        <v>3177</v>
      </c>
      <c r="CP1507" t="s">
        <v>265</v>
      </c>
      <c r="CQ1507" t="s">
        <v>878</v>
      </c>
      <c r="DB1507">
        <v>4</v>
      </c>
      <c r="DG1507" t="s">
        <v>267</v>
      </c>
      <c r="DI1507">
        <v>96</v>
      </c>
      <c r="DN1507" t="s">
        <v>268</v>
      </c>
      <c r="DO1507" t="s">
        <v>1587</v>
      </c>
      <c r="DQ1507" t="s">
        <v>3178</v>
      </c>
      <c r="DR1507">
        <v>272819</v>
      </c>
      <c r="DS1507">
        <v>4707</v>
      </c>
      <c r="EW1507" t="s">
        <v>293</v>
      </c>
      <c r="FA1507" t="s">
        <v>3203</v>
      </c>
      <c r="FM1507">
        <v>20</v>
      </c>
      <c r="FR1507" t="s">
        <v>295</v>
      </c>
      <c r="HH1507" t="s">
        <v>272</v>
      </c>
      <c r="IE1507" t="s">
        <v>3180</v>
      </c>
      <c r="IF1507">
        <v>19538</v>
      </c>
      <c r="IG1507" t="s">
        <v>3181</v>
      </c>
      <c r="IH1507" t="s">
        <v>3182</v>
      </c>
      <c r="II1507">
        <v>1995</v>
      </c>
      <c r="IJ1507" t="s">
        <v>3183</v>
      </c>
    </row>
    <row r="1508" spans="1:244" x14ac:dyDescent="0.45">
      <c r="A1508">
        <v>1053600</v>
      </c>
      <c r="B1508">
        <v>126396</v>
      </c>
      <c r="C1508">
        <v>7761888</v>
      </c>
      <c r="D1508" t="s">
        <v>3141</v>
      </c>
      <c r="F1508" t="s">
        <v>245</v>
      </c>
      <c r="G1508" t="s">
        <v>246</v>
      </c>
      <c r="N1508" t="s">
        <v>369</v>
      </c>
      <c r="O1508" t="s">
        <v>370</v>
      </c>
      <c r="P1508" t="s">
        <v>249</v>
      </c>
      <c r="Q1508" t="s">
        <v>250</v>
      </c>
      <c r="R1508" t="s">
        <v>251</v>
      </c>
      <c r="T1508" t="s">
        <v>252</v>
      </c>
      <c r="U1508" t="s">
        <v>371</v>
      </c>
      <c r="V1508" t="s">
        <v>372</v>
      </c>
      <c r="W1508" t="s">
        <v>373</v>
      </c>
      <c r="X1508" t="s">
        <v>374</v>
      </c>
      <c r="AA1508" t="s">
        <v>289</v>
      </c>
      <c r="AB1508">
        <v>2</v>
      </c>
      <c r="AG1508" t="s">
        <v>267</v>
      </c>
      <c r="AM1508" t="s">
        <v>307</v>
      </c>
      <c r="AN1508" t="s">
        <v>259</v>
      </c>
      <c r="AO1508" t="s">
        <v>260</v>
      </c>
      <c r="AQ1508" t="s">
        <v>261</v>
      </c>
      <c r="AS1508">
        <v>282</v>
      </c>
      <c r="AU1508">
        <v>235</v>
      </c>
      <c r="AW1508">
        <v>330</v>
      </c>
      <c r="AX1508" t="s">
        <v>262</v>
      </c>
      <c r="BO1508" t="s">
        <v>261</v>
      </c>
      <c r="BQ1508">
        <v>0.28199999999999997</v>
      </c>
      <c r="BS1508">
        <v>0.23499999999999999</v>
      </c>
      <c r="BU1508">
        <v>0.33</v>
      </c>
      <c r="BV1508" t="s">
        <v>263</v>
      </c>
      <c r="CM1508" t="s">
        <v>264</v>
      </c>
      <c r="CN1508" t="s">
        <v>264</v>
      </c>
      <c r="CP1508" t="s">
        <v>265</v>
      </c>
      <c r="CQ1508" t="s">
        <v>878</v>
      </c>
      <c r="DB1508">
        <v>4</v>
      </c>
      <c r="DG1508" t="s">
        <v>267</v>
      </c>
      <c r="DI1508">
        <v>96</v>
      </c>
      <c r="DN1508" t="s">
        <v>268</v>
      </c>
      <c r="DP1508" t="s">
        <v>3155</v>
      </c>
      <c r="DR1508">
        <v>110441</v>
      </c>
      <c r="DS1508">
        <v>142</v>
      </c>
      <c r="EW1508" t="s">
        <v>333</v>
      </c>
      <c r="FA1508" t="s">
        <v>3156</v>
      </c>
      <c r="FK1508" t="s">
        <v>1014</v>
      </c>
      <c r="FM1508">
        <v>22</v>
      </c>
      <c r="FR1508" t="s">
        <v>295</v>
      </c>
      <c r="GG1508" t="s">
        <v>288</v>
      </c>
      <c r="GH1508">
        <v>50</v>
      </c>
      <c r="GM1508" t="s">
        <v>900</v>
      </c>
      <c r="GU1508">
        <v>28</v>
      </c>
      <c r="GZ1508" t="s">
        <v>296</v>
      </c>
      <c r="HH1508" t="s">
        <v>272</v>
      </c>
      <c r="ID1508" t="s">
        <v>1015</v>
      </c>
      <c r="IE1508" t="s">
        <v>3159</v>
      </c>
      <c r="IF1508">
        <v>3740</v>
      </c>
      <c r="IG1508" t="s">
        <v>3160</v>
      </c>
      <c r="IH1508" t="s">
        <v>3161</v>
      </c>
      <c r="II1508">
        <v>1981</v>
      </c>
      <c r="IJ1508" t="s">
        <v>3162</v>
      </c>
    </row>
    <row r="1509" spans="1:244" x14ac:dyDescent="0.45">
      <c r="A1509">
        <v>1053604</v>
      </c>
      <c r="B1509">
        <v>126400</v>
      </c>
      <c r="C1509">
        <v>7761888</v>
      </c>
      <c r="D1509" t="s">
        <v>3141</v>
      </c>
      <c r="F1509" t="s">
        <v>245</v>
      </c>
      <c r="G1509" t="s">
        <v>246</v>
      </c>
      <c r="N1509" t="s">
        <v>369</v>
      </c>
      <c r="O1509" t="s">
        <v>370</v>
      </c>
      <c r="P1509" t="s">
        <v>249</v>
      </c>
      <c r="Q1509" t="s">
        <v>250</v>
      </c>
      <c r="R1509" t="s">
        <v>251</v>
      </c>
      <c r="T1509" t="s">
        <v>252</v>
      </c>
      <c r="U1509" t="s">
        <v>371</v>
      </c>
      <c r="V1509" t="s">
        <v>372</v>
      </c>
      <c r="W1509" t="s">
        <v>373</v>
      </c>
      <c r="X1509" t="s">
        <v>374</v>
      </c>
      <c r="AA1509" t="s">
        <v>289</v>
      </c>
      <c r="AB1509">
        <v>2</v>
      </c>
      <c r="AG1509" t="s">
        <v>267</v>
      </c>
      <c r="AM1509" t="s">
        <v>307</v>
      </c>
      <c r="AN1509" t="s">
        <v>259</v>
      </c>
      <c r="AO1509" t="s">
        <v>260</v>
      </c>
      <c r="AQ1509" t="s">
        <v>261</v>
      </c>
      <c r="AS1509">
        <v>211</v>
      </c>
      <c r="AU1509">
        <v>178</v>
      </c>
      <c r="AW1509">
        <v>289</v>
      </c>
      <c r="AX1509" t="s">
        <v>262</v>
      </c>
      <c r="BO1509" t="s">
        <v>261</v>
      </c>
      <c r="BQ1509">
        <v>0.21099999999999999</v>
      </c>
      <c r="BS1509">
        <v>0.17799999999999999</v>
      </c>
      <c r="BU1509">
        <v>0.28899999999999998</v>
      </c>
      <c r="BV1509" t="s">
        <v>263</v>
      </c>
      <c r="CM1509" t="s">
        <v>264</v>
      </c>
      <c r="CN1509" t="s">
        <v>264</v>
      </c>
      <c r="CP1509" t="s">
        <v>265</v>
      </c>
      <c r="CQ1509" t="s">
        <v>878</v>
      </c>
      <c r="DB1509">
        <v>4</v>
      </c>
      <c r="DG1509" t="s">
        <v>267</v>
      </c>
      <c r="DI1509">
        <v>96</v>
      </c>
      <c r="DN1509" t="s">
        <v>268</v>
      </c>
      <c r="DP1509" t="s">
        <v>3155</v>
      </c>
      <c r="DR1509">
        <v>110441</v>
      </c>
      <c r="DS1509">
        <v>142</v>
      </c>
      <c r="EW1509" t="s">
        <v>333</v>
      </c>
      <c r="FA1509" t="s">
        <v>3156</v>
      </c>
      <c r="FK1509" t="s">
        <v>1014</v>
      </c>
      <c r="FM1509">
        <v>22</v>
      </c>
      <c r="FR1509" t="s">
        <v>295</v>
      </c>
      <c r="GG1509" t="s">
        <v>288</v>
      </c>
      <c r="GH1509">
        <v>50</v>
      </c>
      <c r="GM1509" t="s">
        <v>900</v>
      </c>
      <c r="GU1509">
        <v>28</v>
      </c>
      <c r="GZ1509" t="s">
        <v>296</v>
      </c>
      <c r="HH1509" t="s">
        <v>272</v>
      </c>
      <c r="ID1509" t="s">
        <v>1015</v>
      </c>
      <c r="IE1509" t="s">
        <v>3159</v>
      </c>
      <c r="IF1509">
        <v>3740</v>
      </c>
      <c r="IG1509" t="s">
        <v>3160</v>
      </c>
      <c r="IH1509" t="s">
        <v>3161</v>
      </c>
      <c r="II1509">
        <v>1981</v>
      </c>
      <c r="IJ1509" t="s">
        <v>3162</v>
      </c>
    </row>
    <row r="1510" spans="1:244" x14ac:dyDescent="0.45">
      <c r="A1510">
        <v>1205929</v>
      </c>
      <c r="B1510">
        <v>171320</v>
      </c>
      <c r="C1510">
        <v>7761888</v>
      </c>
      <c r="D1510" t="s">
        <v>3141</v>
      </c>
      <c r="F1510" t="s">
        <v>245</v>
      </c>
      <c r="G1510" t="s">
        <v>246</v>
      </c>
      <c r="N1510" t="s">
        <v>2498</v>
      </c>
      <c r="O1510" t="s">
        <v>388</v>
      </c>
      <c r="P1510" t="s">
        <v>249</v>
      </c>
      <c r="Q1510" t="s">
        <v>250</v>
      </c>
      <c r="R1510" t="s">
        <v>251</v>
      </c>
      <c r="T1510" t="s">
        <v>389</v>
      </c>
      <c r="U1510" t="s">
        <v>390</v>
      </c>
      <c r="V1510" t="s">
        <v>391</v>
      </c>
      <c r="W1510" t="s">
        <v>392</v>
      </c>
      <c r="X1510" t="s">
        <v>2499</v>
      </c>
      <c r="Z1510" t="s">
        <v>315</v>
      </c>
      <c r="AL1510" t="s">
        <v>3026</v>
      </c>
      <c r="AM1510" t="s">
        <v>258</v>
      </c>
      <c r="AN1510" t="s">
        <v>259</v>
      </c>
      <c r="AO1510" t="s">
        <v>260</v>
      </c>
      <c r="AQ1510" t="s">
        <v>261</v>
      </c>
      <c r="AS1510">
        <v>159</v>
      </c>
      <c r="AX1510" t="s">
        <v>262</v>
      </c>
      <c r="BO1510" t="s">
        <v>261</v>
      </c>
      <c r="BQ1510">
        <v>0.159</v>
      </c>
      <c r="BV1510" t="s">
        <v>263</v>
      </c>
      <c r="CM1510" t="s">
        <v>264</v>
      </c>
      <c r="CN1510" t="s">
        <v>264</v>
      </c>
      <c r="CP1510" t="s">
        <v>265</v>
      </c>
      <c r="CQ1510" t="s">
        <v>878</v>
      </c>
      <c r="DB1510">
        <v>4</v>
      </c>
      <c r="DG1510" t="s">
        <v>267</v>
      </c>
      <c r="DI1510">
        <v>96</v>
      </c>
      <c r="DN1510" t="s">
        <v>268</v>
      </c>
      <c r="DQ1510" t="s">
        <v>3186</v>
      </c>
      <c r="DR1510">
        <v>272819</v>
      </c>
      <c r="DS1510">
        <v>4707</v>
      </c>
      <c r="EW1510" t="s">
        <v>272</v>
      </c>
      <c r="FM1510">
        <v>20</v>
      </c>
      <c r="FR1510" t="s">
        <v>295</v>
      </c>
      <c r="GU1510">
        <v>37</v>
      </c>
      <c r="GZ1510" t="s">
        <v>296</v>
      </c>
      <c r="HH1510" t="s">
        <v>272</v>
      </c>
      <c r="IE1510" t="s">
        <v>3028</v>
      </c>
      <c r="IF1510">
        <v>18833</v>
      </c>
      <c r="IG1510" t="s">
        <v>3029</v>
      </c>
      <c r="IH1510" t="s">
        <v>3030</v>
      </c>
      <c r="II1510">
        <v>1994</v>
      </c>
      <c r="IJ1510" t="s">
        <v>3031</v>
      </c>
    </row>
    <row r="1511" spans="1:244" x14ac:dyDescent="0.45">
      <c r="A1511">
        <v>1053590</v>
      </c>
      <c r="B1511">
        <v>126386</v>
      </c>
      <c r="C1511">
        <v>7761888</v>
      </c>
      <c r="D1511" t="s">
        <v>3141</v>
      </c>
      <c r="F1511" t="s">
        <v>245</v>
      </c>
      <c r="G1511" t="s">
        <v>246</v>
      </c>
      <c r="N1511" t="s">
        <v>630</v>
      </c>
      <c r="O1511" t="s">
        <v>631</v>
      </c>
      <c r="P1511" t="s">
        <v>249</v>
      </c>
      <c r="Q1511" t="s">
        <v>250</v>
      </c>
      <c r="R1511" t="s">
        <v>251</v>
      </c>
      <c r="T1511" t="s">
        <v>389</v>
      </c>
      <c r="U1511" t="s">
        <v>632</v>
      </c>
      <c r="V1511" t="s">
        <v>633</v>
      </c>
      <c r="W1511" t="s">
        <v>634</v>
      </c>
      <c r="X1511" t="s">
        <v>635</v>
      </c>
      <c r="AM1511" t="s">
        <v>317</v>
      </c>
      <c r="AN1511" t="s">
        <v>259</v>
      </c>
      <c r="AO1511" t="s">
        <v>260</v>
      </c>
      <c r="AQ1511" t="s">
        <v>261</v>
      </c>
      <c r="AS1511">
        <v>35.799999999999997</v>
      </c>
      <c r="AU1511">
        <v>30.5</v>
      </c>
      <c r="AW1511">
        <v>41.6</v>
      </c>
      <c r="AX1511" t="s">
        <v>262</v>
      </c>
      <c r="BO1511" t="s">
        <v>261</v>
      </c>
      <c r="BQ1511">
        <v>3.5799999999999998E-2</v>
      </c>
      <c r="BS1511">
        <v>3.0499999999999999E-2</v>
      </c>
      <c r="BU1511">
        <v>4.1599999999999998E-2</v>
      </c>
      <c r="BV1511" t="s">
        <v>263</v>
      </c>
      <c r="CM1511" t="s">
        <v>264</v>
      </c>
      <c r="CN1511" t="s">
        <v>264</v>
      </c>
      <c r="CP1511" t="s">
        <v>265</v>
      </c>
      <c r="CQ1511" t="s">
        <v>878</v>
      </c>
      <c r="DB1511">
        <v>4</v>
      </c>
      <c r="DG1511" t="s">
        <v>267</v>
      </c>
      <c r="DI1511">
        <v>96</v>
      </c>
      <c r="DN1511" t="s">
        <v>268</v>
      </c>
      <c r="DP1511" t="s">
        <v>3155</v>
      </c>
      <c r="DR1511">
        <v>136180</v>
      </c>
      <c r="DS1511">
        <v>376</v>
      </c>
      <c r="EW1511" t="s">
        <v>638</v>
      </c>
      <c r="FA1511" t="s">
        <v>3156</v>
      </c>
      <c r="FK1511" t="s">
        <v>1014</v>
      </c>
      <c r="FM1511">
        <v>22</v>
      </c>
      <c r="FR1511" t="s">
        <v>295</v>
      </c>
      <c r="GG1511" t="s">
        <v>288</v>
      </c>
      <c r="GH1511">
        <v>50</v>
      </c>
      <c r="GM1511" t="s">
        <v>900</v>
      </c>
      <c r="GU1511">
        <v>28</v>
      </c>
      <c r="GZ1511" t="s">
        <v>296</v>
      </c>
      <c r="HH1511" t="s">
        <v>272</v>
      </c>
      <c r="ID1511" t="s">
        <v>1015</v>
      </c>
      <c r="IE1511" t="s">
        <v>3159</v>
      </c>
      <c r="IF1511">
        <v>3740</v>
      </c>
      <c r="IG1511" t="s">
        <v>3160</v>
      </c>
      <c r="IH1511" t="s">
        <v>3161</v>
      </c>
      <c r="II1511">
        <v>1981</v>
      </c>
      <c r="IJ1511" t="s">
        <v>3162</v>
      </c>
    </row>
    <row r="1512" spans="1:244" x14ac:dyDescent="0.45">
      <c r="A1512">
        <v>1053589</v>
      </c>
      <c r="B1512">
        <v>126385</v>
      </c>
      <c r="C1512">
        <v>7761888</v>
      </c>
      <c r="D1512" t="s">
        <v>3141</v>
      </c>
      <c r="F1512" t="s">
        <v>245</v>
      </c>
      <c r="G1512" t="s">
        <v>246</v>
      </c>
      <c r="N1512" t="s">
        <v>630</v>
      </c>
      <c r="O1512" t="s">
        <v>631</v>
      </c>
      <c r="P1512" t="s">
        <v>249</v>
      </c>
      <c r="Q1512" t="s">
        <v>250</v>
      </c>
      <c r="R1512" t="s">
        <v>251</v>
      </c>
      <c r="T1512" t="s">
        <v>389</v>
      </c>
      <c r="U1512" t="s">
        <v>632</v>
      </c>
      <c r="V1512" t="s">
        <v>633</v>
      </c>
      <c r="W1512" t="s">
        <v>634</v>
      </c>
      <c r="X1512" t="s">
        <v>635</v>
      </c>
      <c r="AM1512" t="s">
        <v>317</v>
      </c>
      <c r="AN1512" t="s">
        <v>259</v>
      </c>
      <c r="AO1512" t="s">
        <v>260</v>
      </c>
      <c r="AQ1512" t="s">
        <v>261</v>
      </c>
      <c r="AS1512">
        <v>66</v>
      </c>
      <c r="AU1512">
        <v>59</v>
      </c>
      <c r="AW1512">
        <v>74</v>
      </c>
      <c r="AX1512" t="s">
        <v>262</v>
      </c>
      <c r="BO1512" t="s">
        <v>261</v>
      </c>
      <c r="BQ1512">
        <v>6.6000000000000003E-2</v>
      </c>
      <c r="BS1512">
        <v>5.8999999999999997E-2</v>
      </c>
      <c r="BU1512">
        <v>7.3999999999999996E-2</v>
      </c>
      <c r="BV1512" t="s">
        <v>263</v>
      </c>
      <c r="CM1512" t="s">
        <v>264</v>
      </c>
      <c r="CN1512" t="s">
        <v>264</v>
      </c>
      <c r="CP1512" t="s">
        <v>265</v>
      </c>
      <c r="CQ1512" t="s">
        <v>878</v>
      </c>
      <c r="DB1512">
        <v>4</v>
      </c>
      <c r="DG1512" t="s">
        <v>267</v>
      </c>
      <c r="DI1512">
        <v>96</v>
      </c>
      <c r="DN1512" t="s">
        <v>268</v>
      </c>
      <c r="DP1512" t="s">
        <v>3155</v>
      </c>
      <c r="DR1512">
        <v>136180</v>
      </c>
      <c r="DS1512">
        <v>376</v>
      </c>
      <c r="EW1512" t="s">
        <v>638</v>
      </c>
      <c r="FA1512" t="s">
        <v>3156</v>
      </c>
      <c r="FK1512" t="s">
        <v>1014</v>
      </c>
      <c r="FM1512">
        <v>22</v>
      </c>
      <c r="FR1512" t="s">
        <v>295</v>
      </c>
      <c r="GG1512" t="s">
        <v>288</v>
      </c>
      <c r="GH1512">
        <v>50</v>
      </c>
      <c r="GM1512" t="s">
        <v>900</v>
      </c>
      <c r="GU1512">
        <v>28</v>
      </c>
      <c r="GZ1512" t="s">
        <v>296</v>
      </c>
      <c r="HH1512" t="s">
        <v>272</v>
      </c>
      <c r="ID1512" t="s">
        <v>1015</v>
      </c>
      <c r="IE1512" t="s">
        <v>3159</v>
      </c>
      <c r="IF1512">
        <v>3740</v>
      </c>
      <c r="IG1512" t="s">
        <v>3160</v>
      </c>
      <c r="IH1512" t="s">
        <v>3161</v>
      </c>
      <c r="II1512">
        <v>1981</v>
      </c>
      <c r="IJ1512" t="s">
        <v>3162</v>
      </c>
    </row>
    <row r="1513" spans="1:244" x14ac:dyDescent="0.45">
      <c r="A1513">
        <v>1054976</v>
      </c>
      <c r="B1513">
        <v>220863</v>
      </c>
      <c r="C1513">
        <v>7761888</v>
      </c>
      <c r="D1513" t="s">
        <v>3141</v>
      </c>
      <c r="F1513" t="s">
        <v>327</v>
      </c>
      <c r="G1513" t="s">
        <v>246</v>
      </c>
      <c r="N1513" t="s">
        <v>630</v>
      </c>
      <c r="O1513" t="s">
        <v>631</v>
      </c>
      <c r="P1513" t="s">
        <v>249</v>
      </c>
      <c r="Q1513" t="s">
        <v>250</v>
      </c>
      <c r="R1513" t="s">
        <v>251</v>
      </c>
      <c r="T1513" t="s">
        <v>389</v>
      </c>
      <c r="U1513" t="s">
        <v>632</v>
      </c>
      <c r="V1513" t="s">
        <v>633</v>
      </c>
      <c r="W1513" t="s">
        <v>634</v>
      </c>
      <c r="X1513" t="s">
        <v>635</v>
      </c>
      <c r="Z1513" t="s">
        <v>315</v>
      </c>
      <c r="AM1513" t="s">
        <v>317</v>
      </c>
      <c r="AN1513" t="s">
        <v>259</v>
      </c>
      <c r="AO1513" t="s">
        <v>260</v>
      </c>
      <c r="AQ1513" t="s">
        <v>261</v>
      </c>
      <c r="AS1513">
        <v>36.299999999999997</v>
      </c>
      <c r="AU1513">
        <v>21.8</v>
      </c>
      <c r="AW1513">
        <v>102</v>
      </c>
      <c r="AX1513" t="s">
        <v>290</v>
      </c>
      <c r="BO1513" t="s">
        <v>261</v>
      </c>
      <c r="BQ1513">
        <v>3.6299999999999999E-2</v>
      </c>
      <c r="BS1513">
        <v>2.18E-2</v>
      </c>
      <c r="BU1513">
        <v>0.10199999999999999</v>
      </c>
      <c r="BV1513" t="s">
        <v>263</v>
      </c>
      <c r="CM1513" t="s">
        <v>264</v>
      </c>
      <c r="CN1513" t="s">
        <v>264</v>
      </c>
      <c r="CP1513" t="s">
        <v>265</v>
      </c>
      <c r="CQ1513" t="s">
        <v>878</v>
      </c>
      <c r="DB1513">
        <v>4</v>
      </c>
      <c r="DG1513" t="s">
        <v>267</v>
      </c>
      <c r="DI1513">
        <v>96</v>
      </c>
      <c r="DN1513" t="s">
        <v>268</v>
      </c>
      <c r="DR1513">
        <v>136180</v>
      </c>
      <c r="DS1513">
        <v>376</v>
      </c>
      <c r="EW1513" t="s">
        <v>293</v>
      </c>
      <c r="FM1513">
        <v>20</v>
      </c>
      <c r="FR1513" t="s">
        <v>295</v>
      </c>
      <c r="GU1513">
        <v>30</v>
      </c>
      <c r="GZ1513" t="s">
        <v>296</v>
      </c>
      <c r="HH1513" t="s">
        <v>272</v>
      </c>
      <c r="IE1513" t="s">
        <v>725</v>
      </c>
      <c r="IF1513">
        <v>3825</v>
      </c>
      <c r="IG1513" t="s">
        <v>726</v>
      </c>
      <c r="IH1513" t="s">
        <v>727</v>
      </c>
      <c r="II1513">
        <v>1985</v>
      </c>
      <c r="IJ1513" t="s">
        <v>728</v>
      </c>
    </row>
    <row r="1514" spans="1:244" x14ac:dyDescent="0.45">
      <c r="A1514">
        <v>1053619</v>
      </c>
      <c r="B1514">
        <v>126415</v>
      </c>
      <c r="C1514">
        <v>7761888</v>
      </c>
      <c r="D1514" t="s">
        <v>3141</v>
      </c>
      <c r="F1514" t="s">
        <v>327</v>
      </c>
      <c r="G1514" t="s">
        <v>246</v>
      </c>
      <c r="N1514" t="s">
        <v>369</v>
      </c>
      <c r="O1514" t="s">
        <v>370</v>
      </c>
      <c r="P1514" t="s">
        <v>249</v>
      </c>
      <c r="Q1514" t="s">
        <v>250</v>
      </c>
      <c r="R1514" t="s">
        <v>251</v>
      </c>
      <c r="T1514" t="s">
        <v>252</v>
      </c>
      <c r="U1514" t="s">
        <v>371</v>
      </c>
      <c r="V1514" t="s">
        <v>372</v>
      </c>
      <c r="W1514" t="s">
        <v>373</v>
      </c>
      <c r="X1514" t="s">
        <v>374</v>
      </c>
      <c r="AA1514" t="s">
        <v>289</v>
      </c>
      <c r="AB1514">
        <v>2</v>
      </c>
      <c r="AG1514" t="s">
        <v>267</v>
      </c>
      <c r="AM1514" t="s">
        <v>307</v>
      </c>
      <c r="AN1514" t="s">
        <v>259</v>
      </c>
      <c r="AO1514" t="s">
        <v>260</v>
      </c>
      <c r="AQ1514" t="s">
        <v>261</v>
      </c>
      <c r="AS1514">
        <v>132</v>
      </c>
      <c r="AU1514">
        <v>109</v>
      </c>
      <c r="AW1514">
        <v>184</v>
      </c>
      <c r="AX1514" t="s">
        <v>262</v>
      </c>
      <c r="BO1514" t="s">
        <v>261</v>
      </c>
      <c r="BQ1514">
        <v>0.13200000000000001</v>
      </c>
      <c r="BS1514">
        <v>0.109</v>
      </c>
      <c r="BU1514">
        <v>0.184</v>
      </c>
      <c r="BV1514" t="s">
        <v>263</v>
      </c>
      <c r="CM1514" t="s">
        <v>264</v>
      </c>
      <c r="CN1514" t="s">
        <v>264</v>
      </c>
      <c r="CP1514" t="s">
        <v>265</v>
      </c>
      <c r="CQ1514" t="s">
        <v>878</v>
      </c>
      <c r="DB1514">
        <v>4</v>
      </c>
      <c r="DG1514" t="s">
        <v>267</v>
      </c>
      <c r="DI1514">
        <v>96</v>
      </c>
      <c r="DN1514" t="s">
        <v>268</v>
      </c>
      <c r="DP1514" t="s">
        <v>3155</v>
      </c>
      <c r="DR1514">
        <v>110441</v>
      </c>
      <c r="DS1514">
        <v>142</v>
      </c>
      <c r="EW1514" t="s">
        <v>333</v>
      </c>
      <c r="FA1514" t="s">
        <v>3156</v>
      </c>
      <c r="FK1514" t="s">
        <v>1014</v>
      </c>
      <c r="FM1514">
        <v>22</v>
      </c>
      <c r="FR1514" t="s">
        <v>295</v>
      </c>
      <c r="GG1514" t="s">
        <v>288</v>
      </c>
      <c r="GH1514">
        <v>50</v>
      </c>
      <c r="GM1514" t="s">
        <v>900</v>
      </c>
      <c r="GU1514">
        <v>28</v>
      </c>
      <c r="GZ1514" t="s">
        <v>296</v>
      </c>
      <c r="HH1514" t="s">
        <v>272</v>
      </c>
      <c r="ID1514" t="s">
        <v>1015</v>
      </c>
      <c r="IE1514" t="s">
        <v>3159</v>
      </c>
      <c r="IF1514">
        <v>3740</v>
      </c>
      <c r="IG1514" t="s">
        <v>3160</v>
      </c>
      <c r="IH1514" t="s">
        <v>3161</v>
      </c>
      <c r="II1514">
        <v>1981</v>
      </c>
      <c r="IJ1514" t="s">
        <v>3162</v>
      </c>
    </row>
    <row r="1515" spans="1:244" x14ac:dyDescent="0.45">
      <c r="A1515">
        <v>2306129</v>
      </c>
      <c r="B1515">
        <v>2737276</v>
      </c>
      <c r="C1515">
        <v>7761888</v>
      </c>
      <c r="D1515" t="s">
        <v>3141</v>
      </c>
      <c r="E1515" t="s">
        <v>811</v>
      </c>
      <c r="F1515" t="s">
        <v>327</v>
      </c>
      <c r="G1515" t="s">
        <v>1550</v>
      </c>
      <c r="N1515" t="s">
        <v>369</v>
      </c>
      <c r="O1515" t="s">
        <v>370</v>
      </c>
      <c r="P1515" t="s">
        <v>249</v>
      </c>
      <c r="Q1515" t="s">
        <v>250</v>
      </c>
      <c r="R1515" t="s">
        <v>251</v>
      </c>
      <c r="T1515" t="s">
        <v>252</v>
      </c>
      <c r="U1515" t="s">
        <v>371</v>
      </c>
      <c r="V1515" t="s">
        <v>372</v>
      </c>
      <c r="W1515" t="s">
        <v>373</v>
      </c>
      <c r="X1515" t="s">
        <v>374</v>
      </c>
      <c r="Z1515" t="s">
        <v>421</v>
      </c>
      <c r="AB1515">
        <v>24</v>
      </c>
      <c r="AG1515" t="s">
        <v>268</v>
      </c>
      <c r="AI1515">
        <v>6</v>
      </c>
      <c r="AJ1515" t="s">
        <v>354</v>
      </c>
      <c r="AM1515" t="s">
        <v>307</v>
      </c>
      <c r="AN1515" t="s">
        <v>259</v>
      </c>
      <c r="AO1515" t="s">
        <v>260</v>
      </c>
      <c r="AP1515">
        <v>5</v>
      </c>
      <c r="AQ1515" t="s">
        <v>261</v>
      </c>
      <c r="AS1515">
        <v>249</v>
      </c>
      <c r="AU1515">
        <v>220</v>
      </c>
      <c r="AW1515">
        <v>283</v>
      </c>
      <c r="AX1515" t="s">
        <v>262</v>
      </c>
      <c r="BO1515" t="s">
        <v>261</v>
      </c>
      <c r="BQ1515">
        <v>0.249</v>
      </c>
      <c r="BS1515">
        <v>0.22</v>
      </c>
      <c r="BU1515">
        <v>0.28299999999999997</v>
      </c>
      <c r="BV1515" t="s">
        <v>263</v>
      </c>
      <c r="CM1515" t="s">
        <v>264</v>
      </c>
      <c r="CN1515" t="s">
        <v>264</v>
      </c>
      <c r="CP1515" t="s">
        <v>265</v>
      </c>
      <c r="CQ1515" t="s">
        <v>878</v>
      </c>
      <c r="DB1515">
        <v>4</v>
      </c>
      <c r="DG1515" t="s">
        <v>267</v>
      </c>
      <c r="DI1515">
        <v>96</v>
      </c>
      <c r="DN1515" t="s">
        <v>268</v>
      </c>
      <c r="DP1515" t="s">
        <v>3204</v>
      </c>
      <c r="DR1515">
        <v>110441</v>
      </c>
      <c r="DS1515">
        <v>142</v>
      </c>
      <c r="DT1515" t="s">
        <v>1551</v>
      </c>
      <c r="DV1515">
        <v>96</v>
      </c>
      <c r="EA1515" t="s">
        <v>268</v>
      </c>
      <c r="EC1515">
        <v>4</v>
      </c>
      <c r="EH1515" t="s">
        <v>267</v>
      </c>
      <c r="EJ1515">
        <v>96</v>
      </c>
      <c r="EO1515" t="s">
        <v>268</v>
      </c>
      <c r="EQ1515">
        <v>4</v>
      </c>
      <c r="EV1515" t="s">
        <v>267</v>
      </c>
      <c r="EW1515" t="s">
        <v>293</v>
      </c>
      <c r="EY1515" t="s">
        <v>377</v>
      </c>
      <c r="EZ1515">
        <v>5</v>
      </c>
      <c r="FA1515" t="s">
        <v>1552</v>
      </c>
      <c r="FO1515">
        <v>20</v>
      </c>
      <c r="FQ1515">
        <v>25</v>
      </c>
      <c r="FR1515" t="s">
        <v>295</v>
      </c>
      <c r="GQ1515">
        <v>7.8</v>
      </c>
      <c r="GS1515">
        <v>8.1999999999999993</v>
      </c>
      <c r="GU1515">
        <v>30</v>
      </c>
      <c r="GZ1515" t="s">
        <v>296</v>
      </c>
      <c r="HH1515" t="s">
        <v>272</v>
      </c>
      <c r="ID1515" t="s">
        <v>1553</v>
      </c>
      <c r="IE1515" t="s">
        <v>1554</v>
      </c>
      <c r="IF1515">
        <v>11331</v>
      </c>
      <c r="IG1515" t="s">
        <v>1555</v>
      </c>
      <c r="IH1515" t="s">
        <v>1556</v>
      </c>
      <c r="II1515">
        <v>1985</v>
      </c>
      <c r="IJ1515" t="s">
        <v>1557</v>
      </c>
    </row>
    <row r="1516" spans="1:244" x14ac:dyDescent="0.45">
      <c r="A1516">
        <v>1079012</v>
      </c>
      <c r="B1516">
        <v>1678</v>
      </c>
      <c r="C1516">
        <v>7761888</v>
      </c>
      <c r="D1516" t="s">
        <v>3141</v>
      </c>
      <c r="F1516" t="s">
        <v>245</v>
      </c>
      <c r="G1516" t="s">
        <v>246</v>
      </c>
      <c r="N1516" t="s">
        <v>1895</v>
      </c>
      <c r="O1516" t="s">
        <v>1896</v>
      </c>
      <c r="P1516" t="s">
        <v>249</v>
      </c>
      <c r="Q1516" t="s">
        <v>250</v>
      </c>
      <c r="R1516" t="s">
        <v>251</v>
      </c>
      <c r="T1516" t="s">
        <v>252</v>
      </c>
      <c r="U1516" t="s">
        <v>253</v>
      </c>
      <c r="V1516" t="s">
        <v>254</v>
      </c>
      <c r="W1516" t="s">
        <v>1897</v>
      </c>
      <c r="X1516" t="s">
        <v>1898</v>
      </c>
      <c r="AL1516" t="s">
        <v>3143</v>
      </c>
      <c r="AM1516" t="s">
        <v>317</v>
      </c>
      <c r="AN1516" t="s">
        <v>259</v>
      </c>
      <c r="AO1516" t="s">
        <v>260</v>
      </c>
      <c r="AQ1516" t="s">
        <v>261</v>
      </c>
      <c r="AS1516">
        <v>6.35</v>
      </c>
      <c r="AX1516" t="s">
        <v>262</v>
      </c>
      <c r="BO1516" t="s">
        <v>261</v>
      </c>
      <c r="BQ1516">
        <v>6.3499999999999997E-3</v>
      </c>
      <c r="BV1516" t="s">
        <v>263</v>
      </c>
      <c r="CM1516" t="s">
        <v>264</v>
      </c>
      <c r="CN1516" t="s">
        <v>264</v>
      </c>
      <c r="CP1516" t="s">
        <v>265</v>
      </c>
      <c r="CQ1516" t="s">
        <v>878</v>
      </c>
      <c r="DB1516">
        <v>4</v>
      </c>
      <c r="DG1516" t="s">
        <v>267</v>
      </c>
      <c r="DI1516">
        <v>96</v>
      </c>
      <c r="DN1516" t="s">
        <v>268</v>
      </c>
      <c r="DR1516">
        <v>6759</v>
      </c>
      <c r="DS1516">
        <v>10</v>
      </c>
      <c r="EW1516" t="s">
        <v>271</v>
      </c>
      <c r="FM1516">
        <v>15</v>
      </c>
      <c r="FR1516" t="s">
        <v>295</v>
      </c>
      <c r="GO1516">
        <v>7.8</v>
      </c>
      <c r="HH1516" t="s">
        <v>272</v>
      </c>
      <c r="IE1516" t="s">
        <v>3147</v>
      </c>
      <c r="IF1516">
        <v>6097</v>
      </c>
      <c r="IG1516" t="s">
        <v>3152</v>
      </c>
      <c r="IH1516" t="s">
        <v>3153</v>
      </c>
      <c r="II1516">
        <v>1976</v>
      </c>
      <c r="IJ1516" t="s">
        <v>3154</v>
      </c>
    </row>
    <row r="1517" spans="1:244" x14ac:dyDescent="0.45">
      <c r="A1517">
        <v>1079014</v>
      </c>
      <c r="B1517">
        <v>1903</v>
      </c>
      <c r="C1517">
        <v>7761888</v>
      </c>
      <c r="D1517" t="s">
        <v>3141</v>
      </c>
      <c r="F1517" t="s">
        <v>245</v>
      </c>
      <c r="G1517" t="s">
        <v>246</v>
      </c>
      <c r="N1517" t="s">
        <v>1895</v>
      </c>
      <c r="O1517" t="s">
        <v>1896</v>
      </c>
      <c r="P1517" t="s">
        <v>249</v>
      </c>
      <c r="Q1517" t="s">
        <v>250</v>
      </c>
      <c r="R1517" t="s">
        <v>251</v>
      </c>
      <c r="T1517" t="s">
        <v>252</v>
      </c>
      <c r="U1517" t="s">
        <v>253</v>
      </c>
      <c r="V1517" t="s">
        <v>254</v>
      </c>
      <c r="W1517" t="s">
        <v>1897</v>
      </c>
      <c r="X1517" t="s">
        <v>1898</v>
      </c>
      <c r="AL1517" t="s">
        <v>3143</v>
      </c>
      <c r="AM1517" t="s">
        <v>317</v>
      </c>
      <c r="AN1517" t="s">
        <v>259</v>
      </c>
      <c r="AO1517" t="s">
        <v>260</v>
      </c>
      <c r="AQ1517" t="s">
        <v>261</v>
      </c>
      <c r="AU1517">
        <v>6.35</v>
      </c>
      <c r="AW1517">
        <v>63.5</v>
      </c>
      <c r="AX1517" t="s">
        <v>262</v>
      </c>
      <c r="BO1517" t="s">
        <v>261</v>
      </c>
      <c r="BS1517">
        <v>6.3499999999999997E-3</v>
      </c>
      <c r="BU1517">
        <v>6.3500000000000001E-2</v>
      </c>
      <c r="BV1517" t="s">
        <v>263</v>
      </c>
      <c r="CM1517" t="s">
        <v>264</v>
      </c>
      <c r="CN1517" t="s">
        <v>264</v>
      </c>
      <c r="CP1517" t="s">
        <v>265</v>
      </c>
      <c r="CQ1517" t="s">
        <v>878</v>
      </c>
      <c r="DB1517">
        <v>4</v>
      </c>
      <c r="DG1517" t="s">
        <v>267</v>
      </c>
      <c r="DI1517">
        <v>96</v>
      </c>
      <c r="DN1517" t="s">
        <v>268</v>
      </c>
      <c r="DR1517">
        <v>6759</v>
      </c>
      <c r="DS1517">
        <v>10</v>
      </c>
      <c r="EW1517" t="s">
        <v>271</v>
      </c>
      <c r="FM1517">
        <v>15</v>
      </c>
      <c r="FR1517" t="s">
        <v>295</v>
      </c>
      <c r="GO1517">
        <v>7.8</v>
      </c>
      <c r="HH1517" t="s">
        <v>272</v>
      </c>
      <c r="IE1517" t="s">
        <v>3147</v>
      </c>
      <c r="IF1517">
        <v>6097</v>
      </c>
      <c r="IG1517" t="s">
        <v>3152</v>
      </c>
      <c r="IH1517" t="s">
        <v>3153</v>
      </c>
      <c r="II1517">
        <v>1976</v>
      </c>
      <c r="IJ1517" t="s">
        <v>3154</v>
      </c>
    </row>
    <row r="1518" spans="1:244" x14ac:dyDescent="0.45">
      <c r="A1518">
        <v>1079009</v>
      </c>
      <c r="B1518">
        <v>370</v>
      </c>
      <c r="C1518">
        <v>7761888</v>
      </c>
      <c r="D1518" t="s">
        <v>3141</v>
      </c>
      <c r="F1518" t="s">
        <v>245</v>
      </c>
      <c r="G1518" t="s">
        <v>246</v>
      </c>
      <c r="N1518" t="s">
        <v>1895</v>
      </c>
      <c r="O1518" t="s">
        <v>1896</v>
      </c>
      <c r="P1518" t="s">
        <v>249</v>
      </c>
      <c r="Q1518" t="s">
        <v>250</v>
      </c>
      <c r="R1518" t="s">
        <v>251</v>
      </c>
      <c r="T1518" t="s">
        <v>252</v>
      </c>
      <c r="U1518" t="s">
        <v>253</v>
      </c>
      <c r="V1518" t="s">
        <v>254</v>
      </c>
      <c r="W1518" t="s">
        <v>1897</v>
      </c>
      <c r="X1518" t="s">
        <v>1898</v>
      </c>
      <c r="AB1518">
        <v>9</v>
      </c>
      <c r="AG1518" t="s">
        <v>267</v>
      </c>
      <c r="AM1518" t="s">
        <v>317</v>
      </c>
      <c r="AN1518" t="s">
        <v>259</v>
      </c>
      <c r="AO1518" t="s">
        <v>260</v>
      </c>
      <c r="AQ1518" t="s">
        <v>261</v>
      </c>
      <c r="AS1518">
        <v>635</v>
      </c>
      <c r="AX1518" t="s">
        <v>262</v>
      </c>
      <c r="BO1518" t="s">
        <v>261</v>
      </c>
      <c r="BQ1518">
        <v>0.63500000000000001</v>
      </c>
      <c r="BV1518" t="s">
        <v>263</v>
      </c>
      <c r="CM1518" t="s">
        <v>264</v>
      </c>
      <c r="CN1518" t="s">
        <v>264</v>
      </c>
      <c r="CP1518" t="s">
        <v>265</v>
      </c>
      <c r="CQ1518" t="s">
        <v>878</v>
      </c>
      <c r="DB1518">
        <v>4</v>
      </c>
      <c r="DG1518" t="s">
        <v>267</v>
      </c>
      <c r="DI1518">
        <v>96</v>
      </c>
      <c r="DN1518" t="s">
        <v>268</v>
      </c>
      <c r="DR1518">
        <v>6759</v>
      </c>
      <c r="DS1518">
        <v>10</v>
      </c>
      <c r="EW1518" t="s">
        <v>271</v>
      </c>
      <c r="FM1518">
        <v>15</v>
      </c>
      <c r="FR1518" t="s">
        <v>295</v>
      </c>
      <c r="GO1518">
        <v>7.8</v>
      </c>
      <c r="HH1518" t="s">
        <v>272</v>
      </c>
      <c r="IE1518" t="s">
        <v>3147</v>
      </c>
      <c r="IF1518">
        <v>6097</v>
      </c>
      <c r="IG1518" t="s">
        <v>3152</v>
      </c>
      <c r="IH1518" t="s">
        <v>3153</v>
      </c>
      <c r="II1518">
        <v>1976</v>
      </c>
      <c r="IJ1518" t="s">
        <v>3154</v>
      </c>
    </row>
    <row r="1519" spans="1:244" x14ac:dyDescent="0.45">
      <c r="A1519">
        <v>1071372</v>
      </c>
      <c r="B1519">
        <v>42345</v>
      </c>
      <c r="C1519">
        <v>7761888</v>
      </c>
      <c r="D1519" t="s">
        <v>3141</v>
      </c>
      <c r="F1519" t="s">
        <v>327</v>
      </c>
      <c r="G1519" t="s">
        <v>246</v>
      </c>
      <c r="N1519" t="s">
        <v>1895</v>
      </c>
      <c r="O1519" t="s">
        <v>1896</v>
      </c>
      <c r="P1519" t="s">
        <v>249</v>
      </c>
      <c r="Q1519" t="s">
        <v>250</v>
      </c>
      <c r="R1519" t="s">
        <v>251</v>
      </c>
      <c r="T1519" t="s">
        <v>252</v>
      </c>
      <c r="U1519" t="s">
        <v>253</v>
      </c>
      <c r="V1519" t="s">
        <v>254</v>
      </c>
      <c r="W1519" t="s">
        <v>1897</v>
      </c>
      <c r="X1519" t="s">
        <v>1898</v>
      </c>
      <c r="AL1519" t="s">
        <v>3143</v>
      </c>
      <c r="AM1519" t="s">
        <v>317</v>
      </c>
      <c r="AN1519" t="s">
        <v>259</v>
      </c>
      <c r="AO1519" t="s">
        <v>260</v>
      </c>
      <c r="AQ1519" t="s">
        <v>261</v>
      </c>
      <c r="AU1519">
        <v>6.4</v>
      </c>
      <c r="AW1519">
        <v>64</v>
      </c>
      <c r="AX1519" t="s">
        <v>262</v>
      </c>
      <c r="BO1519" t="s">
        <v>261</v>
      </c>
      <c r="BS1519">
        <v>6.4000000000000003E-3</v>
      </c>
      <c r="BU1519">
        <v>6.4000000000000001E-2</v>
      </c>
      <c r="BV1519" t="s">
        <v>263</v>
      </c>
      <c r="CM1519" t="s">
        <v>264</v>
      </c>
      <c r="CN1519" t="s">
        <v>264</v>
      </c>
      <c r="CP1519" t="s">
        <v>265</v>
      </c>
      <c r="CQ1519" t="s">
        <v>878</v>
      </c>
      <c r="DB1519">
        <v>4</v>
      </c>
      <c r="DG1519" t="s">
        <v>267</v>
      </c>
      <c r="DI1519">
        <v>96</v>
      </c>
      <c r="DN1519" t="s">
        <v>268</v>
      </c>
      <c r="DR1519">
        <v>6759</v>
      </c>
      <c r="DS1519">
        <v>10</v>
      </c>
      <c r="DT1519" t="s">
        <v>3144</v>
      </c>
      <c r="EW1519" t="s">
        <v>271</v>
      </c>
      <c r="FK1519" t="s">
        <v>3205</v>
      </c>
      <c r="FM1519">
        <v>15</v>
      </c>
      <c r="FR1519" t="s">
        <v>295</v>
      </c>
      <c r="HH1519" t="s">
        <v>272</v>
      </c>
      <c r="ID1519" t="s">
        <v>3206</v>
      </c>
      <c r="IE1519" t="s">
        <v>3147</v>
      </c>
      <c r="IF1519">
        <v>5628</v>
      </c>
      <c r="IG1519" t="s">
        <v>3148</v>
      </c>
      <c r="IH1519" t="s">
        <v>3149</v>
      </c>
      <c r="II1519">
        <v>1976</v>
      </c>
      <c r="IJ1519" t="s">
        <v>3150</v>
      </c>
    </row>
    <row r="1520" spans="1:244" x14ac:dyDescent="0.45">
      <c r="A1520">
        <v>1079006</v>
      </c>
      <c r="B1520">
        <v>292</v>
      </c>
      <c r="C1520">
        <v>7761888</v>
      </c>
      <c r="D1520" t="s">
        <v>3141</v>
      </c>
      <c r="F1520" t="s">
        <v>245</v>
      </c>
      <c r="G1520" t="s">
        <v>246</v>
      </c>
      <c r="N1520" t="s">
        <v>1895</v>
      </c>
      <c r="O1520" t="s">
        <v>1896</v>
      </c>
      <c r="P1520" t="s">
        <v>249</v>
      </c>
      <c r="Q1520" t="s">
        <v>250</v>
      </c>
      <c r="R1520" t="s">
        <v>251</v>
      </c>
      <c r="T1520" t="s">
        <v>252</v>
      </c>
      <c r="U1520" t="s">
        <v>253</v>
      </c>
      <c r="V1520" t="s">
        <v>254</v>
      </c>
      <c r="W1520" t="s">
        <v>1897</v>
      </c>
      <c r="X1520" t="s">
        <v>1898</v>
      </c>
      <c r="Z1520" t="s">
        <v>315</v>
      </c>
      <c r="AM1520" t="s">
        <v>317</v>
      </c>
      <c r="AN1520" t="s">
        <v>259</v>
      </c>
      <c r="AO1520" t="s">
        <v>260</v>
      </c>
      <c r="AQ1520" t="s">
        <v>261</v>
      </c>
      <c r="AU1520">
        <v>635</v>
      </c>
      <c r="AW1520">
        <v>1270</v>
      </c>
      <c r="AX1520" t="s">
        <v>262</v>
      </c>
      <c r="BO1520" t="s">
        <v>261</v>
      </c>
      <c r="BS1520">
        <v>0.63500000000000001</v>
      </c>
      <c r="BU1520">
        <v>1.27</v>
      </c>
      <c r="BV1520" t="s">
        <v>263</v>
      </c>
      <c r="CM1520" t="s">
        <v>264</v>
      </c>
      <c r="CN1520" t="s">
        <v>264</v>
      </c>
      <c r="CP1520" t="s">
        <v>265</v>
      </c>
      <c r="CQ1520" t="s">
        <v>878</v>
      </c>
      <c r="DB1520">
        <v>4</v>
      </c>
      <c r="DG1520" t="s">
        <v>267</v>
      </c>
      <c r="DI1520">
        <v>96</v>
      </c>
      <c r="DN1520" t="s">
        <v>268</v>
      </c>
      <c r="DR1520">
        <v>6759</v>
      </c>
      <c r="DS1520">
        <v>10</v>
      </c>
      <c r="EW1520" t="s">
        <v>271</v>
      </c>
      <c r="FM1520">
        <v>15</v>
      </c>
      <c r="FR1520" t="s">
        <v>295</v>
      </c>
      <c r="GO1520">
        <v>7.8</v>
      </c>
      <c r="HH1520" t="s">
        <v>272</v>
      </c>
      <c r="IE1520" t="s">
        <v>3147</v>
      </c>
      <c r="IF1520">
        <v>6097</v>
      </c>
      <c r="IG1520" t="s">
        <v>3152</v>
      </c>
      <c r="IH1520" t="s">
        <v>3153</v>
      </c>
      <c r="II1520">
        <v>1976</v>
      </c>
      <c r="IJ1520" t="s">
        <v>3154</v>
      </c>
    </row>
    <row r="1521" spans="1:244" x14ac:dyDescent="0.45">
      <c r="A1521">
        <v>1120052</v>
      </c>
      <c r="B1521">
        <v>104769</v>
      </c>
      <c r="C1521">
        <v>7775113</v>
      </c>
      <c r="D1521" t="s">
        <v>3207</v>
      </c>
      <c r="F1521" t="s">
        <v>245</v>
      </c>
      <c r="G1521" t="s">
        <v>246</v>
      </c>
      <c r="N1521" t="s">
        <v>452</v>
      </c>
      <c r="O1521" t="s">
        <v>346</v>
      </c>
      <c r="P1521" t="s">
        <v>249</v>
      </c>
      <c r="Q1521" t="s">
        <v>250</v>
      </c>
      <c r="R1521" t="s">
        <v>251</v>
      </c>
      <c r="T1521" t="s">
        <v>347</v>
      </c>
      <c r="U1521" t="s">
        <v>348</v>
      </c>
      <c r="V1521" t="s">
        <v>349</v>
      </c>
      <c r="W1521" t="s">
        <v>350</v>
      </c>
      <c r="X1521" t="s">
        <v>453</v>
      </c>
      <c r="Z1521" t="s">
        <v>315</v>
      </c>
      <c r="AB1521">
        <v>25</v>
      </c>
      <c r="AG1521" t="s">
        <v>267</v>
      </c>
      <c r="AL1521" t="s">
        <v>2791</v>
      </c>
      <c r="AM1521" t="s">
        <v>317</v>
      </c>
      <c r="AN1521" t="s">
        <v>259</v>
      </c>
      <c r="AO1521" t="s">
        <v>260</v>
      </c>
      <c r="AQ1521" t="s">
        <v>261</v>
      </c>
      <c r="AS1521">
        <v>12838</v>
      </c>
      <c r="AX1521" t="s">
        <v>262</v>
      </c>
      <c r="BO1521" t="s">
        <v>261</v>
      </c>
      <c r="BQ1521">
        <v>12.837999999999999</v>
      </c>
      <c r="BV1521" t="s">
        <v>263</v>
      </c>
      <c r="CM1521" t="s">
        <v>264</v>
      </c>
      <c r="CN1521" t="s">
        <v>264</v>
      </c>
      <c r="CP1521" t="s">
        <v>265</v>
      </c>
      <c r="CQ1521" t="s">
        <v>538</v>
      </c>
      <c r="DB1521">
        <v>2</v>
      </c>
      <c r="DG1521" t="s">
        <v>267</v>
      </c>
      <c r="DI1521">
        <v>48</v>
      </c>
      <c r="DN1521" t="s">
        <v>268</v>
      </c>
      <c r="DR1521">
        <v>85549</v>
      </c>
      <c r="DS1521">
        <v>366</v>
      </c>
      <c r="DT1521" t="s">
        <v>2792</v>
      </c>
      <c r="EW1521" t="s">
        <v>271</v>
      </c>
      <c r="FA1521" t="s">
        <v>477</v>
      </c>
      <c r="HH1521" t="s">
        <v>272</v>
      </c>
      <c r="IE1521" t="s">
        <v>2793</v>
      </c>
      <c r="IF1521">
        <v>9336</v>
      </c>
      <c r="IG1521" t="s">
        <v>2794</v>
      </c>
      <c r="IH1521" t="s">
        <v>2795</v>
      </c>
      <c r="II1521">
        <v>1987</v>
      </c>
      <c r="IJ1521" t="s">
        <v>2796</v>
      </c>
    </row>
    <row r="1522" spans="1:244" x14ac:dyDescent="0.45">
      <c r="A1522">
        <v>1098473</v>
      </c>
      <c r="B1522">
        <v>107090</v>
      </c>
      <c r="C1522">
        <v>7775113</v>
      </c>
      <c r="D1522" t="s">
        <v>3207</v>
      </c>
      <c r="F1522" t="s">
        <v>245</v>
      </c>
      <c r="G1522" t="s">
        <v>246</v>
      </c>
      <c r="N1522" t="s">
        <v>934</v>
      </c>
      <c r="O1522" t="s">
        <v>935</v>
      </c>
      <c r="P1522" t="s">
        <v>249</v>
      </c>
      <c r="Q1522" t="s">
        <v>250</v>
      </c>
      <c r="R1522" t="s">
        <v>251</v>
      </c>
      <c r="T1522" t="s">
        <v>252</v>
      </c>
      <c r="U1522" t="s">
        <v>253</v>
      </c>
      <c r="V1522" t="s">
        <v>936</v>
      </c>
      <c r="W1522" t="s">
        <v>937</v>
      </c>
      <c r="X1522" t="s">
        <v>938</v>
      </c>
      <c r="Z1522" t="s">
        <v>1046</v>
      </c>
      <c r="AL1522" t="s">
        <v>3208</v>
      </c>
      <c r="AM1522" t="s">
        <v>258</v>
      </c>
      <c r="AN1522" t="s">
        <v>259</v>
      </c>
      <c r="AO1522" t="s">
        <v>260</v>
      </c>
      <c r="AQ1522" t="s">
        <v>261</v>
      </c>
      <c r="AS1522">
        <v>17.8</v>
      </c>
      <c r="AX1522" t="s">
        <v>422</v>
      </c>
      <c r="BO1522" t="s">
        <v>261</v>
      </c>
      <c r="BQ1522">
        <v>17.8</v>
      </c>
      <c r="BV1522" t="s">
        <v>263</v>
      </c>
      <c r="CM1522" t="s">
        <v>264</v>
      </c>
      <c r="CN1522" t="s">
        <v>264</v>
      </c>
      <c r="CP1522" t="s">
        <v>265</v>
      </c>
      <c r="CQ1522" t="s">
        <v>538</v>
      </c>
      <c r="DB1522">
        <v>4</v>
      </c>
      <c r="DG1522" t="s">
        <v>267</v>
      </c>
      <c r="DI1522">
        <v>96</v>
      </c>
      <c r="DN1522" t="s">
        <v>268</v>
      </c>
      <c r="DP1522" t="s">
        <v>3209</v>
      </c>
      <c r="DR1522">
        <v>108123</v>
      </c>
      <c r="DS1522">
        <v>103</v>
      </c>
      <c r="DT1522" t="s">
        <v>3210</v>
      </c>
      <c r="EW1522" t="s">
        <v>293</v>
      </c>
      <c r="FM1522">
        <v>25</v>
      </c>
      <c r="FR1522" t="s">
        <v>295</v>
      </c>
      <c r="GU1522">
        <v>20</v>
      </c>
      <c r="GZ1522" t="s">
        <v>296</v>
      </c>
      <c r="HH1522" t="s">
        <v>272</v>
      </c>
      <c r="IE1522" t="s">
        <v>3211</v>
      </c>
      <c r="IF1522">
        <v>7013</v>
      </c>
      <c r="IG1522" t="s">
        <v>3212</v>
      </c>
      <c r="IH1522" t="s">
        <v>3213</v>
      </c>
      <c r="II1522">
        <v>1984</v>
      </c>
      <c r="IJ1522" t="s">
        <v>3214</v>
      </c>
    </row>
    <row r="1523" spans="1:244" x14ac:dyDescent="0.45">
      <c r="A1523">
        <v>2114337</v>
      </c>
      <c r="B1523">
        <v>2208951</v>
      </c>
      <c r="C1523">
        <v>7775113</v>
      </c>
      <c r="D1523" t="s">
        <v>3207</v>
      </c>
      <c r="F1523" t="s">
        <v>245</v>
      </c>
      <c r="G1523" t="s">
        <v>272</v>
      </c>
      <c r="N1523" t="s">
        <v>471</v>
      </c>
      <c r="O1523" t="s">
        <v>388</v>
      </c>
      <c r="P1523" t="s">
        <v>249</v>
      </c>
      <c r="Q1523" t="s">
        <v>250</v>
      </c>
      <c r="R1523" t="s">
        <v>251</v>
      </c>
      <c r="T1523" t="s">
        <v>389</v>
      </c>
      <c r="U1523" t="s">
        <v>390</v>
      </c>
      <c r="V1523" t="s">
        <v>472</v>
      </c>
      <c r="W1523" t="s">
        <v>473</v>
      </c>
      <c r="X1523" t="s">
        <v>474</v>
      </c>
      <c r="Z1523" t="s">
        <v>3215</v>
      </c>
      <c r="AJ1523" t="s">
        <v>285</v>
      </c>
      <c r="AK1523" t="s">
        <v>517</v>
      </c>
      <c r="AL1523" t="s">
        <v>3216</v>
      </c>
      <c r="AM1523" t="s">
        <v>317</v>
      </c>
      <c r="AN1523" t="s">
        <v>259</v>
      </c>
      <c r="AO1523" t="s">
        <v>260</v>
      </c>
      <c r="AQ1523" t="s">
        <v>261</v>
      </c>
      <c r="AS1523">
        <v>9.6</v>
      </c>
      <c r="AU1523">
        <v>7.0469999999999997</v>
      </c>
      <c r="AW1523">
        <v>13.497</v>
      </c>
      <c r="AX1523" t="s">
        <v>422</v>
      </c>
      <c r="BO1523" t="s">
        <v>261</v>
      </c>
      <c r="BQ1523">
        <v>9.6</v>
      </c>
      <c r="BS1523">
        <v>7.0469999999999997</v>
      </c>
      <c r="BU1523">
        <v>13.497</v>
      </c>
      <c r="BV1523" t="s">
        <v>263</v>
      </c>
      <c r="CM1523" t="s">
        <v>264</v>
      </c>
      <c r="CN1523" t="s">
        <v>264</v>
      </c>
      <c r="CP1523" t="s">
        <v>265</v>
      </c>
      <c r="CQ1523" t="s">
        <v>538</v>
      </c>
      <c r="DB1523">
        <v>2</v>
      </c>
      <c r="DG1523" t="s">
        <v>267</v>
      </c>
      <c r="DI1523">
        <v>48</v>
      </c>
      <c r="DN1523" t="s">
        <v>268</v>
      </c>
      <c r="DP1523" t="s">
        <v>3217</v>
      </c>
      <c r="DR1523">
        <v>2056173</v>
      </c>
      <c r="DS1523">
        <v>1053</v>
      </c>
      <c r="DT1523" t="s">
        <v>3218</v>
      </c>
      <c r="DV1523">
        <v>48</v>
      </c>
      <c r="EA1523" t="s">
        <v>268</v>
      </c>
      <c r="EC1523">
        <v>2</v>
      </c>
      <c r="EH1523" t="s">
        <v>267</v>
      </c>
      <c r="EJ1523">
        <v>48</v>
      </c>
      <c r="EO1523" t="s">
        <v>268</v>
      </c>
      <c r="EQ1523">
        <v>2</v>
      </c>
      <c r="EV1523" t="s">
        <v>267</v>
      </c>
      <c r="EW1523" t="s">
        <v>293</v>
      </c>
      <c r="FA1523" t="s">
        <v>3219</v>
      </c>
      <c r="FM1523">
        <v>19</v>
      </c>
      <c r="FR1523" t="s">
        <v>295</v>
      </c>
      <c r="GU1523">
        <v>38</v>
      </c>
      <c r="GZ1523" t="s">
        <v>296</v>
      </c>
      <c r="HH1523" t="s">
        <v>272</v>
      </c>
      <c r="ID1523" t="s">
        <v>3220</v>
      </c>
      <c r="IE1523" t="s">
        <v>3221</v>
      </c>
      <c r="IF1523">
        <v>52250</v>
      </c>
      <c r="IG1523" t="s">
        <v>3222</v>
      </c>
      <c r="IH1523" t="s">
        <v>3223</v>
      </c>
      <c r="II1523">
        <v>2000</v>
      </c>
      <c r="IJ1523" t="s">
        <v>3224</v>
      </c>
    </row>
    <row r="1524" spans="1:244" x14ac:dyDescent="0.45">
      <c r="A1524">
        <v>1038725</v>
      </c>
      <c r="B1524">
        <v>106109</v>
      </c>
      <c r="C1524">
        <v>7775113</v>
      </c>
      <c r="D1524" t="s">
        <v>3207</v>
      </c>
      <c r="F1524" t="s">
        <v>245</v>
      </c>
      <c r="G1524" t="s">
        <v>246</v>
      </c>
      <c r="N1524" t="s">
        <v>3225</v>
      </c>
      <c r="O1524" t="s">
        <v>3226</v>
      </c>
      <c r="P1524" t="s">
        <v>249</v>
      </c>
      <c r="Q1524" t="s">
        <v>250</v>
      </c>
      <c r="R1524" t="s">
        <v>251</v>
      </c>
      <c r="T1524" t="s">
        <v>252</v>
      </c>
      <c r="U1524" t="s">
        <v>253</v>
      </c>
      <c r="V1524" t="s">
        <v>304</v>
      </c>
      <c r="W1524" t="s">
        <v>330</v>
      </c>
      <c r="X1524" t="s">
        <v>3227</v>
      </c>
      <c r="Z1524" t="s">
        <v>1248</v>
      </c>
      <c r="AL1524" t="s">
        <v>3228</v>
      </c>
      <c r="AM1524" t="s">
        <v>258</v>
      </c>
      <c r="AN1524" t="s">
        <v>259</v>
      </c>
      <c r="AO1524" t="s">
        <v>260</v>
      </c>
      <c r="AQ1524" t="s">
        <v>261</v>
      </c>
      <c r="AS1524">
        <v>1.1000000000000001E-3</v>
      </c>
      <c r="AX1524" t="s">
        <v>3229</v>
      </c>
      <c r="BO1524" t="s">
        <v>261</v>
      </c>
      <c r="BQ1524">
        <v>180.3879</v>
      </c>
      <c r="BV1524" t="s">
        <v>263</v>
      </c>
      <c r="CM1524" t="s">
        <v>264</v>
      </c>
      <c r="CN1524" t="s">
        <v>264</v>
      </c>
      <c r="CO1524" t="s">
        <v>3230</v>
      </c>
      <c r="CP1524" t="s">
        <v>265</v>
      </c>
      <c r="CQ1524" t="s">
        <v>3231</v>
      </c>
      <c r="DB1524">
        <v>4</v>
      </c>
      <c r="DG1524" t="s">
        <v>267</v>
      </c>
      <c r="DI1524">
        <v>4</v>
      </c>
      <c r="DN1524" t="s">
        <v>267</v>
      </c>
      <c r="DR1524">
        <v>647170</v>
      </c>
      <c r="DS1524">
        <v>714</v>
      </c>
      <c r="DT1524" t="s">
        <v>3232</v>
      </c>
      <c r="EW1524" t="s">
        <v>333</v>
      </c>
      <c r="FM1524">
        <v>20</v>
      </c>
      <c r="FR1524" t="s">
        <v>295</v>
      </c>
      <c r="GU1524">
        <v>33</v>
      </c>
      <c r="GZ1524" t="s">
        <v>296</v>
      </c>
      <c r="HH1524" t="s">
        <v>272</v>
      </c>
      <c r="IE1524" t="s">
        <v>3233</v>
      </c>
      <c r="IF1524">
        <v>2419</v>
      </c>
      <c r="IG1524" t="s">
        <v>3234</v>
      </c>
      <c r="IH1524" t="s">
        <v>3235</v>
      </c>
      <c r="II1524">
        <v>1988</v>
      </c>
      <c r="IJ1524" t="s">
        <v>3236</v>
      </c>
    </row>
    <row r="1525" spans="1:244" x14ac:dyDescent="0.45">
      <c r="A1525">
        <v>2114334</v>
      </c>
      <c r="B1525">
        <v>2208948</v>
      </c>
      <c r="C1525">
        <v>7775113</v>
      </c>
      <c r="D1525" t="s">
        <v>3207</v>
      </c>
      <c r="F1525" t="s">
        <v>245</v>
      </c>
      <c r="G1525" t="s">
        <v>272</v>
      </c>
      <c r="N1525" t="s">
        <v>471</v>
      </c>
      <c r="O1525" t="s">
        <v>388</v>
      </c>
      <c r="P1525" t="s">
        <v>249</v>
      </c>
      <c r="Q1525" t="s">
        <v>250</v>
      </c>
      <c r="R1525" t="s">
        <v>251</v>
      </c>
      <c r="T1525" t="s">
        <v>389</v>
      </c>
      <c r="U1525" t="s">
        <v>390</v>
      </c>
      <c r="V1525" t="s">
        <v>472</v>
      </c>
      <c r="W1525" t="s">
        <v>473</v>
      </c>
      <c r="X1525" t="s">
        <v>474</v>
      </c>
      <c r="Z1525" t="s">
        <v>3215</v>
      </c>
      <c r="AJ1525" t="s">
        <v>285</v>
      </c>
      <c r="AK1525" t="s">
        <v>517</v>
      </c>
      <c r="AL1525" t="s">
        <v>3237</v>
      </c>
      <c r="AM1525" t="s">
        <v>317</v>
      </c>
      <c r="AN1525" t="s">
        <v>259</v>
      </c>
      <c r="AO1525" t="s">
        <v>260</v>
      </c>
      <c r="AQ1525" t="s">
        <v>261</v>
      </c>
      <c r="AS1525">
        <v>2.8370000000000002</v>
      </c>
      <c r="AU1525">
        <v>1.07</v>
      </c>
      <c r="AW1525">
        <v>4.2240000000000002</v>
      </c>
      <c r="AX1525" t="s">
        <v>422</v>
      </c>
      <c r="BO1525" t="s">
        <v>261</v>
      </c>
      <c r="BQ1525">
        <v>2.8370000000000002</v>
      </c>
      <c r="BS1525">
        <v>1.07</v>
      </c>
      <c r="BU1525">
        <v>4.2240000000000002</v>
      </c>
      <c r="BV1525" t="s">
        <v>263</v>
      </c>
      <c r="CM1525" t="s">
        <v>264</v>
      </c>
      <c r="CN1525" t="s">
        <v>264</v>
      </c>
      <c r="CP1525" t="s">
        <v>265</v>
      </c>
      <c r="CQ1525" t="s">
        <v>538</v>
      </c>
      <c r="DB1525">
        <v>2</v>
      </c>
      <c r="DG1525" t="s">
        <v>267</v>
      </c>
      <c r="DI1525">
        <v>48</v>
      </c>
      <c r="DN1525" t="s">
        <v>268</v>
      </c>
      <c r="DP1525" t="s">
        <v>3217</v>
      </c>
      <c r="DR1525">
        <v>2056173</v>
      </c>
      <c r="DS1525">
        <v>1053</v>
      </c>
      <c r="DT1525" t="s">
        <v>3218</v>
      </c>
      <c r="DV1525">
        <v>48</v>
      </c>
      <c r="EA1525" t="s">
        <v>268</v>
      </c>
      <c r="EC1525">
        <v>2</v>
      </c>
      <c r="EH1525" t="s">
        <v>267</v>
      </c>
      <c r="EJ1525">
        <v>48</v>
      </c>
      <c r="EO1525" t="s">
        <v>268</v>
      </c>
      <c r="EQ1525">
        <v>2</v>
      </c>
      <c r="EV1525" t="s">
        <v>267</v>
      </c>
      <c r="EW1525" t="s">
        <v>293</v>
      </c>
      <c r="FA1525" t="s">
        <v>3219</v>
      </c>
      <c r="FM1525">
        <v>19</v>
      </c>
      <c r="FR1525" t="s">
        <v>295</v>
      </c>
      <c r="GU1525">
        <v>38</v>
      </c>
      <c r="GZ1525" t="s">
        <v>296</v>
      </c>
      <c r="HH1525" t="s">
        <v>272</v>
      </c>
      <c r="ID1525" t="s">
        <v>3238</v>
      </c>
      <c r="IE1525" t="s">
        <v>3221</v>
      </c>
      <c r="IF1525">
        <v>52250</v>
      </c>
      <c r="IG1525" t="s">
        <v>3222</v>
      </c>
      <c r="IH1525" t="s">
        <v>3223</v>
      </c>
      <c r="II1525">
        <v>2000</v>
      </c>
      <c r="IJ1525" t="s">
        <v>3224</v>
      </c>
    </row>
    <row r="1526" spans="1:244" x14ac:dyDescent="0.45">
      <c r="A1526">
        <v>1038728</v>
      </c>
      <c r="B1526">
        <v>106112</v>
      </c>
      <c r="C1526">
        <v>7775113</v>
      </c>
      <c r="D1526" t="s">
        <v>3207</v>
      </c>
      <c r="F1526" t="s">
        <v>245</v>
      </c>
      <c r="G1526" t="s">
        <v>246</v>
      </c>
      <c r="N1526" t="s">
        <v>3239</v>
      </c>
      <c r="O1526" t="s">
        <v>1299</v>
      </c>
      <c r="P1526" t="s">
        <v>249</v>
      </c>
      <c r="Q1526" t="s">
        <v>250</v>
      </c>
      <c r="R1526" t="s">
        <v>251</v>
      </c>
      <c r="T1526" t="s">
        <v>252</v>
      </c>
      <c r="U1526" t="s">
        <v>371</v>
      </c>
      <c r="V1526" t="s">
        <v>372</v>
      </c>
      <c r="W1526" t="s">
        <v>3240</v>
      </c>
      <c r="X1526" t="s">
        <v>3241</v>
      </c>
      <c r="Z1526" t="s">
        <v>315</v>
      </c>
      <c r="AM1526" t="s">
        <v>258</v>
      </c>
      <c r="AN1526" t="s">
        <v>259</v>
      </c>
      <c r="AO1526" t="s">
        <v>260</v>
      </c>
      <c r="AQ1526" t="s">
        <v>261</v>
      </c>
      <c r="AS1526">
        <v>1.2999999999999999E-4</v>
      </c>
      <c r="AX1526" t="s">
        <v>3229</v>
      </c>
      <c r="BO1526" t="s">
        <v>261</v>
      </c>
      <c r="BQ1526">
        <v>21.318570000000001</v>
      </c>
      <c r="BV1526" t="s">
        <v>263</v>
      </c>
      <c r="CM1526" t="s">
        <v>264</v>
      </c>
      <c r="CN1526" t="s">
        <v>264</v>
      </c>
      <c r="CO1526" t="s">
        <v>3230</v>
      </c>
      <c r="CP1526" t="s">
        <v>265</v>
      </c>
      <c r="CQ1526" t="s">
        <v>3231</v>
      </c>
      <c r="DB1526">
        <v>4</v>
      </c>
      <c r="DG1526" t="s">
        <v>267</v>
      </c>
      <c r="DI1526">
        <v>4</v>
      </c>
      <c r="DN1526" t="s">
        <v>267</v>
      </c>
      <c r="DR1526">
        <v>236572</v>
      </c>
      <c r="DS1526">
        <v>1940</v>
      </c>
      <c r="DT1526" t="s">
        <v>3232</v>
      </c>
      <c r="EW1526" t="s">
        <v>333</v>
      </c>
      <c r="GU1526">
        <v>33</v>
      </c>
      <c r="GZ1526" t="s">
        <v>296</v>
      </c>
      <c r="HH1526" t="s">
        <v>272</v>
      </c>
      <c r="IE1526" t="s">
        <v>3233</v>
      </c>
      <c r="IF1526">
        <v>2419</v>
      </c>
      <c r="IG1526" t="s">
        <v>3234</v>
      </c>
      <c r="IH1526" t="s">
        <v>3235</v>
      </c>
      <c r="II1526">
        <v>1988</v>
      </c>
      <c r="IJ1526" t="s">
        <v>3236</v>
      </c>
    </row>
    <row r="1527" spans="1:244" x14ac:dyDescent="0.45">
      <c r="A1527">
        <v>1038726</v>
      </c>
      <c r="B1527">
        <v>106110</v>
      </c>
      <c r="C1527">
        <v>7775113</v>
      </c>
      <c r="D1527" t="s">
        <v>3207</v>
      </c>
      <c r="F1527" t="s">
        <v>245</v>
      </c>
      <c r="G1527" t="s">
        <v>246</v>
      </c>
      <c r="N1527" t="s">
        <v>3225</v>
      </c>
      <c r="O1527" t="s">
        <v>3226</v>
      </c>
      <c r="P1527" t="s">
        <v>249</v>
      </c>
      <c r="Q1527" t="s">
        <v>250</v>
      </c>
      <c r="R1527" t="s">
        <v>251</v>
      </c>
      <c r="T1527" t="s">
        <v>252</v>
      </c>
      <c r="U1527" t="s">
        <v>253</v>
      </c>
      <c r="V1527" t="s">
        <v>304</v>
      </c>
      <c r="W1527" t="s">
        <v>330</v>
      </c>
      <c r="X1527" t="s">
        <v>3227</v>
      </c>
      <c r="Z1527" t="s">
        <v>284</v>
      </c>
      <c r="AM1527" t="s">
        <v>258</v>
      </c>
      <c r="AN1527" t="s">
        <v>259</v>
      </c>
      <c r="AO1527" t="s">
        <v>260</v>
      </c>
      <c r="AQ1527" t="s">
        <v>261</v>
      </c>
      <c r="AS1527">
        <v>6.2E-4</v>
      </c>
      <c r="AX1527" t="s">
        <v>3229</v>
      </c>
      <c r="BO1527" t="s">
        <v>261</v>
      </c>
      <c r="BQ1527">
        <v>101.67318</v>
      </c>
      <c r="BV1527" t="s">
        <v>263</v>
      </c>
      <c r="CM1527" t="s">
        <v>264</v>
      </c>
      <c r="CN1527" t="s">
        <v>264</v>
      </c>
      <c r="CO1527" t="s">
        <v>3230</v>
      </c>
      <c r="CP1527" t="s">
        <v>265</v>
      </c>
      <c r="CQ1527" t="s">
        <v>3231</v>
      </c>
      <c r="DB1527">
        <v>4</v>
      </c>
      <c r="DG1527" t="s">
        <v>267</v>
      </c>
      <c r="DI1527">
        <v>4</v>
      </c>
      <c r="DN1527" t="s">
        <v>267</v>
      </c>
      <c r="DR1527">
        <v>647170</v>
      </c>
      <c r="DS1527">
        <v>714</v>
      </c>
      <c r="DT1527" t="s">
        <v>3232</v>
      </c>
      <c r="EW1527" t="s">
        <v>333</v>
      </c>
      <c r="FM1527">
        <v>20</v>
      </c>
      <c r="FR1527" t="s">
        <v>295</v>
      </c>
      <c r="GU1527">
        <v>33</v>
      </c>
      <c r="GZ1527" t="s">
        <v>296</v>
      </c>
      <c r="HH1527" t="s">
        <v>272</v>
      </c>
      <c r="IE1527" t="s">
        <v>3233</v>
      </c>
      <c r="IF1527">
        <v>2419</v>
      </c>
      <c r="IG1527" t="s">
        <v>3234</v>
      </c>
      <c r="IH1527" t="s">
        <v>3235</v>
      </c>
      <c r="II1527">
        <v>1988</v>
      </c>
      <c r="IJ1527" t="s">
        <v>3236</v>
      </c>
    </row>
    <row r="1528" spans="1:244" x14ac:dyDescent="0.45">
      <c r="A1528">
        <v>1098474</v>
      </c>
      <c r="B1528">
        <v>107091</v>
      </c>
      <c r="C1528">
        <v>7775113</v>
      </c>
      <c r="D1528" t="s">
        <v>3207</v>
      </c>
      <c r="F1528" t="s">
        <v>245</v>
      </c>
      <c r="G1528" t="s">
        <v>246</v>
      </c>
      <c r="N1528" t="s">
        <v>934</v>
      </c>
      <c r="O1528" t="s">
        <v>935</v>
      </c>
      <c r="P1528" t="s">
        <v>249</v>
      </c>
      <c r="Q1528" t="s">
        <v>250</v>
      </c>
      <c r="R1528" t="s">
        <v>251</v>
      </c>
      <c r="T1528" t="s">
        <v>252</v>
      </c>
      <c r="U1528" t="s">
        <v>253</v>
      </c>
      <c r="V1528" t="s">
        <v>936</v>
      </c>
      <c r="W1528" t="s">
        <v>937</v>
      </c>
      <c r="X1528" t="s">
        <v>938</v>
      </c>
      <c r="AM1528" t="s">
        <v>258</v>
      </c>
      <c r="AN1528" t="s">
        <v>259</v>
      </c>
      <c r="AO1528" t="s">
        <v>260</v>
      </c>
      <c r="AQ1528" t="s">
        <v>261</v>
      </c>
      <c r="AS1528">
        <v>13.7</v>
      </c>
      <c r="AX1528" t="s">
        <v>422</v>
      </c>
      <c r="BO1528" t="s">
        <v>261</v>
      </c>
      <c r="BQ1528">
        <v>13.7</v>
      </c>
      <c r="BV1528" t="s">
        <v>263</v>
      </c>
      <c r="CM1528" t="s">
        <v>264</v>
      </c>
      <c r="CN1528" t="s">
        <v>264</v>
      </c>
      <c r="CP1528" t="s">
        <v>265</v>
      </c>
      <c r="CQ1528" t="s">
        <v>538</v>
      </c>
      <c r="DB1528">
        <v>4</v>
      </c>
      <c r="DG1528" t="s">
        <v>267</v>
      </c>
      <c r="DI1528">
        <v>96</v>
      </c>
      <c r="DN1528" t="s">
        <v>268</v>
      </c>
      <c r="DP1528" t="s">
        <v>3209</v>
      </c>
      <c r="DR1528">
        <v>108123</v>
      </c>
      <c r="DS1528">
        <v>103</v>
      </c>
      <c r="DT1528" t="s">
        <v>3210</v>
      </c>
      <c r="EW1528" t="s">
        <v>293</v>
      </c>
      <c r="FM1528">
        <v>25</v>
      </c>
      <c r="FR1528" t="s">
        <v>295</v>
      </c>
      <c r="GU1528">
        <v>20</v>
      </c>
      <c r="GZ1528" t="s">
        <v>296</v>
      </c>
      <c r="HH1528" t="s">
        <v>272</v>
      </c>
      <c r="IE1528" t="s">
        <v>3211</v>
      </c>
      <c r="IF1528">
        <v>7013</v>
      </c>
      <c r="IG1528" t="s">
        <v>3212</v>
      </c>
      <c r="IH1528" t="s">
        <v>3213</v>
      </c>
      <c r="II1528">
        <v>1984</v>
      </c>
      <c r="IJ1528" t="s">
        <v>3214</v>
      </c>
    </row>
    <row r="1529" spans="1:244" x14ac:dyDescent="0.45">
      <c r="A1529">
        <v>1179973</v>
      </c>
      <c r="B1529">
        <v>82439</v>
      </c>
      <c r="C1529">
        <v>7775113</v>
      </c>
      <c r="D1529" t="s">
        <v>3207</v>
      </c>
      <c r="F1529" t="s">
        <v>245</v>
      </c>
      <c r="G1529" t="s">
        <v>246</v>
      </c>
      <c r="N1529" t="s">
        <v>471</v>
      </c>
      <c r="O1529" t="s">
        <v>388</v>
      </c>
      <c r="P1529" t="s">
        <v>249</v>
      </c>
      <c r="Q1529" t="s">
        <v>250</v>
      </c>
      <c r="R1529" t="s">
        <v>251</v>
      </c>
      <c r="T1529" t="s">
        <v>389</v>
      </c>
      <c r="U1529" t="s">
        <v>390</v>
      </c>
      <c r="V1529" t="s">
        <v>472</v>
      </c>
      <c r="W1529" t="s">
        <v>473</v>
      </c>
      <c r="X1529" t="s">
        <v>474</v>
      </c>
      <c r="Z1529" t="s">
        <v>315</v>
      </c>
      <c r="AL1529" t="s">
        <v>475</v>
      </c>
      <c r="AM1529" t="s">
        <v>317</v>
      </c>
      <c r="AN1529" t="s">
        <v>259</v>
      </c>
      <c r="AO1529" t="s">
        <v>260</v>
      </c>
      <c r="AQ1529" t="s">
        <v>261</v>
      </c>
      <c r="AS1529">
        <v>8140</v>
      </c>
      <c r="AX1529" t="s">
        <v>262</v>
      </c>
      <c r="BO1529" t="s">
        <v>261</v>
      </c>
      <c r="BQ1529">
        <v>8.14</v>
      </c>
      <c r="BV1529" t="s">
        <v>263</v>
      </c>
      <c r="CM1529" t="s">
        <v>264</v>
      </c>
      <c r="CN1529" t="s">
        <v>264</v>
      </c>
      <c r="CP1529" t="s">
        <v>265</v>
      </c>
      <c r="CQ1529" t="s">
        <v>538</v>
      </c>
      <c r="DB1529">
        <v>2</v>
      </c>
      <c r="DG1529" t="s">
        <v>267</v>
      </c>
      <c r="DI1529">
        <v>48</v>
      </c>
      <c r="DN1529" t="s">
        <v>268</v>
      </c>
      <c r="DR1529">
        <v>2056173</v>
      </c>
      <c r="DS1529">
        <v>1053</v>
      </c>
      <c r="DT1529" t="s">
        <v>2904</v>
      </c>
      <c r="EW1529" t="s">
        <v>271</v>
      </c>
      <c r="FM1529">
        <v>24</v>
      </c>
      <c r="FR1529" t="s">
        <v>295</v>
      </c>
      <c r="HH1529" t="s">
        <v>272</v>
      </c>
      <c r="IE1529" t="s">
        <v>2685</v>
      </c>
      <c r="IF1529">
        <v>15726</v>
      </c>
      <c r="IG1529" t="s">
        <v>2905</v>
      </c>
      <c r="IH1529" t="s">
        <v>2906</v>
      </c>
      <c r="II1529">
        <v>1982</v>
      </c>
      <c r="IJ1529" t="s">
        <v>2907</v>
      </c>
    </row>
    <row r="1530" spans="1:244" x14ac:dyDescent="0.45">
      <c r="A1530">
        <v>1038747</v>
      </c>
      <c r="B1530">
        <v>106131</v>
      </c>
      <c r="C1530">
        <v>7775113</v>
      </c>
      <c r="D1530" t="s">
        <v>3207</v>
      </c>
      <c r="F1530" t="s">
        <v>245</v>
      </c>
      <c r="G1530" t="s">
        <v>246</v>
      </c>
      <c r="N1530" t="s">
        <v>3239</v>
      </c>
      <c r="O1530" t="s">
        <v>1299</v>
      </c>
      <c r="P1530" t="s">
        <v>249</v>
      </c>
      <c r="Q1530" t="s">
        <v>250</v>
      </c>
      <c r="R1530" t="s">
        <v>251</v>
      </c>
      <c r="T1530" t="s">
        <v>252</v>
      </c>
      <c r="U1530" t="s">
        <v>371</v>
      </c>
      <c r="V1530" t="s">
        <v>372</v>
      </c>
      <c r="W1530" t="s">
        <v>3240</v>
      </c>
      <c r="X1530" t="s">
        <v>3241</v>
      </c>
      <c r="Z1530" t="s">
        <v>315</v>
      </c>
      <c r="AM1530" t="s">
        <v>258</v>
      </c>
      <c r="AN1530" t="s">
        <v>259</v>
      </c>
      <c r="AO1530" t="s">
        <v>260</v>
      </c>
      <c r="AQ1530" t="s">
        <v>261</v>
      </c>
      <c r="AS1530">
        <v>1.1E-4</v>
      </c>
      <c r="AX1530" t="s">
        <v>3229</v>
      </c>
      <c r="BO1530" t="s">
        <v>261</v>
      </c>
      <c r="BQ1530">
        <v>18.038789999999999</v>
      </c>
      <c r="BV1530" t="s">
        <v>263</v>
      </c>
      <c r="CM1530" t="s">
        <v>264</v>
      </c>
      <c r="CN1530" t="s">
        <v>264</v>
      </c>
      <c r="CO1530" t="s">
        <v>3230</v>
      </c>
      <c r="CP1530" t="s">
        <v>265</v>
      </c>
      <c r="CQ1530" t="s">
        <v>3231</v>
      </c>
      <c r="DB1530">
        <v>4</v>
      </c>
      <c r="DG1530" t="s">
        <v>267</v>
      </c>
      <c r="DI1530">
        <v>4</v>
      </c>
      <c r="DN1530" t="s">
        <v>267</v>
      </c>
      <c r="DR1530">
        <v>236572</v>
      </c>
      <c r="DS1530">
        <v>1940</v>
      </c>
      <c r="DT1530" t="s">
        <v>3232</v>
      </c>
      <c r="EW1530" t="s">
        <v>333</v>
      </c>
      <c r="FM1530">
        <v>20</v>
      </c>
      <c r="FR1530" t="s">
        <v>295</v>
      </c>
      <c r="GU1530">
        <v>23</v>
      </c>
      <c r="GZ1530" t="s">
        <v>296</v>
      </c>
      <c r="HH1530" t="s">
        <v>272</v>
      </c>
      <c r="IE1530" t="s">
        <v>3233</v>
      </c>
      <c r="IF1530">
        <v>2419</v>
      </c>
      <c r="IG1530" t="s">
        <v>3234</v>
      </c>
      <c r="IH1530" t="s">
        <v>3235</v>
      </c>
      <c r="II1530">
        <v>1988</v>
      </c>
      <c r="IJ1530" t="s">
        <v>3236</v>
      </c>
    </row>
    <row r="1531" spans="1:244" x14ac:dyDescent="0.45">
      <c r="A1531">
        <v>1137072</v>
      </c>
      <c r="B1531">
        <v>89374</v>
      </c>
      <c r="C1531">
        <v>7775113</v>
      </c>
      <c r="D1531" t="s">
        <v>3207</v>
      </c>
      <c r="F1531" t="s">
        <v>245</v>
      </c>
      <c r="G1531" t="s">
        <v>246</v>
      </c>
      <c r="N1531" t="s">
        <v>452</v>
      </c>
      <c r="O1531" t="s">
        <v>346</v>
      </c>
      <c r="P1531" t="s">
        <v>249</v>
      </c>
      <c r="Q1531" t="s">
        <v>250</v>
      </c>
      <c r="R1531" t="s">
        <v>251</v>
      </c>
      <c r="T1531" t="s">
        <v>347</v>
      </c>
      <c r="U1531" t="s">
        <v>348</v>
      </c>
      <c r="V1531" t="s">
        <v>349</v>
      </c>
      <c r="W1531" t="s">
        <v>350</v>
      </c>
      <c r="X1531" t="s">
        <v>453</v>
      </c>
      <c r="Z1531" t="s">
        <v>525</v>
      </c>
      <c r="AB1531">
        <v>3</v>
      </c>
      <c r="AG1531" t="s">
        <v>267</v>
      </c>
      <c r="AM1531" t="s">
        <v>317</v>
      </c>
      <c r="AN1531" t="s">
        <v>259</v>
      </c>
      <c r="AO1531" t="s">
        <v>260</v>
      </c>
      <c r="AQ1531" t="s">
        <v>261</v>
      </c>
      <c r="AS1531">
        <v>7911</v>
      </c>
      <c r="AX1531" t="s">
        <v>262</v>
      </c>
      <c r="BO1531" t="s">
        <v>261</v>
      </c>
      <c r="BQ1531">
        <v>7.9109999999999996</v>
      </c>
      <c r="BV1531" t="s">
        <v>263</v>
      </c>
      <c r="CM1531" t="s">
        <v>264</v>
      </c>
      <c r="CN1531" t="s">
        <v>264</v>
      </c>
      <c r="CP1531" t="s">
        <v>265</v>
      </c>
      <c r="CQ1531" t="s">
        <v>538</v>
      </c>
      <c r="DB1531">
        <v>2</v>
      </c>
      <c r="DG1531" t="s">
        <v>267</v>
      </c>
      <c r="DI1531">
        <v>48</v>
      </c>
      <c r="DN1531" t="s">
        <v>268</v>
      </c>
      <c r="DR1531">
        <v>85549</v>
      </c>
      <c r="DS1531">
        <v>366</v>
      </c>
      <c r="DT1531" t="s">
        <v>3242</v>
      </c>
      <c r="EW1531" t="s">
        <v>333</v>
      </c>
      <c r="FK1531" t="s">
        <v>3243</v>
      </c>
      <c r="FM1531">
        <v>24</v>
      </c>
      <c r="FR1531" t="s">
        <v>295</v>
      </c>
      <c r="HH1531" t="s">
        <v>272</v>
      </c>
      <c r="ID1531" t="s">
        <v>3244</v>
      </c>
      <c r="IE1531" t="s">
        <v>3245</v>
      </c>
      <c r="IF1531">
        <v>11259</v>
      </c>
      <c r="IG1531" t="s">
        <v>3246</v>
      </c>
      <c r="IH1531" t="s">
        <v>3247</v>
      </c>
      <c r="II1531">
        <v>1984</v>
      </c>
      <c r="IJ1531" t="s">
        <v>3248</v>
      </c>
    </row>
    <row r="1532" spans="1:244" x14ac:dyDescent="0.45">
      <c r="A1532">
        <v>1038746</v>
      </c>
      <c r="B1532">
        <v>106130</v>
      </c>
      <c r="C1532">
        <v>7775113</v>
      </c>
      <c r="D1532" t="s">
        <v>3207</v>
      </c>
      <c r="F1532" t="s">
        <v>245</v>
      </c>
      <c r="G1532" t="s">
        <v>246</v>
      </c>
      <c r="N1532" t="s">
        <v>3225</v>
      </c>
      <c r="O1532" t="s">
        <v>3226</v>
      </c>
      <c r="P1532" t="s">
        <v>249</v>
      </c>
      <c r="Q1532" t="s">
        <v>250</v>
      </c>
      <c r="R1532" t="s">
        <v>251</v>
      </c>
      <c r="T1532" t="s">
        <v>252</v>
      </c>
      <c r="U1532" t="s">
        <v>253</v>
      </c>
      <c r="V1532" t="s">
        <v>304</v>
      </c>
      <c r="W1532" t="s">
        <v>330</v>
      </c>
      <c r="X1532" t="s">
        <v>3227</v>
      </c>
      <c r="Z1532" t="s">
        <v>284</v>
      </c>
      <c r="AM1532" t="s">
        <v>258</v>
      </c>
      <c r="AN1532" t="s">
        <v>259</v>
      </c>
      <c r="AO1532" t="s">
        <v>260</v>
      </c>
      <c r="AQ1532" t="s">
        <v>261</v>
      </c>
      <c r="AS1532">
        <v>6.2E-4</v>
      </c>
      <c r="AX1532" t="s">
        <v>3229</v>
      </c>
      <c r="BO1532" t="s">
        <v>261</v>
      </c>
      <c r="BQ1532">
        <v>101.67318</v>
      </c>
      <c r="BV1532" t="s">
        <v>263</v>
      </c>
      <c r="CM1532" t="s">
        <v>264</v>
      </c>
      <c r="CN1532" t="s">
        <v>264</v>
      </c>
      <c r="CO1532" t="s">
        <v>3230</v>
      </c>
      <c r="CP1532" t="s">
        <v>265</v>
      </c>
      <c r="CQ1532" t="s">
        <v>3231</v>
      </c>
      <c r="DB1532">
        <v>4</v>
      </c>
      <c r="DG1532" t="s">
        <v>267</v>
      </c>
      <c r="DI1532">
        <v>4</v>
      </c>
      <c r="DN1532" t="s">
        <v>267</v>
      </c>
      <c r="DR1532">
        <v>647170</v>
      </c>
      <c r="DS1532">
        <v>714</v>
      </c>
      <c r="DT1532" t="s">
        <v>3232</v>
      </c>
      <c r="EW1532" t="s">
        <v>333</v>
      </c>
      <c r="FM1532">
        <v>20</v>
      </c>
      <c r="FR1532" t="s">
        <v>295</v>
      </c>
      <c r="GU1532">
        <v>23</v>
      </c>
      <c r="GZ1532" t="s">
        <v>296</v>
      </c>
      <c r="HH1532" t="s">
        <v>272</v>
      </c>
      <c r="IE1532" t="s">
        <v>3233</v>
      </c>
      <c r="IF1532">
        <v>2419</v>
      </c>
      <c r="IG1532" t="s">
        <v>3234</v>
      </c>
      <c r="IH1532" t="s">
        <v>3235</v>
      </c>
      <c r="II1532">
        <v>1988</v>
      </c>
      <c r="IJ1532" t="s">
        <v>3236</v>
      </c>
    </row>
    <row r="1533" spans="1:244" x14ac:dyDescent="0.45">
      <c r="A1533">
        <v>2114335</v>
      </c>
      <c r="B1533">
        <v>2208949</v>
      </c>
      <c r="C1533">
        <v>7775113</v>
      </c>
      <c r="D1533" t="s">
        <v>3207</v>
      </c>
      <c r="F1533" t="s">
        <v>245</v>
      </c>
      <c r="G1533" t="s">
        <v>272</v>
      </c>
      <c r="N1533" t="s">
        <v>471</v>
      </c>
      <c r="O1533" t="s">
        <v>388</v>
      </c>
      <c r="P1533" t="s">
        <v>249</v>
      </c>
      <c r="Q1533" t="s">
        <v>250</v>
      </c>
      <c r="R1533" t="s">
        <v>251</v>
      </c>
      <c r="T1533" t="s">
        <v>389</v>
      </c>
      <c r="U1533" t="s">
        <v>390</v>
      </c>
      <c r="V1533" t="s">
        <v>472</v>
      </c>
      <c r="W1533" t="s">
        <v>473</v>
      </c>
      <c r="X1533" t="s">
        <v>474</v>
      </c>
      <c r="Z1533" t="s">
        <v>3215</v>
      </c>
      <c r="AJ1533" t="s">
        <v>354</v>
      </c>
      <c r="AK1533" t="s">
        <v>517</v>
      </c>
      <c r="AL1533" t="s">
        <v>3249</v>
      </c>
      <c r="AM1533" t="s">
        <v>317</v>
      </c>
      <c r="AN1533" t="s">
        <v>259</v>
      </c>
      <c r="AO1533" t="s">
        <v>260</v>
      </c>
      <c r="AQ1533" t="s">
        <v>261</v>
      </c>
      <c r="AS1533">
        <v>1.6990000000000001</v>
      </c>
      <c r="AU1533">
        <v>7.1999999999999995E-2</v>
      </c>
      <c r="AW1533">
        <v>2.8860000000000001</v>
      </c>
      <c r="AX1533" t="s">
        <v>422</v>
      </c>
      <c r="BO1533" t="s">
        <v>261</v>
      </c>
      <c r="BQ1533">
        <v>1.6990000000000001</v>
      </c>
      <c r="BS1533">
        <v>7.1999999999999995E-2</v>
      </c>
      <c r="BU1533">
        <v>2.8860000000000001</v>
      </c>
      <c r="BV1533" t="s">
        <v>263</v>
      </c>
      <c r="CM1533" t="s">
        <v>264</v>
      </c>
      <c r="CN1533" t="s">
        <v>264</v>
      </c>
      <c r="CP1533" t="s">
        <v>265</v>
      </c>
      <c r="CQ1533" t="s">
        <v>538</v>
      </c>
      <c r="DB1533">
        <v>2</v>
      </c>
      <c r="DG1533" t="s">
        <v>267</v>
      </c>
      <c r="DI1533">
        <v>48</v>
      </c>
      <c r="DN1533" t="s">
        <v>268</v>
      </c>
      <c r="DP1533" t="s">
        <v>3217</v>
      </c>
      <c r="DR1533">
        <v>2056173</v>
      </c>
      <c r="DS1533">
        <v>1053</v>
      </c>
      <c r="DT1533" t="s">
        <v>3218</v>
      </c>
      <c r="DV1533">
        <v>48</v>
      </c>
      <c r="EA1533" t="s">
        <v>268</v>
      </c>
      <c r="EC1533">
        <v>2</v>
      </c>
      <c r="EH1533" t="s">
        <v>267</v>
      </c>
      <c r="EJ1533">
        <v>48</v>
      </c>
      <c r="EO1533" t="s">
        <v>268</v>
      </c>
      <c r="EQ1533">
        <v>2</v>
      </c>
      <c r="EV1533" t="s">
        <v>267</v>
      </c>
      <c r="EW1533" t="s">
        <v>293</v>
      </c>
      <c r="FA1533" t="s">
        <v>3219</v>
      </c>
      <c r="FM1533">
        <v>19</v>
      </c>
      <c r="FR1533" t="s">
        <v>295</v>
      </c>
      <c r="GU1533">
        <v>38</v>
      </c>
      <c r="GZ1533" t="s">
        <v>296</v>
      </c>
      <c r="HH1533" t="s">
        <v>272</v>
      </c>
      <c r="ID1533" t="s">
        <v>3220</v>
      </c>
      <c r="IE1533" t="s">
        <v>3221</v>
      </c>
      <c r="IF1533">
        <v>52250</v>
      </c>
      <c r="IG1533" t="s">
        <v>3222</v>
      </c>
      <c r="IH1533" t="s">
        <v>3223</v>
      </c>
      <c r="II1533">
        <v>2000</v>
      </c>
      <c r="IJ1533" t="s">
        <v>3224</v>
      </c>
    </row>
    <row r="1534" spans="1:244" x14ac:dyDescent="0.45">
      <c r="A1534">
        <v>2114336</v>
      </c>
      <c r="B1534">
        <v>2208950</v>
      </c>
      <c r="C1534">
        <v>7775113</v>
      </c>
      <c r="D1534" t="s">
        <v>3207</v>
      </c>
      <c r="F1534" t="s">
        <v>245</v>
      </c>
      <c r="G1534" t="s">
        <v>272</v>
      </c>
      <c r="N1534" t="s">
        <v>471</v>
      </c>
      <c r="O1534" t="s">
        <v>388</v>
      </c>
      <c r="P1534" t="s">
        <v>249</v>
      </c>
      <c r="Q1534" t="s">
        <v>250</v>
      </c>
      <c r="R1534" t="s">
        <v>251</v>
      </c>
      <c r="T1534" t="s">
        <v>389</v>
      </c>
      <c r="U1534" t="s">
        <v>390</v>
      </c>
      <c r="V1534" t="s">
        <v>472</v>
      </c>
      <c r="W1534" t="s">
        <v>473</v>
      </c>
      <c r="X1534" t="s">
        <v>474</v>
      </c>
      <c r="Z1534" t="s">
        <v>3215</v>
      </c>
      <c r="AJ1534" t="s">
        <v>354</v>
      </c>
      <c r="AK1534" t="s">
        <v>517</v>
      </c>
      <c r="AL1534" t="s">
        <v>3250</v>
      </c>
      <c r="AM1534" t="s">
        <v>317</v>
      </c>
      <c r="AN1534" t="s">
        <v>259</v>
      </c>
      <c r="AO1534" t="s">
        <v>260</v>
      </c>
      <c r="AQ1534" t="s">
        <v>261</v>
      </c>
      <c r="AS1534">
        <v>7.327</v>
      </c>
      <c r="AU1534">
        <v>3.01</v>
      </c>
      <c r="AW1534">
        <v>12.49</v>
      </c>
      <c r="AX1534" t="s">
        <v>422</v>
      </c>
      <c r="BO1534" t="s">
        <v>261</v>
      </c>
      <c r="BQ1534">
        <v>7.327</v>
      </c>
      <c r="BS1534">
        <v>3.01</v>
      </c>
      <c r="BU1534">
        <v>12.49</v>
      </c>
      <c r="BV1534" t="s">
        <v>263</v>
      </c>
      <c r="CM1534" t="s">
        <v>264</v>
      </c>
      <c r="CN1534" t="s">
        <v>264</v>
      </c>
      <c r="CP1534" t="s">
        <v>265</v>
      </c>
      <c r="CQ1534" t="s">
        <v>538</v>
      </c>
      <c r="DB1534">
        <v>2</v>
      </c>
      <c r="DG1534" t="s">
        <v>267</v>
      </c>
      <c r="DI1534">
        <v>48</v>
      </c>
      <c r="DN1534" t="s">
        <v>268</v>
      </c>
      <c r="DP1534" t="s">
        <v>3217</v>
      </c>
      <c r="DR1534">
        <v>2056173</v>
      </c>
      <c r="DS1534">
        <v>1053</v>
      </c>
      <c r="DT1534" t="s">
        <v>3218</v>
      </c>
      <c r="DV1534">
        <v>48</v>
      </c>
      <c r="EA1534" t="s">
        <v>268</v>
      </c>
      <c r="EC1534">
        <v>2</v>
      </c>
      <c r="EH1534" t="s">
        <v>267</v>
      </c>
      <c r="EJ1534">
        <v>48</v>
      </c>
      <c r="EO1534" t="s">
        <v>268</v>
      </c>
      <c r="EQ1534">
        <v>2</v>
      </c>
      <c r="EV1534" t="s">
        <v>267</v>
      </c>
      <c r="EW1534" t="s">
        <v>293</v>
      </c>
      <c r="FA1534" t="s">
        <v>3219</v>
      </c>
      <c r="FM1534">
        <v>19</v>
      </c>
      <c r="FR1534" t="s">
        <v>295</v>
      </c>
      <c r="GU1534">
        <v>38</v>
      </c>
      <c r="GZ1534" t="s">
        <v>296</v>
      </c>
      <c r="HH1534" t="s">
        <v>272</v>
      </c>
      <c r="ID1534" t="s">
        <v>3220</v>
      </c>
      <c r="IE1534" t="s">
        <v>3221</v>
      </c>
      <c r="IF1534">
        <v>52250</v>
      </c>
      <c r="IG1534" t="s">
        <v>3222</v>
      </c>
      <c r="IH1534" t="s">
        <v>3223</v>
      </c>
      <c r="II1534">
        <v>2000</v>
      </c>
      <c r="IJ1534" t="s">
        <v>3224</v>
      </c>
    </row>
    <row r="1535" spans="1:244" x14ac:dyDescent="0.45">
      <c r="A1535">
        <v>1038727</v>
      </c>
      <c r="B1535">
        <v>106111</v>
      </c>
      <c r="C1535">
        <v>7775113</v>
      </c>
      <c r="D1535" t="s">
        <v>3207</v>
      </c>
      <c r="F1535" t="s">
        <v>245</v>
      </c>
      <c r="G1535" t="s">
        <v>246</v>
      </c>
      <c r="N1535" t="s">
        <v>302</v>
      </c>
      <c r="O1535" t="s">
        <v>303</v>
      </c>
      <c r="P1535" t="s">
        <v>249</v>
      </c>
      <c r="Q1535" t="s">
        <v>250</v>
      </c>
      <c r="R1535" t="s">
        <v>251</v>
      </c>
      <c r="T1535" t="s">
        <v>252</v>
      </c>
      <c r="U1535" t="s">
        <v>253</v>
      </c>
      <c r="V1535" t="s">
        <v>304</v>
      </c>
      <c r="W1535" t="s">
        <v>305</v>
      </c>
      <c r="X1535" t="s">
        <v>306</v>
      </c>
      <c r="Z1535" t="s">
        <v>284</v>
      </c>
      <c r="AM1535" t="s">
        <v>258</v>
      </c>
      <c r="AN1535" t="s">
        <v>259</v>
      </c>
      <c r="AO1535" t="s">
        <v>260</v>
      </c>
      <c r="AQ1535" t="s">
        <v>261</v>
      </c>
      <c r="AS1535">
        <v>2.5999999999999998E-4</v>
      </c>
      <c r="AX1535" t="s">
        <v>3229</v>
      </c>
      <c r="BO1535" t="s">
        <v>261</v>
      </c>
      <c r="BQ1535">
        <v>42.637140000000002</v>
      </c>
      <c r="BV1535" t="s">
        <v>263</v>
      </c>
      <c r="CM1535" t="s">
        <v>264</v>
      </c>
      <c r="CN1535" t="s">
        <v>264</v>
      </c>
      <c r="CO1535" t="s">
        <v>3251</v>
      </c>
      <c r="CP1535" t="s">
        <v>265</v>
      </c>
      <c r="CQ1535" t="s">
        <v>3231</v>
      </c>
      <c r="DB1535">
        <v>4</v>
      </c>
      <c r="DG1535" t="s">
        <v>267</v>
      </c>
      <c r="DI1535">
        <v>4</v>
      </c>
      <c r="DN1535" t="s">
        <v>267</v>
      </c>
      <c r="DR1535">
        <v>338212</v>
      </c>
      <c r="DS1535">
        <v>732</v>
      </c>
      <c r="DT1535" t="s">
        <v>3232</v>
      </c>
      <c r="EW1535" t="s">
        <v>333</v>
      </c>
      <c r="FO1535">
        <v>17</v>
      </c>
      <c r="FQ1535">
        <v>20</v>
      </c>
      <c r="FR1535" t="s">
        <v>295</v>
      </c>
      <c r="GU1535">
        <v>33</v>
      </c>
      <c r="GZ1535" t="s">
        <v>296</v>
      </c>
      <c r="HH1535" t="s">
        <v>272</v>
      </c>
      <c r="IE1535" t="s">
        <v>3233</v>
      </c>
      <c r="IF1535">
        <v>2419</v>
      </c>
      <c r="IG1535" t="s">
        <v>3234</v>
      </c>
      <c r="IH1535" t="s">
        <v>3235</v>
      </c>
      <c r="II1535">
        <v>1988</v>
      </c>
      <c r="IJ1535" t="s">
        <v>3236</v>
      </c>
    </row>
    <row r="1536" spans="1:244" x14ac:dyDescent="0.45">
      <c r="A1536">
        <v>1038745</v>
      </c>
      <c r="B1536">
        <v>106129</v>
      </c>
      <c r="C1536">
        <v>7775113</v>
      </c>
      <c r="D1536" t="s">
        <v>3207</v>
      </c>
      <c r="F1536" t="s">
        <v>245</v>
      </c>
      <c r="G1536" t="s">
        <v>246</v>
      </c>
      <c r="N1536" t="s">
        <v>3225</v>
      </c>
      <c r="O1536" t="s">
        <v>3226</v>
      </c>
      <c r="P1536" t="s">
        <v>249</v>
      </c>
      <c r="Q1536" t="s">
        <v>250</v>
      </c>
      <c r="R1536" t="s">
        <v>251</v>
      </c>
      <c r="T1536" t="s">
        <v>252</v>
      </c>
      <c r="U1536" t="s">
        <v>253</v>
      </c>
      <c r="V1536" t="s">
        <v>304</v>
      </c>
      <c r="W1536" t="s">
        <v>330</v>
      </c>
      <c r="X1536" t="s">
        <v>3227</v>
      </c>
      <c r="Z1536" t="s">
        <v>1248</v>
      </c>
      <c r="AL1536" t="s">
        <v>3228</v>
      </c>
      <c r="AM1536" t="s">
        <v>258</v>
      </c>
      <c r="AN1536" t="s">
        <v>259</v>
      </c>
      <c r="AO1536" t="s">
        <v>260</v>
      </c>
      <c r="AQ1536" t="s">
        <v>261</v>
      </c>
      <c r="AS1536">
        <v>1.6000000000000001E-3</v>
      </c>
      <c r="AX1536" t="s">
        <v>3229</v>
      </c>
      <c r="BO1536" t="s">
        <v>261</v>
      </c>
      <c r="BQ1536">
        <v>262.38240000000002</v>
      </c>
      <c r="BV1536" t="s">
        <v>263</v>
      </c>
      <c r="CM1536" t="s">
        <v>264</v>
      </c>
      <c r="CN1536" t="s">
        <v>264</v>
      </c>
      <c r="CO1536" t="s">
        <v>3230</v>
      </c>
      <c r="CP1536" t="s">
        <v>265</v>
      </c>
      <c r="CQ1536" t="s">
        <v>3231</v>
      </c>
      <c r="DB1536">
        <v>4</v>
      </c>
      <c r="DG1536" t="s">
        <v>267</v>
      </c>
      <c r="DI1536">
        <v>4</v>
      </c>
      <c r="DN1536" t="s">
        <v>267</v>
      </c>
      <c r="DR1536">
        <v>647170</v>
      </c>
      <c r="DS1536">
        <v>714</v>
      </c>
      <c r="DT1536" t="s">
        <v>3232</v>
      </c>
      <c r="EW1536" t="s">
        <v>333</v>
      </c>
      <c r="FM1536">
        <v>20</v>
      </c>
      <c r="FR1536" t="s">
        <v>295</v>
      </c>
      <c r="GU1536">
        <v>23</v>
      </c>
      <c r="GZ1536" t="s">
        <v>296</v>
      </c>
      <c r="HH1536" t="s">
        <v>272</v>
      </c>
      <c r="IE1536" t="s">
        <v>3233</v>
      </c>
      <c r="IF1536">
        <v>2419</v>
      </c>
      <c r="IG1536" t="s">
        <v>3234</v>
      </c>
      <c r="IH1536" t="s">
        <v>3235</v>
      </c>
      <c r="II1536">
        <v>1988</v>
      </c>
      <c r="IJ1536" t="s">
        <v>3236</v>
      </c>
    </row>
    <row r="1537" spans="1:244" x14ac:dyDescent="0.45">
      <c r="A1537">
        <v>1154315</v>
      </c>
      <c r="B1537">
        <v>160494</v>
      </c>
      <c r="C1537">
        <v>7775113</v>
      </c>
      <c r="D1537" t="s">
        <v>3207</v>
      </c>
      <c r="E1537" t="s">
        <v>439</v>
      </c>
      <c r="F1537" t="s">
        <v>245</v>
      </c>
      <c r="G1537" t="s">
        <v>246</v>
      </c>
      <c r="N1537" t="s">
        <v>312</v>
      </c>
      <c r="O1537" t="s">
        <v>313</v>
      </c>
      <c r="P1537" t="s">
        <v>249</v>
      </c>
      <c r="Q1537" t="s">
        <v>250</v>
      </c>
      <c r="R1537" t="s">
        <v>251</v>
      </c>
      <c r="T1537" t="s">
        <v>252</v>
      </c>
      <c r="U1537" t="s">
        <v>253</v>
      </c>
      <c r="V1537" t="s">
        <v>304</v>
      </c>
      <c r="W1537" t="s">
        <v>305</v>
      </c>
      <c r="X1537" t="s">
        <v>314</v>
      </c>
      <c r="Z1537" t="s">
        <v>1057</v>
      </c>
      <c r="AL1537" t="s">
        <v>3252</v>
      </c>
      <c r="AM1537" t="s">
        <v>258</v>
      </c>
      <c r="AN1537" t="s">
        <v>259</v>
      </c>
      <c r="AO1537" t="s">
        <v>260</v>
      </c>
      <c r="AQ1537" t="s">
        <v>261</v>
      </c>
      <c r="AS1537">
        <v>14600</v>
      </c>
      <c r="AX1537" t="s">
        <v>262</v>
      </c>
      <c r="BO1537" t="s">
        <v>261</v>
      </c>
      <c r="BQ1537">
        <v>14.6</v>
      </c>
      <c r="BV1537" t="s">
        <v>263</v>
      </c>
      <c r="CM1537" t="s">
        <v>264</v>
      </c>
      <c r="CN1537" t="s">
        <v>264</v>
      </c>
      <c r="CO1537" t="s">
        <v>3253</v>
      </c>
      <c r="CP1537" t="s">
        <v>265</v>
      </c>
      <c r="CQ1537" t="s">
        <v>538</v>
      </c>
      <c r="DB1537">
        <v>4</v>
      </c>
      <c r="DG1537" t="s">
        <v>267</v>
      </c>
      <c r="DI1537">
        <v>96</v>
      </c>
      <c r="DN1537" t="s">
        <v>268</v>
      </c>
      <c r="DR1537">
        <v>221654</v>
      </c>
      <c r="DS1537">
        <v>65263</v>
      </c>
      <c r="DT1537" t="s">
        <v>3254</v>
      </c>
      <c r="EW1537" t="s">
        <v>293</v>
      </c>
      <c r="FM1537">
        <v>20</v>
      </c>
      <c r="FR1537" t="s">
        <v>295</v>
      </c>
      <c r="GU1537">
        <v>10</v>
      </c>
      <c r="GZ1537" t="s">
        <v>296</v>
      </c>
      <c r="HH1537" t="s">
        <v>272</v>
      </c>
      <c r="IE1537" t="s">
        <v>3255</v>
      </c>
      <c r="IF1537">
        <v>13291</v>
      </c>
      <c r="IG1537" t="s">
        <v>3256</v>
      </c>
      <c r="IH1537" t="s">
        <v>3257</v>
      </c>
      <c r="II1537">
        <v>1984</v>
      </c>
      <c r="IJ1537" t="s">
        <v>3258</v>
      </c>
    </row>
    <row r="1538" spans="1:244" x14ac:dyDescent="0.45">
      <c r="A1538">
        <v>2207260</v>
      </c>
      <c r="B1538">
        <v>2417760</v>
      </c>
      <c r="C1538">
        <v>7775113</v>
      </c>
      <c r="D1538" t="s">
        <v>3207</v>
      </c>
      <c r="F1538" t="s">
        <v>245</v>
      </c>
      <c r="G1538" t="s">
        <v>272</v>
      </c>
      <c r="N1538" t="s">
        <v>312</v>
      </c>
      <c r="O1538" t="s">
        <v>313</v>
      </c>
      <c r="P1538" t="s">
        <v>249</v>
      </c>
      <c r="Q1538" t="s">
        <v>250</v>
      </c>
      <c r="R1538" t="s">
        <v>251</v>
      </c>
      <c r="T1538" t="s">
        <v>252</v>
      </c>
      <c r="U1538" t="s">
        <v>253</v>
      </c>
      <c r="V1538" t="s">
        <v>304</v>
      </c>
      <c r="W1538" t="s">
        <v>305</v>
      </c>
      <c r="X1538" t="s">
        <v>314</v>
      </c>
      <c r="Z1538" t="s">
        <v>315</v>
      </c>
      <c r="AJ1538" t="s">
        <v>285</v>
      </c>
      <c r="AL1538" t="s">
        <v>3259</v>
      </c>
      <c r="AM1538" t="s">
        <v>258</v>
      </c>
      <c r="AN1538" t="s">
        <v>259</v>
      </c>
      <c r="AO1538" t="s">
        <v>260</v>
      </c>
      <c r="AQ1538" t="s">
        <v>261</v>
      </c>
      <c r="AS1538">
        <v>14.63</v>
      </c>
      <c r="AU1538">
        <v>12.93</v>
      </c>
      <c r="AW1538">
        <v>16.32</v>
      </c>
      <c r="AX1538" t="s">
        <v>422</v>
      </c>
      <c r="BO1538" t="s">
        <v>261</v>
      </c>
      <c r="BQ1538">
        <v>14.63</v>
      </c>
      <c r="BS1538">
        <v>12.93</v>
      </c>
      <c r="BU1538">
        <v>16.32</v>
      </c>
      <c r="BV1538" t="s">
        <v>263</v>
      </c>
      <c r="CM1538" t="s">
        <v>264</v>
      </c>
      <c r="CN1538" t="s">
        <v>264</v>
      </c>
      <c r="CP1538" t="s">
        <v>265</v>
      </c>
      <c r="CQ1538" t="s">
        <v>538</v>
      </c>
      <c r="DB1538">
        <v>4</v>
      </c>
      <c r="DG1538" t="s">
        <v>267</v>
      </c>
      <c r="DI1538">
        <v>96</v>
      </c>
      <c r="DN1538" t="s">
        <v>268</v>
      </c>
      <c r="DP1538" t="s">
        <v>3260</v>
      </c>
      <c r="DR1538">
        <v>221654</v>
      </c>
      <c r="DS1538">
        <v>65263</v>
      </c>
      <c r="DV1538">
        <v>96</v>
      </c>
      <c r="EA1538" t="s">
        <v>268</v>
      </c>
      <c r="EC1538">
        <v>4</v>
      </c>
      <c r="EH1538" t="s">
        <v>267</v>
      </c>
      <c r="EJ1538">
        <v>96</v>
      </c>
      <c r="EO1538" t="s">
        <v>268</v>
      </c>
      <c r="EQ1538">
        <v>4</v>
      </c>
      <c r="EV1538" t="s">
        <v>267</v>
      </c>
      <c r="EW1538" t="s">
        <v>293</v>
      </c>
      <c r="EY1538" t="s">
        <v>377</v>
      </c>
      <c r="FA1538" t="s">
        <v>3261</v>
      </c>
      <c r="FM1538">
        <v>20</v>
      </c>
      <c r="FR1538" t="s">
        <v>295</v>
      </c>
      <c r="GQ1538">
        <v>7.8</v>
      </c>
      <c r="GS1538">
        <v>8</v>
      </c>
      <c r="GU1538">
        <v>10</v>
      </c>
      <c r="GZ1538" t="s">
        <v>296</v>
      </c>
      <c r="HH1538" t="s">
        <v>272</v>
      </c>
      <c r="ID1538" t="s">
        <v>3262</v>
      </c>
      <c r="IE1538" t="s">
        <v>3263</v>
      </c>
      <c r="IF1538">
        <v>14267</v>
      </c>
      <c r="IG1538" t="s">
        <v>3264</v>
      </c>
      <c r="IH1538" t="s">
        <v>3265</v>
      </c>
      <c r="II1538">
        <v>1986</v>
      </c>
      <c r="IJ1538" t="s">
        <v>3266</v>
      </c>
    </row>
    <row r="1539" spans="1:244" x14ac:dyDescent="0.45">
      <c r="A1539">
        <v>1140048</v>
      </c>
      <c r="B1539">
        <v>94094</v>
      </c>
      <c r="C1539">
        <v>7775113</v>
      </c>
      <c r="D1539" t="s">
        <v>3207</v>
      </c>
      <c r="F1539" t="s">
        <v>245</v>
      </c>
      <c r="G1539" t="s">
        <v>246</v>
      </c>
      <c r="N1539" t="s">
        <v>723</v>
      </c>
      <c r="O1539" t="s">
        <v>631</v>
      </c>
      <c r="P1539" t="s">
        <v>249</v>
      </c>
      <c r="Q1539" t="s">
        <v>250</v>
      </c>
      <c r="R1539" t="s">
        <v>251</v>
      </c>
      <c r="T1539" t="s">
        <v>389</v>
      </c>
      <c r="U1539" t="s">
        <v>632</v>
      </c>
      <c r="V1539" t="s">
        <v>633</v>
      </c>
      <c r="W1539" t="s">
        <v>634</v>
      </c>
      <c r="X1539" t="s">
        <v>724</v>
      </c>
      <c r="Z1539" t="s">
        <v>315</v>
      </c>
      <c r="AL1539" t="s">
        <v>2122</v>
      </c>
      <c r="AM1539" t="s">
        <v>258</v>
      </c>
      <c r="AN1539" t="s">
        <v>259</v>
      </c>
      <c r="AO1539" t="s">
        <v>260</v>
      </c>
      <c r="AQ1539" t="s">
        <v>261</v>
      </c>
      <c r="AS1539">
        <v>12260</v>
      </c>
      <c r="AX1539" t="s">
        <v>262</v>
      </c>
      <c r="BO1539" t="s">
        <v>261</v>
      </c>
      <c r="BQ1539">
        <v>12.26</v>
      </c>
      <c r="BV1539" t="s">
        <v>263</v>
      </c>
      <c r="CM1539" t="s">
        <v>264</v>
      </c>
      <c r="CN1539" t="s">
        <v>264</v>
      </c>
      <c r="CP1539" t="s">
        <v>265</v>
      </c>
      <c r="CQ1539" t="s">
        <v>538</v>
      </c>
      <c r="DB1539">
        <v>2</v>
      </c>
      <c r="DG1539" t="s">
        <v>267</v>
      </c>
      <c r="DI1539">
        <v>48</v>
      </c>
      <c r="DN1539" t="s">
        <v>268</v>
      </c>
      <c r="DR1539">
        <v>136140</v>
      </c>
      <c r="DS1539">
        <v>1784</v>
      </c>
      <c r="DT1539" t="s">
        <v>3267</v>
      </c>
      <c r="EW1539" t="s">
        <v>271</v>
      </c>
      <c r="FK1539" t="s">
        <v>3268</v>
      </c>
      <c r="FM1539">
        <v>14</v>
      </c>
      <c r="FR1539" t="s">
        <v>295</v>
      </c>
      <c r="HH1539" t="s">
        <v>272</v>
      </c>
      <c r="ID1539" t="s">
        <v>3269</v>
      </c>
      <c r="IE1539" t="s">
        <v>2685</v>
      </c>
      <c r="IF1539">
        <v>11673</v>
      </c>
      <c r="IG1539" t="s">
        <v>3270</v>
      </c>
      <c r="IH1539" t="s">
        <v>3271</v>
      </c>
      <c r="II1539">
        <v>1982</v>
      </c>
      <c r="IJ1539" t="s">
        <v>3272</v>
      </c>
    </row>
    <row r="1540" spans="1:244" x14ac:dyDescent="0.45">
      <c r="A1540">
        <v>1098476</v>
      </c>
      <c r="B1540">
        <v>107093</v>
      </c>
      <c r="C1540">
        <v>7775113</v>
      </c>
      <c r="D1540" t="s">
        <v>3207</v>
      </c>
      <c r="F1540" t="s">
        <v>245</v>
      </c>
      <c r="G1540" t="s">
        <v>246</v>
      </c>
      <c r="N1540" t="s">
        <v>1564</v>
      </c>
      <c r="O1540" t="s">
        <v>1565</v>
      </c>
      <c r="P1540" t="s">
        <v>249</v>
      </c>
      <c r="Q1540" t="s">
        <v>250</v>
      </c>
      <c r="R1540" t="s">
        <v>251</v>
      </c>
      <c r="T1540" t="s">
        <v>252</v>
      </c>
      <c r="U1540" t="s">
        <v>253</v>
      </c>
      <c r="V1540" t="s">
        <v>254</v>
      </c>
      <c r="W1540" t="s">
        <v>1566</v>
      </c>
      <c r="X1540" t="s">
        <v>1567</v>
      </c>
      <c r="Z1540" t="s">
        <v>1034</v>
      </c>
      <c r="AL1540" t="s">
        <v>3273</v>
      </c>
      <c r="AM1540" t="s">
        <v>258</v>
      </c>
      <c r="AN1540" t="s">
        <v>259</v>
      </c>
      <c r="AO1540" t="s">
        <v>260</v>
      </c>
      <c r="AQ1540" t="s">
        <v>261</v>
      </c>
      <c r="AS1540">
        <v>1</v>
      </c>
      <c r="AX1540" t="s">
        <v>422</v>
      </c>
      <c r="BO1540" t="s">
        <v>261</v>
      </c>
      <c r="BQ1540">
        <v>1</v>
      </c>
      <c r="BV1540" t="s">
        <v>263</v>
      </c>
      <c r="CM1540" t="s">
        <v>264</v>
      </c>
      <c r="CN1540" t="s">
        <v>264</v>
      </c>
      <c r="CP1540" t="s">
        <v>265</v>
      </c>
      <c r="CQ1540" t="s">
        <v>538</v>
      </c>
      <c r="DB1540">
        <v>4</v>
      </c>
      <c r="DG1540" t="s">
        <v>267</v>
      </c>
      <c r="DI1540">
        <v>96</v>
      </c>
      <c r="DN1540" t="s">
        <v>268</v>
      </c>
      <c r="DP1540" t="s">
        <v>3209</v>
      </c>
      <c r="DR1540">
        <v>6763</v>
      </c>
      <c r="DS1540">
        <v>76</v>
      </c>
      <c r="DT1540" t="s">
        <v>3210</v>
      </c>
      <c r="EW1540" t="s">
        <v>293</v>
      </c>
      <c r="FM1540">
        <v>25</v>
      </c>
      <c r="FR1540" t="s">
        <v>295</v>
      </c>
      <c r="GU1540">
        <v>30</v>
      </c>
      <c r="GZ1540" t="s">
        <v>296</v>
      </c>
      <c r="HH1540" t="s">
        <v>272</v>
      </c>
      <c r="IE1540" t="s">
        <v>3211</v>
      </c>
      <c r="IF1540">
        <v>7013</v>
      </c>
      <c r="IG1540" t="s">
        <v>3212</v>
      </c>
      <c r="IH1540" t="s">
        <v>3213</v>
      </c>
      <c r="II1540">
        <v>1984</v>
      </c>
      <c r="IJ1540" t="s">
        <v>3214</v>
      </c>
    </row>
    <row r="1541" spans="1:244" x14ac:dyDescent="0.45">
      <c r="A1541">
        <v>1140047</v>
      </c>
      <c r="B1541">
        <v>94093</v>
      </c>
      <c r="C1541">
        <v>7775113</v>
      </c>
      <c r="D1541" t="s">
        <v>3207</v>
      </c>
      <c r="F1541" t="s">
        <v>245</v>
      </c>
      <c r="G1541" t="s">
        <v>246</v>
      </c>
      <c r="N1541" t="s">
        <v>723</v>
      </c>
      <c r="O1541" t="s">
        <v>631</v>
      </c>
      <c r="P1541" t="s">
        <v>249</v>
      </c>
      <c r="Q1541" t="s">
        <v>250</v>
      </c>
      <c r="R1541" t="s">
        <v>251</v>
      </c>
      <c r="T1541" t="s">
        <v>389</v>
      </c>
      <c r="U1541" t="s">
        <v>632</v>
      </c>
      <c r="V1541" t="s">
        <v>633</v>
      </c>
      <c r="W1541" t="s">
        <v>634</v>
      </c>
      <c r="X1541" t="s">
        <v>724</v>
      </c>
      <c r="Z1541" t="s">
        <v>315</v>
      </c>
      <c r="AL1541" t="s">
        <v>2122</v>
      </c>
      <c r="AM1541" t="s">
        <v>258</v>
      </c>
      <c r="AN1541" t="s">
        <v>259</v>
      </c>
      <c r="AO1541" t="s">
        <v>260</v>
      </c>
      <c r="AQ1541" t="s">
        <v>261</v>
      </c>
      <c r="AS1541">
        <v>16370</v>
      </c>
      <c r="AX1541" t="s">
        <v>262</v>
      </c>
      <c r="BO1541" t="s">
        <v>261</v>
      </c>
      <c r="BQ1541">
        <v>16.37</v>
      </c>
      <c r="BV1541" t="s">
        <v>263</v>
      </c>
      <c r="CM1541" t="s">
        <v>264</v>
      </c>
      <c r="CN1541" t="s">
        <v>264</v>
      </c>
      <c r="CP1541" t="s">
        <v>265</v>
      </c>
      <c r="CQ1541" t="s">
        <v>538</v>
      </c>
      <c r="DB1541">
        <v>2</v>
      </c>
      <c r="DG1541" t="s">
        <v>267</v>
      </c>
      <c r="DI1541">
        <v>48</v>
      </c>
      <c r="DN1541" t="s">
        <v>268</v>
      </c>
      <c r="DR1541">
        <v>136140</v>
      </c>
      <c r="DS1541">
        <v>1784</v>
      </c>
      <c r="DT1541" t="s">
        <v>3267</v>
      </c>
      <c r="EW1541" t="s">
        <v>271</v>
      </c>
      <c r="FM1541">
        <v>14</v>
      </c>
      <c r="FR1541" t="s">
        <v>295</v>
      </c>
      <c r="HH1541" t="s">
        <v>272</v>
      </c>
      <c r="IE1541" t="s">
        <v>2685</v>
      </c>
      <c r="IF1541">
        <v>11673</v>
      </c>
      <c r="IG1541" t="s">
        <v>3270</v>
      </c>
      <c r="IH1541" t="s">
        <v>3271</v>
      </c>
      <c r="II1541">
        <v>1982</v>
      </c>
      <c r="IJ1541" t="s">
        <v>3272</v>
      </c>
    </row>
    <row r="1542" spans="1:244" x14ac:dyDescent="0.45">
      <c r="A1542">
        <v>2207261</v>
      </c>
      <c r="B1542">
        <v>2417761</v>
      </c>
      <c r="C1542">
        <v>7775113</v>
      </c>
      <c r="D1542" t="s">
        <v>3207</v>
      </c>
      <c r="F1542" t="s">
        <v>245</v>
      </c>
      <c r="G1542" t="s">
        <v>272</v>
      </c>
      <c r="N1542" t="s">
        <v>312</v>
      </c>
      <c r="O1542" t="s">
        <v>313</v>
      </c>
      <c r="P1542" t="s">
        <v>249</v>
      </c>
      <c r="Q1542" t="s">
        <v>250</v>
      </c>
      <c r="R1542" t="s">
        <v>251</v>
      </c>
      <c r="T1542" t="s">
        <v>252</v>
      </c>
      <c r="U1542" t="s">
        <v>253</v>
      </c>
      <c r="V1542" t="s">
        <v>304</v>
      </c>
      <c r="W1542" t="s">
        <v>305</v>
      </c>
      <c r="X1542" t="s">
        <v>314</v>
      </c>
      <c r="Z1542" t="s">
        <v>315</v>
      </c>
      <c r="AJ1542" t="s">
        <v>285</v>
      </c>
      <c r="AL1542" t="s">
        <v>3274</v>
      </c>
      <c r="AM1542" t="s">
        <v>258</v>
      </c>
      <c r="AN1542" t="s">
        <v>259</v>
      </c>
      <c r="AO1542" t="s">
        <v>260</v>
      </c>
      <c r="AQ1542" t="s">
        <v>261</v>
      </c>
      <c r="AS1542">
        <v>4.8600000000000003</v>
      </c>
      <c r="AU1542">
        <v>3.92</v>
      </c>
      <c r="AW1542">
        <v>5.78</v>
      </c>
      <c r="AX1542" t="s">
        <v>422</v>
      </c>
      <c r="BO1542" t="s">
        <v>261</v>
      </c>
      <c r="BQ1542">
        <v>4.8600000000000003</v>
      </c>
      <c r="BS1542">
        <v>3.92</v>
      </c>
      <c r="BU1542">
        <v>5.78</v>
      </c>
      <c r="BV1542" t="s">
        <v>263</v>
      </c>
      <c r="CM1542" t="s">
        <v>264</v>
      </c>
      <c r="CN1542" t="s">
        <v>264</v>
      </c>
      <c r="CP1542" t="s">
        <v>265</v>
      </c>
      <c r="CQ1542" t="s">
        <v>538</v>
      </c>
      <c r="DB1542">
        <v>4</v>
      </c>
      <c r="DG1542" t="s">
        <v>267</v>
      </c>
      <c r="DI1542">
        <v>96</v>
      </c>
      <c r="DN1542" t="s">
        <v>268</v>
      </c>
      <c r="DP1542" t="s">
        <v>3260</v>
      </c>
      <c r="DR1542">
        <v>221654</v>
      </c>
      <c r="DS1542">
        <v>65263</v>
      </c>
      <c r="DV1542">
        <v>96</v>
      </c>
      <c r="EA1542" t="s">
        <v>268</v>
      </c>
      <c r="EC1542">
        <v>4</v>
      </c>
      <c r="EH1542" t="s">
        <v>267</v>
      </c>
      <c r="EJ1542">
        <v>96</v>
      </c>
      <c r="EO1542" t="s">
        <v>268</v>
      </c>
      <c r="EQ1542">
        <v>4</v>
      </c>
      <c r="EV1542" t="s">
        <v>267</v>
      </c>
      <c r="EW1542" t="s">
        <v>293</v>
      </c>
      <c r="EY1542" t="s">
        <v>377</v>
      </c>
      <c r="FA1542" t="s">
        <v>3275</v>
      </c>
      <c r="FM1542">
        <v>20</v>
      </c>
      <c r="FR1542" t="s">
        <v>295</v>
      </c>
      <c r="GQ1542">
        <v>7.8</v>
      </c>
      <c r="GS1542">
        <v>8</v>
      </c>
      <c r="GU1542">
        <v>10</v>
      </c>
      <c r="GZ1542" t="s">
        <v>296</v>
      </c>
      <c r="HH1542" t="s">
        <v>272</v>
      </c>
      <c r="ID1542" t="s">
        <v>3262</v>
      </c>
      <c r="IE1542" t="s">
        <v>3263</v>
      </c>
      <c r="IF1542">
        <v>14267</v>
      </c>
      <c r="IG1542" t="s">
        <v>3264</v>
      </c>
      <c r="IH1542" t="s">
        <v>3265</v>
      </c>
      <c r="II1542">
        <v>1986</v>
      </c>
      <c r="IJ1542" t="s">
        <v>3266</v>
      </c>
    </row>
    <row r="1543" spans="1:244" x14ac:dyDescent="0.45">
      <c r="A1543">
        <v>1154316</v>
      </c>
      <c r="B1543">
        <v>160495</v>
      </c>
      <c r="C1543">
        <v>7775113</v>
      </c>
      <c r="D1543" t="s">
        <v>3207</v>
      </c>
      <c r="E1543" t="s">
        <v>439</v>
      </c>
      <c r="F1543" t="s">
        <v>245</v>
      </c>
      <c r="G1543" t="s">
        <v>246</v>
      </c>
      <c r="N1543" t="s">
        <v>312</v>
      </c>
      <c r="O1543" t="s">
        <v>313</v>
      </c>
      <c r="P1543" t="s">
        <v>249</v>
      </c>
      <c r="Q1543" t="s">
        <v>250</v>
      </c>
      <c r="R1543" t="s">
        <v>251</v>
      </c>
      <c r="T1543" t="s">
        <v>252</v>
      </c>
      <c r="U1543" t="s">
        <v>253</v>
      </c>
      <c r="V1543" t="s">
        <v>304</v>
      </c>
      <c r="W1543" t="s">
        <v>305</v>
      </c>
      <c r="X1543" t="s">
        <v>314</v>
      </c>
      <c r="Z1543" t="s">
        <v>1057</v>
      </c>
      <c r="AL1543" t="s">
        <v>3252</v>
      </c>
      <c r="AM1543" t="s">
        <v>258</v>
      </c>
      <c r="AN1543" t="s">
        <v>259</v>
      </c>
      <c r="AO1543" t="s">
        <v>260</v>
      </c>
      <c r="AQ1543" t="s">
        <v>261</v>
      </c>
      <c r="AS1543">
        <v>4900</v>
      </c>
      <c r="AX1543" t="s">
        <v>262</v>
      </c>
      <c r="BO1543" t="s">
        <v>261</v>
      </c>
      <c r="BQ1543">
        <v>4.9000000000000004</v>
      </c>
      <c r="BV1543" t="s">
        <v>263</v>
      </c>
      <c r="CM1543" t="s">
        <v>264</v>
      </c>
      <c r="CN1543" t="s">
        <v>264</v>
      </c>
      <c r="CO1543" t="s">
        <v>3276</v>
      </c>
      <c r="CP1543" t="s">
        <v>265</v>
      </c>
      <c r="CQ1543" t="s">
        <v>538</v>
      </c>
      <c r="DB1543">
        <v>4</v>
      </c>
      <c r="DG1543" t="s">
        <v>267</v>
      </c>
      <c r="DI1543">
        <v>96</v>
      </c>
      <c r="DN1543" t="s">
        <v>268</v>
      </c>
      <c r="DR1543">
        <v>221654</v>
      </c>
      <c r="DS1543">
        <v>65263</v>
      </c>
      <c r="DT1543" t="s">
        <v>3254</v>
      </c>
      <c r="EW1543" t="s">
        <v>293</v>
      </c>
      <c r="FM1543">
        <v>20</v>
      </c>
      <c r="FR1543" t="s">
        <v>295</v>
      </c>
      <c r="GU1543">
        <v>10</v>
      </c>
      <c r="GZ1543" t="s">
        <v>296</v>
      </c>
      <c r="HH1543" t="s">
        <v>272</v>
      </c>
      <c r="IE1543" t="s">
        <v>3255</v>
      </c>
      <c r="IF1543">
        <v>13291</v>
      </c>
      <c r="IG1543" t="s">
        <v>3256</v>
      </c>
      <c r="IH1543" t="s">
        <v>3257</v>
      </c>
      <c r="II1543">
        <v>1984</v>
      </c>
      <c r="IJ1543" t="s">
        <v>3258</v>
      </c>
    </row>
    <row r="1544" spans="1:244" x14ac:dyDescent="0.45">
      <c r="A1544">
        <v>1140045</v>
      </c>
      <c r="B1544">
        <v>94091</v>
      </c>
      <c r="C1544">
        <v>7775113</v>
      </c>
      <c r="D1544" t="s">
        <v>3207</v>
      </c>
      <c r="F1544" t="s">
        <v>245</v>
      </c>
      <c r="G1544" t="s">
        <v>246</v>
      </c>
      <c r="N1544" t="s">
        <v>723</v>
      </c>
      <c r="O1544" t="s">
        <v>631</v>
      </c>
      <c r="P1544" t="s">
        <v>249</v>
      </c>
      <c r="Q1544" t="s">
        <v>250</v>
      </c>
      <c r="R1544" t="s">
        <v>251</v>
      </c>
      <c r="T1544" t="s">
        <v>389</v>
      </c>
      <c r="U1544" t="s">
        <v>632</v>
      </c>
      <c r="V1544" t="s">
        <v>633</v>
      </c>
      <c r="W1544" t="s">
        <v>634</v>
      </c>
      <c r="X1544" t="s">
        <v>724</v>
      </c>
      <c r="Z1544" t="s">
        <v>315</v>
      </c>
      <c r="AL1544" t="s">
        <v>2122</v>
      </c>
      <c r="AM1544" t="s">
        <v>258</v>
      </c>
      <c r="AN1544" t="s">
        <v>259</v>
      </c>
      <c r="AO1544" t="s">
        <v>260</v>
      </c>
      <c r="AQ1544" t="s">
        <v>261</v>
      </c>
      <c r="AS1544">
        <v>11470</v>
      </c>
      <c r="AX1544" t="s">
        <v>262</v>
      </c>
      <c r="BO1544" t="s">
        <v>261</v>
      </c>
      <c r="BQ1544">
        <v>11.47</v>
      </c>
      <c r="BV1544" t="s">
        <v>263</v>
      </c>
      <c r="CM1544" t="s">
        <v>264</v>
      </c>
      <c r="CN1544" t="s">
        <v>264</v>
      </c>
      <c r="CP1544" t="s">
        <v>265</v>
      </c>
      <c r="CQ1544" t="s">
        <v>538</v>
      </c>
      <c r="DB1544">
        <v>2</v>
      </c>
      <c r="DG1544" t="s">
        <v>267</v>
      </c>
      <c r="DI1544">
        <v>48</v>
      </c>
      <c r="DN1544" t="s">
        <v>268</v>
      </c>
      <c r="DR1544">
        <v>136140</v>
      </c>
      <c r="DS1544">
        <v>1784</v>
      </c>
      <c r="DT1544" t="s">
        <v>3267</v>
      </c>
      <c r="EW1544" t="s">
        <v>271</v>
      </c>
      <c r="FK1544" t="s">
        <v>3277</v>
      </c>
      <c r="FM1544">
        <v>18</v>
      </c>
      <c r="FR1544" t="s">
        <v>295</v>
      </c>
      <c r="HH1544" t="s">
        <v>272</v>
      </c>
      <c r="ID1544" t="s">
        <v>3278</v>
      </c>
      <c r="IE1544" t="s">
        <v>2685</v>
      </c>
      <c r="IF1544">
        <v>11673</v>
      </c>
      <c r="IG1544" t="s">
        <v>3270</v>
      </c>
      <c r="IH1544" t="s">
        <v>3271</v>
      </c>
      <c r="II1544">
        <v>1982</v>
      </c>
      <c r="IJ1544" t="s">
        <v>3272</v>
      </c>
    </row>
    <row r="1545" spans="1:244" x14ac:dyDescent="0.45">
      <c r="A1545">
        <v>1098475</v>
      </c>
      <c r="B1545">
        <v>107092</v>
      </c>
      <c r="C1545">
        <v>7775113</v>
      </c>
      <c r="D1545" t="s">
        <v>3207</v>
      </c>
      <c r="F1545" t="s">
        <v>245</v>
      </c>
      <c r="G1545" t="s">
        <v>246</v>
      </c>
      <c r="N1545" t="s">
        <v>1564</v>
      </c>
      <c r="O1545" t="s">
        <v>1565</v>
      </c>
      <c r="P1545" t="s">
        <v>249</v>
      </c>
      <c r="Q1545" t="s">
        <v>250</v>
      </c>
      <c r="R1545" t="s">
        <v>251</v>
      </c>
      <c r="T1545" t="s">
        <v>252</v>
      </c>
      <c r="U1545" t="s">
        <v>253</v>
      </c>
      <c r="V1545" t="s">
        <v>254</v>
      </c>
      <c r="W1545" t="s">
        <v>1566</v>
      </c>
      <c r="X1545" t="s">
        <v>1567</v>
      </c>
      <c r="Z1545" t="s">
        <v>1034</v>
      </c>
      <c r="AL1545" t="s">
        <v>3279</v>
      </c>
      <c r="AM1545" t="s">
        <v>258</v>
      </c>
      <c r="AN1545" t="s">
        <v>259</v>
      </c>
      <c r="AO1545" t="s">
        <v>260</v>
      </c>
      <c r="AQ1545" t="s">
        <v>261</v>
      </c>
      <c r="AS1545">
        <v>2.9</v>
      </c>
      <c r="AX1545" t="s">
        <v>422</v>
      </c>
      <c r="BO1545" t="s">
        <v>261</v>
      </c>
      <c r="BQ1545">
        <v>2.9</v>
      </c>
      <c r="BV1545" t="s">
        <v>263</v>
      </c>
      <c r="CM1545" t="s">
        <v>264</v>
      </c>
      <c r="CN1545" t="s">
        <v>264</v>
      </c>
      <c r="CP1545" t="s">
        <v>265</v>
      </c>
      <c r="CQ1545" t="s">
        <v>538</v>
      </c>
      <c r="DB1545">
        <v>4</v>
      </c>
      <c r="DG1545" t="s">
        <v>267</v>
      </c>
      <c r="DI1545">
        <v>96</v>
      </c>
      <c r="DN1545" t="s">
        <v>268</v>
      </c>
      <c r="DP1545" t="s">
        <v>3209</v>
      </c>
      <c r="DR1545">
        <v>6763</v>
      </c>
      <c r="DS1545">
        <v>76</v>
      </c>
      <c r="DT1545" t="s">
        <v>3210</v>
      </c>
      <c r="EW1545" t="s">
        <v>293</v>
      </c>
      <c r="FM1545">
        <v>25</v>
      </c>
      <c r="FR1545" t="s">
        <v>295</v>
      </c>
      <c r="GU1545">
        <v>30</v>
      </c>
      <c r="GZ1545" t="s">
        <v>296</v>
      </c>
      <c r="HH1545" t="s">
        <v>272</v>
      </c>
      <c r="IE1545" t="s">
        <v>3211</v>
      </c>
      <c r="IF1545">
        <v>7013</v>
      </c>
      <c r="IG1545" t="s">
        <v>3212</v>
      </c>
      <c r="IH1545" t="s">
        <v>3213</v>
      </c>
      <c r="II1545">
        <v>1984</v>
      </c>
      <c r="IJ1545" t="s">
        <v>3214</v>
      </c>
    </row>
    <row r="1546" spans="1:244" x14ac:dyDescent="0.45">
      <c r="A1546">
        <v>1140046</v>
      </c>
      <c r="B1546">
        <v>94092</v>
      </c>
      <c r="C1546">
        <v>7775113</v>
      </c>
      <c r="D1546" t="s">
        <v>3207</v>
      </c>
      <c r="F1546" t="s">
        <v>245</v>
      </c>
      <c r="G1546" t="s">
        <v>246</v>
      </c>
      <c r="N1546" t="s">
        <v>723</v>
      </c>
      <c r="O1546" t="s">
        <v>631</v>
      </c>
      <c r="P1546" t="s">
        <v>249</v>
      </c>
      <c r="Q1546" t="s">
        <v>250</v>
      </c>
      <c r="R1546" t="s">
        <v>251</v>
      </c>
      <c r="T1546" t="s">
        <v>389</v>
      </c>
      <c r="U1546" t="s">
        <v>632</v>
      </c>
      <c r="V1546" t="s">
        <v>633</v>
      </c>
      <c r="W1546" t="s">
        <v>634</v>
      </c>
      <c r="X1546" t="s">
        <v>724</v>
      </c>
      <c r="Z1546" t="s">
        <v>315</v>
      </c>
      <c r="AL1546" t="s">
        <v>2122</v>
      </c>
      <c r="AM1546" t="s">
        <v>258</v>
      </c>
      <c r="AN1546" t="s">
        <v>259</v>
      </c>
      <c r="AO1546" t="s">
        <v>260</v>
      </c>
      <c r="AQ1546" t="s">
        <v>261</v>
      </c>
      <c r="AS1546">
        <v>8830</v>
      </c>
      <c r="AX1546" t="s">
        <v>262</v>
      </c>
      <c r="BO1546" t="s">
        <v>261</v>
      </c>
      <c r="BQ1546">
        <v>8.83</v>
      </c>
      <c r="BV1546" t="s">
        <v>263</v>
      </c>
      <c r="CM1546" t="s">
        <v>264</v>
      </c>
      <c r="CN1546" t="s">
        <v>264</v>
      </c>
      <c r="CP1546" t="s">
        <v>265</v>
      </c>
      <c r="CQ1546" t="s">
        <v>538</v>
      </c>
      <c r="DB1546">
        <v>2</v>
      </c>
      <c r="DG1546" t="s">
        <v>267</v>
      </c>
      <c r="DI1546">
        <v>48</v>
      </c>
      <c r="DN1546" t="s">
        <v>268</v>
      </c>
      <c r="DR1546">
        <v>136140</v>
      </c>
      <c r="DS1546">
        <v>1784</v>
      </c>
      <c r="DT1546" t="s">
        <v>3267</v>
      </c>
      <c r="EW1546" t="s">
        <v>271</v>
      </c>
      <c r="FK1546" t="s">
        <v>3277</v>
      </c>
      <c r="FM1546">
        <v>22</v>
      </c>
      <c r="FR1546" t="s">
        <v>295</v>
      </c>
      <c r="HH1546" t="s">
        <v>272</v>
      </c>
      <c r="ID1546" t="s">
        <v>3278</v>
      </c>
      <c r="IE1546" t="s">
        <v>2685</v>
      </c>
      <c r="IF1546">
        <v>11673</v>
      </c>
      <c r="IG1546" t="s">
        <v>3270</v>
      </c>
      <c r="IH1546" t="s">
        <v>3271</v>
      </c>
      <c r="II1546">
        <v>1982</v>
      </c>
      <c r="IJ1546" t="s">
        <v>3272</v>
      </c>
    </row>
    <row r="1547" spans="1:244" x14ac:dyDescent="0.45">
      <c r="A1547">
        <v>1140044</v>
      </c>
      <c r="B1547">
        <v>94090</v>
      </c>
      <c r="C1547">
        <v>7775113</v>
      </c>
      <c r="D1547" t="s">
        <v>3207</v>
      </c>
      <c r="F1547" t="s">
        <v>245</v>
      </c>
      <c r="G1547" t="s">
        <v>246</v>
      </c>
      <c r="N1547" t="s">
        <v>723</v>
      </c>
      <c r="O1547" t="s">
        <v>631</v>
      </c>
      <c r="P1547" t="s">
        <v>249</v>
      </c>
      <c r="Q1547" t="s">
        <v>250</v>
      </c>
      <c r="R1547" t="s">
        <v>251</v>
      </c>
      <c r="T1547" t="s">
        <v>389</v>
      </c>
      <c r="U1547" t="s">
        <v>632</v>
      </c>
      <c r="V1547" t="s">
        <v>633</v>
      </c>
      <c r="W1547" t="s">
        <v>634</v>
      </c>
      <c r="X1547" t="s">
        <v>724</v>
      </c>
      <c r="Z1547" t="s">
        <v>315</v>
      </c>
      <c r="AL1547" t="s">
        <v>2122</v>
      </c>
      <c r="AM1547" t="s">
        <v>258</v>
      </c>
      <c r="AN1547" t="s">
        <v>259</v>
      </c>
      <c r="AO1547" t="s">
        <v>260</v>
      </c>
      <c r="AQ1547" t="s">
        <v>261</v>
      </c>
      <c r="AS1547">
        <v>16990</v>
      </c>
      <c r="AX1547" t="s">
        <v>262</v>
      </c>
      <c r="BO1547" t="s">
        <v>261</v>
      </c>
      <c r="BQ1547">
        <v>16.989999999999998</v>
      </c>
      <c r="BV1547" t="s">
        <v>263</v>
      </c>
      <c r="CM1547" t="s">
        <v>264</v>
      </c>
      <c r="CN1547" t="s">
        <v>264</v>
      </c>
      <c r="CP1547" t="s">
        <v>265</v>
      </c>
      <c r="CQ1547" t="s">
        <v>538</v>
      </c>
      <c r="DB1547">
        <v>2</v>
      </c>
      <c r="DG1547" t="s">
        <v>267</v>
      </c>
      <c r="DI1547">
        <v>48</v>
      </c>
      <c r="DN1547" t="s">
        <v>268</v>
      </c>
      <c r="DR1547">
        <v>136140</v>
      </c>
      <c r="DS1547">
        <v>1784</v>
      </c>
      <c r="DT1547" t="s">
        <v>3267</v>
      </c>
      <c r="EW1547" t="s">
        <v>271</v>
      </c>
      <c r="FK1547" t="s">
        <v>3277</v>
      </c>
      <c r="FM1547">
        <v>14</v>
      </c>
      <c r="FR1547" t="s">
        <v>295</v>
      </c>
      <c r="HH1547" t="s">
        <v>272</v>
      </c>
      <c r="ID1547" t="s">
        <v>3278</v>
      </c>
      <c r="IE1547" t="s">
        <v>2685</v>
      </c>
      <c r="IF1547">
        <v>11673</v>
      </c>
      <c r="IG1547" t="s">
        <v>3270</v>
      </c>
      <c r="IH1547" t="s">
        <v>3271</v>
      </c>
      <c r="II1547">
        <v>1982</v>
      </c>
      <c r="IJ1547" t="s">
        <v>3272</v>
      </c>
    </row>
    <row r="1548" spans="1:244" x14ac:dyDescent="0.45">
      <c r="A1548">
        <v>2205566</v>
      </c>
      <c r="B1548">
        <v>2413056</v>
      </c>
      <c r="C1548">
        <v>7778509</v>
      </c>
      <c r="D1548" t="s">
        <v>3280</v>
      </c>
      <c r="F1548" t="s">
        <v>245</v>
      </c>
      <c r="G1548" t="s">
        <v>272</v>
      </c>
      <c r="N1548" t="s">
        <v>345</v>
      </c>
      <c r="O1548" t="s">
        <v>346</v>
      </c>
      <c r="P1548" t="s">
        <v>249</v>
      </c>
      <c r="Q1548" t="s">
        <v>250</v>
      </c>
      <c r="R1548" t="s">
        <v>251</v>
      </c>
      <c r="T1548" t="s">
        <v>347</v>
      </c>
      <c r="U1548" t="s">
        <v>348</v>
      </c>
      <c r="V1548" t="s">
        <v>349</v>
      </c>
      <c r="W1548" t="s">
        <v>350</v>
      </c>
      <c r="X1548" t="s">
        <v>351</v>
      </c>
      <c r="Z1548" t="s">
        <v>525</v>
      </c>
      <c r="AD1548">
        <v>2</v>
      </c>
      <c r="AF1548">
        <v>3</v>
      </c>
      <c r="AG1548" t="s">
        <v>1409</v>
      </c>
      <c r="AM1548" t="s">
        <v>317</v>
      </c>
      <c r="AN1548" t="s">
        <v>259</v>
      </c>
      <c r="AO1548" t="s">
        <v>260</v>
      </c>
      <c r="AQ1548" t="s">
        <v>261</v>
      </c>
      <c r="AR1548" t="s">
        <v>288</v>
      </c>
      <c r="AS1548">
        <v>100</v>
      </c>
      <c r="AX1548" t="s">
        <v>356</v>
      </c>
      <c r="BO1548" t="s">
        <v>261</v>
      </c>
      <c r="BP1548" t="s">
        <v>288</v>
      </c>
      <c r="BQ1548">
        <v>100</v>
      </c>
      <c r="BV1548" t="s">
        <v>263</v>
      </c>
      <c r="CM1548" t="s">
        <v>264</v>
      </c>
      <c r="CN1548" t="s">
        <v>264</v>
      </c>
      <c r="CP1548" t="s">
        <v>265</v>
      </c>
      <c r="CQ1548" t="s">
        <v>538</v>
      </c>
      <c r="DB1548">
        <v>1</v>
      </c>
      <c r="DG1548" t="s">
        <v>267</v>
      </c>
      <c r="DI1548">
        <v>24</v>
      </c>
      <c r="DN1548" t="s">
        <v>268</v>
      </c>
      <c r="DP1548" t="s">
        <v>3281</v>
      </c>
      <c r="DR1548">
        <v>6660</v>
      </c>
      <c r="DS1548">
        <v>421</v>
      </c>
      <c r="DV1548">
        <v>24</v>
      </c>
      <c r="EA1548" t="s">
        <v>268</v>
      </c>
      <c r="EC1548">
        <v>1</v>
      </c>
      <c r="EH1548" t="s">
        <v>267</v>
      </c>
      <c r="EJ1548">
        <v>24</v>
      </c>
      <c r="EO1548" t="s">
        <v>268</v>
      </c>
      <c r="EQ1548">
        <v>1</v>
      </c>
      <c r="EV1548" t="s">
        <v>267</v>
      </c>
      <c r="EW1548" t="s">
        <v>293</v>
      </c>
      <c r="FA1548" t="s">
        <v>3282</v>
      </c>
      <c r="GU1548">
        <v>30</v>
      </c>
      <c r="GZ1548" t="s">
        <v>296</v>
      </c>
      <c r="HH1548" t="s">
        <v>272</v>
      </c>
      <c r="ID1548" t="s">
        <v>3283</v>
      </c>
      <c r="IE1548" t="s">
        <v>3284</v>
      </c>
      <c r="IF1548">
        <v>7069</v>
      </c>
      <c r="IG1548" t="s">
        <v>3285</v>
      </c>
      <c r="IH1548" t="s">
        <v>3286</v>
      </c>
      <c r="II1548">
        <v>1989</v>
      </c>
      <c r="IJ1548" t="s">
        <v>3287</v>
      </c>
    </row>
    <row r="1549" spans="1:244" x14ac:dyDescent="0.45">
      <c r="A1549">
        <v>1078343</v>
      </c>
      <c r="B1549">
        <v>86082</v>
      </c>
      <c r="C1549">
        <v>7778509</v>
      </c>
      <c r="D1549" t="s">
        <v>3280</v>
      </c>
      <c r="F1549" t="s">
        <v>245</v>
      </c>
      <c r="G1549" t="s">
        <v>246</v>
      </c>
      <c r="N1549" t="s">
        <v>3239</v>
      </c>
      <c r="O1549" t="s">
        <v>1299</v>
      </c>
      <c r="P1549" t="s">
        <v>249</v>
      </c>
      <c r="Q1549" t="s">
        <v>250</v>
      </c>
      <c r="R1549" t="s">
        <v>251</v>
      </c>
      <c r="T1549" t="s">
        <v>252</v>
      </c>
      <c r="U1549" t="s">
        <v>371</v>
      </c>
      <c r="V1549" t="s">
        <v>372</v>
      </c>
      <c r="W1549" t="s">
        <v>3240</v>
      </c>
      <c r="X1549" t="s">
        <v>3241</v>
      </c>
      <c r="AM1549" t="s">
        <v>258</v>
      </c>
      <c r="AN1549" t="s">
        <v>259</v>
      </c>
      <c r="AO1549" t="s">
        <v>260</v>
      </c>
      <c r="AQ1549" t="s">
        <v>261</v>
      </c>
      <c r="AS1549">
        <v>13000</v>
      </c>
      <c r="AX1549" t="s">
        <v>262</v>
      </c>
      <c r="BO1549" t="s">
        <v>261</v>
      </c>
      <c r="BQ1549">
        <v>13</v>
      </c>
      <c r="BV1549" t="s">
        <v>263</v>
      </c>
      <c r="CM1549" t="s">
        <v>264</v>
      </c>
      <c r="CN1549" t="s">
        <v>264</v>
      </c>
      <c r="CP1549" t="s">
        <v>265</v>
      </c>
      <c r="CQ1549" t="s">
        <v>538</v>
      </c>
      <c r="DB1549">
        <v>4</v>
      </c>
      <c r="DG1549" t="s">
        <v>267</v>
      </c>
      <c r="DI1549">
        <v>96</v>
      </c>
      <c r="DN1549" t="s">
        <v>268</v>
      </c>
      <c r="DP1549" t="s">
        <v>2185</v>
      </c>
      <c r="DR1549">
        <v>236572</v>
      </c>
      <c r="DS1549">
        <v>1940</v>
      </c>
      <c r="DT1549" t="s">
        <v>3288</v>
      </c>
      <c r="EW1549" t="s">
        <v>271</v>
      </c>
      <c r="FM1549">
        <v>15</v>
      </c>
      <c r="FR1549" t="s">
        <v>295</v>
      </c>
      <c r="GU1549">
        <v>22.5</v>
      </c>
      <c r="GZ1549" t="s">
        <v>296</v>
      </c>
      <c r="HH1549" t="s">
        <v>272</v>
      </c>
      <c r="IE1549" t="s">
        <v>3289</v>
      </c>
      <c r="IF1549">
        <v>6039</v>
      </c>
      <c r="IG1549" t="s">
        <v>3290</v>
      </c>
      <c r="IH1549" t="s">
        <v>3291</v>
      </c>
      <c r="II1549">
        <v>1987</v>
      </c>
      <c r="IJ1549" t="s">
        <v>3292</v>
      </c>
    </row>
    <row r="1550" spans="1:244" x14ac:dyDescent="0.45">
      <c r="A1550">
        <v>1078338</v>
      </c>
      <c r="B1550">
        <v>86069</v>
      </c>
      <c r="C1550">
        <v>7778509</v>
      </c>
      <c r="D1550" t="s">
        <v>3280</v>
      </c>
      <c r="F1550" t="s">
        <v>245</v>
      </c>
      <c r="G1550" t="s">
        <v>246</v>
      </c>
      <c r="N1550" t="s">
        <v>3239</v>
      </c>
      <c r="O1550" t="s">
        <v>1299</v>
      </c>
      <c r="P1550" t="s">
        <v>249</v>
      </c>
      <c r="Q1550" t="s">
        <v>250</v>
      </c>
      <c r="R1550" t="s">
        <v>251</v>
      </c>
      <c r="T1550" t="s">
        <v>252</v>
      </c>
      <c r="U1550" t="s">
        <v>371</v>
      </c>
      <c r="V1550" t="s">
        <v>372</v>
      </c>
      <c r="W1550" t="s">
        <v>3240</v>
      </c>
      <c r="X1550" t="s">
        <v>3241</v>
      </c>
      <c r="AM1550" t="s">
        <v>258</v>
      </c>
      <c r="AN1550" t="s">
        <v>259</v>
      </c>
      <c r="AO1550" t="s">
        <v>260</v>
      </c>
      <c r="AQ1550" t="s">
        <v>261</v>
      </c>
      <c r="AS1550">
        <v>20000</v>
      </c>
      <c r="AX1550" t="s">
        <v>262</v>
      </c>
      <c r="BO1550" t="s">
        <v>261</v>
      </c>
      <c r="BQ1550">
        <v>20</v>
      </c>
      <c r="BV1550" t="s">
        <v>263</v>
      </c>
      <c r="CM1550" t="s">
        <v>264</v>
      </c>
      <c r="CN1550" t="s">
        <v>264</v>
      </c>
      <c r="CP1550" t="s">
        <v>265</v>
      </c>
      <c r="CQ1550" t="s">
        <v>538</v>
      </c>
      <c r="DB1550">
        <v>2</v>
      </c>
      <c r="DG1550" t="s">
        <v>267</v>
      </c>
      <c r="DI1550">
        <v>48</v>
      </c>
      <c r="DN1550" t="s">
        <v>268</v>
      </c>
      <c r="DP1550" t="s">
        <v>2185</v>
      </c>
      <c r="DR1550">
        <v>236572</v>
      </c>
      <c r="DS1550">
        <v>1940</v>
      </c>
      <c r="DT1550" t="s">
        <v>3288</v>
      </c>
      <c r="EW1550" t="s">
        <v>271</v>
      </c>
      <c r="FK1550" t="s">
        <v>3293</v>
      </c>
      <c r="FM1550">
        <v>15</v>
      </c>
      <c r="FR1550" t="s">
        <v>295</v>
      </c>
      <c r="GU1550">
        <v>27</v>
      </c>
      <c r="GZ1550" t="s">
        <v>296</v>
      </c>
      <c r="HH1550" t="s">
        <v>272</v>
      </c>
      <c r="ID1550" t="s">
        <v>3294</v>
      </c>
      <c r="IE1550" t="s">
        <v>3289</v>
      </c>
      <c r="IF1550">
        <v>6039</v>
      </c>
      <c r="IG1550" t="s">
        <v>3290</v>
      </c>
      <c r="IH1550" t="s">
        <v>3291</v>
      </c>
      <c r="II1550">
        <v>1987</v>
      </c>
      <c r="IJ1550" t="s">
        <v>3292</v>
      </c>
    </row>
    <row r="1551" spans="1:244" x14ac:dyDescent="0.45">
      <c r="A1551">
        <v>1186880</v>
      </c>
      <c r="B1551">
        <v>138621</v>
      </c>
      <c r="C1551">
        <v>7778509</v>
      </c>
      <c r="D1551" t="s">
        <v>3280</v>
      </c>
      <c r="F1551" t="s">
        <v>245</v>
      </c>
      <c r="G1551" t="s">
        <v>246</v>
      </c>
      <c r="N1551" t="s">
        <v>789</v>
      </c>
      <c r="O1551" t="s">
        <v>790</v>
      </c>
      <c r="P1551" t="s">
        <v>249</v>
      </c>
      <c r="Q1551" t="s">
        <v>250</v>
      </c>
      <c r="R1551" t="s">
        <v>251</v>
      </c>
      <c r="T1551" t="s">
        <v>252</v>
      </c>
      <c r="U1551" t="s">
        <v>253</v>
      </c>
      <c r="V1551" t="s">
        <v>418</v>
      </c>
      <c r="W1551" t="s">
        <v>791</v>
      </c>
      <c r="X1551" t="s">
        <v>792</v>
      </c>
      <c r="Z1551" t="s">
        <v>284</v>
      </c>
      <c r="AL1551" t="s">
        <v>1742</v>
      </c>
      <c r="AM1551" t="s">
        <v>258</v>
      </c>
      <c r="AN1551" t="s">
        <v>259</v>
      </c>
      <c r="AO1551" t="s">
        <v>260</v>
      </c>
      <c r="AQ1551" t="s">
        <v>261</v>
      </c>
      <c r="AS1551">
        <v>1405</v>
      </c>
      <c r="AX1551" t="s">
        <v>262</v>
      </c>
      <c r="BO1551" t="s">
        <v>261</v>
      </c>
      <c r="BQ1551">
        <v>1.405</v>
      </c>
      <c r="BV1551" t="s">
        <v>263</v>
      </c>
      <c r="CM1551" t="s">
        <v>264</v>
      </c>
      <c r="CN1551" t="s">
        <v>264</v>
      </c>
      <c r="CP1551" t="s">
        <v>265</v>
      </c>
      <c r="DB1551">
        <v>2</v>
      </c>
      <c r="DG1551" t="s">
        <v>267</v>
      </c>
      <c r="DI1551">
        <v>48</v>
      </c>
      <c r="DN1551" t="s">
        <v>268</v>
      </c>
      <c r="DR1551">
        <v>161924</v>
      </c>
      <c r="DS1551">
        <v>3045</v>
      </c>
      <c r="EW1551" t="s">
        <v>272</v>
      </c>
      <c r="FM1551">
        <v>28</v>
      </c>
      <c r="FR1551" t="s">
        <v>295</v>
      </c>
      <c r="GO1551">
        <v>8.1999999999999993</v>
      </c>
      <c r="GU1551">
        <v>32</v>
      </c>
      <c r="GZ1551" t="s">
        <v>296</v>
      </c>
      <c r="HH1551" t="s">
        <v>272</v>
      </c>
      <c r="IE1551" t="s">
        <v>1652</v>
      </c>
      <c r="IF1551">
        <v>16613</v>
      </c>
      <c r="IG1551" t="s">
        <v>1653</v>
      </c>
      <c r="IH1551" t="s">
        <v>1654</v>
      </c>
      <c r="II1551">
        <v>1994</v>
      </c>
      <c r="IJ1551" t="s">
        <v>1655</v>
      </c>
    </row>
    <row r="1552" spans="1:244" x14ac:dyDescent="0.45">
      <c r="A1552">
        <v>1078341</v>
      </c>
      <c r="B1552">
        <v>86075</v>
      </c>
      <c r="C1552">
        <v>7778509</v>
      </c>
      <c r="D1552" t="s">
        <v>3280</v>
      </c>
      <c r="F1552" t="s">
        <v>245</v>
      </c>
      <c r="G1552" t="s">
        <v>246</v>
      </c>
      <c r="N1552" t="s">
        <v>3239</v>
      </c>
      <c r="O1552" t="s">
        <v>1299</v>
      </c>
      <c r="P1552" t="s">
        <v>249</v>
      </c>
      <c r="Q1552" t="s">
        <v>250</v>
      </c>
      <c r="R1552" t="s">
        <v>251</v>
      </c>
      <c r="T1552" t="s">
        <v>252</v>
      </c>
      <c r="U1552" t="s">
        <v>371</v>
      </c>
      <c r="V1552" t="s">
        <v>372</v>
      </c>
      <c r="W1552" t="s">
        <v>3240</v>
      </c>
      <c r="X1552" t="s">
        <v>3241</v>
      </c>
      <c r="AM1552" t="s">
        <v>258</v>
      </c>
      <c r="AN1552" t="s">
        <v>259</v>
      </c>
      <c r="AO1552" t="s">
        <v>260</v>
      </c>
      <c r="AQ1552" t="s">
        <v>261</v>
      </c>
      <c r="AS1552">
        <v>30000</v>
      </c>
      <c r="AX1552" t="s">
        <v>262</v>
      </c>
      <c r="BO1552" t="s">
        <v>261</v>
      </c>
      <c r="BQ1552">
        <v>30</v>
      </c>
      <c r="BV1552" t="s">
        <v>263</v>
      </c>
      <c r="CM1552" t="s">
        <v>264</v>
      </c>
      <c r="CN1552" t="s">
        <v>264</v>
      </c>
      <c r="CP1552" t="s">
        <v>265</v>
      </c>
      <c r="CQ1552" t="s">
        <v>538</v>
      </c>
      <c r="DB1552">
        <v>2</v>
      </c>
      <c r="DG1552" t="s">
        <v>267</v>
      </c>
      <c r="DI1552">
        <v>48</v>
      </c>
      <c r="DN1552" t="s">
        <v>268</v>
      </c>
      <c r="DP1552" t="s">
        <v>2185</v>
      </c>
      <c r="DR1552">
        <v>236572</v>
      </c>
      <c r="DS1552">
        <v>1940</v>
      </c>
      <c r="DT1552" t="s">
        <v>3288</v>
      </c>
      <c r="EW1552" t="s">
        <v>271</v>
      </c>
      <c r="FM1552">
        <v>5</v>
      </c>
      <c r="FR1552" t="s">
        <v>295</v>
      </c>
      <c r="GU1552">
        <v>27</v>
      </c>
      <c r="GZ1552" t="s">
        <v>296</v>
      </c>
      <c r="HH1552" t="s">
        <v>272</v>
      </c>
      <c r="IE1552" t="s">
        <v>3289</v>
      </c>
      <c r="IF1552">
        <v>6039</v>
      </c>
      <c r="IG1552" t="s">
        <v>3290</v>
      </c>
      <c r="IH1552" t="s">
        <v>3291</v>
      </c>
      <c r="II1552">
        <v>1987</v>
      </c>
      <c r="IJ1552" t="s">
        <v>3292</v>
      </c>
    </row>
    <row r="1553" spans="1:244" x14ac:dyDescent="0.45">
      <c r="A1553">
        <v>1182171</v>
      </c>
      <c r="B1553">
        <v>160077</v>
      </c>
      <c r="C1553">
        <v>7778509</v>
      </c>
      <c r="D1553" t="s">
        <v>3280</v>
      </c>
      <c r="F1553" t="s">
        <v>245</v>
      </c>
      <c r="G1553" t="s">
        <v>246</v>
      </c>
      <c r="I1553">
        <v>99</v>
      </c>
      <c r="N1553" t="s">
        <v>345</v>
      </c>
      <c r="O1553" t="s">
        <v>346</v>
      </c>
      <c r="P1553" t="s">
        <v>249</v>
      </c>
      <c r="Q1553" t="s">
        <v>250</v>
      </c>
      <c r="R1553" t="s">
        <v>251</v>
      </c>
      <c r="T1553" t="s">
        <v>347</v>
      </c>
      <c r="U1553" t="s">
        <v>348</v>
      </c>
      <c r="V1553" t="s">
        <v>349</v>
      </c>
      <c r="W1553" t="s">
        <v>350</v>
      </c>
      <c r="X1553" t="s">
        <v>351</v>
      </c>
      <c r="Z1553" t="s">
        <v>1034</v>
      </c>
      <c r="AL1553" t="s">
        <v>2663</v>
      </c>
      <c r="AM1553" t="s">
        <v>317</v>
      </c>
      <c r="AN1553" t="s">
        <v>259</v>
      </c>
      <c r="AO1553" t="s">
        <v>260</v>
      </c>
      <c r="AQ1553" t="s">
        <v>261</v>
      </c>
      <c r="AS1553">
        <v>38600</v>
      </c>
      <c r="AX1553" t="s">
        <v>262</v>
      </c>
      <c r="BO1553" t="s">
        <v>261</v>
      </c>
      <c r="BQ1553">
        <v>38.6</v>
      </c>
      <c r="BV1553" t="s">
        <v>263</v>
      </c>
      <c r="CM1553" t="s">
        <v>264</v>
      </c>
      <c r="CN1553" t="s">
        <v>264</v>
      </c>
      <c r="CP1553" t="s">
        <v>265</v>
      </c>
      <c r="DB1553">
        <v>1</v>
      </c>
      <c r="DG1553" t="s">
        <v>267</v>
      </c>
      <c r="DI1553">
        <v>24</v>
      </c>
      <c r="DN1553" t="s">
        <v>268</v>
      </c>
      <c r="DO1553" t="s">
        <v>1587</v>
      </c>
      <c r="DP1553" t="s">
        <v>3281</v>
      </c>
      <c r="DR1553">
        <v>6660</v>
      </c>
      <c r="DS1553">
        <v>421</v>
      </c>
      <c r="DT1553" t="s">
        <v>2665</v>
      </c>
      <c r="EW1553" t="s">
        <v>293</v>
      </c>
      <c r="FA1553" t="s">
        <v>2789</v>
      </c>
      <c r="FM1553">
        <v>25</v>
      </c>
      <c r="FR1553" t="s">
        <v>295</v>
      </c>
      <c r="GU1553">
        <v>25</v>
      </c>
      <c r="GZ1553" t="s">
        <v>296</v>
      </c>
      <c r="HH1553" t="s">
        <v>272</v>
      </c>
      <c r="IE1553" t="s">
        <v>2667</v>
      </c>
      <c r="IF1553">
        <v>16031</v>
      </c>
      <c r="IG1553" t="s">
        <v>2668</v>
      </c>
      <c r="IH1553" t="s">
        <v>2669</v>
      </c>
      <c r="II1553">
        <v>1995</v>
      </c>
      <c r="IJ1553" t="s">
        <v>2670</v>
      </c>
    </row>
    <row r="1554" spans="1:244" x14ac:dyDescent="0.45">
      <c r="A1554">
        <v>2205568</v>
      </c>
      <c r="B1554">
        <v>2413060</v>
      </c>
      <c r="C1554">
        <v>7778509</v>
      </c>
      <c r="D1554" t="s">
        <v>3280</v>
      </c>
      <c r="F1554" t="s">
        <v>245</v>
      </c>
      <c r="G1554" t="s">
        <v>272</v>
      </c>
      <c r="N1554" t="s">
        <v>345</v>
      </c>
      <c r="O1554" t="s">
        <v>346</v>
      </c>
      <c r="P1554" t="s">
        <v>249</v>
      </c>
      <c r="Q1554" t="s">
        <v>250</v>
      </c>
      <c r="R1554" t="s">
        <v>251</v>
      </c>
      <c r="T1554" t="s">
        <v>347</v>
      </c>
      <c r="U1554" t="s">
        <v>348</v>
      </c>
      <c r="V1554" t="s">
        <v>349</v>
      </c>
      <c r="W1554" t="s">
        <v>350</v>
      </c>
      <c r="X1554" t="s">
        <v>351</v>
      </c>
      <c r="Z1554" t="s">
        <v>525</v>
      </c>
      <c r="AD1554">
        <v>2</v>
      </c>
      <c r="AF1554">
        <v>3</v>
      </c>
      <c r="AG1554" t="s">
        <v>1409</v>
      </c>
      <c r="AM1554" t="s">
        <v>317</v>
      </c>
      <c r="AN1554" t="s">
        <v>259</v>
      </c>
      <c r="AO1554" t="s">
        <v>260</v>
      </c>
      <c r="AQ1554" t="s">
        <v>261</v>
      </c>
      <c r="AS1554">
        <v>134</v>
      </c>
      <c r="AU1554">
        <v>100</v>
      </c>
      <c r="AW1554">
        <v>180</v>
      </c>
      <c r="AX1554" t="s">
        <v>356</v>
      </c>
      <c r="BO1554" t="s">
        <v>261</v>
      </c>
      <c r="BQ1554">
        <v>134</v>
      </c>
      <c r="BS1554">
        <v>100</v>
      </c>
      <c r="BU1554">
        <v>180</v>
      </c>
      <c r="BV1554" t="s">
        <v>263</v>
      </c>
      <c r="CM1554" t="s">
        <v>264</v>
      </c>
      <c r="CN1554" t="s">
        <v>264</v>
      </c>
      <c r="CP1554" t="s">
        <v>265</v>
      </c>
      <c r="DB1554">
        <v>1</v>
      </c>
      <c r="DG1554" t="s">
        <v>267</v>
      </c>
      <c r="DI1554">
        <v>24</v>
      </c>
      <c r="DN1554" t="s">
        <v>268</v>
      </c>
      <c r="DP1554" t="s">
        <v>3281</v>
      </c>
      <c r="DR1554">
        <v>6660</v>
      </c>
      <c r="DS1554">
        <v>421</v>
      </c>
      <c r="DV1554">
        <v>24</v>
      </c>
      <c r="EA1554" t="s">
        <v>268</v>
      </c>
      <c r="EC1554">
        <v>1</v>
      </c>
      <c r="EH1554" t="s">
        <v>267</v>
      </c>
      <c r="EJ1554">
        <v>24</v>
      </c>
      <c r="EO1554" t="s">
        <v>268</v>
      </c>
      <c r="EQ1554">
        <v>1</v>
      </c>
      <c r="EV1554" t="s">
        <v>267</v>
      </c>
      <c r="EW1554" t="s">
        <v>293</v>
      </c>
      <c r="FA1554" t="s">
        <v>3295</v>
      </c>
      <c r="GU1554">
        <v>30</v>
      </c>
      <c r="GZ1554" t="s">
        <v>296</v>
      </c>
      <c r="HH1554" t="s">
        <v>272</v>
      </c>
      <c r="ID1554" t="s">
        <v>3283</v>
      </c>
      <c r="IE1554" t="s">
        <v>3284</v>
      </c>
      <c r="IF1554">
        <v>7069</v>
      </c>
      <c r="IG1554" t="s">
        <v>3285</v>
      </c>
      <c r="IH1554" t="s">
        <v>3286</v>
      </c>
      <c r="II1554">
        <v>1989</v>
      </c>
      <c r="IJ1554" t="s">
        <v>3287</v>
      </c>
    </row>
    <row r="1555" spans="1:244" x14ac:dyDescent="0.45">
      <c r="A1555">
        <v>1057446</v>
      </c>
      <c r="B1555">
        <v>131432</v>
      </c>
      <c r="C1555">
        <v>7778509</v>
      </c>
      <c r="D1555" t="s">
        <v>3280</v>
      </c>
      <c r="E1555" t="s">
        <v>386</v>
      </c>
      <c r="F1555" t="s">
        <v>245</v>
      </c>
      <c r="G1555" t="s">
        <v>246</v>
      </c>
      <c r="N1555" t="s">
        <v>845</v>
      </c>
      <c r="O1555" t="s">
        <v>846</v>
      </c>
      <c r="P1555" t="s">
        <v>249</v>
      </c>
      <c r="Q1555" t="s">
        <v>250</v>
      </c>
      <c r="R1555" t="s">
        <v>251</v>
      </c>
      <c r="T1555" t="s">
        <v>252</v>
      </c>
      <c r="U1555" t="s">
        <v>253</v>
      </c>
      <c r="V1555" t="s">
        <v>418</v>
      </c>
      <c r="W1555" t="s">
        <v>847</v>
      </c>
      <c r="X1555" t="s">
        <v>848</v>
      </c>
      <c r="Z1555" t="s">
        <v>857</v>
      </c>
      <c r="AB1555">
        <v>3</v>
      </c>
      <c r="AG1555" t="s">
        <v>598</v>
      </c>
      <c r="AM1555" t="s">
        <v>258</v>
      </c>
      <c r="AN1555" t="s">
        <v>259</v>
      </c>
      <c r="AO1555" t="s">
        <v>260</v>
      </c>
      <c r="AQ1555" t="s">
        <v>261</v>
      </c>
      <c r="AS1555">
        <v>5410</v>
      </c>
      <c r="AX1555" t="s">
        <v>262</v>
      </c>
      <c r="BO1555" t="s">
        <v>261</v>
      </c>
      <c r="BQ1555">
        <v>5.41</v>
      </c>
      <c r="BV1555" t="s">
        <v>263</v>
      </c>
      <c r="CM1555" t="s">
        <v>264</v>
      </c>
      <c r="CN1555" t="s">
        <v>264</v>
      </c>
      <c r="CP1555" t="s">
        <v>265</v>
      </c>
      <c r="CQ1555" t="s">
        <v>538</v>
      </c>
      <c r="DB1555">
        <v>2</v>
      </c>
      <c r="DG1555" t="s">
        <v>267</v>
      </c>
      <c r="DI1555">
        <v>48</v>
      </c>
      <c r="DN1555" t="s">
        <v>268</v>
      </c>
      <c r="DR1555">
        <v>32278</v>
      </c>
      <c r="DS1555">
        <v>4580</v>
      </c>
      <c r="DT1555" t="s">
        <v>850</v>
      </c>
      <c r="EW1555" t="s">
        <v>271</v>
      </c>
      <c r="FM1555">
        <v>28</v>
      </c>
      <c r="FR1555" t="s">
        <v>295</v>
      </c>
      <c r="GO1555">
        <v>8.6999999999999993</v>
      </c>
      <c r="GW1555">
        <v>30</v>
      </c>
      <c r="GY1555">
        <v>34</v>
      </c>
      <c r="GZ1555" t="s">
        <v>296</v>
      </c>
      <c r="HH1555" t="s">
        <v>272</v>
      </c>
      <c r="IE1555" t="s">
        <v>853</v>
      </c>
      <c r="IF1555">
        <v>4127</v>
      </c>
      <c r="IG1555" t="s">
        <v>854</v>
      </c>
      <c r="IH1555" t="s">
        <v>855</v>
      </c>
      <c r="II1555">
        <v>1993</v>
      </c>
      <c r="IJ1555" t="s">
        <v>856</v>
      </c>
    </row>
    <row r="1556" spans="1:244" x14ac:dyDescent="0.45">
      <c r="A1556">
        <v>1182176</v>
      </c>
      <c r="B1556">
        <v>160082</v>
      </c>
      <c r="C1556">
        <v>7778509</v>
      </c>
      <c r="D1556" t="s">
        <v>3280</v>
      </c>
      <c r="F1556" t="s">
        <v>245</v>
      </c>
      <c r="G1556" t="s">
        <v>246</v>
      </c>
      <c r="I1556">
        <v>99</v>
      </c>
      <c r="N1556" t="s">
        <v>345</v>
      </c>
      <c r="O1556" t="s">
        <v>346</v>
      </c>
      <c r="P1556" t="s">
        <v>249</v>
      </c>
      <c r="Q1556" t="s">
        <v>250</v>
      </c>
      <c r="R1556" t="s">
        <v>251</v>
      </c>
      <c r="T1556" t="s">
        <v>347</v>
      </c>
      <c r="U1556" t="s">
        <v>348</v>
      </c>
      <c r="V1556" t="s">
        <v>349</v>
      </c>
      <c r="W1556" t="s">
        <v>350</v>
      </c>
      <c r="X1556" t="s">
        <v>351</v>
      </c>
      <c r="Z1556" t="s">
        <v>1034</v>
      </c>
      <c r="AL1556" t="s">
        <v>2663</v>
      </c>
      <c r="AM1556" t="s">
        <v>317</v>
      </c>
      <c r="AN1556" t="s">
        <v>259</v>
      </c>
      <c r="AO1556" t="s">
        <v>260</v>
      </c>
      <c r="AQ1556" t="s">
        <v>261</v>
      </c>
      <c r="AS1556">
        <v>53200</v>
      </c>
      <c r="AX1556" t="s">
        <v>262</v>
      </c>
      <c r="BO1556" t="s">
        <v>261</v>
      </c>
      <c r="BQ1556">
        <v>53.2</v>
      </c>
      <c r="BV1556" t="s">
        <v>263</v>
      </c>
      <c r="CM1556" t="s">
        <v>264</v>
      </c>
      <c r="CN1556" t="s">
        <v>264</v>
      </c>
      <c r="CP1556" t="s">
        <v>265</v>
      </c>
      <c r="DB1556">
        <v>1</v>
      </c>
      <c r="DG1556" t="s">
        <v>267</v>
      </c>
      <c r="DI1556">
        <v>24</v>
      </c>
      <c r="DN1556" t="s">
        <v>268</v>
      </c>
      <c r="DO1556" t="s">
        <v>1587</v>
      </c>
      <c r="DP1556" t="s">
        <v>3281</v>
      </c>
      <c r="DR1556">
        <v>6660</v>
      </c>
      <c r="DS1556">
        <v>421</v>
      </c>
      <c r="DT1556" t="s">
        <v>2665</v>
      </c>
      <c r="EW1556" t="s">
        <v>293</v>
      </c>
      <c r="FA1556" t="s">
        <v>2666</v>
      </c>
      <c r="FM1556">
        <v>25</v>
      </c>
      <c r="FR1556" t="s">
        <v>295</v>
      </c>
      <c r="GU1556">
        <v>15</v>
      </c>
      <c r="GZ1556" t="s">
        <v>296</v>
      </c>
      <c r="HH1556" t="s">
        <v>272</v>
      </c>
      <c r="IE1556" t="s">
        <v>2667</v>
      </c>
      <c r="IF1556">
        <v>16031</v>
      </c>
      <c r="IG1556" t="s">
        <v>2668</v>
      </c>
      <c r="IH1556" t="s">
        <v>2669</v>
      </c>
      <c r="II1556">
        <v>1995</v>
      </c>
      <c r="IJ1556" t="s">
        <v>2670</v>
      </c>
    </row>
    <row r="1557" spans="1:244" x14ac:dyDescent="0.45">
      <c r="A1557">
        <v>1174930</v>
      </c>
      <c r="B1557">
        <v>58776</v>
      </c>
      <c r="C1557">
        <v>7778509</v>
      </c>
      <c r="D1557" t="s">
        <v>3280</v>
      </c>
      <c r="F1557" t="s">
        <v>245</v>
      </c>
      <c r="G1557" t="s">
        <v>246</v>
      </c>
      <c r="N1557" t="s">
        <v>345</v>
      </c>
      <c r="O1557" t="s">
        <v>346</v>
      </c>
      <c r="P1557" t="s">
        <v>249</v>
      </c>
      <c r="Q1557" t="s">
        <v>250</v>
      </c>
      <c r="R1557" t="s">
        <v>251</v>
      </c>
      <c r="T1557" t="s">
        <v>347</v>
      </c>
      <c r="U1557" t="s">
        <v>348</v>
      </c>
      <c r="V1557" t="s">
        <v>349</v>
      </c>
      <c r="W1557" t="s">
        <v>350</v>
      </c>
      <c r="X1557" t="s">
        <v>351</v>
      </c>
      <c r="Z1557" t="s">
        <v>284</v>
      </c>
      <c r="AD1557">
        <v>2</v>
      </c>
      <c r="AF1557">
        <v>3</v>
      </c>
      <c r="AG1557" t="s">
        <v>1409</v>
      </c>
      <c r="AM1557" t="s">
        <v>317</v>
      </c>
      <c r="AN1557" t="s">
        <v>259</v>
      </c>
      <c r="AO1557" t="s">
        <v>260</v>
      </c>
      <c r="AQ1557" t="s">
        <v>261</v>
      </c>
      <c r="AS1557">
        <v>40</v>
      </c>
      <c r="AU1557">
        <v>35.1</v>
      </c>
      <c r="AW1557">
        <v>45.6</v>
      </c>
      <c r="AX1557" t="s">
        <v>422</v>
      </c>
      <c r="BO1557" t="s">
        <v>261</v>
      </c>
      <c r="BQ1557">
        <v>40</v>
      </c>
      <c r="BS1557">
        <v>35.1</v>
      </c>
      <c r="BU1557">
        <v>45.6</v>
      </c>
      <c r="BV1557" t="s">
        <v>263</v>
      </c>
      <c r="CM1557" t="s">
        <v>264</v>
      </c>
      <c r="CN1557" t="s">
        <v>264</v>
      </c>
      <c r="CP1557" t="s">
        <v>265</v>
      </c>
      <c r="CQ1557" t="s">
        <v>538</v>
      </c>
      <c r="DB1557">
        <v>1</v>
      </c>
      <c r="DG1557" t="s">
        <v>267</v>
      </c>
      <c r="DI1557">
        <v>24</v>
      </c>
      <c r="DN1557" t="s">
        <v>268</v>
      </c>
      <c r="DR1557">
        <v>6660</v>
      </c>
      <c r="DS1557">
        <v>421</v>
      </c>
      <c r="EW1557" t="s">
        <v>271</v>
      </c>
      <c r="FK1557" t="s">
        <v>3296</v>
      </c>
      <c r="FM1557">
        <v>25</v>
      </c>
      <c r="FR1557" t="s">
        <v>295</v>
      </c>
      <c r="GO1557">
        <v>7.5</v>
      </c>
      <c r="GU1557">
        <v>35</v>
      </c>
      <c r="GZ1557" t="s">
        <v>296</v>
      </c>
      <c r="HH1557" t="s">
        <v>272</v>
      </c>
      <c r="ID1557" t="s">
        <v>3297</v>
      </c>
      <c r="IE1557" t="s">
        <v>3298</v>
      </c>
      <c r="IF1557">
        <v>15178</v>
      </c>
      <c r="IG1557" t="s">
        <v>3299</v>
      </c>
      <c r="IH1557" t="s">
        <v>3300</v>
      </c>
      <c r="II1557">
        <v>1980</v>
      </c>
      <c r="IJ1557" t="s">
        <v>3301</v>
      </c>
    </row>
    <row r="1558" spans="1:244" x14ac:dyDescent="0.45">
      <c r="A1558">
        <v>1123271</v>
      </c>
      <c r="B1558">
        <v>120966</v>
      </c>
      <c r="C1558">
        <v>7778509</v>
      </c>
      <c r="D1558" t="s">
        <v>3280</v>
      </c>
      <c r="F1558" t="s">
        <v>245</v>
      </c>
      <c r="G1558" t="s">
        <v>246</v>
      </c>
      <c r="N1558" t="s">
        <v>1280</v>
      </c>
      <c r="O1558" t="s">
        <v>498</v>
      </c>
      <c r="P1558" t="s">
        <v>249</v>
      </c>
      <c r="Q1558" t="s">
        <v>250</v>
      </c>
      <c r="R1558" t="s">
        <v>251</v>
      </c>
      <c r="T1558" t="s">
        <v>252</v>
      </c>
      <c r="U1558" t="s">
        <v>499</v>
      </c>
      <c r="V1558" t="s">
        <v>1281</v>
      </c>
      <c r="W1558" t="s">
        <v>1282</v>
      </c>
      <c r="X1558" t="s">
        <v>1283</v>
      </c>
      <c r="AL1558" t="s">
        <v>3302</v>
      </c>
      <c r="AM1558" t="s">
        <v>287</v>
      </c>
      <c r="AN1558" t="s">
        <v>259</v>
      </c>
      <c r="AO1558" t="s">
        <v>260</v>
      </c>
      <c r="AQ1558" t="s">
        <v>261</v>
      </c>
      <c r="AS1558">
        <v>11000</v>
      </c>
      <c r="AU1558">
        <v>9000</v>
      </c>
      <c r="AW1558">
        <v>13400</v>
      </c>
      <c r="AX1558" t="s">
        <v>262</v>
      </c>
      <c r="BO1558" t="s">
        <v>261</v>
      </c>
      <c r="BQ1558">
        <v>11</v>
      </c>
      <c r="BS1558">
        <v>9</v>
      </c>
      <c r="BU1558">
        <v>13.4</v>
      </c>
      <c r="BV1558" t="s">
        <v>263</v>
      </c>
      <c r="CM1558" t="s">
        <v>264</v>
      </c>
      <c r="CN1558" t="s">
        <v>264</v>
      </c>
      <c r="CP1558" t="s">
        <v>265</v>
      </c>
      <c r="CQ1558" t="s">
        <v>538</v>
      </c>
      <c r="DB1558">
        <v>4</v>
      </c>
      <c r="DG1558" t="s">
        <v>267</v>
      </c>
      <c r="DI1558">
        <v>96</v>
      </c>
      <c r="DN1558" t="s">
        <v>268</v>
      </c>
      <c r="DS1558">
        <v>2851</v>
      </c>
      <c r="DT1558" t="s">
        <v>1205</v>
      </c>
      <c r="EW1558" t="s">
        <v>293</v>
      </c>
      <c r="FM1558">
        <v>19</v>
      </c>
      <c r="FR1558" t="s">
        <v>295</v>
      </c>
      <c r="HH1558" t="s">
        <v>272</v>
      </c>
      <c r="IE1558" t="s">
        <v>1206</v>
      </c>
      <c r="IF1558">
        <v>9755</v>
      </c>
      <c r="IG1558" t="s">
        <v>1207</v>
      </c>
      <c r="IH1558" t="s">
        <v>1208</v>
      </c>
      <c r="II1558">
        <v>1993</v>
      </c>
      <c r="IJ1558" t="s">
        <v>1209</v>
      </c>
    </row>
    <row r="1559" spans="1:244" x14ac:dyDescent="0.45">
      <c r="A1559">
        <v>1212438</v>
      </c>
      <c r="B1559">
        <v>192568</v>
      </c>
      <c r="C1559">
        <v>7778509</v>
      </c>
      <c r="D1559" t="s">
        <v>3280</v>
      </c>
      <c r="F1559" t="s">
        <v>245</v>
      </c>
      <c r="G1559" t="s">
        <v>246</v>
      </c>
      <c r="N1559" t="s">
        <v>3303</v>
      </c>
      <c r="O1559" t="s">
        <v>388</v>
      </c>
      <c r="P1559" t="s">
        <v>249</v>
      </c>
      <c r="Q1559" t="s">
        <v>250</v>
      </c>
      <c r="R1559" t="s">
        <v>251</v>
      </c>
      <c r="T1559" t="s">
        <v>389</v>
      </c>
      <c r="U1559" t="s">
        <v>390</v>
      </c>
      <c r="V1559" t="s">
        <v>472</v>
      </c>
      <c r="W1559" t="s">
        <v>473</v>
      </c>
      <c r="X1559" t="s">
        <v>1446</v>
      </c>
      <c r="Z1559" t="s">
        <v>315</v>
      </c>
      <c r="AB1559">
        <v>15</v>
      </c>
      <c r="AG1559" t="s">
        <v>267</v>
      </c>
      <c r="AL1559" t="s">
        <v>3304</v>
      </c>
      <c r="AM1559" t="s">
        <v>287</v>
      </c>
      <c r="AN1559" t="s">
        <v>259</v>
      </c>
      <c r="AO1559" t="s">
        <v>260</v>
      </c>
      <c r="AQ1559" t="s">
        <v>261</v>
      </c>
      <c r="AT1559" t="s">
        <v>288</v>
      </c>
      <c r="AU1559">
        <v>25000</v>
      </c>
      <c r="AV1559" t="s">
        <v>289</v>
      </c>
      <c r="AW1559">
        <v>30000</v>
      </c>
      <c r="AX1559" t="s">
        <v>262</v>
      </c>
      <c r="BO1559" t="s">
        <v>261</v>
      </c>
      <c r="BR1559" t="s">
        <v>288</v>
      </c>
      <c r="BS1559">
        <v>25</v>
      </c>
      <c r="BT1559" t="s">
        <v>289</v>
      </c>
      <c r="BU1559">
        <v>30</v>
      </c>
      <c r="BV1559" t="s">
        <v>263</v>
      </c>
      <c r="CM1559" t="s">
        <v>264</v>
      </c>
      <c r="CN1559" t="s">
        <v>264</v>
      </c>
      <c r="CP1559" t="s">
        <v>265</v>
      </c>
      <c r="DB1559">
        <v>2</v>
      </c>
      <c r="DG1559" t="s">
        <v>267</v>
      </c>
      <c r="DI1559">
        <v>48</v>
      </c>
      <c r="DN1559" t="s">
        <v>268</v>
      </c>
      <c r="DS1559">
        <v>10240</v>
      </c>
      <c r="DT1559" t="s">
        <v>3305</v>
      </c>
      <c r="EW1559" t="s">
        <v>293</v>
      </c>
      <c r="FK1559" t="s">
        <v>1186</v>
      </c>
      <c r="FM1559">
        <v>13</v>
      </c>
      <c r="FR1559" t="s">
        <v>295</v>
      </c>
      <c r="HH1559" t="s">
        <v>272</v>
      </c>
      <c r="ID1559" t="s">
        <v>1187</v>
      </c>
      <c r="IE1559" t="s">
        <v>3306</v>
      </c>
      <c r="IF1559">
        <v>19811</v>
      </c>
      <c r="IG1559" t="s">
        <v>3307</v>
      </c>
      <c r="IH1559" t="s">
        <v>3308</v>
      </c>
      <c r="II1559">
        <v>1998</v>
      </c>
      <c r="IJ1559" t="s">
        <v>3309</v>
      </c>
    </row>
    <row r="1560" spans="1:244" x14ac:dyDescent="0.45">
      <c r="A1560">
        <v>1131792</v>
      </c>
      <c r="B1560">
        <v>82436</v>
      </c>
      <c r="C1560">
        <v>7778509</v>
      </c>
      <c r="D1560" t="s">
        <v>3280</v>
      </c>
      <c r="F1560" t="s">
        <v>327</v>
      </c>
      <c r="G1560" t="s">
        <v>246</v>
      </c>
      <c r="N1560" t="s">
        <v>1753</v>
      </c>
      <c r="O1560" t="s">
        <v>1754</v>
      </c>
      <c r="P1560" t="s">
        <v>249</v>
      </c>
      <c r="Q1560" t="s">
        <v>250</v>
      </c>
      <c r="R1560" t="s">
        <v>251</v>
      </c>
      <c r="T1560" t="s">
        <v>252</v>
      </c>
      <c r="U1560" t="s">
        <v>499</v>
      </c>
      <c r="V1560" t="s">
        <v>1373</v>
      </c>
      <c r="W1560" t="s">
        <v>1755</v>
      </c>
      <c r="X1560" t="s">
        <v>1756</v>
      </c>
      <c r="Z1560" t="s">
        <v>315</v>
      </c>
      <c r="AL1560" t="s">
        <v>3310</v>
      </c>
      <c r="AM1560" t="s">
        <v>307</v>
      </c>
      <c r="AN1560" t="s">
        <v>259</v>
      </c>
      <c r="AO1560" t="s">
        <v>260</v>
      </c>
      <c r="AQ1560" t="s">
        <v>261</v>
      </c>
      <c r="AS1560">
        <v>6340</v>
      </c>
      <c r="AU1560">
        <v>5430</v>
      </c>
      <c r="AW1560">
        <v>7390</v>
      </c>
      <c r="AX1560" t="s">
        <v>262</v>
      </c>
      <c r="BO1560" t="s">
        <v>261</v>
      </c>
      <c r="BQ1560">
        <v>6.34</v>
      </c>
      <c r="BS1560">
        <v>5.43</v>
      </c>
      <c r="BU1560">
        <v>7.39</v>
      </c>
      <c r="BV1560" t="s">
        <v>263</v>
      </c>
      <c r="CM1560" t="s">
        <v>264</v>
      </c>
      <c r="CN1560" t="s">
        <v>264</v>
      </c>
      <c r="CP1560" t="s">
        <v>265</v>
      </c>
      <c r="CQ1560" t="s">
        <v>538</v>
      </c>
      <c r="DB1560">
        <v>4</v>
      </c>
      <c r="DG1560" t="s">
        <v>267</v>
      </c>
      <c r="DI1560">
        <v>96</v>
      </c>
      <c r="DN1560" t="s">
        <v>268</v>
      </c>
      <c r="DP1560" t="s">
        <v>1603</v>
      </c>
      <c r="DS1560">
        <v>1676</v>
      </c>
      <c r="DT1560" t="s">
        <v>1758</v>
      </c>
      <c r="EW1560" t="s">
        <v>333</v>
      </c>
      <c r="FK1560" t="s">
        <v>1759</v>
      </c>
      <c r="FM1560">
        <v>19.7</v>
      </c>
      <c r="FR1560" t="s">
        <v>295</v>
      </c>
      <c r="GH1560">
        <v>104</v>
      </c>
      <c r="GM1560" t="s">
        <v>356</v>
      </c>
      <c r="GO1560">
        <v>8</v>
      </c>
      <c r="GU1560">
        <v>33</v>
      </c>
      <c r="GZ1560" t="s">
        <v>296</v>
      </c>
      <c r="HH1560" t="s">
        <v>272</v>
      </c>
      <c r="ID1560" t="s">
        <v>1760</v>
      </c>
      <c r="IE1560" t="s">
        <v>1761</v>
      </c>
      <c r="IF1560">
        <v>10628</v>
      </c>
      <c r="IG1560" t="s">
        <v>1762</v>
      </c>
      <c r="IH1560" t="s">
        <v>1763</v>
      </c>
      <c r="II1560">
        <v>1982</v>
      </c>
      <c r="IJ1560" t="s">
        <v>1764</v>
      </c>
    </row>
    <row r="1561" spans="1:244" x14ac:dyDescent="0.45">
      <c r="A1561">
        <v>1192611</v>
      </c>
      <c r="B1561">
        <v>156120</v>
      </c>
      <c r="C1561">
        <v>7778509</v>
      </c>
      <c r="D1561" t="s">
        <v>3280</v>
      </c>
      <c r="E1561" t="s">
        <v>439</v>
      </c>
      <c r="F1561" t="s">
        <v>245</v>
      </c>
      <c r="G1561" t="s">
        <v>246</v>
      </c>
      <c r="N1561" t="s">
        <v>452</v>
      </c>
      <c r="O1561" t="s">
        <v>346</v>
      </c>
      <c r="P1561" t="s">
        <v>249</v>
      </c>
      <c r="Q1561" t="s">
        <v>250</v>
      </c>
      <c r="R1561" t="s">
        <v>251</v>
      </c>
      <c r="T1561" t="s">
        <v>347</v>
      </c>
      <c r="U1561" t="s">
        <v>348</v>
      </c>
      <c r="V1561" t="s">
        <v>349</v>
      </c>
      <c r="W1561" t="s">
        <v>350</v>
      </c>
      <c r="X1561" t="s">
        <v>453</v>
      </c>
      <c r="Z1561" t="s">
        <v>284</v>
      </c>
      <c r="AM1561" t="s">
        <v>287</v>
      </c>
      <c r="AN1561" t="s">
        <v>259</v>
      </c>
      <c r="AO1561" t="s">
        <v>260</v>
      </c>
      <c r="AQ1561" t="s">
        <v>261</v>
      </c>
      <c r="AS1561">
        <v>30900</v>
      </c>
      <c r="AU1561">
        <v>25400</v>
      </c>
      <c r="AW1561">
        <v>37400</v>
      </c>
      <c r="AX1561" t="s">
        <v>262</v>
      </c>
      <c r="BO1561" t="s">
        <v>261</v>
      </c>
      <c r="BQ1561">
        <v>30.9</v>
      </c>
      <c r="BS1561">
        <v>25.4</v>
      </c>
      <c r="BU1561">
        <v>37.4</v>
      </c>
      <c r="BV1561" t="s">
        <v>263</v>
      </c>
      <c r="CM1561" t="s">
        <v>264</v>
      </c>
      <c r="CN1561" t="s">
        <v>264</v>
      </c>
      <c r="CP1561" t="s">
        <v>265</v>
      </c>
      <c r="DB1561">
        <v>1</v>
      </c>
      <c r="DG1561" t="s">
        <v>267</v>
      </c>
      <c r="DI1561">
        <v>24</v>
      </c>
      <c r="DN1561" t="s">
        <v>268</v>
      </c>
      <c r="DR1561">
        <v>85549</v>
      </c>
      <c r="DS1561">
        <v>366</v>
      </c>
      <c r="DT1561" t="s">
        <v>2449</v>
      </c>
      <c r="EW1561" t="s">
        <v>272</v>
      </c>
      <c r="FA1561" t="s">
        <v>2450</v>
      </c>
      <c r="FM1561">
        <v>25</v>
      </c>
      <c r="FR1561" t="s">
        <v>295</v>
      </c>
      <c r="GU1561">
        <v>35</v>
      </c>
      <c r="GZ1561" t="s">
        <v>296</v>
      </c>
      <c r="HH1561" t="s">
        <v>272</v>
      </c>
      <c r="IE1561" t="s">
        <v>2451</v>
      </c>
      <c r="IF1561">
        <v>17289</v>
      </c>
      <c r="IG1561" t="s">
        <v>2452</v>
      </c>
      <c r="IH1561" t="s">
        <v>2453</v>
      </c>
      <c r="II1561">
        <v>1994</v>
      </c>
      <c r="IJ1561" t="s">
        <v>2454</v>
      </c>
    </row>
    <row r="1562" spans="1:244" x14ac:dyDescent="0.45">
      <c r="A1562">
        <v>1325196</v>
      </c>
      <c r="B1562">
        <v>784468</v>
      </c>
      <c r="C1562">
        <v>7778509</v>
      </c>
      <c r="D1562" t="s">
        <v>3280</v>
      </c>
      <c r="E1562" t="s">
        <v>622</v>
      </c>
      <c r="F1562" t="s">
        <v>245</v>
      </c>
      <c r="G1562" t="s">
        <v>246</v>
      </c>
      <c r="I1562">
        <v>99</v>
      </c>
      <c r="N1562" t="s">
        <v>1298</v>
      </c>
      <c r="O1562" t="s">
        <v>1299</v>
      </c>
      <c r="P1562" t="s">
        <v>249</v>
      </c>
      <c r="Q1562" t="s">
        <v>250</v>
      </c>
      <c r="R1562" t="s">
        <v>251</v>
      </c>
      <c r="T1562" t="s">
        <v>252</v>
      </c>
      <c r="U1562" t="s">
        <v>371</v>
      </c>
      <c r="V1562" t="s">
        <v>372</v>
      </c>
      <c r="W1562" t="s">
        <v>1300</v>
      </c>
      <c r="X1562" t="s">
        <v>1301</v>
      </c>
      <c r="Z1562" t="s">
        <v>649</v>
      </c>
      <c r="AD1562">
        <v>2</v>
      </c>
      <c r="AF1562">
        <v>3</v>
      </c>
      <c r="AG1562" t="s">
        <v>267</v>
      </c>
      <c r="AM1562" t="s">
        <v>317</v>
      </c>
      <c r="AN1562" t="s">
        <v>259</v>
      </c>
      <c r="AO1562" t="s">
        <v>260</v>
      </c>
      <c r="AP1562" t="s">
        <v>559</v>
      </c>
      <c r="AQ1562" t="s">
        <v>261</v>
      </c>
      <c r="AS1562">
        <v>2.0099999999999998</v>
      </c>
      <c r="AX1562" t="s">
        <v>356</v>
      </c>
      <c r="BO1562" t="s">
        <v>261</v>
      </c>
      <c r="BQ1562">
        <v>2.0099999999999998</v>
      </c>
      <c r="BV1562" t="s">
        <v>263</v>
      </c>
      <c r="CM1562" t="s">
        <v>264</v>
      </c>
      <c r="CN1562" t="s">
        <v>264</v>
      </c>
      <c r="CP1562" t="s">
        <v>265</v>
      </c>
      <c r="CQ1562" t="s">
        <v>3311</v>
      </c>
      <c r="DB1562">
        <v>4</v>
      </c>
      <c r="DG1562" t="s">
        <v>267</v>
      </c>
      <c r="DI1562">
        <v>96</v>
      </c>
      <c r="DN1562" t="s">
        <v>268</v>
      </c>
      <c r="DO1562" t="s">
        <v>1587</v>
      </c>
      <c r="DP1562" t="s">
        <v>3312</v>
      </c>
      <c r="DS1562">
        <v>20391</v>
      </c>
      <c r="DT1562" t="s">
        <v>1302</v>
      </c>
      <c r="EW1562" t="s">
        <v>293</v>
      </c>
      <c r="FA1562" t="s">
        <v>3313</v>
      </c>
      <c r="FK1562" t="s">
        <v>3314</v>
      </c>
      <c r="FM1562">
        <v>25</v>
      </c>
      <c r="FR1562" t="s">
        <v>295</v>
      </c>
      <c r="GG1562" t="s">
        <v>288</v>
      </c>
      <c r="GH1562">
        <v>80</v>
      </c>
      <c r="GM1562" t="s">
        <v>1224</v>
      </c>
      <c r="GQ1562">
        <v>7.5</v>
      </c>
      <c r="GS1562">
        <v>8.5</v>
      </c>
      <c r="GU1562">
        <v>25</v>
      </c>
      <c r="GZ1562" t="s">
        <v>900</v>
      </c>
      <c r="HH1562" t="s">
        <v>272</v>
      </c>
      <c r="ID1562" t="s">
        <v>3315</v>
      </c>
      <c r="IE1562" t="s">
        <v>1306</v>
      </c>
      <c r="IF1562">
        <v>117932</v>
      </c>
      <c r="IG1562" t="s">
        <v>1307</v>
      </c>
      <c r="IH1562" t="s">
        <v>1308</v>
      </c>
      <c r="II1562">
        <v>2008</v>
      </c>
      <c r="IJ1562" t="s">
        <v>1309</v>
      </c>
    </row>
    <row r="1563" spans="1:244" x14ac:dyDescent="0.45">
      <c r="A1563">
        <v>1078362</v>
      </c>
      <c r="B1563">
        <v>105384</v>
      </c>
      <c r="C1563">
        <v>7778509</v>
      </c>
      <c r="D1563" t="s">
        <v>3280</v>
      </c>
      <c r="F1563" t="s">
        <v>245</v>
      </c>
      <c r="G1563" t="s">
        <v>246</v>
      </c>
      <c r="N1563" t="s">
        <v>3239</v>
      </c>
      <c r="O1563" t="s">
        <v>1299</v>
      </c>
      <c r="P1563" t="s">
        <v>249</v>
      </c>
      <c r="Q1563" t="s">
        <v>250</v>
      </c>
      <c r="R1563" t="s">
        <v>251</v>
      </c>
      <c r="T1563" t="s">
        <v>252</v>
      </c>
      <c r="U1563" t="s">
        <v>371</v>
      </c>
      <c r="V1563" t="s">
        <v>372</v>
      </c>
      <c r="W1563" t="s">
        <v>3240</v>
      </c>
      <c r="X1563" t="s">
        <v>3241</v>
      </c>
      <c r="AM1563" t="s">
        <v>258</v>
      </c>
      <c r="AN1563" t="s">
        <v>259</v>
      </c>
      <c r="AO1563" t="s">
        <v>260</v>
      </c>
      <c r="AQ1563" t="s">
        <v>261</v>
      </c>
      <c r="AS1563">
        <v>14000</v>
      </c>
      <c r="AX1563" t="s">
        <v>262</v>
      </c>
      <c r="BO1563" t="s">
        <v>261</v>
      </c>
      <c r="BQ1563">
        <v>14</v>
      </c>
      <c r="BV1563" t="s">
        <v>263</v>
      </c>
      <c r="CM1563" t="s">
        <v>264</v>
      </c>
      <c r="CN1563" t="s">
        <v>264</v>
      </c>
      <c r="CP1563" t="s">
        <v>265</v>
      </c>
      <c r="CQ1563" t="s">
        <v>538</v>
      </c>
      <c r="DB1563">
        <v>4</v>
      </c>
      <c r="DG1563" t="s">
        <v>267</v>
      </c>
      <c r="DI1563">
        <v>96</v>
      </c>
      <c r="DN1563" t="s">
        <v>268</v>
      </c>
      <c r="DP1563" t="s">
        <v>2185</v>
      </c>
      <c r="DR1563">
        <v>236572</v>
      </c>
      <c r="DS1563">
        <v>1940</v>
      </c>
      <c r="DT1563" t="s">
        <v>3288</v>
      </c>
      <c r="EW1563" t="s">
        <v>271</v>
      </c>
      <c r="FM1563">
        <v>5</v>
      </c>
      <c r="FR1563" t="s">
        <v>295</v>
      </c>
      <c r="GU1563">
        <v>13.5</v>
      </c>
      <c r="GZ1563" t="s">
        <v>296</v>
      </c>
      <c r="HH1563" t="s">
        <v>272</v>
      </c>
      <c r="IE1563" t="s">
        <v>3289</v>
      </c>
      <c r="IF1563">
        <v>6039</v>
      </c>
      <c r="IG1563" t="s">
        <v>3290</v>
      </c>
      <c r="IH1563" t="s">
        <v>3291</v>
      </c>
      <c r="II1563">
        <v>1987</v>
      </c>
      <c r="IJ1563" t="s">
        <v>3292</v>
      </c>
    </row>
    <row r="1564" spans="1:244" x14ac:dyDescent="0.45">
      <c r="A1564">
        <v>1035057</v>
      </c>
      <c r="B1564">
        <v>107204</v>
      </c>
      <c r="C1564">
        <v>7778509</v>
      </c>
      <c r="D1564" t="s">
        <v>3280</v>
      </c>
      <c r="F1564" t="s">
        <v>245</v>
      </c>
      <c r="G1564" t="s">
        <v>246</v>
      </c>
      <c r="N1564" t="s">
        <v>452</v>
      </c>
      <c r="O1564" t="s">
        <v>346</v>
      </c>
      <c r="P1564" t="s">
        <v>249</v>
      </c>
      <c r="Q1564" t="s">
        <v>250</v>
      </c>
      <c r="R1564" t="s">
        <v>251</v>
      </c>
      <c r="T1564" t="s">
        <v>347</v>
      </c>
      <c r="U1564" t="s">
        <v>348</v>
      </c>
      <c r="V1564" t="s">
        <v>349</v>
      </c>
      <c r="W1564" t="s">
        <v>350</v>
      </c>
      <c r="X1564" t="s">
        <v>453</v>
      </c>
      <c r="AD1564">
        <v>2</v>
      </c>
      <c r="AF1564">
        <v>3</v>
      </c>
      <c r="AG1564" t="s">
        <v>1409</v>
      </c>
      <c r="AL1564" t="s">
        <v>3316</v>
      </c>
      <c r="AM1564" t="s">
        <v>317</v>
      </c>
      <c r="AN1564" t="s">
        <v>259</v>
      </c>
      <c r="AO1564" t="s">
        <v>260</v>
      </c>
      <c r="AQ1564" t="s">
        <v>261</v>
      </c>
      <c r="AS1564">
        <v>8800</v>
      </c>
      <c r="AU1564">
        <v>6100</v>
      </c>
      <c r="AW1564">
        <v>11400</v>
      </c>
      <c r="AX1564" t="s">
        <v>262</v>
      </c>
      <c r="BO1564" t="s">
        <v>261</v>
      </c>
      <c r="BQ1564">
        <v>8.8000000000000007</v>
      </c>
      <c r="BS1564">
        <v>6.1</v>
      </c>
      <c r="BU1564">
        <v>11.4</v>
      </c>
      <c r="BV1564" t="s">
        <v>263</v>
      </c>
      <c r="CM1564" t="s">
        <v>264</v>
      </c>
      <c r="CN1564" t="s">
        <v>264</v>
      </c>
      <c r="CP1564" t="s">
        <v>265</v>
      </c>
      <c r="CQ1564" t="s">
        <v>538</v>
      </c>
      <c r="DB1564">
        <v>1</v>
      </c>
      <c r="DG1564" t="s">
        <v>267</v>
      </c>
      <c r="DI1564">
        <v>24</v>
      </c>
      <c r="DN1564" t="s">
        <v>268</v>
      </c>
      <c r="DR1564">
        <v>85549</v>
      </c>
      <c r="DS1564">
        <v>366</v>
      </c>
      <c r="DT1564" t="s">
        <v>3317</v>
      </c>
      <c r="EW1564" t="s">
        <v>271</v>
      </c>
      <c r="FM1564">
        <v>30</v>
      </c>
      <c r="FR1564" t="s">
        <v>295</v>
      </c>
      <c r="GU1564">
        <v>20</v>
      </c>
      <c r="GZ1564" t="s">
        <v>296</v>
      </c>
      <c r="HH1564" t="s">
        <v>272</v>
      </c>
      <c r="IE1564" t="s">
        <v>3318</v>
      </c>
      <c r="IF1564">
        <v>2151</v>
      </c>
      <c r="IG1564" t="s">
        <v>3319</v>
      </c>
      <c r="IH1564" t="s">
        <v>3320</v>
      </c>
      <c r="II1564">
        <v>1989</v>
      </c>
      <c r="IJ1564" t="s">
        <v>3321</v>
      </c>
    </row>
    <row r="1565" spans="1:244" x14ac:dyDescent="0.45">
      <c r="A1565">
        <v>1078361</v>
      </c>
      <c r="B1565">
        <v>105383</v>
      </c>
      <c r="C1565">
        <v>7778509</v>
      </c>
      <c r="D1565" t="s">
        <v>3280</v>
      </c>
      <c r="F1565" t="s">
        <v>245</v>
      </c>
      <c r="G1565" t="s">
        <v>246</v>
      </c>
      <c r="N1565" t="s">
        <v>3239</v>
      </c>
      <c r="O1565" t="s">
        <v>1299</v>
      </c>
      <c r="P1565" t="s">
        <v>249</v>
      </c>
      <c r="Q1565" t="s">
        <v>250</v>
      </c>
      <c r="R1565" t="s">
        <v>251</v>
      </c>
      <c r="T1565" t="s">
        <v>252</v>
      </c>
      <c r="U1565" t="s">
        <v>371</v>
      </c>
      <c r="V1565" t="s">
        <v>372</v>
      </c>
      <c r="W1565" t="s">
        <v>3240</v>
      </c>
      <c r="X1565" t="s">
        <v>3241</v>
      </c>
      <c r="AM1565" t="s">
        <v>258</v>
      </c>
      <c r="AN1565" t="s">
        <v>259</v>
      </c>
      <c r="AO1565" t="s">
        <v>260</v>
      </c>
      <c r="AQ1565" t="s">
        <v>261</v>
      </c>
      <c r="AS1565">
        <v>22000</v>
      </c>
      <c r="AX1565" t="s">
        <v>262</v>
      </c>
      <c r="BO1565" t="s">
        <v>261</v>
      </c>
      <c r="BQ1565">
        <v>22</v>
      </c>
      <c r="BV1565" t="s">
        <v>263</v>
      </c>
      <c r="CM1565" t="s">
        <v>264</v>
      </c>
      <c r="CN1565" t="s">
        <v>264</v>
      </c>
      <c r="CP1565" t="s">
        <v>265</v>
      </c>
      <c r="CQ1565" t="s">
        <v>538</v>
      </c>
      <c r="DB1565">
        <v>2</v>
      </c>
      <c r="DG1565" t="s">
        <v>267</v>
      </c>
      <c r="DI1565">
        <v>48</v>
      </c>
      <c r="DN1565" t="s">
        <v>268</v>
      </c>
      <c r="DP1565" t="s">
        <v>2185</v>
      </c>
      <c r="DR1565">
        <v>236572</v>
      </c>
      <c r="DS1565">
        <v>1940</v>
      </c>
      <c r="DT1565" t="s">
        <v>3288</v>
      </c>
      <c r="EW1565" t="s">
        <v>271</v>
      </c>
      <c r="FM1565">
        <v>5</v>
      </c>
      <c r="FR1565" t="s">
        <v>295</v>
      </c>
      <c r="GU1565">
        <v>13.5</v>
      </c>
      <c r="GZ1565" t="s">
        <v>296</v>
      </c>
      <c r="HH1565" t="s">
        <v>272</v>
      </c>
      <c r="IE1565" t="s">
        <v>3289</v>
      </c>
      <c r="IF1565">
        <v>6039</v>
      </c>
      <c r="IG1565" t="s">
        <v>3290</v>
      </c>
      <c r="IH1565" t="s">
        <v>3291</v>
      </c>
      <c r="II1565">
        <v>1987</v>
      </c>
      <c r="IJ1565" t="s">
        <v>3292</v>
      </c>
    </row>
    <row r="1566" spans="1:244" x14ac:dyDescent="0.45">
      <c r="A1566">
        <v>1212449</v>
      </c>
      <c r="B1566">
        <v>192579</v>
      </c>
      <c r="C1566">
        <v>7778509</v>
      </c>
      <c r="D1566" t="s">
        <v>3280</v>
      </c>
      <c r="F1566" t="s">
        <v>245</v>
      </c>
      <c r="G1566" t="s">
        <v>246</v>
      </c>
      <c r="N1566" t="s">
        <v>3303</v>
      </c>
      <c r="O1566" t="s">
        <v>388</v>
      </c>
      <c r="P1566" t="s">
        <v>249</v>
      </c>
      <c r="Q1566" t="s">
        <v>250</v>
      </c>
      <c r="R1566" t="s">
        <v>251</v>
      </c>
      <c r="T1566" t="s">
        <v>389</v>
      </c>
      <c r="U1566" t="s">
        <v>390</v>
      </c>
      <c r="V1566" t="s">
        <v>472</v>
      </c>
      <c r="W1566" t="s">
        <v>473</v>
      </c>
      <c r="X1566" t="s">
        <v>1446</v>
      </c>
      <c r="Z1566" t="s">
        <v>315</v>
      </c>
      <c r="AB1566">
        <v>15</v>
      </c>
      <c r="AG1566" t="s">
        <v>267</v>
      </c>
      <c r="AL1566" t="s">
        <v>3304</v>
      </c>
      <c r="AM1566" t="s">
        <v>287</v>
      </c>
      <c r="AN1566" t="s">
        <v>259</v>
      </c>
      <c r="AO1566" t="s">
        <v>260</v>
      </c>
      <c r="AQ1566" t="s">
        <v>261</v>
      </c>
      <c r="AT1566" t="s">
        <v>288</v>
      </c>
      <c r="AU1566">
        <v>5000</v>
      </c>
      <c r="AV1566" t="s">
        <v>289</v>
      </c>
      <c r="AW1566">
        <v>10000</v>
      </c>
      <c r="AX1566" t="s">
        <v>262</v>
      </c>
      <c r="BO1566" t="s">
        <v>261</v>
      </c>
      <c r="BR1566" t="s">
        <v>288</v>
      </c>
      <c r="BS1566">
        <v>5</v>
      </c>
      <c r="BT1566" t="s">
        <v>289</v>
      </c>
      <c r="BU1566">
        <v>10</v>
      </c>
      <c r="BV1566" t="s">
        <v>263</v>
      </c>
      <c r="CM1566" t="s">
        <v>264</v>
      </c>
      <c r="CN1566" t="s">
        <v>264</v>
      </c>
      <c r="CP1566" t="s">
        <v>265</v>
      </c>
      <c r="DB1566">
        <v>2</v>
      </c>
      <c r="DG1566" t="s">
        <v>267</v>
      </c>
      <c r="DI1566">
        <v>48</v>
      </c>
      <c r="DN1566" t="s">
        <v>268</v>
      </c>
      <c r="DS1566">
        <v>10240</v>
      </c>
      <c r="DT1566" t="s">
        <v>3305</v>
      </c>
      <c r="EW1566" t="s">
        <v>293</v>
      </c>
      <c r="FK1566" t="s">
        <v>1186</v>
      </c>
      <c r="FM1566">
        <v>20</v>
      </c>
      <c r="FR1566" t="s">
        <v>295</v>
      </c>
      <c r="HH1566" t="s">
        <v>272</v>
      </c>
      <c r="ID1566" t="s">
        <v>1187</v>
      </c>
      <c r="IE1566" t="s">
        <v>3306</v>
      </c>
      <c r="IF1566">
        <v>19811</v>
      </c>
      <c r="IG1566" t="s">
        <v>3307</v>
      </c>
      <c r="IH1566" t="s">
        <v>3308</v>
      </c>
      <c r="II1566">
        <v>1998</v>
      </c>
      <c r="IJ1566" t="s">
        <v>3309</v>
      </c>
    </row>
    <row r="1567" spans="1:244" x14ac:dyDescent="0.45">
      <c r="A1567">
        <v>1035049</v>
      </c>
      <c r="B1567">
        <v>107196</v>
      </c>
      <c r="C1567">
        <v>7778509</v>
      </c>
      <c r="D1567" t="s">
        <v>3280</v>
      </c>
      <c r="F1567" t="s">
        <v>245</v>
      </c>
      <c r="G1567" t="s">
        <v>246</v>
      </c>
      <c r="N1567" t="s">
        <v>452</v>
      </c>
      <c r="O1567" t="s">
        <v>346</v>
      </c>
      <c r="P1567" t="s">
        <v>249</v>
      </c>
      <c r="Q1567" t="s">
        <v>250</v>
      </c>
      <c r="R1567" t="s">
        <v>251</v>
      </c>
      <c r="T1567" t="s">
        <v>347</v>
      </c>
      <c r="U1567" t="s">
        <v>348</v>
      </c>
      <c r="V1567" t="s">
        <v>349</v>
      </c>
      <c r="W1567" t="s">
        <v>350</v>
      </c>
      <c r="X1567" t="s">
        <v>453</v>
      </c>
      <c r="AD1567">
        <v>2</v>
      </c>
      <c r="AF1567">
        <v>3</v>
      </c>
      <c r="AG1567" t="s">
        <v>1409</v>
      </c>
      <c r="AL1567" t="s">
        <v>3316</v>
      </c>
      <c r="AM1567" t="s">
        <v>317</v>
      </c>
      <c r="AN1567" t="s">
        <v>259</v>
      </c>
      <c r="AO1567" t="s">
        <v>260</v>
      </c>
      <c r="AQ1567" t="s">
        <v>261</v>
      </c>
      <c r="AS1567">
        <v>156000</v>
      </c>
      <c r="AU1567">
        <v>136400</v>
      </c>
      <c r="AW1567">
        <v>173300</v>
      </c>
      <c r="AX1567" t="s">
        <v>262</v>
      </c>
      <c r="BO1567" t="s">
        <v>261</v>
      </c>
      <c r="BQ1567">
        <v>156</v>
      </c>
      <c r="BS1567">
        <v>136.4</v>
      </c>
      <c r="BU1567">
        <v>173.3</v>
      </c>
      <c r="BV1567" t="s">
        <v>263</v>
      </c>
      <c r="CM1567" t="s">
        <v>264</v>
      </c>
      <c r="CN1567" t="s">
        <v>264</v>
      </c>
      <c r="CP1567" t="s">
        <v>265</v>
      </c>
      <c r="CQ1567" t="s">
        <v>538</v>
      </c>
      <c r="DB1567">
        <v>1</v>
      </c>
      <c r="DG1567" t="s">
        <v>267</v>
      </c>
      <c r="DI1567">
        <v>24</v>
      </c>
      <c r="DN1567" t="s">
        <v>268</v>
      </c>
      <c r="DR1567">
        <v>85549</v>
      </c>
      <c r="DS1567">
        <v>366</v>
      </c>
      <c r="DT1567" t="s">
        <v>3317</v>
      </c>
      <c r="EW1567" t="s">
        <v>271</v>
      </c>
      <c r="FM1567">
        <v>15</v>
      </c>
      <c r="FR1567" t="s">
        <v>295</v>
      </c>
      <c r="GU1567">
        <v>5</v>
      </c>
      <c r="GZ1567" t="s">
        <v>296</v>
      </c>
      <c r="HH1567" t="s">
        <v>272</v>
      </c>
      <c r="IE1567" t="s">
        <v>3318</v>
      </c>
      <c r="IF1567">
        <v>2151</v>
      </c>
      <c r="IG1567" t="s">
        <v>3319</v>
      </c>
      <c r="IH1567" t="s">
        <v>3320</v>
      </c>
      <c r="II1567">
        <v>1989</v>
      </c>
      <c r="IJ1567" t="s">
        <v>3321</v>
      </c>
    </row>
    <row r="1568" spans="1:244" x14ac:dyDescent="0.45">
      <c r="A1568">
        <v>1212454</v>
      </c>
      <c r="B1568">
        <v>192584</v>
      </c>
      <c r="C1568">
        <v>7778509</v>
      </c>
      <c r="D1568" t="s">
        <v>3280</v>
      </c>
      <c r="F1568" t="s">
        <v>245</v>
      </c>
      <c r="G1568" t="s">
        <v>246</v>
      </c>
      <c r="N1568" t="s">
        <v>3303</v>
      </c>
      <c r="O1568" t="s">
        <v>388</v>
      </c>
      <c r="P1568" t="s">
        <v>249</v>
      </c>
      <c r="Q1568" t="s">
        <v>250</v>
      </c>
      <c r="R1568" t="s">
        <v>251</v>
      </c>
      <c r="T1568" t="s">
        <v>389</v>
      </c>
      <c r="U1568" t="s">
        <v>390</v>
      </c>
      <c r="V1568" t="s">
        <v>472</v>
      </c>
      <c r="W1568" t="s">
        <v>473</v>
      </c>
      <c r="X1568" t="s">
        <v>1446</v>
      </c>
      <c r="Z1568" t="s">
        <v>315</v>
      </c>
      <c r="AB1568">
        <v>15</v>
      </c>
      <c r="AG1568" t="s">
        <v>267</v>
      </c>
      <c r="AL1568" t="s">
        <v>3304</v>
      </c>
      <c r="AM1568" t="s">
        <v>287</v>
      </c>
      <c r="AN1568" t="s">
        <v>259</v>
      </c>
      <c r="AO1568" t="s">
        <v>260</v>
      </c>
      <c r="AQ1568" t="s">
        <v>261</v>
      </c>
      <c r="AT1568" t="s">
        <v>288</v>
      </c>
      <c r="AU1568">
        <v>5000</v>
      </c>
      <c r="AV1568" t="s">
        <v>289</v>
      </c>
      <c r="AW1568">
        <v>10000</v>
      </c>
      <c r="AX1568" t="s">
        <v>262</v>
      </c>
      <c r="BO1568" t="s">
        <v>261</v>
      </c>
      <c r="BR1568" t="s">
        <v>288</v>
      </c>
      <c r="BS1568">
        <v>5</v>
      </c>
      <c r="BT1568" t="s">
        <v>289</v>
      </c>
      <c r="BU1568">
        <v>10</v>
      </c>
      <c r="BV1568" t="s">
        <v>263</v>
      </c>
      <c r="CM1568" t="s">
        <v>264</v>
      </c>
      <c r="CN1568" t="s">
        <v>264</v>
      </c>
      <c r="CP1568" t="s">
        <v>265</v>
      </c>
      <c r="DB1568">
        <v>2</v>
      </c>
      <c r="DG1568" t="s">
        <v>267</v>
      </c>
      <c r="DI1568">
        <v>48</v>
      </c>
      <c r="DN1568" t="s">
        <v>268</v>
      </c>
      <c r="DS1568">
        <v>10240</v>
      </c>
      <c r="DT1568" t="s">
        <v>3305</v>
      </c>
      <c r="EW1568" t="s">
        <v>293</v>
      </c>
      <c r="FK1568" t="s">
        <v>1186</v>
      </c>
      <c r="FM1568">
        <v>20</v>
      </c>
      <c r="FR1568" t="s">
        <v>295</v>
      </c>
      <c r="HH1568" t="s">
        <v>272</v>
      </c>
      <c r="ID1568" t="s">
        <v>1187</v>
      </c>
      <c r="IE1568" t="s">
        <v>3306</v>
      </c>
      <c r="IF1568">
        <v>19811</v>
      </c>
      <c r="IG1568" t="s">
        <v>3307</v>
      </c>
      <c r="IH1568" t="s">
        <v>3308</v>
      </c>
      <c r="II1568">
        <v>1998</v>
      </c>
      <c r="IJ1568" t="s">
        <v>3309</v>
      </c>
    </row>
    <row r="1569" spans="1:244" x14ac:dyDescent="0.45">
      <c r="A1569">
        <v>1078354</v>
      </c>
      <c r="B1569">
        <v>105366</v>
      </c>
      <c r="C1569">
        <v>7778509</v>
      </c>
      <c r="D1569" t="s">
        <v>3280</v>
      </c>
      <c r="F1569" t="s">
        <v>245</v>
      </c>
      <c r="G1569" t="s">
        <v>246</v>
      </c>
      <c r="N1569" t="s">
        <v>3239</v>
      </c>
      <c r="O1569" t="s">
        <v>1299</v>
      </c>
      <c r="P1569" t="s">
        <v>249</v>
      </c>
      <c r="Q1569" t="s">
        <v>250</v>
      </c>
      <c r="R1569" t="s">
        <v>251</v>
      </c>
      <c r="T1569" t="s">
        <v>252</v>
      </c>
      <c r="U1569" t="s">
        <v>371</v>
      </c>
      <c r="V1569" t="s">
        <v>372</v>
      </c>
      <c r="W1569" t="s">
        <v>3240</v>
      </c>
      <c r="X1569" t="s">
        <v>3241</v>
      </c>
      <c r="AM1569" t="s">
        <v>258</v>
      </c>
      <c r="AN1569" t="s">
        <v>259</v>
      </c>
      <c r="AO1569" t="s">
        <v>260</v>
      </c>
      <c r="AQ1569" t="s">
        <v>261</v>
      </c>
      <c r="AS1569">
        <v>2500</v>
      </c>
      <c r="AX1569" t="s">
        <v>262</v>
      </c>
      <c r="BO1569" t="s">
        <v>261</v>
      </c>
      <c r="BQ1569">
        <v>2.5</v>
      </c>
      <c r="BV1569" t="s">
        <v>263</v>
      </c>
      <c r="CM1569" t="s">
        <v>264</v>
      </c>
      <c r="CN1569" t="s">
        <v>264</v>
      </c>
      <c r="CP1569" t="s">
        <v>265</v>
      </c>
      <c r="CQ1569" t="s">
        <v>538</v>
      </c>
      <c r="DB1569">
        <v>4</v>
      </c>
      <c r="DG1569" t="s">
        <v>267</v>
      </c>
      <c r="DI1569">
        <v>96</v>
      </c>
      <c r="DN1569" t="s">
        <v>268</v>
      </c>
      <c r="DP1569" t="s">
        <v>2185</v>
      </c>
      <c r="DR1569">
        <v>236572</v>
      </c>
      <c r="DS1569">
        <v>1940</v>
      </c>
      <c r="DT1569" t="s">
        <v>3288</v>
      </c>
      <c r="EW1569" t="s">
        <v>271</v>
      </c>
      <c r="FK1569" t="s">
        <v>3293</v>
      </c>
      <c r="FM1569">
        <v>15</v>
      </c>
      <c r="FR1569" t="s">
        <v>295</v>
      </c>
      <c r="GU1569">
        <v>4.5</v>
      </c>
      <c r="GZ1569" t="s">
        <v>296</v>
      </c>
      <c r="HH1569" t="s">
        <v>272</v>
      </c>
      <c r="ID1569" t="s">
        <v>3294</v>
      </c>
      <c r="IE1569" t="s">
        <v>3289</v>
      </c>
      <c r="IF1569">
        <v>6039</v>
      </c>
      <c r="IG1569" t="s">
        <v>3290</v>
      </c>
      <c r="IH1569" t="s">
        <v>3291</v>
      </c>
      <c r="II1569">
        <v>1987</v>
      </c>
      <c r="IJ1569" t="s">
        <v>3292</v>
      </c>
    </row>
    <row r="1570" spans="1:244" x14ac:dyDescent="0.45">
      <c r="A1570">
        <v>1186879</v>
      </c>
      <c r="B1570">
        <v>138620</v>
      </c>
      <c r="C1570">
        <v>7778509</v>
      </c>
      <c r="D1570" t="s">
        <v>3280</v>
      </c>
      <c r="F1570" t="s">
        <v>245</v>
      </c>
      <c r="G1570" t="s">
        <v>246</v>
      </c>
      <c r="N1570" t="s">
        <v>789</v>
      </c>
      <c r="O1570" t="s">
        <v>790</v>
      </c>
      <c r="P1570" t="s">
        <v>249</v>
      </c>
      <c r="Q1570" t="s">
        <v>250</v>
      </c>
      <c r="R1570" t="s">
        <v>251</v>
      </c>
      <c r="T1570" t="s">
        <v>252</v>
      </c>
      <c r="U1570" t="s">
        <v>253</v>
      </c>
      <c r="V1570" t="s">
        <v>418</v>
      </c>
      <c r="W1570" t="s">
        <v>791</v>
      </c>
      <c r="X1570" t="s">
        <v>792</v>
      </c>
      <c r="Z1570" t="s">
        <v>284</v>
      </c>
      <c r="AL1570" t="s">
        <v>1742</v>
      </c>
      <c r="AM1570" t="s">
        <v>258</v>
      </c>
      <c r="AN1570" t="s">
        <v>259</v>
      </c>
      <c r="AO1570" t="s">
        <v>260</v>
      </c>
      <c r="AQ1570" t="s">
        <v>261</v>
      </c>
      <c r="AS1570">
        <v>3815</v>
      </c>
      <c r="AX1570" t="s">
        <v>262</v>
      </c>
      <c r="BO1570" t="s">
        <v>261</v>
      </c>
      <c r="BQ1570">
        <v>3.8149999999999999</v>
      </c>
      <c r="BV1570" t="s">
        <v>263</v>
      </c>
      <c r="CM1570" t="s">
        <v>264</v>
      </c>
      <c r="CN1570" t="s">
        <v>264</v>
      </c>
      <c r="CP1570" t="s">
        <v>265</v>
      </c>
      <c r="DB1570">
        <v>1</v>
      </c>
      <c r="DG1570" t="s">
        <v>267</v>
      </c>
      <c r="DI1570">
        <v>24</v>
      </c>
      <c r="DN1570" t="s">
        <v>268</v>
      </c>
      <c r="DR1570">
        <v>161924</v>
      </c>
      <c r="DS1570">
        <v>3045</v>
      </c>
      <c r="EW1570" t="s">
        <v>272</v>
      </c>
      <c r="FM1570">
        <v>28</v>
      </c>
      <c r="FR1570" t="s">
        <v>295</v>
      </c>
      <c r="GO1570">
        <v>8.1999999999999993</v>
      </c>
      <c r="GU1570">
        <v>32</v>
      </c>
      <c r="GZ1570" t="s">
        <v>296</v>
      </c>
      <c r="HH1570" t="s">
        <v>272</v>
      </c>
      <c r="IE1570" t="s">
        <v>1652</v>
      </c>
      <c r="IF1570">
        <v>16613</v>
      </c>
      <c r="IG1570" t="s">
        <v>1653</v>
      </c>
      <c r="IH1570" t="s">
        <v>1654</v>
      </c>
      <c r="II1570">
        <v>1994</v>
      </c>
      <c r="IJ1570" t="s">
        <v>1655</v>
      </c>
    </row>
    <row r="1571" spans="1:244" x14ac:dyDescent="0.45">
      <c r="A1571">
        <v>1078340</v>
      </c>
      <c r="B1571">
        <v>86074</v>
      </c>
      <c r="C1571">
        <v>7778509</v>
      </c>
      <c r="D1571" t="s">
        <v>3280</v>
      </c>
      <c r="F1571" t="s">
        <v>245</v>
      </c>
      <c r="G1571" t="s">
        <v>246</v>
      </c>
      <c r="N1571" t="s">
        <v>3239</v>
      </c>
      <c r="O1571" t="s">
        <v>1299</v>
      </c>
      <c r="P1571" t="s">
        <v>249</v>
      </c>
      <c r="Q1571" t="s">
        <v>250</v>
      </c>
      <c r="R1571" t="s">
        <v>251</v>
      </c>
      <c r="T1571" t="s">
        <v>252</v>
      </c>
      <c r="U1571" t="s">
        <v>371</v>
      </c>
      <c r="V1571" t="s">
        <v>372</v>
      </c>
      <c r="W1571" t="s">
        <v>3240</v>
      </c>
      <c r="X1571" t="s">
        <v>3241</v>
      </c>
      <c r="AM1571" t="s">
        <v>258</v>
      </c>
      <c r="AN1571" t="s">
        <v>259</v>
      </c>
      <c r="AO1571" t="s">
        <v>260</v>
      </c>
      <c r="AQ1571" t="s">
        <v>261</v>
      </c>
      <c r="AS1571">
        <v>18000</v>
      </c>
      <c r="AX1571" t="s">
        <v>262</v>
      </c>
      <c r="BO1571" t="s">
        <v>261</v>
      </c>
      <c r="BQ1571">
        <v>18</v>
      </c>
      <c r="BV1571" t="s">
        <v>263</v>
      </c>
      <c r="CM1571" t="s">
        <v>264</v>
      </c>
      <c r="CN1571" t="s">
        <v>264</v>
      </c>
      <c r="CP1571" t="s">
        <v>265</v>
      </c>
      <c r="CQ1571" t="s">
        <v>538</v>
      </c>
      <c r="DB1571">
        <v>4</v>
      </c>
      <c r="DG1571" t="s">
        <v>267</v>
      </c>
      <c r="DI1571">
        <v>96</v>
      </c>
      <c r="DN1571" t="s">
        <v>268</v>
      </c>
      <c r="DP1571" t="s">
        <v>2185</v>
      </c>
      <c r="DR1571">
        <v>236572</v>
      </c>
      <c r="DS1571">
        <v>1940</v>
      </c>
      <c r="DT1571" t="s">
        <v>3288</v>
      </c>
      <c r="EW1571" t="s">
        <v>271</v>
      </c>
      <c r="FM1571">
        <v>5</v>
      </c>
      <c r="FR1571" t="s">
        <v>295</v>
      </c>
      <c r="GU1571">
        <v>27</v>
      </c>
      <c r="GZ1571" t="s">
        <v>296</v>
      </c>
      <c r="HH1571" t="s">
        <v>272</v>
      </c>
      <c r="IE1571" t="s">
        <v>3289</v>
      </c>
      <c r="IF1571">
        <v>6039</v>
      </c>
      <c r="IG1571" t="s">
        <v>3290</v>
      </c>
      <c r="IH1571" t="s">
        <v>3291</v>
      </c>
      <c r="II1571">
        <v>1987</v>
      </c>
      <c r="IJ1571" t="s">
        <v>3292</v>
      </c>
    </row>
    <row r="1572" spans="1:244" x14ac:dyDescent="0.45">
      <c r="A1572">
        <v>1035048</v>
      </c>
      <c r="B1572">
        <v>107195</v>
      </c>
      <c r="C1572">
        <v>7778509</v>
      </c>
      <c r="D1572" t="s">
        <v>3280</v>
      </c>
      <c r="F1572" t="s">
        <v>245</v>
      </c>
      <c r="G1572" t="s">
        <v>246</v>
      </c>
      <c r="N1572" t="s">
        <v>452</v>
      </c>
      <c r="O1572" t="s">
        <v>346</v>
      </c>
      <c r="P1572" t="s">
        <v>249</v>
      </c>
      <c r="Q1572" t="s">
        <v>250</v>
      </c>
      <c r="R1572" t="s">
        <v>251</v>
      </c>
      <c r="T1572" t="s">
        <v>347</v>
      </c>
      <c r="U1572" t="s">
        <v>348</v>
      </c>
      <c r="V1572" t="s">
        <v>349</v>
      </c>
      <c r="W1572" t="s">
        <v>350</v>
      </c>
      <c r="X1572" t="s">
        <v>453</v>
      </c>
      <c r="AD1572">
        <v>2</v>
      </c>
      <c r="AF1572">
        <v>3</v>
      </c>
      <c r="AG1572" t="s">
        <v>1409</v>
      </c>
      <c r="AL1572" t="s">
        <v>3316</v>
      </c>
      <c r="AM1572" t="s">
        <v>317</v>
      </c>
      <c r="AN1572" t="s">
        <v>259</v>
      </c>
      <c r="AO1572" t="s">
        <v>260</v>
      </c>
      <c r="AQ1572" t="s">
        <v>261</v>
      </c>
      <c r="AS1572">
        <v>182500</v>
      </c>
      <c r="AU1572">
        <v>167000</v>
      </c>
      <c r="AW1572">
        <v>199500</v>
      </c>
      <c r="AX1572" t="s">
        <v>262</v>
      </c>
      <c r="BO1572" t="s">
        <v>261</v>
      </c>
      <c r="BQ1572">
        <v>182.5</v>
      </c>
      <c r="BS1572">
        <v>167</v>
      </c>
      <c r="BU1572">
        <v>199.5</v>
      </c>
      <c r="BV1572" t="s">
        <v>263</v>
      </c>
      <c r="CM1572" t="s">
        <v>264</v>
      </c>
      <c r="CN1572" t="s">
        <v>264</v>
      </c>
      <c r="CP1572" t="s">
        <v>265</v>
      </c>
      <c r="CQ1572" t="s">
        <v>538</v>
      </c>
      <c r="DB1572">
        <v>1</v>
      </c>
      <c r="DG1572" t="s">
        <v>267</v>
      </c>
      <c r="DI1572">
        <v>24</v>
      </c>
      <c r="DN1572" t="s">
        <v>268</v>
      </c>
      <c r="DR1572">
        <v>85549</v>
      </c>
      <c r="DS1572">
        <v>366</v>
      </c>
      <c r="DT1572" t="s">
        <v>3317</v>
      </c>
      <c r="EW1572" t="s">
        <v>271</v>
      </c>
      <c r="FM1572">
        <v>10</v>
      </c>
      <c r="FR1572" t="s">
        <v>295</v>
      </c>
      <c r="GU1572">
        <v>5</v>
      </c>
      <c r="GZ1572" t="s">
        <v>296</v>
      </c>
      <c r="HH1572" t="s">
        <v>272</v>
      </c>
      <c r="IE1572" t="s">
        <v>3318</v>
      </c>
      <c r="IF1572">
        <v>2151</v>
      </c>
      <c r="IG1572" t="s">
        <v>3319</v>
      </c>
      <c r="IH1572" t="s">
        <v>3320</v>
      </c>
      <c r="II1572">
        <v>1989</v>
      </c>
      <c r="IJ1572" t="s">
        <v>3321</v>
      </c>
    </row>
    <row r="1573" spans="1:244" x14ac:dyDescent="0.45">
      <c r="A1573">
        <v>1035058</v>
      </c>
      <c r="B1573">
        <v>107205</v>
      </c>
      <c r="C1573">
        <v>7778509</v>
      </c>
      <c r="D1573" t="s">
        <v>3280</v>
      </c>
      <c r="F1573" t="s">
        <v>245</v>
      </c>
      <c r="G1573" t="s">
        <v>246</v>
      </c>
      <c r="N1573" t="s">
        <v>452</v>
      </c>
      <c r="O1573" t="s">
        <v>346</v>
      </c>
      <c r="P1573" t="s">
        <v>249</v>
      </c>
      <c r="Q1573" t="s">
        <v>250</v>
      </c>
      <c r="R1573" t="s">
        <v>251</v>
      </c>
      <c r="T1573" t="s">
        <v>347</v>
      </c>
      <c r="U1573" t="s">
        <v>348</v>
      </c>
      <c r="V1573" t="s">
        <v>349</v>
      </c>
      <c r="W1573" t="s">
        <v>350</v>
      </c>
      <c r="X1573" t="s">
        <v>453</v>
      </c>
      <c r="AD1573">
        <v>2</v>
      </c>
      <c r="AF1573">
        <v>3</v>
      </c>
      <c r="AG1573" t="s">
        <v>1409</v>
      </c>
      <c r="AL1573" t="s">
        <v>3316</v>
      </c>
      <c r="AM1573" t="s">
        <v>317</v>
      </c>
      <c r="AN1573" t="s">
        <v>259</v>
      </c>
      <c r="AO1573" t="s">
        <v>260</v>
      </c>
      <c r="AQ1573" t="s">
        <v>261</v>
      </c>
      <c r="AS1573">
        <v>263500</v>
      </c>
      <c r="AU1573">
        <v>229800</v>
      </c>
      <c r="AW1573">
        <v>298700</v>
      </c>
      <c r="AX1573" t="s">
        <v>262</v>
      </c>
      <c r="BO1573" t="s">
        <v>261</v>
      </c>
      <c r="BQ1573">
        <v>263.5</v>
      </c>
      <c r="BS1573">
        <v>229.8</v>
      </c>
      <c r="BU1573">
        <v>298.7</v>
      </c>
      <c r="BV1573" t="s">
        <v>263</v>
      </c>
      <c r="CM1573" t="s">
        <v>264</v>
      </c>
      <c r="CN1573" t="s">
        <v>264</v>
      </c>
      <c r="CP1573" t="s">
        <v>265</v>
      </c>
      <c r="CQ1573" t="s">
        <v>538</v>
      </c>
      <c r="DB1573">
        <v>1</v>
      </c>
      <c r="DG1573" t="s">
        <v>267</v>
      </c>
      <c r="DI1573">
        <v>24</v>
      </c>
      <c r="DN1573" t="s">
        <v>268</v>
      </c>
      <c r="DR1573">
        <v>85549</v>
      </c>
      <c r="DS1573">
        <v>366</v>
      </c>
      <c r="DT1573" t="s">
        <v>3317</v>
      </c>
      <c r="EW1573" t="s">
        <v>271</v>
      </c>
      <c r="FM1573">
        <v>10</v>
      </c>
      <c r="FR1573" t="s">
        <v>295</v>
      </c>
      <c r="GU1573">
        <v>35</v>
      </c>
      <c r="GZ1573" t="s">
        <v>296</v>
      </c>
      <c r="HH1573" t="s">
        <v>272</v>
      </c>
      <c r="IE1573" t="s">
        <v>3318</v>
      </c>
      <c r="IF1573">
        <v>2151</v>
      </c>
      <c r="IG1573" t="s">
        <v>3319</v>
      </c>
      <c r="IH1573" t="s">
        <v>3320</v>
      </c>
      <c r="II1573">
        <v>1989</v>
      </c>
      <c r="IJ1573" t="s">
        <v>3321</v>
      </c>
    </row>
    <row r="1574" spans="1:244" x14ac:dyDescent="0.45">
      <c r="A1574">
        <v>1078344</v>
      </c>
      <c r="B1574">
        <v>86083</v>
      </c>
      <c r="C1574">
        <v>7778509</v>
      </c>
      <c r="D1574" t="s">
        <v>3280</v>
      </c>
      <c r="F1574" t="s">
        <v>245</v>
      </c>
      <c r="G1574" t="s">
        <v>246</v>
      </c>
      <c r="N1574" t="s">
        <v>3239</v>
      </c>
      <c r="O1574" t="s">
        <v>1299</v>
      </c>
      <c r="P1574" t="s">
        <v>249</v>
      </c>
      <c r="Q1574" t="s">
        <v>250</v>
      </c>
      <c r="R1574" t="s">
        <v>251</v>
      </c>
      <c r="T1574" t="s">
        <v>252</v>
      </c>
      <c r="U1574" t="s">
        <v>371</v>
      </c>
      <c r="V1574" t="s">
        <v>372</v>
      </c>
      <c r="W1574" t="s">
        <v>3240</v>
      </c>
      <c r="X1574" t="s">
        <v>3241</v>
      </c>
      <c r="AM1574" t="s">
        <v>258</v>
      </c>
      <c r="AN1574" t="s">
        <v>259</v>
      </c>
      <c r="AO1574" t="s">
        <v>260</v>
      </c>
      <c r="AQ1574" t="s">
        <v>261</v>
      </c>
      <c r="AS1574">
        <v>22000</v>
      </c>
      <c r="AX1574" t="s">
        <v>262</v>
      </c>
      <c r="BO1574" t="s">
        <v>261</v>
      </c>
      <c r="BQ1574">
        <v>22</v>
      </c>
      <c r="BV1574" t="s">
        <v>263</v>
      </c>
      <c r="CM1574" t="s">
        <v>264</v>
      </c>
      <c r="CN1574" t="s">
        <v>264</v>
      </c>
      <c r="CP1574" t="s">
        <v>265</v>
      </c>
      <c r="CQ1574" t="s">
        <v>538</v>
      </c>
      <c r="DB1574">
        <v>2</v>
      </c>
      <c r="DG1574" t="s">
        <v>267</v>
      </c>
      <c r="DI1574">
        <v>48</v>
      </c>
      <c r="DN1574" t="s">
        <v>268</v>
      </c>
      <c r="DP1574" t="s">
        <v>2185</v>
      </c>
      <c r="DR1574">
        <v>236572</v>
      </c>
      <c r="DS1574">
        <v>1940</v>
      </c>
      <c r="DT1574" t="s">
        <v>3288</v>
      </c>
      <c r="EW1574" t="s">
        <v>271</v>
      </c>
      <c r="FK1574" t="s">
        <v>3293</v>
      </c>
      <c r="FM1574">
        <v>15</v>
      </c>
      <c r="FR1574" t="s">
        <v>295</v>
      </c>
      <c r="GU1574">
        <v>22.5</v>
      </c>
      <c r="GZ1574" t="s">
        <v>296</v>
      </c>
      <c r="HH1574" t="s">
        <v>272</v>
      </c>
      <c r="ID1574" t="s">
        <v>3294</v>
      </c>
      <c r="IE1574" t="s">
        <v>3289</v>
      </c>
      <c r="IF1574">
        <v>6039</v>
      </c>
      <c r="IG1574" t="s">
        <v>3290</v>
      </c>
      <c r="IH1574" t="s">
        <v>3291</v>
      </c>
      <c r="II1574">
        <v>1987</v>
      </c>
      <c r="IJ1574" t="s">
        <v>3292</v>
      </c>
    </row>
    <row r="1575" spans="1:244" x14ac:dyDescent="0.45">
      <c r="A1575">
        <v>1227291</v>
      </c>
      <c r="B1575">
        <v>221027</v>
      </c>
      <c r="C1575">
        <v>7778509</v>
      </c>
      <c r="D1575" t="s">
        <v>3280</v>
      </c>
      <c r="F1575" t="s">
        <v>245</v>
      </c>
      <c r="G1575" t="s">
        <v>246</v>
      </c>
      <c r="N1575" t="s">
        <v>2718</v>
      </c>
      <c r="O1575" t="s">
        <v>705</v>
      </c>
      <c r="P1575" t="s">
        <v>249</v>
      </c>
      <c r="Q1575" t="s">
        <v>250</v>
      </c>
      <c r="R1575" t="s">
        <v>251</v>
      </c>
      <c r="T1575" t="s">
        <v>252</v>
      </c>
      <c r="U1575" t="s">
        <v>499</v>
      </c>
      <c r="V1575" t="s">
        <v>591</v>
      </c>
      <c r="W1575" t="s">
        <v>592</v>
      </c>
      <c r="X1575" t="s">
        <v>2719</v>
      </c>
      <c r="Z1575" t="s">
        <v>649</v>
      </c>
      <c r="AB1575">
        <v>2</v>
      </c>
      <c r="AG1575" t="s">
        <v>267</v>
      </c>
      <c r="AM1575" t="s">
        <v>287</v>
      </c>
      <c r="AN1575" t="s">
        <v>259</v>
      </c>
      <c r="AO1575" t="s">
        <v>260</v>
      </c>
      <c r="AQ1575" t="s">
        <v>261</v>
      </c>
      <c r="AS1575">
        <v>56.89</v>
      </c>
      <c r="AX1575" t="s">
        <v>262</v>
      </c>
      <c r="BO1575" t="s">
        <v>261</v>
      </c>
      <c r="BQ1575">
        <v>5.6890000000000003E-2</v>
      </c>
      <c r="BV1575" t="s">
        <v>263</v>
      </c>
      <c r="CM1575" t="s">
        <v>264</v>
      </c>
      <c r="CN1575" t="s">
        <v>264</v>
      </c>
      <c r="CP1575" t="s">
        <v>265</v>
      </c>
      <c r="DB1575">
        <v>2</v>
      </c>
      <c r="DG1575" t="s">
        <v>267</v>
      </c>
      <c r="DI1575">
        <v>48</v>
      </c>
      <c r="DN1575" t="s">
        <v>268</v>
      </c>
      <c r="DS1575">
        <v>11922</v>
      </c>
      <c r="DT1575" t="s">
        <v>2720</v>
      </c>
      <c r="EW1575" t="s">
        <v>293</v>
      </c>
      <c r="FM1575">
        <v>13</v>
      </c>
      <c r="FR1575" t="s">
        <v>295</v>
      </c>
      <c r="HH1575" t="s">
        <v>272</v>
      </c>
      <c r="IE1575" t="s">
        <v>2721</v>
      </c>
      <c r="IF1575">
        <v>54390</v>
      </c>
      <c r="IG1575" t="s">
        <v>2722</v>
      </c>
      <c r="IH1575" t="s">
        <v>2723</v>
      </c>
      <c r="II1575">
        <v>2000</v>
      </c>
      <c r="IJ1575" t="s">
        <v>2724</v>
      </c>
    </row>
    <row r="1576" spans="1:244" x14ac:dyDescent="0.45">
      <c r="A1576">
        <v>1174927</v>
      </c>
      <c r="B1576">
        <v>58773</v>
      </c>
      <c r="C1576">
        <v>7778509</v>
      </c>
      <c r="D1576" t="s">
        <v>3280</v>
      </c>
      <c r="F1576" t="s">
        <v>245</v>
      </c>
      <c r="G1576" t="s">
        <v>246</v>
      </c>
      <c r="N1576" t="s">
        <v>345</v>
      </c>
      <c r="O1576" t="s">
        <v>346</v>
      </c>
      <c r="P1576" t="s">
        <v>249</v>
      </c>
      <c r="Q1576" t="s">
        <v>250</v>
      </c>
      <c r="R1576" t="s">
        <v>251</v>
      </c>
      <c r="T1576" t="s">
        <v>347</v>
      </c>
      <c r="U1576" t="s">
        <v>348</v>
      </c>
      <c r="V1576" t="s">
        <v>349</v>
      </c>
      <c r="W1576" t="s">
        <v>350</v>
      </c>
      <c r="X1576" t="s">
        <v>351</v>
      </c>
      <c r="Z1576" t="s">
        <v>284</v>
      </c>
      <c r="AD1576">
        <v>2</v>
      </c>
      <c r="AF1576">
        <v>3</v>
      </c>
      <c r="AG1576" t="s">
        <v>1409</v>
      </c>
      <c r="AM1576" t="s">
        <v>317</v>
      </c>
      <c r="AN1576" t="s">
        <v>259</v>
      </c>
      <c r="AO1576" t="s">
        <v>260</v>
      </c>
      <c r="AQ1576" t="s">
        <v>261</v>
      </c>
      <c r="AS1576">
        <v>9900</v>
      </c>
      <c r="AU1576">
        <v>8310</v>
      </c>
      <c r="AW1576">
        <v>11800</v>
      </c>
      <c r="AX1576" t="s">
        <v>262</v>
      </c>
      <c r="BO1576" t="s">
        <v>261</v>
      </c>
      <c r="BQ1576">
        <v>9.9</v>
      </c>
      <c r="BS1576">
        <v>8.31</v>
      </c>
      <c r="BU1576">
        <v>11.8</v>
      </c>
      <c r="BV1576" t="s">
        <v>263</v>
      </c>
      <c r="CM1576" t="s">
        <v>264</v>
      </c>
      <c r="CN1576" t="s">
        <v>264</v>
      </c>
      <c r="CP1576" t="s">
        <v>265</v>
      </c>
      <c r="DB1576">
        <v>1</v>
      </c>
      <c r="DG1576" t="s">
        <v>267</v>
      </c>
      <c r="DI1576">
        <v>24</v>
      </c>
      <c r="DN1576" t="s">
        <v>268</v>
      </c>
      <c r="DR1576">
        <v>6660</v>
      </c>
      <c r="DS1576">
        <v>421</v>
      </c>
      <c r="EW1576" t="s">
        <v>271</v>
      </c>
      <c r="FK1576" t="s">
        <v>3322</v>
      </c>
      <c r="FM1576">
        <v>25</v>
      </c>
      <c r="FR1576" t="s">
        <v>295</v>
      </c>
      <c r="GO1576">
        <v>7.5</v>
      </c>
      <c r="GU1576">
        <v>35</v>
      </c>
      <c r="GZ1576" t="s">
        <v>296</v>
      </c>
      <c r="HH1576" t="s">
        <v>272</v>
      </c>
      <c r="ID1576" t="s">
        <v>3323</v>
      </c>
      <c r="IE1576" t="s">
        <v>3298</v>
      </c>
      <c r="IF1576">
        <v>15178</v>
      </c>
      <c r="IG1576" t="s">
        <v>3299</v>
      </c>
      <c r="IH1576" t="s">
        <v>3300</v>
      </c>
      <c r="II1576">
        <v>1980</v>
      </c>
      <c r="IJ1576" t="s">
        <v>3301</v>
      </c>
    </row>
    <row r="1577" spans="1:244" x14ac:dyDescent="0.45">
      <c r="A1577">
        <v>1035064</v>
      </c>
      <c r="B1577">
        <v>107211</v>
      </c>
      <c r="C1577">
        <v>7778509</v>
      </c>
      <c r="D1577" t="s">
        <v>3280</v>
      </c>
      <c r="F1577" t="s">
        <v>245</v>
      </c>
      <c r="G1577" t="s">
        <v>246</v>
      </c>
      <c r="N1577" t="s">
        <v>452</v>
      </c>
      <c r="O1577" t="s">
        <v>346</v>
      </c>
      <c r="P1577" t="s">
        <v>249</v>
      </c>
      <c r="Q1577" t="s">
        <v>250</v>
      </c>
      <c r="R1577" t="s">
        <v>251</v>
      </c>
      <c r="T1577" t="s">
        <v>347</v>
      </c>
      <c r="U1577" t="s">
        <v>348</v>
      </c>
      <c r="V1577" t="s">
        <v>349</v>
      </c>
      <c r="W1577" t="s">
        <v>350</v>
      </c>
      <c r="X1577" t="s">
        <v>453</v>
      </c>
      <c r="AD1577">
        <v>2</v>
      </c>
      <c r="AF1577">
        <v>3</v>
      </c>
      <c r="AG1577" t="s">
        <v>1409</v>
      </c>
      <c r="AL1577" t="s">
        <v>3316</v>
      </c>
      <c r="AM1577" t="s">
        <v>317</v>
      </c>
      <c r="AN1577" t="s">
        <v>259</v>
      </c>
      <c r="AO1577" t="s">
        <v>260</v>
      </c>
      <c r="AQ1577" t="s">
        <v>261</v>
      </c>
      <c r="AS1577">
        <v>206500</v>
      </c>
      <c r="AU1577">
        <v>169600</v>
      </c>
      <c r="AW1577">
        <v>248500</v>
      </c>
      <c r="AX1577" t="s">
        <v>262</v>
      </c>
      <c r="BO1577" t="s">
        <v>261</v>
      </c>
      <c r="BQ1577">
        <v>206.5</v>
      </c>
      <c r="BS1577">
        <v>169.6</v>
      </c>
      <c r="BU1577">
        <v>248.5</v>
      </c>
      <c r="BV1577" t="s">
        <v>263</v>
      </c>
      <c r="CM1577" t="s">
        <v>264</v>
      </c>
      <c r="CN1577" t="s">
        <v>264</v>
      </c>
      <c r="CP1577" t="s">
        <v>265</v>
      </c>
      <c r="CQ1577" t="s">
        <v>538</v>
      </c>
      <c r="DB1577">
        <v>1</v>
      </c>
      <c r="DG1577" t="s">
        <v>267</v>
      </c>
      <c r="DI1577">
        <v>24</v>
      </c>
      <c r="DN1577" t="s">
        <v>268</v>
      </c>
      <c r="DR1577">
        <v>85549</v>
      </c>
      <c r="DS1577">
        <v>366</v>
      </c>
      <c r="DT1577" t="s">
        <v>3317</v>
      </c>
      <c r="EW1577" t="s">
        <v>271</v>
      </c>
      <c r="FM1577">
        <v>15</v>
      </c>
      <c r="FR1577" t="s">
        <v>295</v>
      </c>
      <c r="GU1577">
        <v>50</v>
      </c>
      <c r="GZ1577" t="s">
        <v>296</v>
      </c>
      <c r="HH1577" t="s">
        <v>272</v>
      </c>
      <c r="IE1577" t="s">
        <v>3318</v>
      </c>
      <c r="IF1577">
        <v>2151</v>
      </c>
      <c r="IG1577" t="s">
        <v>3319</v>
      </c>
      <c r="IH1577" t="s">
        <v>3320</v>
      </c>
      <c r="II1577">
        <v>1989</v>
      </c>
      <c r="IJ1577" t="s">
        <v>3321</v>
      </c>
    </row>
    <row r="1578" spans="1:244" x14ac:dyDescent="0.45">
      <c r="A1578">
        <v>1040554</v>
      </c>
      <c r="B1578">
        <v>107767</v>
      </c>
      <c r="C1578">
        <v>7778509</v>
      </c>
      <c r="D1578" t="s">
        <v>3280</v>
      </c>
      <c r="F1578" t="s">
        <v>245</v>
      </c>
      <c r="G1578" t="s">
        <v>246</v>
      </c>
      <c r="N1578" t="s">
        <v>3324</v>
      </c>
      <c r="O1578" t="s">
        <v>3325</v>
      </c>
      <c r="P1578" t="s">
        <v>249</v>
      </c>
      <c r="Q1578" t="s">
        <v>250</v>
      </c>
      <c r="R1578" t="s">
        <v>251</v>
      </c>
      <c r="T1578" t="s">
        <v>252</v>
      </c>
      <c r="U1578" t="s">
        <v>253</v>
      </c>
      <c r="V1578" t="s">
        <v>254</v>
      </c>
      <c r="W1578" t="s">
        <v>1566</v>
      </c>
      <c r="X1578" t="s">
        <v>2540</v>
      </c>
      <c r="Z1578" t="s">
        <v>1057</v>
      </c>
      <c r="AL1578" t="s">
        <v>3326</v>
      </c>
      <c r="AM1578" t="s">
        <v>258</v>
      </c>
      <c r="AN1578" t="s">
        <v>259</v>
      </c>
      <c r="AO1578" t="s">
        <v>260</v>
      </c>
      <c r="AQ1578" t="s">
        <v>261</v>
      </c>
      <c r="AS1578">
        <v>73690</v>
      </c>
      <c r="AX1578" t="s">
        <v>262</v>
      </c>
      <c r="BO1578" t="s">
        <v>261</v>
      </c>
      <c r="BQ1578">
        <v>73.69</v>
      </c>
      <c r="BV1578" t="s">
        <v>263</v>
      </c>
      <c r="CM1578" t="s">
        <v>264</v>
      </c>
      <c r="CN1578" t="s">
        <v>264</v>
      </c>
      <c r="CP1578" t="s">
        <v>265</v>
      </c>
      <c r="CQ1578" t="s">
        <v>538</v>
      </c>
      <c r="DB1578">
        <v>3</v>
      </c>
      <c r="DG1578" t="s">
        <v>267</v>
      </c>
      <c r="DI1578">
        <v>72</v>
      </c>
      <c r="DN1578" t="s">
        <v>268</v>
      </c>
      <c r="DR1578">
        <v>53942</v>
      </c>
      <c r="DS1578">
        <v>2871</v>
      </c>
      <c r="DT1578" t="s">
        <v>3327</v>
      </c>
      <c r="EW1578" t="s">
        <v>271</v>
      </c>
      <c r="GU1578">
        <v>30</v>
      </c>
      <c r="GZ1578" t="s">
        <v>296</v>
      </c>
      <c r="HH1578" t="s">
        <v>272</v>
      </c>
      <c r="IE1578" t="s">
        <v>3328</v>
      </c>
      <c r="IF1578">
        <v>2549</v>
      </c>
      <c r="IG1578" t="s">
        <v>3329</v>
      </c>
      <c r="IH1578" t="s">
        <v>3330</v>
      </c>
      <c r="II1578">
        <v>1989</v>
      </c>
      <c r="IJ1578" t="s">
        <v>3331</v>
      </c>
    </row>
    <row r="1579" spans="1:244" x14ac:dyDescent="0.45">
      <c r="A1579">
        <v>1212453</v>
      </c>
      <c r="B1579">
        <v>192583</v>
      </c>
      <c r="C1579">
        <v>7778509</v>
      </c>
      <c r="D1579" t="s">
        <v>3280</v>
      </c>
      <c r="F1579" t="s">
        <v>245</v>
      </c>
      <c r="G1579" t="s">
        <v>246</v>
      </c>
      <c r="N1579" t="s">
        <v>3303</v>
      </c>
      <c r="O1579" t="s">
        <v>388</v>
      </c>
      <c r="P1579" t="s">
        <v>249</v>
      </c>
      <c r="Q1579" t="s">
        <v>250</v>
      </c>
      <c r="R1579" t="s">
        <v>251</v>
      </c>
      <c r="T1579" t="s">
        <v>389</v>
      </c>
      <c r="U1579" t="s">
        <v>390</v>
      </c>
      <c r="V1579" t="s">
        <v>472</v>
      </c>
      <c r="W1579" t="s">
        <v>473</v>
      </c>
      <c r="X1579" t="s">
        <v>1446</v>
      </c>
      <c r="Z1579" t="s">
        <v>315</v>
      </c>
      <c r="AB1579">
        <v>15</v>
      </c>
      <c r="AG1579" t="s">
        <v>267</v>
      </c>
      <c r="AL1579" t="s">
        <v>3304</v>
      </c>
      <c r="AM1579" t="s">
        <v>287</v>
      </c>
      <c r="AN1579" t="s">
        <v>259</v>
      </c>
      <c r="AO1579" t="s">
        <v>260</v>
      </c>
      <c r="AQ1579" t="s">
        <v>261</v>
      </c>
      <c r="AT1579" t="s">
        <v>288</v>
      </c>
      <c r="AU1579">
        <v>5000</v>
      </c>
      <c r="AV1579" t="s">
        <v>289</v>
      </c>
      <c r="AW1579">
        <v>10000</v>
      </c>
      <c r="AX1579" t="s">
        <v>262</v>
      </c>
      <c r="BO1579" t="s">
        <v>261</v>
      </c>
      <c r="BR1579" t="s">
        <v>288</v>
      </c>
      <c r="BS1579">
        <v>5</v>
      </c>
      <c r="BT1579" t="s">
        <v>289</v>
      </c>
      <c r="BU1579">
        <v>10</v>
      </c>
      <c r="BV1579" t="s">
        <v>263</v>
      </c>
      <c r="CM1579" t="s">
        <v>264</v>
      </c>
      <c r="CN1579" t="s">
        <v>264</v>
      </c>
      <c r="CP1579" t="s">
        <v>265</v>
      </c>
      <c r="DB1579">
        <v>2</v>
      </c>
      <c r="DG1579" t="s">
        <v>267</v>
      </c>
      <c r="DI1579">
        <v>48</v>
      </c>
      <c r="DN1579" t="s">
        <v>268</v>
      </c>
      <c r="DS1579">
        <v>10240</v>
      </c>
      <c r="DT1579" t="s">
        <v>3305</v>
      </c>
      <c r="EW1579" t="s">
        <v>293</v>
      </c>
      <c r="FK1579" t="s">
        <v>1186</v>
      </c>
      <c r="FM1579">
        <v>20</v>
      </c>
      <c r="FR1579" t="s">
        <v>295</v>
      </c>
      <c r="HH1579" t="s">
        <v>272</v>
      </c>
      <c r="ID1579" t="s">
        <v>1187</v>
      </c>
      <c r="IE1579" t="s">
        <v>3306</v>
      </c>
      <c r="IF1579">
        <v>19811</v>
      </c>
      <c r="IG1579" t="s">
        <v>3307</v>
      </c>
      <c r="IH1579" t="s">
        <v>3308</v>
      </c>
      <c r="II1579">
        <v>1998</v>
      </c>
      <c r="IJ1579" t="s">
        <v>3309</v>
      </c>
    </row>
    <row r="1580" spans="1:244" x14ac:dyDescent="0.45">
      <c r="A1580">
        <v>1174933</v>
      </c>
      <c r="B1580">
        <v>58779</v>
      </c>
      <c r="C1580">
        <v>7778509</v>
      </c>
      <c r="D1580" t="s">
        <v>3280</v>
      </c>
      <c r="F1580" t="s">
        <v>245</v>
      </c>
      <c r="G1580" t="s">
        <v>246</v>
      </c>
      <c r="N1580" t="s">
        <v>345</v>
      </c>
      <c r="O1580" t="s">
        <v>346</v>
      </c>
      <c r="P1580" t="s">
        <v>249</v>
      </c>
      <c r="Q1580" t="s">
        <v>250</v>
      </c>
      <c r="R1580" t="s">
        <v>251</v>
      </c>
      <c r="T1580" t="s">
        <v>347</v>
      </c>
      <c r="U1580" t="s">
        <v>348</v>
      </c>
      <c r="V1580" t="s">
        <v>349</v>
      </c>
      <c r="W1580" t="s">
        <v>350</v>
      </c>
      <c r="X1580" t="s">
        <v>351</v>
      </c>
      <c r="Z1580" t="s">
        <v>284</v>
      </c>
      <c r="AD1580">
        <v>2</v>
      </c>
      <c r="AF1580">
        <v>3</v>
      </c>
      <c r="AG1580" t="s">
        <v>1409</v>
      </c>
      <c r="AM1580" t="s">
        <v>317</v>
      </c>
      <c r="AN1580" t="s">
        <v>259</v>
      </c>
      <c r="AO1580" t="s">
        <v>260</v>
      </c>
      <c r="AQ1580" t="s">
        <v>261</v>
      </c>
      <c r="AS1580">
        <v>16000</v>
      </c>
      <c r="AU1580">
        <v>13600</v>
      </c>
      <c r="AW1580">
        <v>18600</v>
      </c>
      <c r="AX1580" t="s">
        <v>262</v>
      </c>
      <c r="BO1580" t="s">
        <v>261</v>
      </c>
      <c r="BQ1580">
        <v>16</v>
      </c>
      <c r="BS1580">
        <v>13.6</v>
      </c>
      <c r="BU1580">
        <v>18.600000000000001</v>
      </c>
      <c r="BV1580" t="s">
        <v>263</v>
      </c>
      <c r="CM1580" t="s">
        <v>264</v>
      </c>
      <c r="CN1580" t="s">
        <v>264</v>
      </c>
      <c r="CP1580" t="s">
        <v>265</v>
      </c>
      <c r="DB1580">
        <v>1</v>
      </c>
      <c r="DG1580" t="s">
        <v>267</v>
      </c>
      <c r="DI1580">
        <v>24</v>
      </c>
      <c r="DN1580" t="s">
        <v>268</v>
      </c>
      <c r="DR1580">
        <v>6660</v>
      </c>
      <c r="DS1580">
        <v>421</v>
      </c>
      <c r="EW1580" t="s">
        <v>271</v>
      </c>
      <c r="FK1580" t="s">
        <v>3332</v>
      </c>
      <c r="FM1580">
        <v>25</v>
      </c>
      <c r="FR1580" t="s">
        <v>295</v>
      </c>
      <c r="GO1580">
        <v>7.5</v>
      </c>
      <c r="GU1580">
        <v>35</v>
      </c>
      <c r="GZ1580" t="s">
        <v>296</v>
      </c>
      <c r="HH1580" t="s">
        <v>272</v>
      </c>
      <c r="ID1580" t="s">
        <v>3333</v>
      </c>
      <c r="IE1580" t="s">
        <v>3298</v>
      </c>
      <c r="IF1580">
        <v>15178</v>
      </c>
      <c r="IG1580" t="s">
        <v>3299</v>
      </c>
      <c r="IH1580" t="s">
        <v>3300</v>
      </c>
      <c r="II1580">
        <v>1980</v>
      </c>
      <c r="IJ1580" t="s">
        <v>3301</v>
      </c>
    </row>
    <row r="1581" spans="1:244" x14ac:dyDescent="0.45">
      <c r="A1581">
        <v>1212439</v>
      </c>
      <c r="B1581">
        <v>192569</v>
      </c>
      <c r="C1581">
        <v>7778509</v>
      </c>
      <c r="D1581" t="s">
        <v>3280</v>
      </c>
      <c r="F1581" t="s">
        <v>245</v>
      </c>
      <c r="G1581" t="s">
        <v>246</v>
      </c>
      <c r="N1581" t="s">
        <v>3303</v>
      </c>
      <c r="O1581" t="s">
        <v>388</v>
      </c>
      <c r="P1581" t="s">
        <v>249</v>
      </c>
      <c r="Q1581" t="s">
        <v>250</v>
      </c>
      <c r="R1581" t="s">
        <v>251</v>
      </c>
      <c r="T1581" t="s">
        <v>389</v>
      </c>
      <c r="U1581" t="s">
        <v>390</v>
      </c>
      <c r="V1581" t="s">
        <v>472</v>
      </c>
      <c r="W1581" t="s">
        <v>473</v>
      </c>
      <c r="X1581" t="s">
        <v>1446</v>
      </c>
      <c r="Z1581" t="s">
        <v>315</v>
      </c>
      <c r="AB1581">
        <v>15</v>
      </c>
      <c r="AG1581" t="s">
        <v>267</v>
      </c>
      <c r="AL1581" t="s">
        <v>3304</v>
      </c>
      <c r="AM1581" t="s">
        <v>287</v>
      </c>
      <c r="AN1581" t="s">
        <v>259</v>
      </c>
      <c r="AO1581" t="s">
        <v>260</v>
      </c>
      <c r="AQ1581" t="s">
        <v>261</v>
      </c>
      <c r="AT1581" t="s">
        <v>288</v>
      </c>
      <c r="AU1581">
        <v>25000</v>
      </c>
      <c r="AV1581" t="s">
        <v>289</v>
      </c>
      <c r="AW1581">
        <v>30000</v>
      </c>
      <c r="AX1581" t="s">
        <v>262</v>
      </c>
      <c r="BO1581" t="s">
        <v>261</v>
      </c>
      <c r="BR1581" t="s">
        <v>288</v>
      </c>
      <c r="BS1581">
        <v>25</v>
      </c>
      <c r="BT1581" t="s">
        <v>289</v>
      </c>
      <c r="BU1581">
        <v>30</v>
      </c>
      <c r="BV1581" t="s">
        <v>263</v>
      </c>
      <c r="CM1581" t="s">
        <v>264</v>
      </c>
      <c r="CN1581" t="s">
        <v>264</v>
      </c>
      <c r="CP1581" t="s">
        <v>265</v>
      </c>
      <c r="DB1581">
        <v>2</v>
      </c>
      <c r="DG1581" t="s">
        <v>267</v>
      </c>
      <c r="DI1581">
        <v>48</v>
      </c>
      <c r="DN1581" t="s">
        <v>268</v>
      </c>
      <c r="DS1581">
        <v>10240</v>
      </c>
      <c r="DT1581" t="s">
        <v>3305</v>
      </c>
      <c r="EW1581" t="s">
        <v>293</v>
      </c>
      <c r="FK1581" t="s">
        <v>1186</v>
      </c>
      <c r="FM1581">
        <v>13</v>
      </c>
      <c r="FR1581" t="s">
        <v>295</v>
      </c>
      <c r="HH1581" t="s">
        <v>272</v>
      </c>
      <c r="ID1581" t="s">
        <v>1187</v>
      </c>
      <c r="IE1581" t="s">
        <v>3306</v>
      </c>
      <c r="IF1581">
        <v>19811</v>
      </c>
      <c r="IG1581" t="s">
        <v>3307</v>
      </c>
      <c r="IH1581" t="s">
        <v>3308</v>
      </c>
      <c r="II1581">
        <v>1998</v>
      </c>
      <c r="IJ1581" t="s">
        <v>3309</v>
      </c>
    </row>
    <row r="1582" spans="1:244" x14ac:dyDescent="0.45">
      <c r="A1582">
        <v>1174972</v>
      </c>
      <c r="B1582">
        <v>65146</v>
      </c>
      <c r="C1582">
        <v>7778509</v>
      </c>
      <c r="D1582" t="s">
        <v>3280</v>
      </c>
      <c r="F1582" t="s">
        <v>245</v>
      </c>
      <c r="G1582" t="s">
        <v>246</v>
      </c>
      <c r="N1582" t="s">
        <v>345</v>
      </c>
      <c r="O1582" t="s">
        <v>346</v>
      </c>
      <c r="P1582" t="s">
        <v>249</v>
      </c>
      <c r="Q1582" t="s">
        <v>250</v>
      </c>
      <c r="R1582" t="s">
        <v>251</v>
      </c>
      <c r="T1582" t="s">
        <v>347</v>
      </c>
      <c r="U1582" t="s">
        <v>348</v>
      </c>
      <c r="V1582" t="s">
        <v>349</v>
      </c>
      <c r="W1582" t="s">
        <v>350</v>
      </c>
      <c r="X1582" t="s">
        <v>351</v>
      </c>
      <c r="Z1582" t="s">
        <v>284</v>
      </c>
      <c r="AD1582">
        <v>2</v>
      </c>
      <c r="AF1582">
        <v>3</v>
      </c>
      <c r="AG1582" t="s">
        <v>1409</v>
      </c>
      <c r="AM1582" t="s">
        <v>317</v>
      </c>
      <c r="AN1582" t="s">
        <v>259</v>
      </c>
      <c r="AO1582" t="s">
        <v>260</v>
      </c>
      <c r="AQ1582" t="s">
        <v>261</v>
      </c>
      <c r="AS1582">
        <v>9900</v>
      </c>
      <c r="AU1582">
        <v>8320</v>
      </c>
      <c r="AW1582">
        <v>11800</v>
      </c>
      <c r="AX1582" t="s">
        <v>262</v>
      </c>
      <c r="BO1582" t="s">
        <v>261</v>
      </c>
      <c r="BQ1582">
        <v>9.9</v>
      </c>
      <c r="BS1582">
        <v>8.32</v>
      </c>
      <c r="BU1582">
        <v>11.8</v>
      </c>
      <c r="BV1582" t="s">
        <v>263</v>
      </c>
      <c r="CM1582" t="s">
        <v>264</v>
      </c>
      <c r="CN1582" t="s">
        <v>264</v>
      </c>
      <c r="CP1582" t="s">
        <v>265</v>
      </c>
      <c r="DB1582">
        <v>1</v>
      </c>
      <c r="DG1582" t="s">
        <v>267</v>
      </c>
      <c r="DI1582">
        <v>24</v>
      </c>
      <c r="DN1582" t="s">
        <v>268</v>
      </c>
      <c r="DR1582">
        <v>6660</v>
      </c>
      <c r="DS1582">
        <v>421</v>
      </c>
      <c r="EW1582" t="s">
        <v>271</v>
      </c>
      <c r="FK1582" t="s">
        <v>3334</v>
      </c>
      <c r="FM1582">
        <v>25</v>
      </c>
      <c r="FR1582" t="s">
        <v>295</v>
      </c>
      <c r="GO1582">
        <v>7.5</v>
      </c>
      <c r="GU1582">
        <v>35</v>
      </c>
      <c r="GZ1582" t="s">
        <v>296</v>
      </c>
      <c r="HH1582" t="s">
        <v>272</v>
      </c>
      <c r="ID1582" t="s">
        <v>3335</v>
      </c>
      <c r="IE1582" t="s">
        <v>3298</v>
      </c>
      <c r="IF1582">
        <v>15178</v>
      </c>
      <c r="IG1582" t="s">
        <v>3299</v>
      </c>
      <c r="IH1582" t="s">
        <v>3300</v>
      </c>
      <c r="II1582">
        <v>1980</v>
      </c>
      <c r="IJ1582" t="s">
        <v>3301</v>
      </c>
    </row>
    <row r="1583" spans="1:244" x14ac:dyDescent="0.45">
      <c r="A1583">
        <v>1174935</v>
      </c>
      <c r="B1583">
        <v>58781</v>
      </c>
      <c r="C1583">
        <v>7778509</v>
      </c>
      <c r="D1583" t="s">
        <v>3280</v>
      </c>
      <c r="F1583" t="s">
        <v>245</v>
      </c>
      <c r="G1583" t="s">
        <v>246</v>
      </c>
      <c r="N1583" t="s">
        <v>345</v>
      </c>
      <c r="O1583" t="s">
        <v>346</v>
      </c>
      <c r="P1583" t="s">
        <v>249</v>
      </c>
      <c r="Q1583" t="s">
        <v>250</v>
      </c>
      <c r="R1583" t="s">
        <v>251</v>
      </c>
      <c r="T1583" t="s">
        <v>347</v>
      </c>
      <c r="U1583" t="s">
        <v>348</v>
      </c>
      <c r="V1583" t="s">
        <v>349</v>
      </c>
      <c r="W1583" t="s">
        <v>350</v>
      </c>
      <c r="X1583" t="s">
        <v>351</v>
      </c>
      <c r="Z1583" t="s">
        <v>284</v>
      </c>
      <c r="AD1583">
        <v>2</v>
      </c>
      <c r="AF1583">
        <v>3</v>
      </c>
      <c r="AG1583" t="s">
        <v>1409</v>
      </c>
      <c r="AM1583" t="s">
        <v>317</v>
      </c>
      <c r="AN1583" t="s">
        <v>259</v>
      </c>
      <c r="AO1583" t="s">
        <v>260</v>
      </c>
      <c r="AQ1583" t="s">
        <v>261</v>
      </c>
      <c r="AS1583">
        <v>20500</v>
      </c>
      <c r="AU1583">
        <v>17100</v>
      </c>
      <c r="AW1583">
        <v>24700</v>
      </c>
      <c r="AX1583" t="s">
        <v>262</v>
      </c>
      <c r="BO1583" t="s">
        <v>261</v>
      </c>
      <c r="BQ1583">
        <v>20.5</v>
      </c>
      <c r="BS1583">
        <v>17.100000000000001</v>
      </c>
      <c r="BU1583">
        <v>24.7</v>
      </c>
      <c r="BV1583" t="s">
        <v>263</v>
      </c>
      <c r="CM1583" t="s">
        <v>264</v>
      </c>
      <c r="CN1583" t="s">
        <v>264</v>
      </c>
      <c r="CP1583" t="s">
        <v>265</v>
      </c>
      <c r="DB1583">
        <v>1</v>
      </c>
      <c r="DG1583" t="s">
        <v>267</v>
      </c>
      <c r="DI1583">
        <v>24</v>
      </c>
      <c r="DN1583" t="s">
        <v>268</v>
      </c>
      <c r="DR1583">
        <v>6660</v>
      </c>
      <c r="DS1583">
        <v>421</v>
      </c>
      <c r="EW1583" t="s">
        <v>271</v>
      </c>
      <c r="FK1583" t="s">
        <v>3336</v>
      </c>
      <c r="FM1583">
        <v>25</v>
      </c>
      <c r="FR1583" t="s">
        <v>295</v>
      </c>
      <c r="GO1583">
        <v>7.5</v>
      </c>
      <c r="GU1583">
        <v>35</v>
      </c>
      <c r="GZ1583" t="s">
        <v>296</v>
      </c>
      <c r="HH1583" t="s">
        <v>272</v>
      </c>
      <c r="ID1583" t="s">
        <v>3337</v>
      </c>
      <c r="IE1583" t="s">
        <v>3298</v>
      </c>
      <c r="IF1583">
        <v>15178</v>
      </c>
      <c r="IG1583" t="s">
        <v>3299</v>
      </c>
      <c r="IH1583" t="s">
        <v>3300</v>
      </c>
      <c r="II1583">
        <v>1980</v>
      </c>
      <c r="IJ1583" t="s">
        <v>3301</v>
      </c>
    </row>
    <row r="1584" spans="1:244" x14ac:dyDescent="0.45">
      <c r="A1584">
        <v>1174931</v>
      </c>
      <c r="B1584">
        <v>58777</v>
      </c>
      <c r="C1584">
        <v>7778509</v>
      </c>
      <c r="D1584" t="s">
        <v>3280</v>
      </c>
      <c r="F1584" t="s">
        <v>245</v>
      </c>
      <c r="G1584" t="s">
        <v>246</v>
      </c>
      <c r="N1584" t="s">
        <v>345</v>
      </c>
      <c r="O1584" t="s">
        <v>346</v>
      </c>
      <c r="P1584" t="s">
        <v>249</v>
      </c>
      <c r="Q1584" t="s">
        <v>250</v>
      </c>
      <c r="R1584" t="s">
        <v>251</v>
      </c>
      <c r="T1584" t="s">
        <v>347</v>
      </c>
      <c r="U1584" t="s">
        <v>348</v>
      </c>
      <c r="V1584" t="s">
        <v>349</v>
      </c>
      <c r="W1584" t="s">
        <v>350</v>
      </c>
      <c r="X1584" t="s">
        <v>351</v>
      </c>
      <c r="Z1584" t="s">
        <v>284</v>
      </c>
      <c r="AD1584">
        <v>2</v>
      </c>
      <c r="AF1584">
        <v>3</v>
      </c>
      <c r="AG1584" t="s">
        <v>1409</v>
      </c>
      <c r="AM1584" t="s">
        <v>317</v>
      </c>
      <c r="AN1584" t="s">
        <v>259</v>
      </c>
      <c r="AO1584" t="s">
        <v>260</v>
      </c>
      <c r="AQ1584" t="s">
        <v>261</v>
      </c>
      <c r="AS1584">
        <v>16000</v>
      </c>
      <c r="AU1584">
        <v>13800</v>
      </c>
      <c r="AW1584">
        <v>19200</v>
      </c>
      <c r="AX1584" t="s">
        <v>262</v>
      </c>
      <c r="BO1584" t="s">
        <v>261</v>
      </c>
      <c r="BQ1584">
        <v>16</v>
      </c>
      <c r="BS1584">
        <v>13.8</v>
      </c>
      <c r="BU1584">
        <v>19.2</v>
      </c>
      <c r="BV1584" t="s">
        <v>263</v>
      </c>
      <c r="CM1584" t="s">
        <v>264</v>
      </c>
      <c r="CN1584" t="s">
        <v>264</v>
      </c>
      <c r="CP1584" t="s">
        <v>265</v>
      </c>
      <c r="DB1584">
        <v>1</v>
      </c>
      <c r="DG1584" t="s">
        <v>267</v>
      </c>
      <c r="DI1584">
        <v>24</v>
      </c>
      <c r="DN1584" t="s">
        <v>268</v>
      </c>
      <c r="DR1584">
        <v>6660</v>
      </c>
      <c r="DS1584">
        <v>421</v>
      </c>
      <c r="EW1584" t="s">
        <v>271</v>
      </c>
      <c r="FK1584" t="s">
        <v>3338</v>
      </c>
      <c r="FM1584">
        <v>25</v>
      </c>
      <c r="FR1584" t="s">
        <v>295</v>
      </c>
      <c r="GO1584">
        <v>7.5</v>
      </c>
      <c r="GU1584">
        <v>35</v>
      </c>
      <c r="GZ1584" t="s">
        <v>296</v>
      </c>
      <c r="HH1584" t="s">
        <v>272</v>
      </c>
      <c r="ID1584" t="s">
        <v>3339</v>
      </c>
      <c r="IE1584" t="s">
        <v>3298</v>
      </c>
      <c r="IF1584">
        <v>15178</v>
      </c>
      <c r="IG1584" t="s">
        <v>3299</v>
      </c>
      <c r="IH1584" t="s">
        <v>3300</v>
      </c>
      <c r="II1584">
        <v>1980</v>
      </c>
      <c r="IJ1584" t="s">
        <v>3301</v>
      </c>
    </row>
    <row r="1585" spans="1:244" x14ac:dyDescent="0.45">
      <c r="A1585">
        <v>1035062</v>
      </c>
      <c r="B1585">
        <v>107209</v>
      </c>
      <c r="C1585">
        <v>7778509</v>
      </c>
      <c r="D1585" t="s">
        <v>3280</v>
      </c>
      <c r="F1585" t="s">
        <v>245</v>
      </c>
      <c r="G1585" t="s">
        <v>246</v>
      </c>
      <c r="N1585" t="s">
        <v>452</v>
      </c>
      <c r="O1585" t="s">
        <v>346</v>
      </c>
      <c r="P1585" t="s">
        <v>249</v>
      </c>
      <c r="Q1585" t="s">
        <v>250</v>
      </c>
      <c r="R1585" t="s">
        <v>251</v>
      </c>
      <c r="T1585" t="s">
        <v>347</v>
      </c>
      <c r="U1585" t="s">
        <v>348</v>
      </c>
      <c r="V1585" t="s">
        <v>349</v>
      </c>
      <c r="W1585" t="s">
        <v>350</v>
      </c>
      <c r="X1585" t="s">
        <v>453</v>
      </c>
      <c r="AD1585">
        <v>2</v>
      </c>
      <c r="AF1585">
        <v>3</v>
      </c>
      <c r="AG1585" t="s">
        <v>1409</v>
      </c>
      <c r="AL1585" t="s">
        <v>3316</v>
      </c>
      <c r="AM1585" t="s">
        <v>317</v>
      </c>
      <c r="AN1585" t="s">
        <v>259</v>
      </c>
      <c r="AO1585" t="s">
        <v>260</v>
      </c>
      <c r="AQ1585" t="s">
        <v>261</v>
      </c>
      <c r="AS1585">
        <v>14200</v>
      </c>
      <c r="AU1585">
        <v>11500</v>
      </c>
      <c r="AW1585">
        <v>17900</v>
      </c>
      <c r="AX1585" t="s">
        <v>262</v>
      </c>
      <c r="BO1585" t="s">
        <v>261</v>
      </c>
      <c r="BQ1585">
        <v>14.2</v>
      </c>
      <c r="BS1585">
        <v>11.5</v>
      </c>
      <c r="BU1585">
        <v>17.899999999999999</v>
      </c>
      <c r="BV1585" t="s">
        <v>263</v>
      </c>
      <c r="CM1585" t="s">
        <v>264</v>
      </c>
      <c r="CN1585" t="s">
        <v>264</v>
      </c>
      <c r="CP1585" t="s">
        <v>265</v>
      </c>
      <c r="CQ1585" t="s">
        <v>538</v>
      </c>
      <c r="DB1585">
        <v>1</v>
      </c>
      <c r="DG1585" t="s">
        <v>267</v>
      </c>
      <c r="DI1585">
        <v>24</v>
      </c>
      <c r="DN1585" t="s">
        <v>268</v>
      </c>
      <c r="DR1585">
        <v>85549</v>
      </c>
      <c r="DS1585">
        <v>366</v>
      </c>
      <c r="DT1585" t="s">
        <v>3317</v>
      </c>
      <c r="EW1585" t="s">
        <v>271</v>
      </c>
      <c r="FM1585">
        <v>30</v>
      </c>
      <c r="FR1585" t="s">
        <v>295</v>
      </c>
      <c r="GU1585">
        <v>35</v>
      </c>
      <c r="GZ1585" t="s">
        <v>296</v>
      </c>
      <c r="HH1585" t="s">
        <v>272</v>
      </c>
      <c r="IE1585" t="s">
        <v>3318</v>
      </c>
      <c r="IF1585">
        <v>2151</v>
      </c>
      <c r="IG1585" t="s">
        <v>3319</v>
      </c>
      <c r="IH1585" t="s">
        <v>3320</v>
      </c>
      <c r="II1585">
        <v>1989</v>
      </c>
      <c r="IJ1585" t="s">
        <v>3321</v>
      </c>
    </row>
    <row r="1586" spans="1:244" x14ac:dyDescent="0.45">
      <c r="A1586">
        <v>1184331</v>
      </c>
      <c r="B1586">
        <v>139843</v>
      </c>
      <c r="C1586">
        <v>7778509</v>
      </c>
      <c r="D1586" t="s">
        <v>3280</v>
      </c>
      <c r="E1586" t="s">
        <v>439</v>
      </c>
      <c r="F1586" t="s">
        <v>245</v>
      </c>
      <c r="G1586" t="s">
        <v>246</v>
      </c>
      <c r="N1586" t="s">
        <v>1914</v>
      </c>
      <c r="O1586" t="s">
        <v>248</v>
      </c>
      <c r="P1586" t="s">
        <v>249</v>
      </c>
      <c r="Q1586" t="s">
        <v>250</v>
      </c>
      <c r="R1586" t="s">
        <v>251</v>
      </c>
      <c r="T1586" t="s">
        <v>252</v>
      </c>
      <c r="U1586" t="s">
        <v>253</v>
      </c>
      <c r="V1586" t="s">
        <v>254</v>
      </c>
      <c r="W1586" t="s">
        <v>1915</v>
      </c>
      <c r="X1586" t="s">
        <v>1916</v>
      </c>
      <c r="Z1586" t="s">
        <v>284</v>
      </c>
      <c r="AB1586" t="s">
        <v>1742</v>
      </c>
      <c r="AG1586" t="s">
        <v>1409</v>
      </c>
      <c r="AM1586" t="s">
        <v>258</v>
      </c>
      <c r="AN1586" t="s">
        <v>259</v>
      </c>
      <c r="AO1586" t="s">
        <v>260</v>
      </c>
      <c r="AQ1586" t="s">
        <v>261</v>
      </c>
      <c r="AS1586">
        <v>1300</v>
      </c>
      <c r="AU1586">
        <v>800</v>
      </c>
      <c r="AW1586">
        <v>2300</v>
      </c>
      <c r="AX1586" t="s">
        <v>262</v>
      </c>
      <c r="BO1586" t="s">
        <v>261</v>
      </c>
      <c r="BQ1586">
        <v>1.3</v>
      </c>
      <c r="BS1586">
        <v>0.8</v>
      </c>
      <c r="BU1586">
        <v>2.2999999999999998</v>
      </c>
      <c r="BV1586" t="s">
        <v>263</v>
      </c>
      <c r="CM1586" t="s">
        <v>264</v>
      </c>
      <c r="CN1586" t="s">
        <v>264</v>
      </c>
      <c r="CP1586" t="s">
        <v>265</v>
      </c>
      <c r="CQ1586" t="s">
        <v>538</v>
      </c>
      <c r="DB1586">
        <v>2</v>
      </c>
      <c r="DG1586" t="s">
        <v>267</v>
      </c>
      <c r="DI1586">
        <v>48</v>
      </c>
      <c r="DN1586" t="s">
        <v>268</v>
      </c>
      <c r="DR1586">
        <v>80836</v>
      </c>
      <c r="DS1586">
        <v>2488</v>
      </c>
      <c r="DT1586" t="s">
        <v>2136</v>
      </c>
      <c r="EW1586" t="s">
        <v>293</v>
      </c>
      <c r="FM1586">
        <v>26</v>
      </c>
      <c r="FR1586" t="s">
        <v>295</v>
      </c>
      <c r="GG1586" t="s">
        <v>278</v>
      </c>
      <c r="GH1586">
        <v>85</v>
      </c>
      <c r="GM1586" t="s">
        <v>900</v>
      </c>
      <c r="GU1586">
        <v>33</v>
      </c>
      <c r="GZ1586" t="s">
        <v>296</v>
      </c>
      <c r="HH1586" t="s">
        <v>272</v>
      </c>
      <c r="IE1586" t="s">
        <v>2137</v>
      </c>
      <c r="IF1586">
        <v>16331</v>
      </c>
      <c r="IG1586" t="s">
        <v>2138</v>
      </c>
      <c r="IH1586" t="s">
        <v>2139</v>
      </c>
      <c r="II1586">
        <v>1994</v>
      </c>
      <c r="IJ1586" t="s">
        <v>2140</v>
      </c>
    </row>
    <row r="1587" spans="1:244" x14ac:dyDescent="0.45">
      <c r="A1587">
        <v>1174926</v>
      </c>
      <c r="B1587">
        <v>37425</v>
      </c>
      <c r="C1587">
        <v>7778509</v>
      </c>
      <c r="D1587" t="s">
        <v>3280</v>
      </c>
      <c r="F1587" t="s">
        <v>245</v>
      </c>
      <c r="G1587" t="s">
        <v>246</v>
      </c>
      <c r="N1587" t="s">
        <v>345</v>
      </c>
      <c r="O1587" t="s">
        <v>346</v>
      </c>
      <c r="P1587" t="s">
        <v>249</v>
      </c>
      <c r="Q1587" t="s">
        <v>250</v>
      </c>
      <c r="R1587" t="s">
        <v>251</v>
      </c>
      <c r="T1587" t="s">
        <v>347</v>
      </c>
      <c r="U1587" t="s">
        <v>348</v>
      </c>
      <c r="V1587" t="s">
        <v>349</v>
      </c>
      <c r="W1587" t="s">
        <v>350</v>
      </c>
      <c r="X1587" t="s">
        <v>351</v>
      </c>
      <c r="Z1587" t="s">
        <v>284</v>
      </c>
      <c r="AD1587">
        <v>2</v>
      </c>
      <c r="AF1587">
        <v>3</v>
      </c>
      <c r="AG1587" t="s">
        <v>1409</v>
      </c>
      <c r="AM1587" t="s">
        <v>317</v>
      </c>
      <c r="AN1587" t="s">
        <v>259</v>
      </c>
      <c r="AO1587" t="s">
        <v>260</v>
      </c>
      <c r="AQ1587" t="s">
        <v>261</v>
      </c>
      <c r="AS1587">
        <v>10000</v>
      </c>
      <c r="AU1587">
        <v>8710</v>
      </c>
      <c r="AW1587">
        <v>12920</v>
      </c>
      <c r="AX1587" t="s">
        <v>262</v>
      </c>
      <c r="BO1587" t="s">
        <v>261</v>
      </c>
      <c r="BQ1587">
        <v>10</v>
      </c>
      <c r="BS1587">
        <v>8.7100000000000009</v>
      </c>
      <c r="BU1587">
        <v>12.92</v>
      </c>
      <c r="BV1587" t="s">
        <v>263</v>
      </c>
      <c r="CM1587" t="s">
        <v>264</v>
      </c>
      <c r="CN1587" t="s">
        <v>264</v>
      </c>
      <c r="CP1587" t="s">
        <v>265</v>
      </c>
      <c r="DB1587">
        <v>1</v>
      </c>
      <c r="DG1587" t="s">
        <v>267</v>
      </c>
      <c r="DI1587">
        <v>24</v>
      </c>
      <c r="DN1587" t="s">
        <v>268</v>
      </c>
      <c r="DR1587">
        <v>6660</v>
      </c>
      <c r="DS1587">
        <v>421</v>
      </c>
      <c r="EW1587" t="s">
        <v>271</v>
      </c>
      <c r="FK1587" t="s">
        <v>3340</v>
      </c>
      <c r="FM1587">
        <v>25</v>
      </c>
      <c r="FR1587" t="s">
        <v>295</v>
      </c>
      <c r="GO1587">
        <v>7.5</v>
      </c>
      <c r="GU1587">
        <v>35</v>
      </c>
      <c r="GZ1587" t="s">
        <v>296</v>
      </c>
      <c r="HH1587" t="s">
        <v>272</v>
      </c>
      <c r="ID1587" t="s">
        <v>3341</v>
      </c>
      <c r="IE1587" t="s">
        <v>3298</v>
      </c>
      <c r="IF1587">
        <v>15178</v>
      </c>
      <c r="IG1587" t="s">
        <v>3299</v>
      </c>
      <c r="IH1587" t="s">
        <v>3300</v>
      </c>
      <c r="II1587">
        <v>1980</v>
      </c>
      <c r="IJ1587" t="s">
        <v>3301</v>
      </c>
    </row>
    <row r="1588" spans="1:244" x14ac:dyDescent="0.45">
      <c r="A1588">
        <v>1078347</v>
      </c>
      <c r="B1588">
        <v>86090</v>
      </c>
      <c r="C1588">
        <v>7778509</v>
      </c>
      <c r="D1588" t="s">
        <v>3280</v>
      </c>
      <c r="F1588" t="s">
        <v>245</v>
      </c>
      <c r="G1588" t="s">
        <v>246</v>
      </c>
      <c r="N1588" t="s">
        <v>3239</v>
      </c>
      <c r="O1588" t="s">
        <v>1299</v>
      </c>
      <c r="P1588" t="s">
        <v>249</v>
      </c>
      <c r="Q1588" t="s">
        <v>250</v>
      </c>
      <c r="R1588" t="s">
        <v>251</v>
      </c>
      <c r="T1588" t="s">
        <v>252</v>
      </c>
      <c r="U1588" t="s">
        <v>371</v>
      </c>
      <c r="V1588" t="s">
        <v>372</v>
      </c>
      <c r="W1588" t="s">
        <v>3240</v>
      </c>
      <c r="X1588" t="s">
        <v>3241</v>
      </c>
      <c r="AM1588" t="s">
        <v>258</v>
      </c>
      <c r="AN1588" t="s">
        <v>259</v>
      </c>
      <c r="AO1588" t="s">
        <v>260</v>
      </c>
      <c r="AQ1588" t="s">
        <v>261</v>
      </c>
      <c r="AS1588">
        <v>36000</v>
      </c>
      <c r="AX1588" t="s">
        <v>262</v>
      </c>
      <c r="BO1588" t="s">
        <v>261</v>
      </c>
      <c r="BQ1588">
        <v>36</v>
      </c>
      <c r="BV1588" t="s">
        <v>263</v>
      </c>
      <c r="CM1588" t="s">
        <v>264</v>
      </c>
      <c r="CN1588" t="s">
        <v>264</v>
      </c>
      <c r="CP1588" t="s">
        <v>265</v>
      </c>
      <c r="CQ1588" t="s">
        <v>538</v>
      </c>
      <c r="DB1588">
        <v>2</v>
      </c>
      <c r="DG1588" t="s">
        <v>267</v>
      </c>
      <c r="DI1588">
        <v>48</v>
      </c>
      <c r="DN1588" t="s">
        <v>268</v>
      </c>
      <c r="DP1588" t="s">
        <v>2185</v>
      </c>
      <c r="DR1588">
        <v>236572</v>
      </c>
      <c r="DS1588">
        <v>1940</v>
      </c>
      <c r="DT1588" t="s">
        <v>3288</v>
      </c>
      <c r="EW1588" t="s">
        <v>271</v>
      </c>
      <c r="FK1588" t="s">
        <v>3293</v>
      </c>
      <c r="FM1588">
        <v>5</v>
      </c>
      <c r="FR1588" t="s">
        <v>295</v>
      </c>
      <c r="GU1588">
        <v>22.5</v>
      </c>
      <c r="GZ1588" t="s">
        <v>296</v>
      </c>
      <c r="HH1588" t="s">
        <v>272</v>
      </c>
      <c r="ID1588" t="s">
        <v>3294</v>
      </c>
      <c r="IE1588" t="s">
        <v>3289</v>
      </c>
      <c r="IF1588">
        <v>6039</v>
      </c>
      <c r="IG1588" t="s">
        <v>3290</v>
      </c>
      <c r="IH1588" t="s">
        <v>3291</v>
      </c>
      <c r="II1588">
        <v>1987</v>
      </c>
      <c r="IJ1588" t="s">
        <v>3292</v>
      </c>
    </row>
    <row r="1589" spans="1:244" x14ac:dyDescent="0.45">
      <c r="A1589">
        <v>1186878</v>
      </c>
      <c r="B1589">
        <v>138619</v>
      </c>
      <c r="C1589">
        <v>7778509</v>
      </c>
      <c r="D1589" t="s">
        <v>3280</v>
      </c>
      <c r="F1589" t="s">
        <v>245</v>
      </c>
      <c r="G1589" t="s">
        <v>246</v>
      </c>
      <c r="N1589" t="s">
        <v>789</v>
      </c>
      <c r="O1589" t="s">
        <v>790</v>
      </c>
      <c r="P1589" t="s">
        <v>249</v>
      </c>
      <c r="Q1589" t="s">
        <v>250</v>
      </c>
      <c r="R1589" t="s">
        <v>251</v>
      </c>
      <c r="T1589" t="s">
        <v>252</v>
      </c>
      <c r="U1589" t="s">
        <v>253</v>
      </c>
      <c r="V1589" t="s">
        <v>418</v>
      </c>
      <c r="W1589" t="s">
        <v>791</v>
      </c>
      <c r="X1589" t="s">
        <v>792</v>
      </c>
      <c r="Z1589" t="s">
        <v>284</v>
      </c>
      <c r="AL1589" t="s">
        <v>1816</v>
      </c>
      <c r="AM1589" t="s">
        <v>258</v>
      </c>
      <c r="AN1589" t="s">
        <v>259</v>
      </c>
      <c r="AO1589" t="s">
        <v>260</v>
      </c>
      <c r="AQ1589" t="s">
        <v>261</v>
      </c>
      <c r="AS1589">
        <v>2092</v>
      </c>
      <c r="AX1589" t="s">
        <v>262</v>
      </c>
      <c r="BO1589" t="s">
        <v>261</v>
      </c>
      <c r="BQ1589">
        <v>2.0920000000000001</v>
      </c>
      <c r="BV1589" t="s">
        <v>263</v>
      </c>
      <c r="CM1589" t="s">
        <v>264</v>
      </c>
      <c r="CN1589" t="s">
        <v>264</v>
      </c>
      <c r="CP1589" t="s">
        <v>265</v>
      </c>
      <c r="DB1589">
        <v>1</v>
      </c>
      <c r="DG1589" t="s">
        <v>267</v>
      </c>
      <c r="DI1589">
        <v>24</v>
      </c>
      <c r="DN1589" t="s">
        <v>268</v>
      </c>
      <c r="DR1589">
        <v>161924</v>
      </c>
      <c r="DS1589">
        <v>3045</v>
      </c>
      <c r="EW1589" t="s">
        <v>272</v>
      </c>
      <c r="FM1589">
        <v>28</v>
      </c>
      <c r="FR1589" t="s">
        <v>295</v>
      </c>
      <c r="GO1589">
        <v>8.1999999999999993</v>
      </c>
      <c r="GU1589">
        <v>32</v>
      </c>
      <c r="GZ1589" t="s">
        <v>296</v>
      </c>
      <c r="HH1589" t="s">
        <v>272</v>
      </c>
      <c r="IE1589" t="s">
        <v>1652</v>
      </c>
      <c r="IF1589">
        <v>16613</v>
      </c>
      <c r="IG1589" t="s">
        <v>1653</v>
      </c>
      <c r="IH1589" t="s">
        <v>1654</v>
      </c>
      <c r="II1589">
        <v>1994</v>
      </c>
      <c r="IJ1589" t="s">
        <v>1655</v>
      </c>
    </row>
    <row r="1590" spans="1:244" x14ac:dyDescent="0.45">
      <c r="A1590">
        <v>1182172</v>
      </c>
      <c r="B1590">
        <v>160078</v>
      </c>
      <c r="C1590">
        <v>7778509</v>
      </c>
      <c r="D1590" t="s">
        <v>3280</v>
      </c>
      <c r="F1590" t="s">
        <v>245</v>
      </c>
      <c r="G1590" t="s">
        <v>246</v>
      </c>
      <c r="I1590">
        <v>99</v>
      </c>
      <c r="N1590" t="s">
        <v>345</v>
      </c>
      <c r="O1590" t="s">
        <v>346</v>
      </c>
      <c r="P1590" t="s">
        <v>249</v>
      </c>
      <c r="Q1590" t="s">
        <v>250</v>
      </c>
      <c r="R1590" t="s">
        <v>251</v>
      </c>
      <c r="T1590" t="s">
        <v>347</v>
      </c>
      <c r="U1590" t="s">
        <v>348</v>
      </c>
      <c r="V1590" t="s">
        <v>349</v>
      </c>
      <c r="W1590" t="s">
        <v>350</v>
      </c>
      <c r="X1590" t="s">
        <v>351</v>
      </c>
      <c r="Z1590" t="s">
        <v>1034</v>
      </c>
      <c r="AL1590" t="s">
        <v>2663</v>
      </c>
      <c r="AM1590" t="s">
        <v>317</v>
      </c>
      <c r="AN1590" t="s">
        <v>259</v>
      </c>
      <c r="AO1590" t="s">
        <v>260</v>
      </c>
      <c r="AQ1590" t="s">
        <v>261</v>
      </c>
      <c r="AS1590">
        <v>59500</v>
      </c>
      <c r="AX1590" t="s">
        <v>262</v>
      </c>
      <c r="BO1590" t="s">
        <v>261</v>
      </c>
      <c r="BQ1590">
        <v>59.5</v>
      </c>
      <c r="BV1590" t="s">
        <v>263</v>
      </c>
      <c r="CM1590" t="s">
        <v>264</v>
      </c>
      <c r="CN1590" t="s">
        <v>264</v>
      </c>
      <c r="CP1590" t="s">
        <v>265</v>
      </c>
      <c r="DB1590">
        <v>1</v>
      </c>
      <c r="DG1590" t="s">
        <v>267</v>
      </c>
      <c r="DI1590">
        <v>24</v>
      </c>
      <c r="DN1590" t="s">
        <v>268</v>
      </c>
      <c r="DO1590" t="s">
        <v>1587</v>
      </c>
      <c r="DP1590" t="s">
        <v>3281</v>
      </c>
      <c r="DR1590">
        <v>6660</v>
      </c>
      <c r="DS1590">
        <v>421</v>
      </c>
      <c r="DT1590" t="s">
        <v>2665</v>
      </c>
      <c r="EW1590" t="s">
        <v>293</v>
      </c>
      <c r="FA1590" t="s">
        <v>2789</v>
      </c>
      <c r="FM1590">
        <v>25</v>
      </c>
      <c r="FR1590" t="s">
        <v>295</v>
      </c>
      <c r="GU1590">
        <v>15</v>
      </c>
      <c r="GZ1590" t="s">
        <v>296</v>
      </c>
      <c r="HH1590" t="s">
        <v>272</v>
      </c>
      <c r="IE1590" t="s">
        <v>2667</v>
      </c>
      <c r="IF1590">
        <v>16031</v>
      </c>
      <c r="IG1590" t="s">
        <v>2668</v>
      </c>
      <c r="IH1590" t="s">
        <v>2669</v>
      </c>
      <c r="II1590">
        <v>1995</v>
      </c>
      <c r="IJ1590" t="s">
        <v>2670</v>
      </c>
    </row>
    <row r="1591" spans="1:244" x14ac:dyDescent="0.45">
      <c r="A1591">
        <v>1212445</v>
      </c>
      <c r="B1591">
        <v>192575</v>
      </c>
      <c r="C1591">
        <v>7778509</v>
      </c>
      <c r="D1591" t="s">
        <v>3280</v>
      </c>
      <c r="F1591" t="s">
        <v>245</v>
      </c>
      <c r="G1591" t="s">
        <v>246</v>
      </c>
      <c r="N1591" t="s">
        <v>3303</v>
      </c>
      <c r="O1591" t="s">
        <v>388</v>
      </c>
      <c r="P1591" t="s">
        <v>249</v>
      </c>
      <c r="Q1591" t="s">
        <v>250</v>
      </c>
      <c r="R1591" t="s">
        <v>251</v>
      </c>
      <c r="T1591" t="s">
        <v>389</v>
      </c>
      <c r="U1591" t="s">
        <v>390</v>
      </c>
      <c r="V1591" t="s">
        <v>472</v>
      </c>
      <c r="W1591" t="s">
        <v>473</v>
      </c>
      <c r="X1591" t="s">
        <v>1446</v>
      </c>
      <c r="Z1591" t="s">
        <v>315</v>
      </c>
      <c r="AB1591">
        <v>15</v>
      </c>
      <c r="AG1591" t="s">
        <v>267</v>
      </c>
      <c r="AL1591" t="s">
        <v>3304</v>
      </c>
      <c r="AM1591" t="s">
        <v>287</v>
      </c>
      <c r="AN1591" t="s">
        <v>259</v>
      </c>
      <c r="AO1591" t="s">
        <v>260</v>
      </c>
      <c r="AQ1591" t="s">
        <v>261</v>
      </c>
      <c r="AT1591" t="s">
        <v>288</v>
      </c>
      <c r="AU1591">
        <v>15000</v>
      </c>
      <c r="AV1591" t="s">
        <v>289</v>
      </c>
      <c r="AW1591">
        <v>20000</v>
      </c>
      <c r="AX1591" t="s">
        <v>262</v>
      </c>
      <c r="BO1591" t="s">
        <v>261</v>
      </c>
      <c r="BR1591" t="s">
        <v>288</v>
      </c>
      <c r="BS1591">
        <v>15</v>
      </c>
      <c r="BT1591" t="s">
        <v>289</v>
      </c>
      <c r="BU1591">
        <v>20</v>
      </c>
      <c r="BV1591" t="s">
        <v>263</v>
      </c>
      <c r="CM1591" t="s">
        <v>264</v>
      </c>
      <c r="CN1591" t="s">
        <v>264</v>
      </c>
      <c r="CP1591" t="s">
        <v>265</v>
      </c>
      <c r="DB1591">
        <v>2</v>
      </c>
      <c r="DG1591" t="s">
        <v>267</v>
      </c>
      <c r="DI1591">
        <v>48</v>
      </c>
      <c r="DN1591" t="s">
        <v>268</v>
      </c>
      <c r="DS1591">
        <v>10240</v>
      </c>
      <c r="DT1591" t="s">
        <v>3305</v>
      </c>
      <c r="EW1591" t="s">
        <v>293</v>
      </c>
      <c r="FK1591" t="s">
        <v>1186</v>
      </c>
      <c r="FM1591">
        <v>16.5</v>
      </c>
      <c r="FR1591" t="s">
        <v>295</v>
      </c>
      <c r="HH1591" t="s">
        <v>272</v>
      </c>
      <c r="ID1591" t="s">
        <v>1187</v>
      </c>
      <c r="IE1591" t="s">
        <v>3306</v>
      </c>
      <c r="IF1591">
        <v>19811</v>
      </c>
      <c r="IG1591" t="s">
        <v>3307</v>
      </c>
      <c r="IH1591" t="s">
        <v>3308</v>
      </c>
      <c r="II1591">
        <v>1998</v>
      </c>
      <c r="IJ1591" t="s">
        <v>3309</v>
      </c>
    </row>
    <row r="1592" spans="1:244" x14ac:dyDescent="0.45">
      <c r="A1592">
        <v>1035059</v>
      </c>
      <c r="B1592">
        <v>107206</v>
      </c>
      <c r="C1592">
        <v>7778509</v>
      </c>
      <c r="D1592" t="s">
        <v>3280</v>
      </c>
      <c r="F1592" t="s">
        <v>245</v>
      </c>
      <c r="G1592" t="s">
        <v>246</v>
      </c>
      <c r="N1592" t="s">
        <v>452</v>
      </c>
      <c r="O1592" t="s">
        <v>346</v>
      </c>
      <c r="P1592" t="s">
        <v>249</v>
      </c>
      <c r="Q1592" t="s">
        <v>250</v>
      </c>
      <c r="R1592" t="s">
        <v>251</v>
      </c>
      <c r="T1592" t="s">
        <v>347</v>
      </c>
      <c r="U1592" t="s">
        <v>348</v>
      </c>
      <c r="V1592" t="s">
        <v>349</v>
      </c>
      <c r="W1592" t="s">
        <v>350</v>
      </c>
      <c r="X1592" t="s">
        <v>453</v>
      </c>
      <c r="AD1592">
        <v>2</v>
      </c>
      <c r="AF1592">
        <v>3</v>
      </c>
      <c r="AG1592" t="s">
        <v>1409</v>
      </c>
      <c r="AL1592" t="s">
        <v>3316</v>
      </c>
      <c r="AM1592" t="s">
        <v>317</v>
      </c>
      <c r="AN1592" t="s">
        <v>259</v>
      </c>
      <c r="AO1592" t="s">
        <v>260</v>
      </c>
      <c r="AQ1592" t="s">
        <v>261</v>
      </c>
      <c r="AS1592">
        <v>191300</v>
      </c>
      <c r="AU1592">
        <v>172700</v>
      </c>
      <c r="AW1592">
        <v>209000</v>
      </c>
      <c r="AX1592" t="s">
        <v>262</v>
      </c>
      <c r="BO1592" t="s">
        <v>261</v>
      </c>
      <c r="BQ1592">
        <v>191.3</v>
      </c>
      <c r="BS1592">
        <v>172.7</v>
      </c>
      <c r="BU1592">
        <v>209</v>
      </c>
      <c r="BV1592" t="s">
        <v>263</v>
      </c>
      <c r="CM1592" t="s">
        <v>264</v>
      </c>
      <c r="CN1592" t="s">
        <v>264</v>
      </c>
      <c r="CP1592" t="s">
        <v>265</v>
      </c>
      <c r="CQ1592" t="s">
        <v>538</v>
      </c>
      <c r="DB1592">
        <v>1</v>
      </c>
      <c r="DG1592" t="s">
        <v>267</v>
      </c>
      <c r="DI1592">
        <v>24</v>
      </c>
      <c r="DN1592" t="s">
        <v>268</v>
      </c>
      <c r="DR1592">
        <v>85549</v>
      </c>
      <c r="DS1592">
        <v>366</v>
      </c>
      <c r="DT1592" t="s">
        <v>3317</v>
      </c>
      <c r="EW1592" t="s">
        <v>271</v>
      </c>
      <c r="FM1592">
        <v>15</v>
      </c>
      <c r="FR1592" t="s">
        <v>295</v>
      </c>
      <c r="GU1592">
        <v>35</v>
      </c>
      <c r="GZ1592" t="s">
        <v>296</v>
      </c>
      <c r="HH1592" t="s">
        <v>272</v>
      </c>
      <c r="IE1592" t="s">
        <v>3318</v>
      </c>
      <c r="IF1592">
        <v>2151</v>
      </c>
      <c r="IG1592" t="s">
        <v>3319</v>
      </c>
      <c r="IH1592" t="s">
        <v>3320</v>
      </c>
      <c r="II1592">
        <v>1989</v>
      </c>
      <c r="IJ1592" t="s">
        <v>3321</v>
      </c>
    </row>
    <row r="1593" spans="1:244" x14ac:dyDescent="0.45">
      <c r="A1593">
        <v>1325186</v>
      </c>
      <c r="B1593">
        <v>784458</v>
      </c>
      <c r="C1593">
        <v>7778509</v>
      </c>
      <c r="D1593" t="s">
        <v>3280</v>
      </c>
      <c r="E1593" t="s">
        <v>622</v>
      </c>
      <c r="F1593" t="s">
        <v>245</v>
      </c>
      <c r="G1593" t="s">
        <v>246</v>
      </c>
      <c r="I1593">
        <v>99</v>
      </c>
      <c r="N1593" t="s">
        <v>1298</v>
      </c>
      <c r="O1593" t="s">
        <v>1299</v>
      </c>
      <c r="P1593" t="s">
        <v>249</v>
      </c>
      <c r="Q1593" t="s">
        <v>250</v>
      </c>
      <c r="R1593" t="s">
        <v>251</v>
      </c>
      <c r="T1593" t="s">
        <v>252</v>
      </c>
      <c r="U1593" t="s">
        <v>371</v>
      </c>
      <c r="V1593" t="s">
        <v>372</v>
      </c>
      <c r="W1593" t="s">
        <v>1300</v>
      </c>
      <c r="X1593" t="s">
        <v>1301</v>
      </c>
      <c r="Z1593" t="s">
        <v>649</v>
      </c>
      <c r="AD1593">
        <v>2</v>
      </c>
      <c r="AF1593">
        <v>3</v>
      </c>
      <c r="AG1593" t="s">
        <v>267</v>
      </c>
      <c r="AM1593" t="s">
        <v>317</v>
      </c>
      <c r="AN1593" t="s">
        <v>259</v>
      </c>
      <c r="AO1593" t="s">
        <v>260</v>
      </c>
      <c r="AP1593" t="s">
        <v>559</v>
      </c>
      <c r="AQ1593" t="s">
        <v>261</v>
      </c>
      <c r="AS1593">
        <v>4.0199999999999996</v>
      </c>
      <c r="AX1593" t="s">
        <v>356</v>
      </c>
      <c r="BO1593" t="s">
        <v>261</v>
      </c>
      <c r="BQ1593">
        <v>4.0199999999999996</v>
      </c>
      <c r="BV1593" t="s">
        <v>263</v>
      </c>
      <c r="CM1593" t="s">
        <v>264</v>
      </c>
      <c r="CN1593" t="s">
        <v>264</v>
      </c>
      <c r="CP1593" t="s">
        <v>265</v>
      </c>
      <c r="CQ1593" t="s">
        <v>3311</v>
      </c>
      <c r="DB1593">
        <v>2</v>
      </c>
      <c r="DG1593" t="s">
        <v>267</v>
      </c>
      <c r="DI1593">
        <v>48</v>
      </c>
      <c r="DN1593" t="s">
        <v>268</v>
      </c>
      <c r="DO1593" t="s">
        <v>1587</v>
      </c>
      <c r="DP1593" t="s">
        <v>3312</v>
      </c>
      <c r="DS1593">
        <v>20391</v>
      </c>
      <c r="DT1593" t="s">
        <v>1302</v>
      </c>
      <c r="EW1593" t="s">
        <v>293</v>
      </c>
      <c r="FA1593" t="s">
        <v>3342</v>
      </c>
      <c r="FK1593" t="s">
        <v>3343</v>
      </c>
      <c r="FM1593">
        <v>25</v>
      </c>
      <c r="FR1593" t="s">
        <v>295</v>
      </c>
      <c r="GG1593" t="s">
        <v>288</v>
      </c>
      <c r="GH1593">
        <v>80</v>
      </c>
      <c r="GM1593" t="s">
        <v>1224</v>
      </c>
      <c r="GQ1593">
        <v>7.5</v>
      </c>
      <c r="GS1593">
        <v>8.5</v>
      </c>
      <c r="GU1593">
        <v>25</v>
      </c>
      <c r="GZ1593" t="s">
        <v>900</v>
      </c>
      <c r="HH1593" t="s">
        <v>272</v>
      </c>
      <c r="ID1593" t="s">
        <v>3344</v>
      </c>
      <c r="IE1593" t="s">
        <v>1306</v>
      </c>
      <c r="IF1593">
        <v>117932</v>
      </c>
      <c r="IG1593" t="s">
        <v>1307</v>
      </c>
      <c r="IH1593" t="s">
        <v>1308</v>
      </c>
      <c r="II1593">
        <v>2008</v>
      </c>
      <c r="IJ1593" t="s">
        <v>1309</v>
      </c>
    </row>
    <row r="1594" spans="1:244" x14ac:dyDescent="0.45">
      <c r="A1594">
        <v>1325184</v>
      </c>
      <c r="B1594">
        <v>784456</v>
      </c>
      <c r="C1594">
        <v>7778509</v>
      </c>
      <c r="D1594" t="s">
        <v>3280</v>
      </c>
      <c r="E1594" t="s">
        <v>622</v>
      </c>
      <c r="F1594" t="s">
        <v>245</v>
      </c>
      <c r="G1594" t="s">
        <v>246</v>
      </c>
      <c r="I1594">
        <v>99</v>
      </c>
      <c r="N1594" t="s">
        <v>1298</v>
      </c>
      <c r="O1594" t="s">
        <v>1299</v>
      </c>
      <c r="P1594" t="s">
        <v>249</v>
      </c>
      <c r="Q1594" t="s">
        <v>250</v>
      </c>
      <c r="R1594" t="s">
        <v>251</v>
      </c>
      <c r="T1594" t="s">
        <v>252</v>
      </c>
      <c r="U1594" t="s">
        <v>371</v>
      </c>
      <c r="V1594" t="s">
        <v>372</v>
      </c>
      <c r="W1594" t="s">
        <v>1300</v>
      </c>
      <c r="X1594" t="s">
        <v>1301</v>
      </c>
      <c r="Z1594" t="s">
        <v>649</v>
      </c>
      <c r="AD1594">
        <v>2</v>
      </c>
      <c r="AF1594">
        <v>3</v>
      </c>
      <c r="AG1594" t="s">
        <v>267</v>
      </c>
      <c r="AM1594" t="s">
        <v>317</v>
      </c>
      <c r="AN1594" t="s">
        <v>259</v>
      </c>
      <c r="AO1594" t="s">
        <v>260</v>
      </c>
      <c r="AP1594" t="s">
        <v>559</v>
      </c>
      <c r="AQ1594" t="s">
        <v>261</v>
      </c>
      <c r="AS1594">
        <v>4.29</v>
      </c>
      <c r="AX1594" t="s">
        <v>356</v>
      </c>
      <c r="BO1594" t="s">
        <v>261</v>
      </c>
      <c r="BQ1594">
        <v>4.29</v>
      </c>
      <c r="BV1594" t="s">
        <v>263</v>
      </c>
      <c r="CM1594" t="s">
        <v>264</v>
      </c>
      <c r="CN1594" t="s">
        <v>264</v>
      </c>
      <c r="CP1594" t="s">
        <v>265</v>
      </c>
      <c r="CQ1594" t="s">
        <v>3311</v>
      </c>
      <c r="DB1594">
        <v>2</v>
      </c>
      <c r="DG1594" t="s">
        <v>267</v>
      </c>
      <c r="DI1594">
        <v>48</v>
      </c>
      <c r="DN1594" t="s">
        <v>268</v>
      </c>
      <c r="DO1594" t="s">
        <v>1587</v>
      </c>
      <c r="DP1594" t="s">
        <v>3312</v>
      </c>
      <c r="DS1594">
        <v>20391</v>
      </c>
      <c r="DT1594" t="s">
        <v>1302</v>
      </c>
      <c r="EW1594" t="s">
        <v>293</v>
      </c>
      <c r="FA1594" t="s">
        <v>3313</v>
      </c>
      <c r="FK1594" t="s">
        <v>3345</v>
      </c>
      <c r="FM1594">
        <v>25</v>
      </c>
      <c r="FR1594" t="s">
        <v>295</v>
      </c>
      <c r="GG1594" t="s">
        <v>288</v>
      </c>
      <c r="GH1594">
        <v>80</v>
      </c>
      <c r="GM1594" t="s">
        <v>1224</v>
      </c>
      <c r="GQ1594">
        <v>7.5</v>
      </c>
      <c r="GS1594">
        <v>8.5</v>
      </c>
      <c r="GU1594">
        <v>25</v>
      </c>
      <c r="GZ1594" t="s">
        <v>900</v>
      </c>
      <c r="HH1594" t="s">
        <v>272</v>
      </c>
      <c r="ID1594" t="s">
        <v>3346</v>
      </c>
      <c r="IE1594" t="s">
        <v>1306</v>
      </c>
      <c r="IF1594">
        <v>117932</v>
      </c>
      <c r="IG1594" t="s">
        <v>1307</v>
      </c>
      <c r="IH1594" t="s">
        <v>1308</v>
      </c>
      <c r="II1594">
        <v>2008</v>
      </c>
      <c r="IJ1594" t="s">
        <v>1309</v>
      </c>
    </row>
    <row r="1595" spans="1:244" x14ac:dyDescent="0.45">
      <c r="A1595">
        <v>1325202</v>
      </c>
      <c r="B1595">
        <v>784474</v>
      </c>
      <c r="C1595">
        <v>7778509</v>
      </c>
      <c r="D1595" t="s">
        <v>3280</v>
      </c>
      <c r="E1595" t="s">
        <v>622</v>
      </c>
      <c r="F1595" t="s">
        <v>245</v>
      </c>
      <c r="G1595" t="s">
        <v>246</v>
      </c>
      <c r="I1595">
        <v>99</v>
      </c>
      <c r="N1595" t="s">
        <v>1298</v>
      </c>
      <c r="O1595" t="s">
        <v>1299</v>
      </c>
      <c r="P1595" t="s">
        <v>249</v>
      </c>
      <c r="Q1595" t="s">
        <v>250</v>
      </c>
      <c r="R1595" t="s">
        <v>251</v>
      </c>
      <c r="T1595" t="s">
        <v>252</v>
      </c>
      <c r="U1595" t="s">
        <v>371</v>
      </c>
      <c r="V1595" t="s">
        <v>372</v>
      </c>
      <c r="W1595" t="s">
        <v>1300</v>
      </c>
      <c r="X1595" t="s">
        <v>1301</v>
      </c>
      <c r="Z1595" t="s">
        <v>649</v>
      </c>
      <c r="AD1595">
        <v>2</v>
      </c>
      <c r="AF1595">
        <v>3</v>
      </c>
      <c r="AG1595" t="s">
        <v>267</v>
      </c>
      <c r="AM1595" t="s">
        <v>317</v>
      </c>
      <c r="AN1595" t="s">
        <v>259</v>
      </c>
      <c r="AO1595" t="s">
        <v>260</v>
      </c>
      <c r="AP1595" t="s">
        <v>559</v>
      </c>
      <c r="AQ1595" t="s">
        <v>261</v>
      </c>
      <c r="AS1595">
        <v>2.2999999999999998</v>
      </c>
      <c r="AX1595" t="s">
        <v>356</v>
      </c>
      <c r="BO1595" t="s">
        <v>261</v>
      </c>
      <c r="BQ1595">
        <v>2.2999999999999998</v>
      </c>
      <c r="BV1595" t="s">
        <v>263</v>
      </c>
      <c r="CM1595" t="s">
        <v>264</v>
      </c>
      <c r="CN1595" t="s">
        <v>264</v>
      </c>
      <c r="CP1595" t="s">
        <v>265</v>
      </c>
      <c r="CQ1595" t="s">
        <v>3311</v>
      </c>
      <c r="DB1595">
        <v>4</v>
      </c>
      <c r="DG1595" t="s">
        <v>267</v>
      </c>
      <c r="DI1595">
        <v>96</v>
      </c>
      <c r="DN1595" t="s">
        <v>268</v>
      </c>
      <c r="DO1595" t="s">
        <v>1587</v>
      </c>
      <c r="DP1595" t="s">
        <v>3312</v>
      </c>
      <c r="DS1595">
        <v>20391</v>
      </c>
      <c r="DT1595" t="s">
        <v>1302</v>
      </c>
      <c r="EW1595" t="s">
        <v>293</v>
      </c>
      <c r="FA1595" t="s">
        <v>3347</v>
      </c>
      <c r="FK1595" t="s">
        <v>3348</v>
      </c>
      <c r="FM1595">
        <v>25</v>
      </c>
      <c r="FR1595" t="s">
        <v>295</v>
      </c>
      <c r="GG1595" t="s">
        <v>288</v>
      </c>
      <c r="GH1595">
        <v>80</v>
      </c>
      <c r="GM1595" t="s">
        <v>1224</v>
      </c>
      <c r="GQ1595">
        <v>7.5</v>
      </c>
      <c r="GS1595">
        <v>8.5</v>
      </c>
      <c r="GU1595">
        <v>25</v>
      </c>
      <c r="GZ1595" t="s">
        <v>900</v>
      </c>
      <c r="HH1595" t="s">
        <v>272</v>
      </c>
      <c r="ID1595" t="s">
        <v>3349</v>
      </c>
      <c r="IE1595" t="s">
        <v>1306</v>
      </c>
      <c r="IF1595">
        <v>117932</v>
      </c>
      <c r="IG1595" t="s">
        <v>1307</v>
      </c>
      <c r="IH1595" t="s">
        <v>1308</v>
      </c>
      <c r="II1595">
        <v>2008</v>
      </c>
      <c r="IJ1595" t="s">
        <v>1309</v>
      </c>
    </row>
    <row r="1596" spans="1:244" x14ac:dyDescent="0.45">
      <c r="A1596">
        <v>1174936</v>
      </c>
      <c r="B1596">
        <v>58782</v>
      </c>
      <c r="C1596">
        <v>7778509</v>
      </c>
      <c r="D1596" t="s">
        <v>3280</v>
      </c>
      <c r="F1596" t="s">
        <v>245</v>
      </c>
      <c r="G1596" t="s">
        <v>246</v>
      </c>
      <c r="N1596" t="s">
        <v>345</v>
      </c>
      <c r="O1596" t="s">
        <v>346</v>
      </c>
      <c r="P1596" t="s">
        <v>249</v>
      </c>
      <c r="Q1596" t="s">
        <v>250</v>
      </c>
      <c r="R1596" t="s">
        <v>251</v>
      </c>
      <c r="T1596" t="s">
        <v>347</v>
      </c>
      <c r="U1596" t="s">
        <v>348</v>
      </c>
      <c r="V1596" t="s">
        <v>349</v>
      </c>
      <c r="W1596" t="s">
        <v>350</v>
      </c>
      <c r="X1596" t="s">
        <v>351</v>
      </c>
      <c r="Z1596" t="s">
        <v>284</v>
      </c>
      <c r="AD1596">
        <v>2</v>
      </c>
      <c r="AF1596">
        <v>3</v>
      </c>
      <c r="AG1596" t="s">
        <v>1409</v>
      </c>
      <c r="AM1596" t="s">
        <v>317</v>
      </c>
      <c r="AN1596" t="s">
        <v>259</v>
      </c>
      <c r="AO1596" t="s">
        <v>260</v>
      </c>
      <c r="AQ1596" t="s">
        <v>261</v>
      </c>
      <c r="AS1596">
        <v>12000</v>
      </c>
      <c r="AU1596">
        <v>10700</v>
      </c>
      <c r="AW1596">
        <v>14300</v>
      </c>
      <c r="AX1596" t="s">
        <v>262</v>
      </c>
      <c r="BO1596" t="s">
        <v>261</v>
      </c>
      <c r="BQ1596">
        <v>12</v>
      </c>
      <c r="BS1596">
        <v>10.7</v>
      </c>
      <c r="BU1596">
        <v>14.3</v>
      </c>
      <c r="BV1596" t="s">
        <v>263</v>
      </c>
      <c r="CM1596" t="s">
        <v>264</v>
      </c>
      <c r="CN1596" t="s">
        <v>264</v>
      </c>
      <c r="CP1596" t="s">
        <v>265</v>
      </c>
      <c r="DB1596">
        <v>1</v>
      </c>
      <c r="DG1596" t="s">
        <v>267</v>
      </c>
      <c r="DI1596">
        <v>24</v>
      </c>
      <c r="DN1596" t="s">
        <v>268</v>
      </c>
      <c r="DR1596">
        <v>6660</v>
      </c>
      <c r="DS1596">
        <v>421</v>
      </c>
      <c r="EW1596" t="s">
        <v>271</v>
      </c>
      <c r="FK1596" t="s">
        <v>3350</v>
      </c>
      <c r="FM1596">
        <v>25</v>
      </c>
      <c r="FR1596" t="s">
        <v>295</v>
      </c>
      <c r="GO1596">
        <v>7.5</v>
      </c>
      <c r="GU1596">
        <v>35</v>
      </c>
      <c r="GZ1596" t="s">
        <v>296</v>
      </c>
      <c r="HH1596" t="s">
        <v>272</v>
      </c>
      <c r="ID1596" t="s">
        <v>3351</v>
      </c>
      <c r="IE1596" t="s">
        <v>3298</v>
      </c>
      <c r="IF1596">
        <v>15178</v>
      </c>
      <c r="IG1596" t="s">
        <v>3299</v>
      </c>
      <c r="IH1596" t="s">
        <v>3300</v>
      </c>
      <c r="II1596">
        <v>1980</v>
      </c>
      <c r="IJ1596" t="s">
        <v>3301</v>
      </c>
    </row>
    <row r="1597" spans="1:244" x14ac:dyDescent="0.45">
      <c r="A1597">
        <v>1325193</v>
      </c>
      <c r="B1597">
        <v>784465</v>
      </c>
      <c r="C1597">
        <v>7778509</v>
      </c>
      <c r="D1597" t="s">
        <v>3280</v>
      </c>
      <c r="E1597" t="s">
        <v>622</v>
      </c>
      <c r="F1597" t="s">
        <v>245</v>
      </c>
      <c r="G1597" t="s">
        <v>246</v>
      </c>
      <c r="I1597">
        <v>99</v>
      </c>
      <c r="N1597" t="s">
        <v>1298</v>
      </c>
      <c r="O1597" t="s">
        <v>1299</v>
      </c>
      <c r="P1597" t="s">
        <v>249</v>
      </c>
      <c r="Q1597" t="s">
        <v>250</v>
      </c>
      <c r="R1597" t="s">
        <v>251</v>
      </c>
      <c r="T1597" t="s">
        <v>252</v>
      </c>
      <c r="U1597" t="s">
        <v>371</v>
      </c>
      <c r="V1597" t="s">
        <v>372</v>
      </c>
      <c r="W1597" t="s">
        <v>1300</v>
      </c>
      <c r="X1597" t="s">
        <v>1301</v>
      </c>
      <c r="Z1597" t="s">
        <v>649</v>
      </c>
      <c r="AD1597">
        <v>2</v>
      </c>
      <c r="AF1597">
        <v>3</v>
      </c>
      <c r="AG1597" t="s">
        <v>267</v>
      </c>
      <c r="AM1597" t="s">
        <v>317</v>
      </c>
      <c r="AN1597" t="s">
        <v>259</v>
      </c>
      <c r="AO1597" t="s">
        <v>260</v>
      </c>
      <c r="AP1597" t="s">
        <v>559</v>
      </c>
      <c r="AQ1597" t="s">
        <v>261</v>
      </c>
      <c r="AS1597">
        <v>4.1500000000000004</v>
      </c>
      <c r="AX1597" t="s">
        <v>356</v>
      </c>
      <c r="BO1597" t="s">
        <v>261</v>
      </c>
      <c r="BQ1597">
        <v>4.1500000000000004</v>
      </c>
      <c r="BV1597" t="s">
        <v>263</v>
      </c>
      <c r="CM1597" t="s">
        <v>264</v>
      </c>
      <c r="CN1597" t="s">
        <v>264</v>
      </c>
      <c r="CP1597" t="s">
        <v>265</v>
      </c>
      <c r="CQ1597" t="s">
        <v>3311</v>
      </c>
      <c r="DB1597">
        <v>2</v>
      </c>
      <c r="DG1597" t="s">
        <v>267</v>
      </c>
      <c r="DI1597">
        <v>48</v>
      </c>
      <c r="DN1597" t="s">
        <v>268</v>
      </c>
      <c r="DO1597" t="s">
        <v>1587</v>
      </c>
      <c r="DP1597" t="s">
        <v>3312</v>
      </c>
      <c r="DS1597">
        <v>20391</v>
      </c>
      <c r="DT1597" t="s">
        <v>1302</v>
      </c>
      <c r="EW1597" t="s">
        <v>293</v>
      </c>
      <c r="FA1597" t="s">
        <v>3352</v>
      </c>
      <c r="FK1597" t="s">
        <v>3353</v>
      </c>
      <c r="FM1597">
        <v>25</v>
      </c>
      <c r="FR1597" t="s">
        <v>295</v>
      </c>
      <c r="GG1597" t="s">
        <v>288</v>
      </c>
      <c r="GH1597">
        <v>80</v>
      </c>
      <c r="GM1597" t="s">
        <v>1224</v>
      </c>
      <c r="GQ1597">
        <v>7.5</v>
      </c>
      <c r="GS1597">
        <v>8.5</v>
      </c>
      <c r="GU1597">
        <v>25</v>
      </c>
      <c r="GZ1597" t="s">
        <v>900</v>
      </c>
      <c r="HH1597" t="s">
        <v>272</v>
      </c>
      <c r="ID1597" t="s">
        <v>3354</v>
      </c>
      <c r="IE1597" t="s">
        <v>1306</v>
      </c>
      <c r="IF1597">
        <v>117932</v>
      </c>
      <c r="IG1597" t="s">
        <v>1307</v>
      </c>
      <c r="IH1597" t="s">
        <v>1308</v>
      </c>
      <c r="II1597">
        <v>2008</v>
      </c>
      <c r="IJ1597" t="s">
        <v>1309</v>
      </c>
    </row>
    <row r="1598" spans="1:244" x14ac:dyDescent="0.45">
      <c r="A1598">
        <v>1111593</v>
      </c>
      <c r="B1598">
        <v>24239</v>
      </c>
      <c r="C1598">
        <v>7778509</v>
      </c>
      <c r="D1598" t="s">
        <v>3280</v>
      </c>
      <c r="F1598" t="s">
        <v>245</v>
      </c>
      <c r="G1598" t="s">
        <v>246</v>
      </c>
      <c r="N1598" t="s">
        <v>418</v>
      </c>
      <c r="O1598" t="s">
        <v>3355</v>
      </c>
      <c r="P1598" t="s">
        <v>249</v>
      </c>
      <c r="Q1598" t="s">
        <v>250</v>
      </c>
      <c r="R1598" t="s">
        <v>251</v>
      </c>
      <c r="T1598" t="s">
        <v>252</v>
      </c>
      <c r="U1598" t="s">
        <v>253</v>
      </c>
      <c r="V1598" t="s">
        <v>418</v>
      </c>
      <c r="AL1598" t="s">
        <v>3356</v>
      </c>
      <c r="AM1598" t="s">
        <v>307</v>
      </c>
      <c r="AN1598" t="s">
        <v>259</v>
      </c>
      <c r="AO1598" t="s">
        <v>260</v>
      </c>
      <c r="AQ1598" t="s">
        <v>261</v>
      </c>
      <c r="AU1598">
        <v>30000</v>
      </c>
      <c r="AW1598">
        <v>45000</v>
      </c>
      <c r="AX1598" t="s">
        <v>262</v>
      </c>
      <c r="BO1598" t="s">
        <v>261</v>
      </c>
      <c r="BS1598">
        <v>30</v>
      </c>
      <c r="BU1598">
        <v>45</v>
      </c>
      <c r="BV1598" t="s">
        <v>263</v>
      </c>
      <c r="CM1598" t="s">
        <v>264</v>
      </c>
      <c r="CN1598" t="s">
        <v>264</v>
      </c>
      <c r="CP1598" t="s">
        <v>265</v>
      </c>
      <c r="DB1598">
        <v>4</v>
      </c>
      <c r="DG1598" t="s">
        <v>267</v>
      </c>
      <c r="DI1598">
        <v>96</v>
      </c>
      <c r="DN1598" t="s">
        <v>268</v>
      </c>
      <c r="DR1598">
        <v>6685</v>
      </c>
      <c r="DS1598">
        <v>1573</v>
      </c>
      <c r="EW1598" t="s">
        <v>333</v>
      </c>
      <c r="FK1598" t="s">
        <v>3357</v>
      </c>
      <c r="FM1598">
        <v>12</v>
      </c>
      <c r="FR1598" t="s">
        <v>295</v>
      </c>
      <c r="HH1598" t="s">
        <v>272</v>
      </c>
      <c r="ID1598" t="s">
        <v>3358</v>
      </c>
      <c r="IE1598" t="s">
        <v>3359</v>
      </c>
      <c r="IF1598">
        <v>8415</v>
      </c>
      <c r="IG1598" t="s">
        <v>3360</v>
      </c>
      <c r="IH1598" t="s">
        <v>3361</v>
      </c>
      <c r="II1598">
        <v>1977</v>
      </c>
      <c r="IJ1598" t="s">
        <v>3362</v>
      </c>
    </row>
    <row r="1599" spans="1:244" x14ac:dyDescent="0.45">
      <c r="A1599">
        <v>1078356</v>
      </c>
      <c r="B1599">
        <v>105377</v>
      </c>
      <c r="C1599">
        <v>7778509</v>
      </c>
      <c r="D1599" t="s">
        <v>3280</v>
      </c>
      <c r="F1599" t="s">
        <v>245</v>
      </c>
      <c r="G1599" t="s">
        <v>246</v>
      </c>
      <c r="N1599" t="s">
        <v>3239</v>
      </c>
      <c r="O1599" t="s">
        <v>1299</v>
      </c>
      <c r="P1599" t="s">
        <v>249</v>
      </c>
      <c r="Q1599" t="s">
        <v>250</v>
      </c>
      <c r="R1599" t="s">
        <v>251</v>
      </c>
      <c r="T1599" t="s">
        <v>252</v>
      </c>
      <c r="U1599" t="s">
        <v>371</v>
      </c>
      <c r="V1599" t="s">
        <v>372</v>
      </c>
      <c r="W1599" t="s">
        <v>3240</v>
      </c>
      <c r="X1599" t="s">
        <v>3241</v>
      </c>
      <c r="AM1599" t="s">
        <v>258</v>
      </c>
      <c r="AN1599" t="s">
        <v>259</v>
      </c>
      <c r="AO1599" t="s">
        <v>260</v>
      </c>
      <c r="AQ1599" t="s">
        <v>261</v>
      </c>
      <c r="AS1599">
        <v>8000</v>
      </c>
      <c r="AX1599" t="s">
        <v>262</v>
      </c>
      <c r="BO1599" t="s">
        <v>261</v>
      </c>
      <c r="BQ1599">
        <v>8</v>
      </c>
      <c r="BV1599" t="s">
        <v>263</v>
      </c>
      <c r="CM1599" t="s">
        <v>264</v>
      </c>
      <c r="CN1599" t="s">
        <v>264</v>
      </c>
      <c r="CP1599" t="s">
        <v>265</v>
      </c>
      <c r="CQ1599" t="s">
        <v>538</v>
      </c>
      <c r="DB1599">
        <v>4</v>
      </c>
      <c r="DG1599" t="s">
        <v>267</v>
      </c>
      <c r="DI1599">
        <v>96</v>
      </c>
      <c r="DN1599" t="s">
        <v>268</v>
      </c>
      <c r="DP1599" t="s">
        <v>2185</v>
      </c>
      <c r="DR1599">
        <v>236572</v>
      </c>
      <c r="DS1599">
        <v>1940</v>
      </c>
      <c r="DT1599" t="s">
        <v>3288</v>
      </c>
      <c r="EW1599" t="s">
        <v>271</v>
      </c>
      <c r="FK1599" t="s">
        <v>3293</v>
      </c>
      <c r="FM1599">
        <v>5</v>
      </c>
      <c r="FR1599" t="s">
        <v>295</v>
      </c>
      <c r="GU1599">
        <v>9</v>
      </c>
      <c r="GZ1599" t="s">
        <v>296</v>
      </c>
      <c r="HH1599" t="s">
        <v>272</v>
      </c>
      <c r="ID1599" t="s">
        <v>3294</v>
      </c>
      <c r="IE1599" t="s">
        <v>3289</v>
      </c>
      <c r="IF1599">
        <v>6039</v>
      </c>
      <c r="IG1599" t="s">
        <v>3290</v>
      </c>
      <c r="IH1599" t="s">
        <v>3291</v>
      </c>
      <c r="II1599">
        <v>1987</v>
      </c>
      <c r="IJ1599" t="s">
        <v>3292</v>
      </c>
    </row>
    <row r="1600" spans="1:244" x14ac:dyDescent="0.45">
      <c r="A1600">
        <v>1035050</v>
      </c>
      <c r="B1600">
        <v>107197</v>
      </c>
      <c r="C1600">
        <v>7778509</v>
      </c>
      <c r="D1600" t="s">
        <v>3280</v>
      </c>
      <c r="F1600" t="s">
        <v>245</v>
      </c>
      <c r="G1600" t="s">
        <v>246</v>
      </c>
      <c r="N1600" t="s">
        <v>452</v>
      </c>
      <c r="O1600" t="s">
        <v>346</v>
      </c>
      <c r="P1600" t="s">
        <v>249</v>
      </c>
      <c r="Q1600" t="s">
        <v>250</v>
      </c>
      <c r="R1600" t="s">
        <v>251</v>
      </c>
      <c r="T1600" t="s">
        <v>347</v>
      </c>
      <c r="U1600" t="s">
        <v>348</v>
      </c>
      <c r="V1600" t="s">
        <v>349</v>
      </c>
      <c r="W1600" t="s">
        <v>350</v>
      </c>
      <c r="X1600" t="s">
        <v>453</v>
      </c>
      <c r="AD1600">
        <v>2</v>
      </c>
      <c r="AF1600">
        <v>3</v>
      </c>
      <c r="AG1600" t="s">
        <v>1409</v>
      </c>
      <c r="AL1600" t="s">
        <v>3316</v>
      </c>
      <c r="AM1600" t="s">
        <v>317</v>
      </c>
      <c r="AN1600" t="s">
        <v>259</v>
      </c>
      <c r="AO1600" t="s">
        <v>260</v>
      </c>
      <c r="AQ1600" t="s">
        <v>261</v>
      </c>
      <c r="AS1600">
        <v>128000</v>
      </c>
      <c r="AU1600">
        <v>100000</v>
      </c>
      <c r="AW1600">
        <v>158800</v>
      </c>
      <c r="AX1600" t="s">
        <v>262</v>
      </c>
      <c r="BO1600" t="s">
        <v>261</v>
      </c>
      <c r="BQ1600">
        <v>128</v>
      </c>
      <c r="BS1600">
        <v>100</v>
      </c>
      <c r="BU1600">
        <v>158.80000000000001</v>
      </c>
      <c r="BV1600" t="s">
        <v>263</v>
      </c>
      <c r="CM1600" t="s">
        <v>264</v>
      </c>
      <c r="CN1600" t="s">
        <v>264</v>
      </c>
      <c r="CP1600" t="s">
        <v>265</v>
      </c>
      <c r="CQ1600" t="s">
        <v>538</v>
      </c>
      <c r="DB1600">
        <v>1</v>
      </c>
      <c r="DG1600" t="s">
        <v>267</v>
      </c>
      <c r="DI1600">
        <v>24</v>
      </c>
      <c r="DN1600" t="s">
        <v>268</v>
      </c>
      <c r="DR1600">
        <v>85549</v>
      </c>
      <c r="DS1600">
        <v>366</v>
      </c>
      <c r="DT1600" t="s">
        <v>3317</v>
      </c>
      <c r="EW1600" t="s">
        <v>271</v>
      </c>
      <c r="FM1600">
        <v>20</v>
      </c>
      <c r="FR1600" t="s">
        <v>295</v>
      </c>
      <c r="GU1600">
        <v>5</v>
      </c>
      <c r="GZ1600" t="s">
        <v>296</v>
      </c>
      <c r="HH1600" t="s">
        <v>272</v>
      </c>
      <c r="IE1600" t="s">
        <v>3318</v>
      </c>
      <c r="IF1600">
        <v>2151</v>
      </c>
      <c r="IG1600" t="s">
        <v>3319</v>
      </c>
      <c r="IH1600" t="s">
        <v>3320</v>
      </c>
      <c r="II1600">
        <v>1989</v>
      </c>
      <c r="IJ1600" t="s">
        <v>3321</v>
      </c>
    </row>
    <row r="1601" spans="1:244" x14ac:dyDescent="0.45">
      <c r="A1601">
        <v>1035055</v>
      </c>
      <c r="B1601">
        <v>107202</v>
      </c>
      <c r="C1601">
        <v>7778509</v>
      </c>
      <c r="D1601" t="s">
        <v>3280</v>
      </c>
      <c r="F1601" t="s">
        <v>245</v>
      </c>
      <c r="G1601" t="s">
        <v>246</v>
      </c>
      <c r="N1601" t="s">
        <v>452</v>
      </c>
      <c r="O1601" t="s">
        <v>346</v>
      </c>
      <c r="P1601" t="s">
        <v>249</v>
      </c>
      <c r="Q1601" t="s">
        <v>250</v>
      </c>
      <c r="R1601" t="s">
        <v>251</v>
      </c>
      <c r="T1601" t="s">
        <v>347</v>
      </c>
      <c r="U1601" t="s">
        <v>348</v>
      </c>
      <c r="V1601" t="s">
        <v>349</v>
      </c>
      <c r="W1601" t="s">
        <v>350</v>
      </c>
      <c r="X1601" t="s">
        <v>453</v>
      </c>
      <c r="AD1601">
        <v>2</v>
      </c>
      <c r="AF1601">
        <v>3</v>
      </c>
      <c r="AG1601" t="s">
        <v>1409</v>
      </c>
      <c r="AL1601" t="s">
        <v>3316</v>
      </c>
      <c r="AM1601" t="s">
        <v>317</v>
      </c>
      <c r="AN1601" t="s">
        <v>259</v>
      </c>
      <c r="AO1601" t="s">
        <v>260</v>
      </c>
      <c r="AQ1601" t="s">
        <v>261</v>
      </c>
      <c r="AS1601">
        <v>113500</v>
      </c>
      <c r="AU1601">
        <v>94200</v>
      </c>
      <c r="AW1601">
        <v>135600</v>
      </c>
      <c r="AX1601" t="s">
        <v>262</v>
      </c>
      <c r="BO1601" t="s">
        <v>261</v>
      </c>
      <c r="BQ1601">
        <v>113.5</v>
      </c>
      <c r="BS1601">
        <v>94.2</v>
      </c>
      <c r="BU1601">
        <v>135.6</v>
      </c>
      <c r="BV1601" t="s">
        <v>263</v>
      </c>
      <c r="CM1601" t="s">
        <v>264</v>
      </c>
      <c r="CN1601" t="s">
        <v>264</v>
      </c>
      <c r="CP1601" t="s">
        <v>265</v>
      </c>
      <c r="CQ1601" t="s">
        <v>538</v>
      </c>
      <c r="DB1601">
        <v>1</v>
      </c>
      <c r="DG1601" t="s">
        <v>267</v>
      </c>
      <c r="DI1601">
        <v>24</v>
      </c>
      <c r="DN1601" t="s">
        <v>268</v>
      </c>
      <c r="DR1601">
        <v>85549</v>
      </c>
      <c r="DS1601">
        <v>366</v>
      </c>
      <c r="DT1601" t="s">
        <v>3317</v>
      </c>
      <c r="EW1601" t="s">
        <v>271</v>
      </c>
      <c r="FM1601">
        <v>20</v>
      </c>
      <c r="FR1601" t="s">
        <v>295</v>
      </c>
      <c r="GU1601">
        <v>20</v>
      </c>
      <c r="GZ1601" t="s">
        <v>296</v>
      </c>
      <c r="HH1601" t="s">
        <v>272</v>
      </c>
      <c r="IE1601" t="s">
        <v>3318</v>
      </c>
      <c r="IF1601">
        <v>2151</v>
      </c>
      <c r="IG1601" t="s">
        <v>3319</v>
      </c>
      <c r="IH1601" t="s">
        <v>3320</v>
      </c>
      <c r="II1601">
        <v>1989</v>
      </c>
      <c r="IJ1601" t="s">
        <v>3321</v>
      </c>
    </row>
    <row r="1602" spans="1:244" x14ac:dyDescent="0.45">
      <c r="A1602">
        <v>1174932</v>
      </c>
      <c r="B1602">
        <v>58778</v>
      </c>
      <c r="C1602">
        <v>7778509</v>
      </c>
      <c r="D1602" t="s">
        <v>3280</v>
      </c>
      <c r="F1602" t="s">
        <v>245</v>
      </c>
      <c r="G1602" t="s">
        <v>246</v>
      </c>
      <c r="N1602" t="s">
        <v>345</v>
      </c>
      <c r="O1602" t="s">
        <v>346</v>
      </c>
      <c r="P1602" t="s">
        <v>249</v>
      </c>
      <c r="Q1602" t="s">
        <v>250</v>
      </c>
      <c r="R1602" t="s">
        <v>251</v>
      </c>
      <c r="T1602" t="s">
        <v>347</v>
      </c>
      <c r="U1602" t="s">
        <v>348</v>
      </c>
      <c r="V1602" t="s">
        <v>349</v>
      </c>
      <c r="W1602" t="s">
        <v>350</v>
      </c>
      <c r="X1602" t="s">
        <v>351</v>
      </c>
      <c r="Z1602" t="s">
        <v>284</v>
      </c>
      <c r="AD1602">
        <v>2</v>
      </c>
      <c r="AF1602">
        <v>3</v>
      </c>
      <c r="AG1602" t="s">
        <v>1409</v>
      </c>
      <c r="AM1602" t="s">
        <v>317</v>
      </c>
      <c r="AN1602" t="s">
        <v>259</v>
      </c>
      <c r="AO1602" t="s">
        <v>260</v>
      </c>
      <c r="AQ1602" t="s">
        <v>261</v>
      </c>
      <c r="AS1602">
        <v>17000</v>
      </c>
      <c r="AU1602">
        <v>14400</v>
      </c>
      <c r="AW1602">
        <v>20000</v>
      </c>
      <c r="AX1602" t="s">
        <v>262</v>
      </c>
      <c r="BO1602" t="s">
        <v>261</v>
      </c>
      <c r="BQ1602">
        <v>17</v>
      </c>
      <c r="BS1602">
        <v>14.4</v>
      </c>
      <c r="BU1602">
        <v>20</v>
      </c>
      <c r="BV1602" t="s">
        <v>263</v>
      </c>
      <c r="CM1602" t="s">
        <v>264</v>
      </c>
      <c r="CN1602" t="s">
        <v>264</v>
      </c>
      <c r="CP1602" t="s">
        <v>265</v>
      </c>
      <c r="DB1602">
        <v>1</v>
      </c>
      <c r="DG1602" t="s">
        <v>267</v>
      </c>
      <c r="DI1602">
        <v>24</v>
      </c>
      <c r="DN1602" t="s">
        <v>268</v>
      </c>
      <c r="DR1602">
        <v>6660</v>
      </c>
      <c r="DS1602">
        <v>421</v>
      </c>
      <c r="EW1602" t="s">
        <v>271</v>
      </c>
      <c r="FK1602" t="s">
        <v>3332</v>
      </c>
      <c r="FM1602">
        <v>25</v>
      </c>
      <c r="FR1602" t="s">
        <v>295</v>
      </c>
      <c r="GO1602">
        <v>7.5</v>
      </c>
      <c r="GU1602">
        <v>35</v>
      </c>
      <c r="GZ1602" t="s">
        <v>296</v>
      </c>
      <c r="HH1602" t="s">
        <v>272</v>
      </c>
      <c r="ID1602" t="s">
        <v>3333</v>
      </c>
      <c r="IE1602" t="s">
        <v>3298</v>
      </c>
      <c r="IF1602">
        <v>15178</v>
      </c>
      <c r="IG1602" t="s">
        <v>3299</v>
      </c>
      <c r="IH1602" t="s">
        <v>3300</v>
      </c>
      <c r="II1602">
        <v>1980</v>
      </c>
      <c r="IJ1602" t="s">
        <v>3301</v>
      </c>
    </row>
    <row r="1603" spans="1:244" x14ac:dyDescent="0.45">
      <c r="A1603">
        <v>1035056</v>
      </c>
      <c r="B1603">
        <v>107203</v>
      </c>
      <c r="C1603">
        <v>7778509</v>
      </c>
      <c r="D1603" t="s">
        <v>3280</v>
      </c>
      <c r="F1603" t="s">
        <v>245</v>
      </c>
      <c r="G1603" t="s">
        <v>246</v>
      </c>
      <c r="N1603" t="s">
        <v>452</v>
      </c>
      <c r="O1603" t="s">
        <v>346</v>
      </c>
      <c r="P1603" t="s">
        <v>249</v>
      </c>
      <c r="Q1603" t="s">
        <v>250</v>
      </c>
      <c r="R1603" t="s">
        <v>251</v>
      </c>
      <c r="T1603" t="s">
        <v>347</v>
      </c>
      <c r="U1603" t="s">
        <v>348</v>
      </c>
      <c r="V1603" t="s">
        <v>349</v>
      </c>
      <c r="W1603" t="s">
        <v>350</v>
      </c>
      <c r="X1603" t="s">
        <v>453</v>
      </c>
      <c r="AD1603">
        <v>2</v>
      </c>
      <c r="AF1603">
        <v>3</v>
      </c>
      <c r="AG1603" t="s">
        <v>1409</v>
      </c>
      <c r="AL1603" t="s">
        <v>3316</v>
      </c>
      <c r="AM1603" t="s">
        <v>317</v>
      </c>
      <c r="AN1603" t="s">
        <v>259</v>
      </c>
      <c r="AO1603" t="s">
        <v>260</v>
      </c>
      <c r="AQ1603" t="s">
        <v>261</v>
      </c>
      <c r="AS1603">
        <v>27500</v>
      </c>
      <c r="AU1603">
        <v>21800</v>
      </c>
      <c r="AW1603">
        <v>35600</v>
      </c>
      <c r="AX1603" t="s">
        <v>262</v>
      </c>
      <c r="BO1603" t="s">
        <v>261</v>
      </c>
      <c r="BQ1603">
        <v>27.5</v>
      </c>
      <c r="BS1603">
        <v>21.8</v>
      </c>
      <c r="BU1603">
        <v>35.6</v>
      </c>
      <c r="BV1603" t="s">
        <v>263</v>
      </c>
      <c r="CM1603" t="s">
        <v>264</v>
      </c>
      <c r="CN1603" t="s">
        <v>264</v>
      </c>
      <c r="CP1603" t="s">
        <v>265</v>
      </c>
      <c r="CQ1603" t="s">
        <v>538</v>
      </c>
      <c r="DB1603">
        <v>1</v>
      </c>
      <c r="DG1603" t="s">
        <v>267</v>
      </c>
      <c r="DI1603">
        <v>24</v>
      </c>
      <c r="DN1603" t="s">
        <v>268</v>
      </c>
      <c r="DR1603">
        <v>85549</v>
      </c>
      <c r="DS1603">
        <v>366</v>
      </c>
      <c r="DT1603" t="s">
        <v>3317</v>
      </c>
      <c r="EW1603" t="s">
        <v>271</v>
      </c>
      <c r="FM1603">
        <v>25</v>
      </c>
      <c r="FR1603" t="s">
        <v>295</v>
      </c>
      <c r="GU1603">
        <v>20</v>
      </c>
      <c r="GZ1603" t="s">
        <v>296</v>
      </c>
      <c r="HH1603" t="s">
        <v>272</v>
      </c>
      <c r="IE1603" t="s">
        <v>3318</v>
      </c>
      <c r="IF1603">
        <v>2151</v>
      </c>
      <c r="IG1603" t="s">
        <v>3319</v>
      </c>
      <c r="IH1603" t="s">
        <v>3320</v>
      </c>
      <c r="II1603">
        <v>1989</v>
      </c>
      <c r="IJ1603" t="s">
        <v>3321</v>
      </c>
    </row>
    <row r="1604" spans="1:244" x14ac:dyDescent="0.45">
      <c r="A1604">
        <v>1078367</v>
      </c>
      <c r="B1604">
        <v>105389</v>
      </c>
      <c r="C1604">
        <v>7778509</v>
      </c>
      <c r="D1604" t="s">
        <v>3280</v>
      </c>
      <c r="F1604" t="s">
        <v>245</v>
      </c>
      <c r="G1604" t="s">
        <v>246</v>
      </c>
      <c r="N1604" t="s">
        <v>3239</v>
      </c>
      <c r="O1604" t="s">
        <v>1299</v>
      </c>
      <c r="P1604" t="s">
        <v>249</v>
      </c>
      <c r="Q1604" t="s">
        <v>250</v>
      </c>
      <c r="R1604" t="s">
        <v>251</v>
      </c>
      <c r="T1604" t="s">
        <v>252</v>
      </c>
      <c r="U1604" t="s">
        <v>371</v>
      </c>
      <c r="V1604" t="s">
        <v>372</v>
      </c>
      <c r="W1604" t="s">
        <v>3240</v>
      </c>
      <c r="X1604" t="s">
        <v>3241</v>
      </c>
      <c r="AM1604" t="s">
        <v>258</v>
      </c>
      <c r="AN1604" t="s">
        <v>259</v>
      </c>
      <c r="AO1604" t="s">
        <v>260</v>
      </c>
      <c r="AQ1604" t="s">
        <v>261</v>
      </c>
      <c r="AS1604">
        <v>36000</v>
      </c>
      <c r="AX1604" t="s">
        <v>262</v>
      </c>
      <c r="BO1604" t="s">
        <v>261</v>
      </c>
      <c r="BQ1604">
        <v>36</v>
      </c>
      <c r="BV1604" t="s">
        <v>263</v>
      </c>
      <c r="CM1604" t="s">
        <v>264</v>
      </c>
      <c r="CN1604" t="s">
        <v>264</v>
      </c>
      <c r="CP1604" t="s">
        <v>265</v>
      </c>
      <c r="CQ1604" t="s">
        <v>538</v>
      </c>
      <c r="DB1604">
        <v>2</v>
      </c>
      <c r="DG1604" t="s">
        <v>267</v>
      </c>
      <c r="DI1604">
        <v>48</v>
      </c>
      <c r="DN1604" t="s">
        <v>268</v>
      </c>
      <c r="DP1604" t="s">
        <v>2185</v>
      </c>
      <c r="DR1604">
        <v>236572</v>
      </c>
      <c r="DS1604">
        <v>1940</v>
      </c>
      <c r="DT1604" t="s">
        <v>3288</v>
      </c>
      <c r="EW1604" t="s">
        <v>271</v>
      </c>
      <c r="FK1604" t="s">
        <v>3293</v>
      </c>
      <c r="FM1604">
        <v>5</v>
      </c>
      <c r="FR1604" t="s">
        <v>295</v>
      </c>
      <c r="GU1604">
        <v>18</v>
      </c>
      <c r="GZ1604" t="s">
        <v>296</v>
      </c>
      <c r="HH1604" t="s">
        <v>272</v>
      </c>
      <c r="ID1604" t="s">
        <v>3294</v>
      </c>
      <c r="IE1604" t="s">
        <v>3289</v>
      </c>
      <c r="IF1604">
        <v>6039</v>
      </c>
      <c r="IG1604" t="s">
        <v>3290</v>
      </c>
      <c r="IH1604" t="s">
        <v>3291</v>
      </c>
      <c r="II1604">
        <v>1987</v>
      </c>
      <c r="IJ1604" t="s">
        <v>3292</v>
      </c>
    </row>
    <row r="1605" spans="1:244" x14ac:dyDescent="0.45">
      <c r="A1605">
        <v>1184333</v>
      </c>
      <c r="B1605">
        <v>139845</v>
      </c>
      <c r="C1605">
        <v>7778509</v>
      </c>
      <c r="D1605" t="s">
        <v>3280</v>
      </c>
      <c r="E1605" t="s">
        <v>439</v>
      </c>
      <c r="F1605" t="s">
        <v>245</v>
      </c>
      <c r="G1605" t="s">
        <v>246</v>
      </c>
      <c r="N1605" t="s">
        <v>1914</v>
      </c>
      <c r="O1605" t="s">
        <v>248</v>
      </c>
      <c r="P1605" t="s">
        <v>249</v>
      </c>
      <c r="Q1605" t="s">
        <v>250</v>
      </c>
      <c r="R1605" t="s">
        <v>251</v>
      </c>
      <c r="T1605" t="s">
        <v>252</v>
      </c>
      <c r="U1605" t="s">
        <v>253</v>
      </c>
      <c r="V1605" t="s">
        <v>254</v>
      </c>
      <c r="W1605" t="s">
        <v>1915</v>
      </c>
      <c r="X1605" t="s">
        <v>1916</v>
      </c>
      <c r="Z1605" t="s">
        <v>284</v>
      </c>
      <c r="AB1605" t="s">
        <v>2135</v>
      </c>
      <c r="AG1605" t="s">
        <v>1409</v>
      </c>
      <c r="AM1605" t="s">
        <v>258</v>
      </c>
      <c r="AN1605" t="s">
        <v>259</v>
      </c>
      <c r="AO1605" t="s">
        <v>260</v>
      </c>
      <c r="AQ1605" t="s">
        <v>261</v>
      </c>
      <c r="AS1605">
        <v>9400</v>
      </c>
      <c r="AU1605">
        <v>7400</v>
      </c>
      <c r="AW1605">
        <v>11900</v>
      </c>
      <c r="AX1605" t="s">
        <v>262</v>
      </c>
      <c r="BO1605" t="s">
        <v>261</v>
      </c>
      <c r="BQ1605">
        <v>9.4</v>
      </c>
      <c r="BS1605">
        <v>7.4</v>
      </c>
      <c r="BU1605">
        <v>11.9</v>
      </c>
      <c r="BV1605" t="s">
        <v>263</v>
      </c>
      <c r="CM1605" t="s">
        <v>264</v>
      </c>
      <c r="CN1605" t="s">
        <v>264</v>
      </c>
      <c r="CP1605" t="s">
        <v>265</v>
      </c>
      <c r="CQ1605" t="s">
        <v>538</v>
      </c>
      <c r="DB1605">
        <v>2</v>
      </c>
      <c r="DG1605" t="s">
        <v>267</v>
      </c>
      <c r="DI1605">
        <v>48</v>
      </c>
      <c r="DN1605" t="s">
        <v>268</v>
      </c>
      <c r="DR1605">
        <v>80836</v>
      </c>
      <c r="DS1605">
        <v>2488</v>
      </c>
      <c r="DT1605" t="s">
        <v>2136</v>
      </c>
      <c r="EW1605" t="s">
        <v>293</v>
      </c>
      <c r="FM1605">
        <v>26</v>
      </c>
      <c r="FR1605" t="s">
        <v>295</v>
      </c>
      <c r="GG1605" t="s">
        <v>278</v>
      </c>
      <c r="GH1605">
        <v>85</v>
      </c>
      <c r="GM1605" t="s">
        <v>900</v>
      </c>
      <c r="GU1605">
        <v>33</v>
      </c>
      <c r="GZ1605" t="s">
        <v>296</v>
      </c>
      <c r="HH1605" t="s">
        <v>272</v>
      </c>
      <c r="IE1605" t="s">
        <v>2137</v>
      </c>
      <c r="IF1605">
        <v>16331</v>
      </c>
      <c r="IG1605" t="s">
        <v>2138</v>
      </c>
      <c r="IH1605" t="s">
        <v>2139</v>
      </c>
      <c r="II1605">
        <v>1994</v>
      </c>
      <c r="IJ1605" t="s">
        <v>2140</v>
      </c>
    </row>
    <row r="1606" spans="1:244" x14ac:dyDescent="0.45">
      <c r="A1606">
        <v>1182177</v>
      </c>
      <c r="B1606">
        <v>160083</v>
      </c>
      <c r="C1606">
        <v>7778509</v>
      </c>
      <c r="D1606" t="s">
        <v>3280</v>
      </c>
      <c r="F1606" t="s">
        <v>245</v>
      </c>
      <c r="G1606" t="s">
        <v>246</v>
      </c>
      <c r="I1606">
        <v>99</v>
      </c>
      <c r="N1606" t="s">
        <v>345</v>
      </c>
      <c r="O1606" t="s">
        <v>346</v>
      </c>
      <c r="P1606" t="s">
        <v>249</v>
      </c>
      <c r="Q1606" t="s">
        <v>250</v>
      </c>
      <c r="R1606" t="s">
        <v>251</v>
      </c>
      <c r="T1606" t="s">
        <v>347</v>
      </c>
      <c r="U1606" t="s">
        <v>348</v>
      </c>
      <c r="V1606" t="s">
        <v>349</v>
      </c>
      <c r="W1606" t="s">
        <v>350</v>
      </c>
      <c r="X1606" t="s">
        <v>351</v>
      </c>
      <c r="Z1606" t="s">
        <v>1034</v>
      </c>
      <c r="AL1606" t="s">
        <v>2663</v>
      </c>
      <c r="AM1606" t="s">
        <v>317</v>
      </c>
      <c r="AN1606" t="s">
        <v>259</v>
      </c>
      <c r="AO1606" t="s">
        <v>260</v>
      </c>
      <c r="AQ1606" t="s">
        <v>261</v>
      </c>
      <c r="AS1606">
        <v>31200</v>
      </c>
      <c r="AX1606" t="s">
        <v>262</v>
      </c>
      <c r="BO1606" t="s">
        <v>261</v>
      </c>
      <c r="BQ1606">
        <v>31.2</v>
      </c>
      <c r="BV1606" t="s">
        <v>263</v>
      </c>
      <c r="CM1606" t="s">
        <v>264</v>
      </c>
      <c r="CN1606" t="s">
        <v>264</v>
      </c>
      <c r="CP1606" t="s">
        <v>265</v>
      </c>
      <c r="DB1606">
        <v>1</v>
      </c>
      <c r="DG1606" t="s">
        <v>267</v>
      </c>
      <c r="DI1606">
        <v>24</v>
      </c>
      <c r="DN1606" t="s">
        <v>268</v>
      </c>
      <c r="DO1606" t="s">
        <v>1587</v>
      </c>
      <c r="DP1606" t="s">
        <v>3281</v>
      </c>
      <c r="DR1606">
        <v>6660</v>
      </c>
      <c r="DS1606">
        <v>421</v>
      </c>
      <c r="DT1606" t="s">
        <v>2665</v>
      </c>
      <c r="EW1606" t="s">
        <v>293</v>
      </c>
      <c r="FA1606" t="s">
        <v>2666</v>
      </c>
      <c r="FM1606">
        <v>25</v>
      </c>
      <c r="FR1606" t="s">
        <v>295</v>
      </c>
      <c r="GU1606">
        <v>25</v>
      </c>
      <c r="GZ1606" t="s">
        <v>296</v>
      </c>
      <c r="HH1606" t="s">
        <v>272</v>
      </c>
      <c r="IE1606" t="s">
        <v>2667</v>
      </c>
      <c r="IF1606">
        <v>16031</v>
      </c>
      <c r="IG1606" t="s">
        <v>2668</v>
      </c>
      <c r="IH1606" t="s">
        <v>2669</v>
      </c>
      <c r="II1606">
        <v>1995</v>
      </c>
      <c r="IJ1606" t="s">
        <v>2670</v>
      </c>
    </row>
    <row r="1607" spans="1:244" x14ac:dyDescent="0.45">
      <c r="A1607">
        <v>1212440</v>
      </c>
      <c r="B1607">
        <v>192570</v>
      </c>
      <c r="C1607">
        <v>7778509</v>
      </c>
      <c r="D1607" t="s">
        <v>3280</v>
      </c>
      <c r="F1607" t="s">
        <v>245</v>
      </c>
      <c r="G1607" t="s">
        <v>246</v>
      </c>
      <c r="N1607" t="s">
        <v>3303</v>
      </c>
      <c r="O1607" t="s">
        <v>388</v>
      </c>
      <c r="P1607" t="s">
        <v>249</v>
      </c>
      <c r="Q1607" t="s">
        <v>250</v>
      </c>
      <c r="R1607" t="s">
        <v>251</v>
      </c>
      <c r="T1607" t="s">
        <v>389</v>
      </c>
      <c r="U1607" t="s">
        <v>390</v>
      </c>
      <c r="V1607" t="s">
        <v>472</v>
      </c>
      <c r="W1607" t="s">
        <v>473</v>
      </c>
      <c r="X1607" t="s">
        <v>1446</v>
      </c>
      <c r="Z1607" t="s">
        <v>315</v>
      </c>
      <c r="AB1607">
        <v>15</v>
      </c>
      <c r="AG1607" t="s">
        <v>267</v>
      </c>
      <c r="AL1607" t="s">
        <v>3304</v>
      </c>
      <c r="AM1607" t="s">
        <v>287</v>
      </c>
      <c r="AN1607" t="s">
        <v>259</v>
      </c>
      <c r="AO1607" t="s">
        <v>260</v>
      </c>
      <c r="AQ1607" t="s">
        <v>261</v>
      </c>
      <c r="AT1607" t="s">
        <v>288</v>
      </c>
      <c r="AU1607">
        <v>25000</v>
      </c>
      <c r="AV1607" t="s">
        <v>289</v>
      </c>
      <c r="AW1607">
        <v>30000</v>
      </c>
      <c r="AX1607" t="s">
        <v>262</v>
      </c>
      <c r="BO1607" t="s">
        <v>261</v>
      </c>
      <c r="BR1607" t="s">
        <v>288</v>
      </c>
      <c r="BS1607">
        <v>25</v>
      </c>
      <c r="BT1607" t="s">
        <v>289</v>
      </c>
      <c r="BU1607">
        <v>30</v>
      </c>
      <c r="BV1607" t="s">
        <v>263</v>
      </c>
      <c r="CM1607" t="s">
        <v>264</v>
      </c>
      <c r="CN1607" t="s">
        <v>264</v>
      </c>
      <c r="CP1607" t="s">
        <v>265</v>
      </c>
      <c r="DB1607">
        <v>2</v>
      </c>
      <c r="DG1607" t="s">
        <v>267</v>
      </c>
      <c r="DI1607">
        <v>48</v>
      </c>
      <c r="DN1607" t="s">
        <v>268</v>
      </c>
      <c r="DS1607">
        <v>10240</v>
      </c>
      <c r="DT1607" t="s">
        <v>3305</v>
      </c>
      <c r="EW1607" t="s">
        <v>293</v>
      </c>
      <c r="FK1607" t="s">
        <v>1186</v>
      </c>
      <c r="FM1607">
        <v>13</v>
      </c>
      <c r="FR1607" t="s">
        <v>295</v>
      </c>
      <c r="HH1607" t="s">
        <v>272</v>
      </c>
      <c r="ID1607" t="s">
        <v>1187</v>
      </c>
      <c r="IE1607" t="s">
        <v>3306</v>
      </c>
      <c r="IF1607">
        <v>19811</v>
      </c>
      <c r="IG1607" t="s">
        <v>3307</v>
      </c>
      <c r="IH1607" t="s">
        <v>3308</v>
      </c>
      <c r="II1607">
        <v>1998</v>
      </c>
      <c r="IJ1607" t="s">
        <v>3309</v>
      </c>
    </row>
    <row r="1608" spans="1:244" x14ac:dyDescent="0.45">
      <c r="A1608">
        <v>1182181</v>
      </c>
      <c r="B1608">
        <v>160087</v>
      </c>
      <c r="C1608">
        <v>7778509</v>
      </c>
      <c r="D1608" t="s">
        <v>3280</v>
      </c>
      <c r="F1608" t="s">
        <v>245</v>
      </c>
      <c r="G1608" t="s">
        <v>246</v>
      </c>
      <c r="I1608">
        <v>99</v>
      </c>
      <c r="N1608" t="s">
        <v>345</v>
      </c>
      <c r="O1608" t="s">
        <v>346</v>
      </c>
      <c r="P1608" t="s">
        <v>249</v>
      </c>
      <c r="Q1608" t="s">
        <v>250</v>
      </c>
      <c r="R1608" t="s">
        <v>251</v>
      </c>
      <c r="T1608" t="s">
        <v>347</v>
      </c>
      <c r="U1608" t="s">
        <v>348</v>
      </c>
      <c r="V1608" t="s">
        <v>349</v>
      </c>
      <c r="W1608" t="s">
        <v>350</v>
      </c>
      <c r="X1608" t="s">
        <v>351</v>
      </c>
      <c r="Z1608" t="s">
        <v>1034</v>
      </c>
      <c r="AL1608" t="s">
        <v>2663</v>
      </c>
      <c r="AM1608" t="s">
        <v>317</v>
      </c>
      <c r="AN1608" t="s">
        <v>259</v>
      </c>
      <c r="AO1608" t="s">
        <v>260</v>
      </c>
      <c r="AQ1608" t="s">
        <v>261</v>
      </c>
      <c r="AS1608">
        <v>8300</v>
      </c>
      <c r="AX1608" t="s">
        <v>262</v>
      </c>
      <c r="BO1608" t="s">
        <v>261</v>
      </c>
      <c r="BQ1608">
        <v>8.3000000000000007</v>
      </c>
      <c r="BV1608" t="s">
        <v>263</v>
      </c>
      <c r="CM1608" t="s">
        <v>264</v>
      </c>
      <c r="CN1608" t="s">
        <v>264</v>
      </c>
      <c r="CP1608" t="s">
        <v>265</v>
      </c>
      <c r="DB1608">
        <v>2</v>
      </c>
      <c r="DG1608" t="s">
        <v>267</v>
      </c>
      <c r="DI1608">
        <v>48</v>
      </c>
      <c r="DN1608" t="s">
        <v>268</v>
      </c>
      <c r="DO1608" t="s">
        <v>1587</v>
      </c>
      <c r="DP1608" t="s">
        <v>3281</v>
      </c>
      <c r="DR1608">
        <v>6660</v>
      </c>
      <c r="DS1608">
        <v>421</v>
      </c>
      <c r="DT1608" t="s">
        <v>2665</v>
      </c>
      <c r="EW1608" t="s">
        <v>293</v>
      </c>
      <c r="FA1608" t="s">
        <v>2666</v>
      </c>
      <c r="FM1608">
        <v>25</v>
      </c>
      <c r="FR1608" t="s">
        <v>295</v>
      </c>
      <c r="GU1608">
        <v>15</v>
      </c>
      <c r="GZ1608" t="s">
        <v>296</v>
      </c>
      <c r="HH1608" t="s">
        <v>272</v>
      </c>
      <c r="IE1608" t="s">
        <v>2667</v>
      </c>
      <c r="IF1608">
        <v>16031</v>
      </c>
      <c r="IG1608" t="s">
        <v>2668</v>
      </c>
      <c r="IH1608" t="s">
        <v>2669</v>
      </c>
      <c r="II1608">
        <v>1995</v>
      </c>
      <c r="IJ1608" t="s">
        <v>2670</v>
      </c>
    </row>
    <row r="1609" spans="1:244" x14ac:dyDescent="0.45">
      <c r="A1609">
        <v>1035051</v>
      </c>
      <c r="B1609">
        <v>107198</v>
      </c>
      <c r="C1609">
        <v>7778509</v>
      </c>
      <c r="D1609" t="s">
        <v>3280</v>
      </c>
      <c r="F1609" t="s">
        <v>245</v>
      </c>
      <c r="G1609" t="s">
        <v>246</v>
      </c>
      <c r="N1609" t="s">
        <v>452</v>
      </c>
      <c r="O1609" t="s">
        <v>346</v>
      </c>
      <c r="P1609" t="s">
        <v>249</v>
      </c>
      <c r="Q1609" t="s">
        <v>250</v>
      </c>
      <c r="R1609" t="s">
        <v>251</v>
      </c>
      <c r="T1609" t="s">
        <v>347</v>
      </c>
      <c r="U1609" t="s">
        <v>348</v>
      </c>
      <c r="V1609" t="s">
        <v>349</v>
      </c>
      <c r="W1609" t="s">
        <v>350</v>
      </c>
      <c r="X1609" t="s">
        <v>453</v>
      </c>
      <c r="AD1609">
        <v>2</v>
      </c>
      <c r="AF1609">
        <v>3</v>
      </c>
      <c r="AG1609" t="s">
        <v>1409</v>
      </c>
      <c r="AL1609" t="s">
        <v>3316</v>
      </c>
      <c r="AM1609" t="s">
        <v>317</v>
      </c>
      <c r="AN1609" t="s">
        <v>259</v>
      </c>
      <c r="AO1609" t="s">
        <v>260</v>
      </c>
      <c r="AQ1609" t="s">
        <v>261</v>
      </c>
      <c r="AS1609">
        <v>30900</v>
      </c>
      <c r="AU1609">
        <v>25900</v>
      </c>
      <c r="AW1609">
        <v>36400</v>
      </c>
      <c r="AX1609" t="s">
        <v>262</v>
      </c>
      <c r="BO1609" t="s">
        <v>261</v>
      </c>
      <c r="BQ1609">
        <v>30.9</v>
      </c>
      <c r="BS1609">
        <v>25.9</v>
      </c>
      <c r="BU1609">
        <v>36.4</v>
      </c>
      <c r="BV1609" t="s">
        <v>263</v>
      </c>
      <c r="CM1609" t="s">
        <v>264</v>
      </c>
      <c r="CN1609" t="s">
        <v>264</v>
      </c>
      <c r="CP1609" t="s">
        <v>265</v>
      </c>
      <c r="CQ1609" t="s">
        <v>538</v>
      </c>
      <c r="DB1609">
        <v>1</v>
      </c>
      <c r="DG1609" t="s">
        <v>267</v>
      </c>
      <c r="DI1609">
        <v>24</v>
      </c>
      <c r="DN1609" t="s">
        <v>268</v>
      </c>
      <c r="DR1609">
        <v>85549</v>
      </c>
      <c r="DS1609">
        <v>366</v>
      </c>
      <c r="DT1609" t="s">
        <v>3317</v>
      </c>
      <c r="EW1609" t="s">
        <v>271</v>
      </c>
      <c r="FM1609">
        <v>25</v>
      </c>
      <c r="FR1609" t="s">
        <v>295</v>
      </c>
      <c r="GU1609">
        <v>5</v>
      </c>
      <c r="GZ1609" t="s">
        <v>296</v>
      </c>
      <c r="HH1609" t="s">
        <v>272</v>
      </c>
      <c r="IE1609" t="s">
        <v>3318</v>
      </c>
      <c r="IF1609">
        <v>2151</v>
      </c>
      <c r="IG1609" t="s">
        <v>3319</v>
      </c>
      <c r="IH1609" t="s">
        <v>3320</v>
      </c>
      <c r="II1609">
        <v>1989</v>
      </c>
      <c r="IJ1609" t="s">
        <v>3321</v>
      </c>
    </row>
    <row r="1610" spans="1:244" x14ac:dyDescent="0.45">
      <c r="A1610">
        <v>1078349</v>
      </c>
      <c r="B1610">
        <v>86092</v>
      </c>
      <c r="C1610">
        <v>7778509</v>
      </c>
      <c r="D1610" t="s">
        <v>3280</v>
      </c>
      <c r="F1610" t="s">
        <v>245</v>
      </c>
      <c r="G1610" t="s">
        <v>246</v>
      </c>
      <c r="N1610" t="s">
        <v>3239</v>
      </c>
      <c r="O1610" t="s">
        <v>1299</v>
      </c>
      <c r="P1610" t="s">
        <v>249</v>
      </c>
      <c r="Q1610" t="s">
        <v>250</v>
      </c>
      <c r="R1610" t="s">
        <v>251</v>
      </c>
      <c r="T1610" t="s">
        <v>252</v>
      </c>
      <c r="U1610" t="s">
        <v>371</v>
      </c>
      <c r="V1610" t="s">
        <v>372</v>
      </c>
      <c r="W1610" t="s">
        <v>3240</v>
      </c>
      <c r="X1610" t="s">
        <v>3241</v>
      </c>
      <c r="AM1610" t="s">
        <v>258</v>
      </c>
      <c r="AN1610" t="s">
        <v>259</v>
      </c>
      <c r="AO1610" t="s">
        <v>260</v>
      </c>
      <c r="AQ1610" t="s">
        <v>261</v>
      </c>
      <c r="AS1610">
        <v>13000</v>
      </c>
      <c r="AX1610" t="s">
        <v>262</v>
      </c>
      <c r="BO1610" t="s">
        <v>261</v>
      </c>
      <c r="BQ1610">
        <v>13</v>
      </c>
      <c r="BV1610" t="s">
        <v>263</v>
      </c>
      <c r="CM1610" t="s">
        <v>264</v>
      </c>
      <c r="CN1610" t="s">
        <v>264</v>
      </c>
      <c r="CP1610" t="s">
        <v>265</v>
      </c>
      <c r="CQ1610" t="s">
        <v>538</v>
      </c>
      <c r="DB1610">
        <v>4</v>
      </c>
      <c r="DG1610" t="s">
        <v>267</v>
      </c>
      <c r="DI1610">
        <v>96</v>
      </c>
      <c r="DN1610" t="s">
        <v>268</v>
      </c>
      <c r="DP1610" t="s">
        <v>2185</v>
      </c>
      <c r="DR1610">
        <v>236572</v>
      </c>
      <c r="DS1610">
        <v>1940</v>
      </c>
      <c r="DT1610" t="s">
        <v>3288</v>
      </c>
      <c r="EW1610" t="s">
        <v>271</v>
      </c>
      <c r="FM1610">
        <v>15</v>
      </c>
      <c r="FR1610" t="s">
        <v>295</v>
      </c>
      <c r="GU1610">
        <v>18</v>
      </c>
      <c r="GZ1610" t="s">
        <v>296</v>
      </c>
      <c r="HH1610" t="s">
        <v>272</v>
      </c>
      <c r="IE1610" t="s">
        <v>3289</v>
      </c>
      <c r="IF1610">
        <v>6039</v>
      </c>
      <c r="IG1610" t="s">
        <v>3290</v>
      </c>
      <c r="IH1610" t="s">
        <v>3291</v>
      </c>
      <c r="II1610">
        <v>1987</v>
      </c>
      <c r="IJ1610" t="s">
        <v>3292</v>
      </c>
    </row>
    <row r="1611" spans="1:244" x14ac:dyDescent="0.45">
      <c r="A1611">
        <v>1186885</v>
      </c>
      <c r="B1611">
        <v>138626</v>
      </c>
      <c r="C1611">
        <v>7778509</v>
      </c>
      <c r="D1611" t="s">
        <v>3280</v>
      </c>
      <c r="F1611" t="s">
        <v>245</v>
      </c>
      <c r="G1611" t="s">
        <v>246</v>
      </c>
      <c r="N1611" t="s">
        <v>789</v>
      </c>
      <c r="O1611" t="s">
        <v>790</v>
      </c>
      <c r="P1611" t="s">
        <v>249</v>
      </c>
      <c r="Q1611" t="s">
        <v>250</v>
      </c>
      <c r="R1611" t="s">
        <v>251</v>
      </c>
      <c r="T1611" t="s">
        <v>252</v>
      </c>
      <c r="U1611" t="s">
        <v>253</v>
      </c>
      <c r="V1611" t="s">
        <v>418</v>
      </c>
      <c r="W1611" t="s">
        <v>791</v>
      </c>
      <c r="X1611" t="s">
        <v>792</v>
      </c>
      <c r="Z1611" t="s">
        <v>421</v>
      </c>
      <c r="AM1611" t="s">
        <v>258</v>
      </c>
      <c r="AN1611" t="s">
        <v>259</v>
      </c>
      <c r="AO1611" t="s">
        <v>260</v>
      </c>
      <c r="AQ1611" t="s">
        <v>261</v>
      </c>
      <c r="AS1611">
        <v>3703</v>
      </c>
      <c r="AX1611" t="s">
        <v>262</v>
      </c>
      <c r="BO1611" t="s">
        <v>261</v>
      </c>
      <c r="BQ1611">
        <v>3.7029999999999998</v>
      </c>
      <c r="BV1611" t="s">
        <v>263</v>
      </c>
      <c r="CM1611" t="s">
        <v>264</v>
      </c>
      <c r="CN1611" t="s">
        <v>264</v>
      </c>
      <c r="CP1611" t="s">
        <v>265</v>
      </c>
      <c r="DB1611">
        <v>4</v>
      </c>
      <c r="DG1611" t="s">
        <v>267</v>
      </c>
      <c r="DI1611">
        <v>96</v>
      </c>
      <c r="DN1611" t="s">
        <v>268</v>
      </c>
      <c r="DR1611">
        <v>161924</v>
      </c>
      <c r="DS1611">
        <v>3045</v>
      </c>
      <c r="EW1611" t="s">
        <v>272</v>
      </c>
      <c r="FM1611">
        <v>28</v>
      </c>
      <c r="FR1611" t="s">
        <v>295</v>
      </c>
      <c r="GO1611">
        <v>8.1999999999999993</v>
      </c>
      <c r="GU1611">
        <v>32</v>
      </c>
      <c r="GZ1611" t="s">
        <v>296</v>
      </c>
      <c r="HH1611" t="s">
        <v>272</v>
      </c>
      <c r="IE1611" t="s">
        <v>1652</v>
      </c>
      <c r="IF1611">
        <v>16613</v>
      </c>
      <c r="IG1611" t="s">
        <v>1653</v>
      </c>
      <c r="IH1611" t="s">
        <v>1654</v>
      </c>
      <c r="II1611">
        <v>1994</v>
      </c>
      <c r="IJ1611" t="s">
        <v>1655</v>
      </c>
    </row>
    <row r="1612" spans="1:244" x14ac:dyDescent="0.45">
      <c r="A1612">
        <v>1078358</v>
      </c>
      <c r="B1612">
        <v>105380</v>
      </c>
      <c r="C1612">
        <v>7778509</v>
      </c>
      <c r="D1612" t="s">
        <v>3280</v>
      </c>
      <c r="F1612" t="s">
        <v>245</v>
      </c>
      <c r="G1612" t="s">
        <v>246</v>
      </c>
      <c r="N1612" t="s">
        <v>3239</v>
      </c>
      <c r="O1612" t="s">
        <v>1299</v>
      </c>
      <c r="P1612" t="s">
        <v>249</v>
      </c>
      <c r="Q1612" t="s">
        <v>250</v>
      </c>
      <c r="R1612" t="s">
        <v>251</v>
      </c>
      <c r="T1612" t="s">
        <v>252</v>
      </c>
      <c r="U1612" t="s">
        <v>371</v>
      </c>
      <c r="V1612" t="s">
        <v>372</v>
      </c>
      <c r="W1612" t="s">
        <v>3240</v>
      </c>
      <c r="X1612" t="s">
        <v>3241</v>
      </c>
      <c r="AM1612" t="s">
        <v>258</v>
      </c>
      <c r="AN1612" t="s">
        <v>259</v>
      </c>
      <c r="AO1612" t="s">
        <v>260</v>
      </c>
      <c r="AQ1612" t="s">
        <v>261</v>
      </c>
      <c r="AS1612">
        <v>14000</v>
      </c>
      <c r="AX1612" t="s">
        <v>262</v>
      </c>
      <c r="BO1612" t="s">
        <v>261</v>
      </c>
      <c r="BQ1612">
        <v>14</v>
      </c>
      <c r="BV1612" t="s">
        <v>263</v>
      </c>
      <c r="CM1612" t="s">
        <v>264</v>
      </c>
      <c r="CN1612" t="s">
        <v>264</v>
      </c>
      <c r="CP1612" t="s">
        <v>265</v>
      </c>
      <c r="CQ1612" t="s">
        <v>538</v>
      </c>
      <c r="DB1612">
        <v>2</v>
      </c>
      <c r="DG1612" t="s">
        <v>267</v>
      </c>
      <c r="DI1612">
        <v>48</v>
      </c>
      <c r="DN1612" t="s">
        <v>268</v>
      </c>
      <c r="DP1612" t="s">
        <v>2185</v>
      </c>
      <c r="DR1612">
        <v>236572</v>
      </c>
      <c r="DS1612">
        <v>1940</v>
      </c>
      <c r="DT1612" t="s">
        <v>3288</v>
      </c>
      <c r="EW1612" t="s">
        <v>271</v>
      </c>
      <c r="FM1612">
        <v>15</v>
      </c>
      <c r="FR1612" t="s">
        <v>295</v>
      </c>
      <c r="GU1612">
        <v>9</v>
      </c>
      <c r="GZ1612" t="s">
        <v>296</v>
      </c>
      <c r="HH1612" t="s">
        <v>272</v>
      </c>
      <c r="IE1612" t="s">
        <v>3289</v>
      </c>
      <c r="IF1612">
        <v>6039</v>
      </c>
      <c r="IG1612" t="s">
        <v>3290</v>
      </c>
      <c r="IH1612" t="s">
        <v>3291</v>
      </c>
      <c r="II1612">
        <v>1987</v>
      </c>
      <c r="IJ1612" t="s">
        <v>3292</v>
      </c>
    </row>
    <row r="1613" spans="1:244" x14ac:dyDescent="0.45">
      <c r="A1613">
        <v>1212443</v>
      </c>
      <c r="B1613">
        <v>192573</v>
      </c>
      <c r="C1613">
        <v>7778509</v>
      </c>
      <c r="D1613" t="s">
        <v>3280</v>
      </c>
      <c r="F1613" t="s">
        <v>245</v>
      </c>
      <c r="G1613" t="s">
        <v>246</v>
      </c>
      <c r="N1613" t="s">
        <v>3303</v>
      </c>
      <c r="O1613" t="s">
        <v>388</v>
      </c>
      <c r="P1613" t="s">
        <v>249</v>
      </c>
      <c r="Q1613" t="s">
        <v>250</v>
      </c>
      <c r="R1613" t="s">
        <v>251</v>
      </c>
      <c r="T1613" t="s">
        <v>389</v>
      </c>
      <c r="U1613" t="s">
        <v>390</v>
      </c>
      <c r="V1613" t="s">
        <v>472</v>
      </c>
      <c r="W1613" t="s">
        <v>473</v>
      </c>
      <c r="X1613" t="s">
        <v>1446</v>
      </c>
      <c r="Z1613" t="s">
        <v>315</v>
      </c>
      <c r="AB1613">
        <v>15</v>
      </c>
      <c r="AG1613" t="s">
        <v>267</v>
      </c>
      <c r="AL1613" t="s">
        <v>3304</v>
      </c>
      <c r="AM1613" t="s">
        <v>287</v>
      </c>
      <c r="AN1613" t="s">
        <v>259</v>
      </c>
      <c r="AO1613" t="s">
        <v>260</v>
      </c>
      <c r="AQ1613" t="s">
        <v>261</v>
      </c>
      <c r="AT1613" t="s">
        <v>288</v>
      </c>
      <c r="AU1613">
        <v>15000</v>
      </c>
      <c r="AV1613" t="s">
        <v>289</v>
      </c>
      <c r="AW1613">
        <v>20000</v>
      </c>
      <c r="AX1613" t="s">
        <v>262</v>
      </c>
      <c r="BO1613" t="s">
        <v>261</v>
      </c>
      <c r="BR1613" t="s">
        <v>288</v>
      </c>
      <c r="BS1613">
        <v>15</v>
      </c>
      <c r="BT1613" t="s">
        <v>289</v>
      </c>
      <c r="BU1613">
        <v>20</v>
      </c>
      <c r="BV1613" t="s">
        <v>263</v>
      </c>
      <c r="CM1613" t="s">
        <v>264</v>
      </c>
      <c r="CN1613" t="s">
        <v>264</v>
      </c>
      <c r="CP1613" t="s">
        <v>265</v>
      </c>
      <c r="DB1613">
        <v>2</v>
      </c>
      <c r="DG1613" t="s">
        <v>267</v>
      </c>
      <c r="DI1613">
        <v>48</v>
      </c>
      <c r="DN1613" t="s">
        <v>268</v>
      </c>
      <c r="DS1613">
        <v>10240</v>
      </c>
      <c r="DT1613" t="s">
        <v>3305</v>
      </c>
      <c r="EW1613" t="s">
        <v>293</v>
      </c>
      <c r="FK1613" t="s">
        <v>1186</v>
      </c>
      <c r="FM1613">
        <v>16.5</v>
      </c>
      <c r="FR1613" t="s">
        <v>295</v>
      </c>
      <c r="HH1613" t="s">
        <v>272</v>
      </c>
      <c r="ID1613" t="s">
        <v>1187</v>
      </c>
      <c r="IE1613" t="s">
        <v>3306</v>
      </c>
      <c r="IF1613">
        <v>19811</v>
      </c>
      <c r="IG1613" t="s">
        <v>3307</v>
      </c>
      <c r="IH1613" t="s">
        <v>3308</v>
      </c>
      <c r="II1613">
        <v>1998</v>
      </c>
      <c r="IJ1613" t="s">
        <v>3309</v>
      </c>
    </row>
    <row r="1614" spans="1:244" x14ac:dyDescent="0.45">
      <c r="A1614">
        <v>1057448</v>
      </c>
      <c r="B1614">
        <v>131434</v>
      </c>
      <c r="C1614">
        <v>7778509</v>
      </c>
      <c r="D1614" t="s">
        <v>3280</v>
      </c>
      <c r="E1614" t="s">
        <v>386</v>
      </c>
      <c r="F1614" t="s">
        <v>245</v>
      </c>
      <c r="G1614" t="s">
        <v>246</v>
      </c>
      <c r="N1614" t="s">
        <v>845</v>
      </c>
      <c r="O1614" t="s">
        <v>846</v>
      </c>
      <c r="P1614" t="s">
        <v>249</v>
      </c>
      <c r="Q1614" t="s">
        <v>250</v>
      </c>
      <c r="R1614" t="s">
        <v>251</v>
      </c>
      <c r="T1614" t="s">
        <v>252</v>
      </c>
      <c r="U1614" t="s">
        <v>253</v>
      </c>
      <c r="V1614" t="s">
        <v>418</v>
      </c>
      <c r="W1614" t="s">
        <v>847</v>
      </c>
      <c r="X1614" t="s">
        <v>848</v>
      </c>
      <c r="Z1614" t="s">
        <v>421</v>
      </c>
      <c r="AB1614">
        <v>3</v>
      </c>
      <c r="AG1614" t="s">
        <v>598</v>
      </c>
      <c r="AM1614" t="s">
        <v>258</v>
      </c>
      <c r="AN1614" t="s">
        <v>259</v>
      </c>
      <c r="AO1614" t="s">
        <v>260</v>
      </c>
      <c r="AQ1614" t="s">
        <v>261</v>
      </c>
      <c r="AS1614">
        <v>13620</v>
      </c>
      <c r="AX1614" t="s">
        <v>262</v>
      </c>
      <c r="BO1614" t="s">
        <v>261</v>
      </c>
      <c r="BQ1614">
        <v>13.62</v>
      </c>
      <c r="BV1614" t="s">
        <v>263</v>
      </c>
      <c r="CM1614" t="s">
        <v>264</v>
      </c>
      <c r="CN1614" t="s">
        <v>264</v>
      </c>
      <c r="CP1614" t="s">
        <v>265</v>
      </c>
      <c r="CQ1614" t="s">
        <v>538</v>
      </c>
      <c r="DB1614">
        <v>2</v>
      </c>
      <c r="DG1614" t="s">
        <v>267</v>
      </c>
      <c r="DI1614">
        <v>48</v>
      </c>
      <c r="DN1614" t="s">
        <v>268</v>
      </c>
      <c r="DR1614">
        <v>32278</v>
      </c>
      <c r="DS1614">
        <v>4580</v>
      </c>
      <c r="DT1614" t="s">
        <v>850</v>
      </c>
      <c r="EW1614" t="s">
        <v>271</v>
      </c>
      <c r="FM1614">
        <v>28</v>
      </c>
      <c r="FR1614" t="s">
        <v>295</v>
      </c>
      <c r="GO1614">
        <v>8.6999999999999993</v>
      </c>
      <c r="GW1614">
        <v>30</v>
      </c>
      <c r="GY1614">
        <v>34</v>
      </c>
      <c r="GZ1614" t="s">
        <v>296</v>
      </c>
      <c r="HH1614" t="s">
        <v>272</v>
      </c>
      <c r="IE1614" t="s">
        <v>853</v>
      </c>
      <c r="IF1614">
        <v>4127</v>
      </c>
      <c r="IG1614" t="s">
        <v>854</v>
      </c>
      <c r="IH1614" t="s">
        <v>855</v>
      </c>
      <c r="II1614">
        <v>1993</v>
      </c>
      <c r="IJ1614" t="s">
        <v>856</v>
      </c>
    </row>
    <row r="1615" spans="1:244" x14ac:dyDescent="0.45">
      <c r="A1615">
        <v>1212446</v>
      </c>
      <c r="B1615">
        <v>192576</v>
      </c>
      <c r="C1615">
        <v>7778509</v>
      </c>
      <c r="D1615" t="s">
        <v>3280</v>
      </c>
      <c r="F1615" t="s">
        <v>245</v>
      </c>
      <c r="G1615" t="s">
        <v>246</v>
      </c>
      <c r="N1615" t="s">
        <v>3303</v>
      </c>
      <c r="O1615" t="s">
        <v>388</v>
      </c>
      <c r="P1615" t="s">
        <v>249</v>
      </c>
      <c r="Q1615" t="s">
        <v>250</v>
      </c>
      <c r="R1615" t="s">
        <v>251</v>
      </c>
      <c r="T1615" t="s">
        <v>389</v>
      </c>
      <c r="U1615" t="s">
        <v>390</v>
      </c>
      <c r="V1615" t="s">
        <v>472</v>
      </c>
      <c r="W1615" t="s">
        <v>473</v>
      </c>
      <c r="X1615" t="s">
        <v>1446</v>
      </c>
      <c r="Z1615" t="s">
        <v>315</v>
      </c>
      <c r="AB1615">
        <v>15</v>
      </c>
      <c r="AG1615" t="s">
        <v>267</v>
      </c>
      <c r="AL1615" t="s">
        <v>3304</v>
      </c>
      <c r="AM1615" t="s">
        <v>287</v>
      </c>
      <c r="AN1615" t="s">
        <v>259</v>
      </c>
      <c r="AO1615" t="s">
        <v>260</v>
      </c>
      <c r="AQ1615" t="s">
        <v>261</v>
      </c>
      <c r="AT1615" t="s">
        <v>288</v>
      </c>
      <c r="AU1615">
        <v>15000</v>
      </c>
      <c r="AV1615" t="s">
        <v>289</v>
      </c>
      <c r="AW1615">
        <v>20000</v>
      </c>
      <c r="AX1615" t="s">
        <v>262</v>
      </c>
      <c r="BO1615" t="s">
        <v>261</v>
      </c>
      <c r="BR1615" t="s">
        <v>288</v>
      </c>
      <c r="BS1615">
        <v>15</v>
      </c>
      <c r="BT1615" t="s">
        <v>289</v>
      </c>
      <c r="BU1615">
        <v>20</v>
      </c>
      <c r="BV1615" t="s">
        <v>263</v>
      </c>
      <c r="CM1615" t="s">
        <v>264</v>
      </c>
      <c r="CN1615" t="s">
        <v>264</v>
      </c>
      <c r="CP1615" t="s">
        <v>265</v>
      </c>
      <c r="DB1615">
        <v>2</v>
      </c>
      <c r="DG1615" t="s">
        <v>267</v>
      </c>
      <c r="DI1615">
        <v>48</v>
      </c>
      <c r="DN1615" t="s">
        <v>268</v>
      </c>
      <c r="DS1615">
        <v>10240</v>
      </c>
      <c r="DT1615" t="s">
        <v>3305</v>
      </c>
      <c r="EW1615" t="s">
        <v>293</v>
      </c>
      <c r="FK1615" t="s">
        <v>1186</v>
      </c>
      <c r="FM1615">
        <v>16.5</v>
      </c>
      <c r="FR1615" t="s">
        <v>295</v>
      </c>
      <c r="HH1615" t="s">
        <v>272</v>
      </c>
      <c r="ID1615" t="s">
        <v>1187</v>
      </c>
      <c r="IE1615" t="s">
        <v>3306</v>
      </c>
      <c r="IF1615">
        <v>19811</v>
      </c>
      <c r="IG1615" t="s">
        <v>3307</v>
      </c>
      <c r="IH1615" t="s">
        <v>3308</v>
      </c>
      <c r="II1615">
        <v>1998</v>
      </c>
      <c r="IJ1615" t="s">
        <v>3309</v>
      </c>
    </row>
    <row r="1616" spans="1:244" x14ac:dyDescent="0.45">
      <c r="A1616">
        <v>1174971</v>
      </c>
      <c r="B1616">
        <v>65145</v>
      </c>
      <c r="C1616">
        <v>7778509</v>
      </c>
      <c r="D1616" t="s">
        <v>3280</v>
      </c>
      <c r="F1616" t="s">
        <v>245</v>
      </c>
      <c r="G1616" t="s">
        <v>246</v>
      </c>
      <c r="N1616" t="s">
        <v>345</v>
      </c>
      <c r="O1616" t="s">
        <v>346</v>
      </c>
      <c r="P1616" t="s">
        <v>249</v>
      </c>
      <c r="Q1616" t="s">
        <v>250</v>
      </c>
      <c r="R1616" t="s">
        <v>251</v>
      </c>
      <c r="T1616" t="s">
        <v>347</v>
      </c>
      <c r="U1616" t="s">
        <v>348</v>
      </c>
      <c r="V1616" t="s">
        <v>349</v>
      </c>
      <c r="W1616" t="s">
        <v>350</v>
      </c>
      <c r="X1616" t="s">
        <v>351</v>
      </c>
      <c r="Z1616" t="s">
        <v>284</v>
      </c>
      <c r="AD1616">
        <v>2</v>
      </c>
      <c r="AF1616">
        <v>3</v>
      </c>
      <c r="AG1616" t="s">
        <v>1409</v>
      </c>
      <c r="AM1616" t="s">
        <v>317</v>
      </c>
      <c r="AN1616" t="s">
        <v>259</v>
      </c>
      <c r="AO1616" t="s">
        <v>260</v>
      </c>
      <c r="AQ1616" t="s">
        <v>261</v>
      </c>
      <c r="AS1616">
        <v>13800</v>
      </c>
      <c r="AU1616">
        <v>11800</v>
      </c>
      <c r="AW1616">
        <v>16200</v>
      </c>
      <c r="AX1616" t="s">
        <v>262</v>
      </c>
      <c r="BO1616" t="s">
        <v>261</v>
      </c>
      <c r="BQ1616">
        <v>13.8</v>
      </c>
      <c r="BS1616">
        <v>11.8</v>
      </c>
      <c r="BU1616">
        <v>16.2</v>
      </c>
      <c r="BV1616" t="s">
        <v>263</v>
      </c>
      <c r="CM1616" t="s">
        <v>264</v>
      </c>
      <c r="CN1616" t="s">
        <v>264</v>
      </c>
      <c r="CP1616" t="s">
        <v>265</v>
      </c>
      <c r="DB1616">
        <v>1</v>
      </c>
      <c r="DG1616" t="s">
        <v>267</v>
      </c>
      <c r="DI1616">
        <v>24</v>
      </c>
      <c r="DN1616" t="s">
        <v>268</v>
      </c>
      <c r="DR1616">
        <v>6660</v>
      </c>
      <c r="DS1616">
        <v>421</v>
      </c>
      <c r="EW1616" t="s">
        <v>271</v>
      </c>
      <c r="FK1616" t="s">
        <v>3334</v>
      </c>
      <c r="FM1616">
        <v>25</v>
      </c>
      <c r="FR1616" t="s">
        <v>295</v>
      </c>
      <c r="GO1616">
        <v>7.5</v>
      </c>
      <c r="GU1616">
        <v>35</v>
      </c>
      <c r="GZ1616" t="s">
        <v>296</v>
      </c>
      <c r="HH1616" t="s">
        <v>272</v>
      </c>
      <c r="ID1616" t="s">
        <v>3335</v>
      </c>
      <c r="IE1616" t="s">
        <v>3298</v>
      </c>
      <c r="IF1616">
        <v>15178</v>
      </c>
      <c r="IG1616" t="s">
        <v>3299</v>
      </c>
      <c r="IH1616" t="s">
        <v>3300</v>
      </c>
      <c r="II1616">
        <v>1980</v>
      </c>
      <c r="IJ1616" t="s">
        <v>3301</v>
      </c>
    </row>
    <row r="1617" spans="1:244" x14ac:dyDescent="0.45">
      <c r="A1617">
        <v>1212442</v>
      </c>
      <c r="B1617">
        <v>192572</v>
      </c>
      <c r="C1617">
        <v>7778509</v>
      </c>
      <c r="D1617" t="s">
        <v>3280</v>
      </c>
      <c r="F1617" t="s">
        <v>245</v>
      </c>
      <c r="G1617" t="s">
        <v>246</v>
      </c>
      <c r="N1617" t="s">
        <v>3303</v>
      </c>
      <c r="O1617" t="s">
        <v>388</v>
      </c>
      <c r="P1617" t="s">
        <v>249</v>
      </c>
      <c r="Q1617" t="s">
        <v>250</v>
      </c>
      <c r="R1617" t="s">
        <v>251</v>
      </c>
      <c r="T1617" t="s">
        <v>389</v>
      </c>
      <c r="U1617" t="s">
        <v>390</v>
      </c>
      <c r="V1617" t="s">
        <v>472</v>
      </c>
      <c r="W1617" t="s">
        <v>473</v>
      </c>
      <c r="X1617" t="s">
        <v>1446</v>
      </c>
      <c r="Z1617" t="s">
        <v>315</v>
      </c>
      <c r="AB1617">
        <v>15</v>
      </c>
      <c r="AG1617" t="s">
        <v>267</v>
      </c>
      <c r="AL1617" t="s">
        <v>3304</v>
      </c>
      <c r="AM1617" t="s">
        <v>287</v>
      </c>
      <c r="AN1617" t="s">
        <v>259</v>
      </c>
      <c r="AO1617" t="s">
        <v>260</v>
      </c>
      <c r="AQ1617" t="s">
        <v>261</v>
      </c>
      <c r="AR1617" t="s">
        <v>515</v>
      </c>
      <c r="AS1617">
        <v>25000</v>
      </c>
      <c r="AX1617" t="s">
        <v>262</v>
      </c>
      <c r="BO1617" t="s">
        <v>261</v>
      </c>
      <c r="BP1617" t="s">
        <v>515</v>
      </c>
      <c r="BQ1617">
        <v>25</v>
      </c>
      <c r="BV1617" t="s">
        <v>263</v>
      </c>
      <c r="CM1617" t="s">
        <v>264</v>
      </c>
      <c r="CN1617" t="s">
        <v>264</v>
      </c>
      <c r="CP1617" t="s">
        <v>265</v>
      </c>
      <c r="DB1617">
        <v>2</v>
      </c>
      <c r="DG1617" t="s">
        <v>267</v>
      </c>
      <c r="DI1617">
        <v>48</v>
      </c>
      <c r="DN1617" t="s">
        <v>268</v>
      </c>
      <c r="DS1617">
        <v>10240</v>
      </c>
      <c r="DT1617" t="s">
        <v>3305</v>
      </c>
      <c r="EW1617" t="s">
        <v>293</v>
      </c>
      <c r="FK1617" t="s">
        <v>1186</v>
      </c>
      <c r="FM1617">
        <v>13</v>
      </c>
      <c r="FR1617" t="s">
        <v>295</v>
      </c>
      <c r="HH1617" t="s">
        <v>272</v>
      </c>
      <c r="ID1617" t="s">
        <v>1187</v>
      </c>
      <c r="IE1617" t="s">
        <v>3306</v>
      </c>
      <c r="IF1617">
        <v>19811</v>
      </c>
      <c r="IG1617" t="s">
        <v>3307</v>
      </c>
      <c r="IH1617" t="s">
        <v>3308</v>
      </c>
      <c r="II1617">
        <v>1998</v>
      </c>
      <c r="IJ1617" t="s">
        <v>3309</v>
      </c>
    </row>
    <row r="1618" spans="1:244" x14ac:dyDescent="0.45">
      <c r="A1618">
        <v>1174937</v>
      </c>
      <c r="B1618">
        <v>58783</v>
      </c>
      <c r="C1618">
        <v>7778509</v>
      </c>
      <c r="D1618" t="s">
        <v>3280</v>
      </c>
      <c r="F1618" t="s">
        <v>245</v>
      </c>
      <c r="G1618" t="s">
        <v>246</v>
      </c>
      <c r="N1618" t="s">
        <v>345</v>
      </c>
      <c r="O1618" t="s">
        <v>346</v>
      </c>
      <c r="P1618" t="s">
        <v>249</v>
      </c>
      <c r="Q1618" t="s">
        <v>250</v>
      </c>
      <c r="R1618" t="s">
        <v>251</v>
      </c>
      <c r="T1618" t="s">
        <v>347</v>
      </c>
      <c r="U1618" t="s">
        <v>348</v>
      </c>
      <c r="V1618" t="s">
        <v>349</v>
      </c>
      <c r="W1618" t="s">
        <v>350</v>
      </c>
      <c r="X1618" t="s">
        <v>351</v>
      </c>
      <c r="Z1618" t="s">
        <v>284</v>
      </c>
      <c r="AD1618">
        <v>2</v>
      </c>
      <c r="AF1618">
        <v>3</v>
      </c>
      <c r="AG1618" t="s">
        <v>1409</v>
      </c>
      <c r="AM1618" t="s">
        <v>317</v>
      </c>
      <c r="AN1618" t="s">
        <v>259</v>
      </c>
      <c r="AO1618" t="s">
        <v>260</v>
      </c>
      <c r="AQ1618" t="s">
        <v>261</v>
      </c>
      <c r="AS1618">
        <v>11500</v>
      </c>
      <c r="AU1618">
        <v>9700</v>
      </c>
      <c r="AW1618">
        <v>13700</v>
      </c>
      <c r="AX1618" t="s">
        <v>262</v>
      </c>
      <c r="BO1618" t="s">
        <v>261</v>
      </c>
      <c r="BQ1618">
        <v>11.5</v>
      </c>
      <c r="BS1618">
        <v>9.6999999999999993</v>
      </c>
      <c r="BU1618">
        <v>13.7</v>
      </c>
      <c r="BV1618" t="s">
        <v>263</v>
      </c>
      <c r="CM1618" t="s">
        <v>264</v>
      </c>
      <c r="CN1618" t="s">
        <v>264</v>
      </c>
      <c r="CP1618" t="s">
        <v>265</v>
      </c>
      <c r="DB1618">
        <v>1</v>
      </c>
      <c r="DG1618" t="s">
        <v>267</v>
      </c>
      <c r="DI1618">
        <v>24</v>
      </c>
      <c r="DN1618" t="s">
        <v>268</v>
      </c>
      <c r="DR1618">
        <v>6660</v>
      </c>
      <c r="DS1618">
        <v>421</v>
      </c>
      <c r="EW1618" t="s">
        <v>271</v>
      </c>
      <c r="FK1618" t="s">
        <v>3350</v>
      </c>
      <c r="FM1618">
        <v>25</v>
      </c>
      <c r="FR1618" t="s">
        <v>295</v>
      </c>
      <c r="GO1618">
        <v>7.5</v>
      </c>
      <c r="GU1618">
        <v>35</v>
      </c>
      <c r="GZ1618" t="s">
        <v>296</v>
      </c>
      <c r="HH1618" t="s">
        <v>272</v>
      </c>
      <c r="ID1618" t="s">
        <v>3351</v>
      </c>
      <c r="IE1618" t="s">
        <v>3298</v>
      </c>
      <c r="IF1618">
        <v>15178</v>
      </c>
      <c r="IG1618" t="s">
        <v>3299</v>
      </c>
      <c r="IH1618" t="s">
        <v>3300</v>
      </c>
      <c r="II1618">
        <v>1980</v>
      </c>
      <c r="IJ1618" t="s">
        <v>3301</v>
      </c>
    </row>
    <row r="1619" spans="1:244" x14ac:dyDescent="0.45">
      <c r="A1619">
        <v>1053121</v>
      </c>
      <c r="B1619">
        <v>120261</v>
      </c>
      <c r="C1619">
        <v>7778509</v>
      </c>
      <c r="D1619" t="s">
        <v>3280</v>
      </c>
      <c r="F1619" t="s">
        <v>245</v>
      </c>
      <c r="G1619" t="s">
        <v>246</v>
      </c>
      <c r="N1619" t="s">
        <v>690</v>
      </c>
      <c r="O1619" t="s">
        <v>691</v>
      </c>
      <c r="P1619" t="s">
        <v>249</v>
      </c>
      <c r="Q1619" t="s">
        <v>250</v>
      </c>
      <c r="R1619" t="s">
        <v>251</v>
      </c>
      <c r="T1619" t="s">
        <v>252</v>
      </c>
      <c r="U1619" t="s">
        <v>253</v>
      </c>
      <c r="V1619" t="s">
        <v>418</v>
      </c>
      <c r="W1619" t="s">
        <v>419</v>
      </c>
      <c r="X1619" t="s">
        <v>692</v>
      </c>
      <c r="Z1619" t="s">
        <v>284</v>
      </c>
      <c r="AM1619" t="s">
        <v>287</v>
      </c>
      <c r="AN1619" t="s">
        <v>259</v>
      </c>
      <c r="AO1619" t="s">
        <v>260</v>
      </c>
      <c r="AQ1619" t="s">
        <v>261</v>
      </c>
      <c r="AS1619">
        <v>3.44</v>
      </c>
      <c r="AU1619">
        <v>2.5499999999999998</v>
      </c>
      <c r="AW1619">
        <v>4.3899999999999997</v>
      </c>
      <c r="AX1619" t="s">
        <v>262</v>
      </c>
      <c r="BO1619" t="s">
        <v>261</v>
      </c>
      <c r="BQ1619">
        <v>3.4399999999999999E-3</v>
      </c>
      <c r="BS1619">
        <v>2.5500000000000002E-3</v>
      </c>
      <c r="BU1619">
        <v>4.3899999999999998E-3</v>
      </c>
      <c r="BV1619" t="s">
        <v>263</v>
      </c>
      <c r="CM1619" t="s">
        <v>264</v>
      </c>
      <c r="CN1619" t="s">
        <v>264</v>
      </c>
      <c r="CP1619" t="s">
        <v>265</v>
      </c>
      <c r="CQ1619" t="s">
        <v>538</v>
      </c>
      <c r="DB1619">
        <v>4</v>
      </c>
      <c r="DG1619" t="s">
        <v>267</v>
      </c>
      <c r="DI1619">
        <v>96</v>
      </c>
      <c r="DN1619" t="s">
        <v>268</v>
      </c>
      <c r="DR1619">
        <v>139456</v>
      </c>
      <c r="DS1619">
        <v>3044</v>
      </c>
      <c r="EW1619" t="s">
        <v>271</v>
      </c>
      <c r="HH1619" t="s">
        <v>272</v>
      </c>
      <c r="IE1619" t="s">
        <v>1862</v>
      </c>
      <c r="IF1619">
        <v>3702</v>
      </c>
      <c r="IG1619" t="s">
        <v>1863</v>
      </c>
      <c r="IH1619" t="s">
        <v>1864</v>
      </c>
      <c r="II1619">
        <v>1990</v>
      </c>
      <c r="IJ1619" t="s">
        <v>1865</v>
      </c>
    </row>
    <row r="1620" spans="1:244" x14ac:dyDescent="0.45">
      <c r="A1620">
        <v>1174968</v>
      </c>
      <c r="B1620">
        <v>65142</v>
      </c>
      <c r="C1620">
        <v>7778509</v>
      </c>
      <c r="D1620" t="s">
        <v>3280</v>
      </c>
      <c r="F1620" t="s">
        <v>245</v>
      </c>
      <c r="G1620" t="s">
        <v>246</v>
      </c>
      <c r="N1620" t="s">
        <v>345</v>
      </c>
      <c r="O1620" t="s">
        <v>346</v>
      </c>
      <c r="P1620" t="s">
        <v>249</v>
      </c>
      <c r="Q1620" t="s">
        <v>250</v>
      </c>
      <c r="R1620" t="s">
        <v>251</v>
      </c>
      <c r="T1620" t="s">
        <v>347</v>
      </c>
      <c r="U1620" t="s">
        <v>348</v>
      </c>
      <c r="V1620" t="s">
        <v>349</v>
      </c>
      <c r="W1620" t="s">
        <v>350</v>
      </c>
      <c r="X1620" t="s">
        <v>351</v>
      </c>
      <c r="Z1620" t="s">
        <v>284</v>
      </c>
      <c r="AD1620">
        <v>2</v>
      </c>
      <c r="AF1620">
        <v>3</v>
      </c>
      <c r="AG1620" t="s">
        <v>1409</v>
      </c>
      <c r="AM1620" t="s">
        <v>317</v>
      </c>
      <c r="AN1620" t="s">
        <v>259</v>
      </c>
      <c r="AO1620" t="s">
        <v>260</v>
      </c>
      <c r="AQ1620" t="s">
        <v>261</v>
      </c>
      <c r="AS1620">
        <v>9950</v>
      </c>
      <c r="AU1620">
        <v>8180</v>
      </c>
      <c r="AW1620">
        <v>12110</v>
      </c>
      <c r="AX1620" t="s">
        <v>262</v>
      </c>
      <c r="BO1620" t="s">
        <v>261</v>
      </c>
      <c r="BQ1620">
        <v>9.9499999999999993</v>
      </c>
      <c r="BS1620">
        <v>8.18</v>
      </c>
      <c r="BU1620">
        <v>12.11</v>
      </c>
      <c r="BV1620" t="s">
        <v>263</v>
      </c>
      <c r="CM1620" t="s">
        <v>264</v>
      </c>
      <c r="CN1620" t="s">
        <v>264</v>
      </c>
      <c r="CP1620" t="s">
        <v>265</v>
      </c>
      <c r="DB1620">
        <v>1</v>
      </c>
      <c r="DG1620" t="s">
        <v>267</v>
      </c>
      <c r="DI1620">
        <v>24</v>
      </c>
      <c r="DN1620" t="s">
        <v>268</v>
      </c>
      <c r="DR1620">
        <v>6660</v>
      </c>
      <c r="DS1620">
        <v>421</v>
      </c>
      <c r="EW1620" t="s">
        <v>271</v>
      </c>
      <c r="FK1620" t="s">
        <v>3363</v>
      </c>
      <c r="FM1620">
        <v>25</v>
      </c>
      <c r="FR1620" t="s">
        <v>295</v>
      </c>
      <c r="GO1620">
        <v>7.5</v>
      </c>
      <c r="GU1620">
        <v>35</v>
      </c>
      <c r="GZ1620" t="s">
        <v>296</v>
      </c>
      <c r="HH1620" t="s">
        <v>272</v>
      </c>
      <c r="ID1620" t="s">
        <v>3364</v>
      </c>
      <c r="IE1620" t="s">
        <v>3298</v>
      </c>
      <c r="IF1620">
        <v>15178</v>
      </c>
      <c r="IG1620" t="s">
        <v>3299</v>
      </c>
      <c r="IH1620" t="s">
        <v>3300</v>
      </c>
      <c r="II1620">
        <v>1980</v>
      </c>
      <c r="IJ1620" t="s">
        <v>3301</v>
      </c>
    </row>
    <row r="1621" spans="1:244" x14ac:dyDescent="0.45">
      <c r="A1621">
        <v>1182173</v>
      </c>
      <c r="B1621">
        <v>160079</v>
      </c>
      <c r="C1621">
        <v>7778509</v>
      </c>
      <c r="D1621" t="s">
        <v>3280</v>
      </c>
      <c r="F1621" t="s">
        <v>245</v>
      </c>
      <c r="G1621" t="s">
        <v>246</v>
      </c>
      <c r="I1621">
        <v>99</v>
      </c>
      <c r="N1621" t="s">
        <v>345</v>
      </c>
      <c r="O1621" t="s">
        <v>346</v>
      </c>
      <c r="P1621" t="s">
        <v>249</v>
      </c>
      <c r="Q1621" t="s">
        <v>250</v>
      </c>
      <c r="R1621" t="s">
        <v>251</v>
      </c>
      <c r="T1621" t="s">
        <v>347</v>
      </c>
      <c r="U1621" t="s">
        <v>348</v>
      </c>
      <c r="V1621" t="s">
        <v>349</v>
      </c>
      <c r="W1621" t="s">
        <v>350</v>
      </c>
      <c r="X1621" t="s">
        <v>351</v>
      </c>
      <c r="Z1621" t="s">
        <v>1034</v>
      </c>
      <c r="AL1621" t="s">
        <v>2663</v>
      </c>
      <c r="AM1621" t="s">
        <v>317</v>
      </c>
      <c r="AN1621" t="s">
        <v>259</v>
      </c>
      <c r="AO1621" t="s">
        <v>260</v>
      </c>
      <c r="AQ1621" t="s">
        <v>261</v>
      </c>
      <c r="AS1621">
        <v>10500</v>
      </c>
      <c r="AX1621" t="s">
        <v>262</v>
      </c>
      <c r="BO1621" t="s">
        <v>261</v>
      </c>
      <c r="BQ1621">
        <v>10.5</v>
      </c>
      <c r="BV1621" t="s">
        <v>263</v>
      </c>
      <c r="CM1621" t="s">
        <v>264</v>
      </c>
      <c r="CN1621" t="s">
        <v>264</v>
      </c>
      <c r="CP1621" t="s">
        <v>265</v>
      </c>
      <c r="DB1621">
        <v>2</v>
      </c>
      <c r="DG1621" t="s">
        <v>267</v>
      </c>
      <c r="DI1621">
        <v>48</v>
      </c>
      <c r="DN1621" t="s">
        <v>268</v>
      </c>
      <c r="DO1621" t="s">
        <v>1587</v>
      </c>
      <c r="DP1621" t="s">
        <v>3281</v>
      </c>
      <c r="DR1621">
        <v>6660</v>
      </c>
      <c r="DS1621">
        <v>421</v>
      </c>
      <c r="DT1621" t="s">
        <v>2665</v>
      </c>
      <c r="EW1621" t="s">
        <v>293</v>
      </c>
      <c r="FA1621" t="s">
        <v>2789</v>
      </c>
      <c r="FM1621">
        <v>25</v>
      </c>
      <c r="FR1621" t="s">
        <v>295</v>
      </c>
      <c r="GU1621">
        <v>15</v>
      </c>
      <c r="GZ1621" t="s">
        <v>296</v>
      </c>
      <c r="HH1621" t="s">
        <v>272</v>
      </c>
      <c r="IE1621" t="s">
        <v>2667</v>
      </c>
      <c r="IF1621">
        <v>16031</v>
      </c>
      <c r="IG1621" t="s">
        <v>2668</v>
      </c>
      <c r="IH1621" t="s">
        <v>2669</v>
      </c>
      <c r="II1621">
        <v>1995</v>
      </c>
      <c r="IJ1621" t="s">
        <v>2670</v>
      </c>
    </row>
    <row r="1622" spans="1:244" x14ac:dyDescent="0.45">
      <c r="A1622">
        <v>1035052</v>
      </c>
      <c r="B1622">
        <v>107199</v>
      </c>
      <c r="C1622">
        <v>7778509</v>
      </c>
      <c r="D1622" t="s">
        <v>3280</v>
      </c>
      <c r="F1622" t="s">
        <v>245</v>
      </c>
      <c r="G1622" t="s">
        <v>246</v>
      </c>
      <c r="N1622" t="s">
        <v>452</v>
      </c>
      <c r="O1622" t="s">
        <v>346</v>
      </c>
      <c r="P1622" t="s">
        <v>249</v>
      </c>
      <c r="Q1622" t="s">
        <v>250</v>
      </c>
      <c r="R1622" t="s">
        <v>251</v>
      </c>
      <c r="T1622" t="s">
        <v>347</v>
      </c>
      <c r="U1622" t="s">
        <v>348</v>
      </c>
      <c r="V1622" t="s">
        <v>349</v>
      </c>
      <c r="W1622" t="s">
        <v>350</v>
      </c>
      <c r="X1622" t="s">
        <v>453</v>
      </c>
      <c r="AD1622">
        <v>2</v>
      </c>
      <c r="AF1622">
        <v>3</v>
      </c>
      <c r="AG1622" t="s">
        <v>1409</v>
      </c>
      <c r="AL1622" t="s">
        <v>3316</v>
      </c>
      <c r="AM1622" t="s">
        <v>317</v>
      </c>
      <c r="AN1622" t="s">
        <v>259</v>
      </c>
      <c r="AO1622" t="s">
        <v>260</v>
      </c>
      <c r="AQ1622" t="s">
        <v>261</v>
      </c>
      <c r="AS1622">
        <v>14100</v>
      </c>
      <c r="AU1622">
        <v>10900</v>
      </c>
      <c r="AW1622">
        <v>17600</v>
      </c>
      <c r="AX1622" t="s">
        <v>262</v>
      </c>
      <c r="BO1622" t="s">
        <v>261</v>
      </c>
      <c r="BQ1622">
        <v>14.1</v>
      </c>
      <c r="BS1622">
        <v>10.9</v>
      </c>
      <c r="BU1622">
        <v>17.600000000000001</v>
      </c>
      <c r="BV1622" t="s">
        <v>263</v>
      </c>
      <c r="CM1622" t="s">
        <v>264</v>
      </c>
      <c r="CN1622" t="s">
        <v>264</v>
      </c>
      <c r="CP1622" t="s">
        <v>265</v>
      </c>
      <c r="CQ1622" t="s">
        <v>538</v>
      </c>
      <c r="DB1622">
        <v>1</v>
      </c>
      <c r="DG1622" t="s">
        <v>267</v>
      </c>
      <c r="DI1622">
        <v>24</v>
      </c>
      <c r="DN1622" t="s">
        <v>268</v>
      </c>
      <c r="DR1622">
        <v>85549</v>
      </c>
      <c r="DS1622">
        <v>366</v>
      </c>
      <c r="DT1622" t="s">
        <v>3317</v>
      </c>
      <c r="EW1622" t="s">
        <v>271</v>
      </c>
      <c r="FM1622">
        <v>30</v>
      </c>
      <c r="FR1622" t="s">
        <v>295</v>
      </c>
      <c r="GU1622">
        <v>5</v>
      </c>
      <c r="GZ1622" t="s">
        <v>296</v>
      </c>
      <c r="HH1622" t="s">
        <v>272</v>
      </c>
      <c r="IE1622" t="s">
        <v>3318</v>
      </c>
      <c r="IF1622">
        <v>2151</v>
      </c>
      <c r="IG1622" t="s">
        <v>3319</v>
      </c>
      <c r="IH1622" t="s">
        <v>3320</v>
      </c>
      <c r="II1622">
        <v>1989</v>
      </c>
      <c r="IJ1622" t="s">
        <v>3321</v>
      </c>
    </row>
    <row r="1623" spans="1:244" x14ac:dyDescent="0.45">
      <c r="A1623">
        <v>1182175</v>
      </c>
      <c r="B1623">
        <v>160081</v>
      </c>
      <c r="C1623">
        <v>7778509</v>
      </c>
      <c r="D1623" t="s">
        <v>3280</v>
      </c>
      <c r="F1623" t="s">
        <v>245</v>
      </c>
      <c r="G1623" t="s">
        <v>246</v>
      </c>
      <c r="I1623">
        <v>99</v>
      </c>
      <c r="N1623" t="s">
        <v>345</v>
      </c>
      <c r="O1623" t="s">
        <v>346</v>
      </c>
      <c r="P1623" t="s">
        <v>249</v>
      </c>
      <c r="Q1623" t="s">
        <v>250</v>
      </c>
      <c r="R1623" t="s">
        <v>251</v>
      </c>
      <c r="T1623" t="s">
        <v>347</v>
      </c>
      <c r="U1623" t="s">
        <v>348</v>
      </c>
      <c r="V1623" t="s">
        <v>349</v>
      </c>
      <c r="W1623" t="s">
        <v>350</v>
      </c>
      <c r="X1623" t="s">
        <v>351</v>
      </c>
      <c r="Z1623" t="s">
        <v>1034</v>
      </c>
      <c r="AL1623" t="s">
        <v>2663</v>
      </c>
      <c r="AM1623" t="s">
        <v>317</v>
      </c>
      <c r="AN1623" t="s">
        <v>259</v>
      </c>
      <c r="AO1623" t="s">
        <v>260</v>
      </c>
      <c r="AQ1623" t="s">
        <v>261</v>
      </c>
      <c r="AS1623">
        <v>6300</v>
      </c>
      <c r="AX1623" t="s">
        <v>262</v>
      </c>
      <c r="BO1623" t="s">
        <v>261</v>
      </c>
      <c r="BQ1623">
        <v>6.3</v>
      </c>
      <c r="BV1623" t="s">
        <v>263</v>
      </c>
      <c r="CM1623" t="s">
        <v>264</v>
      </c>
      <c r="CN1623" t="s">
        <v>264</v>
      </c>
      <c r="CP1623" t="s">
        <v>265</v>
      </c>
      <c r="DB1623">
        <v>2</v>
      </c>
      <c r="DG1623" t="s">
        <v>267</v>
      </c>
      <c r="DI1623">
        <v>48</v>
      </c>
      <c r="DN1623" t="s">
        <v>268</v>
      </c>
      <c r="DO1623" t="s">
        <v>1587</v>
      </c>
      <c r="DP1623" t="s">
        <v>3281</v>
      </c>
      <c r="DR1623">
        <v>6660</v>
      </c>
      <c r="DS1623">
        <v>421</v>
      </c>
      <c r="DT1623" t="s">
        <v>2665</v>
      </c>
      <c r="EW1623" t="s">
        <v>293</v>
      </c>
      <c r="FA1623" t="s">
        <v>2789</v>
      </c>
      <c r="FM1623">
        <v>25</v>
      </c>
      <c r="FR1623" t="s">
        <v>295</v>
      </c>
      <c r="GU1623">
        <v>35</v>
      </c>
      <c r="GZ1623" t="s">
        <v>296</v>
      </c>
      <c r="HH1623" t="s">
        <v>272</v>
      </c>
      <c r="IE1623" t="s">
        <v>2667</v>
      </c>
      <c r="IF1623">
        <v>16031</v>
      </c>
      <c r="IG1623" t="s">
        <v>2668</v>
      </c>
      <c r="IH1623" t="s">
        <v>2669</v>
      </c>
      <c r="II1623">
        <v>1995</v>
      </c>
      <c r="IJ1623" t="s">
        <v>2670</v>
      </c>
    </row>
    <row r="1624" spans="1:244" x14ac:dyDescent="0.45">
      <c r="A1624">
        <v>1078353</v>
      </c>
      <c r="B1624">
        <v>105365</v>
      </c>
      <c r="C1624">
        <v>7778509</v>
      </c>
      <c r="D1624" t="s">
        <v>3280</v>
      </c>
      <c r="F1624" t="s">
        <v>245</v>
      </c>
      <c r="G1624" t="s">
        <v>246</v>
      </c>
      <c r="N1624" t="s">
        <v>3239</v>
      </c>
      <c r="O1624" t="s">
        <v>1299</v>
      </c>
      <c r="P1624" t="s">
        <v>249</v>
      </c>
      <c r="Q1624" t="s">
        <v>250</v>
      </c>
      <c r="R1624" t="s">
        <v>251</v>
      </c>
      <c r="T1624" t="s">
        <v>252</v>
      </c>
      <c r="U1624" t="s">
        <v>371</v>
      </c>
      <c r="V1624" t="s">
        <v>372</v>
      </c>
      <c r="W1624" t="s">
        <v>3240</v>
      </c>
      <c r="X1624" t="s">
        <v>3241</v>
      </c>
      <c r="AM1624" t="s">
        <v>258</v>
      </c>
      <c r="AN1624" t="s">
        <v>259</v>
      </c>
      <c r="AO1624" t="s">
        <v>260</v>
      </c>
      <c r="AQ1624" t="s">
        <v>261</v>
      </c>
      <c r="AS1624">
        <v>6000</v>
      </c>
      <c r="AX1624" t="s">
        <v>262</v>
      </c>
      <c r="BO1624" t="s">
        <v>261</v>
      </c>
      <c r="BQ1624">
        <v>6</v>
      </c>
      <c r="BV1624" t="s">
        <v>263</v>
      </c>
      <c r="CM1624" t="s">
        <v>264</v>
      </c>
      <c r="CN1624" t="s">
        <v>264</v>
      </c>
      <c r="CP1624" t="s">
        <v>265</v>
      </c>
      <c r="CQ1624" t="s">
        <v>538</v>
      </c>
      <c r="DB1624">
        <v>2</v>
      </c>
      <c r="DG1624" t="s">
        <v>267</v>
      </c>
      <c r="DI1624">
        <v>48</v>
      </c>
      <c r="DN1624" t="s">
        <v>268</v>
      </c>
      <c r="DP1624" t="s">
        <v>2185</v>
      </c>
      <c r="DR1624">
        <v>236572</v>
      </c>
      <c r="DS1624">
        <v>1940</v>
      </c>
      <c r="DT1624" t="s">
        <v>3288</v>
      </c>
      <c r="EW1624" t="s">
        <v>271</v>
      </c>
      <c r="FK1624" t="s">
        <v>3293</v>
      </c>
      <c r="FM1624">
        <v>15</v>
      </c>
      <c r="FR1624" t="s">
        <v>295</v>
      </c>
      <c r="GU1624">
        <v>4.5</v>
      </c>
      <c r="GZ1624" t="s">
        <v>296</v>
      </c>
      <c r="HH1624" t="s">
        <v>272</v>
      </c>
      <c r="ID1624" t="s">
        <v>3294</v>
      </c>
      <c r="IE1624" t="s">
        <v>3289</v>
      </c>
      <c r="IF1624">
        <v>6039</v>
      </c>
      <c r="IG1624" t="s">
        <v>3290</v>
      </c>
      <c r="IH1624" t="s">
        <v>3291</v>
      </c>
      <c r="II1624">
        <v>1987</v>
      </c>
      <c r="IJ1624" t="s">
        <v>3292</v>
      </c>
    </row>
    <row r="1625" spans="1:244" x14ac:dyDescent="0.45">
      <c r="A1625">
        <v>1182178</v>
      </c>
      <c r="B1625">
        <v>160084</v>
      </c>
      <c r="C1625">
        <v>7778509</v>
      </c>
      <c r="D1625" t="s">
        <v>3280</v>
      </c>
      <c r="F1625" t="s">
        <v>245</v>
      </c>
      <c r="G1625" t="s">
        <v>246</v>
      </c>
      <c r="I1625">
        <v>99</v>
      </c>
      <c r="N1625" t="s">
        <v>345</v>
      </c>
      <c r="O1625" t="s">
        <v>346</v>
      </c>
      <c r="P1625" t="s">
        <v>249</v>
      </c>
      <c r="Q1625" t="s">
        <v>250</v>
      </c>
      <c r="R1625" t="s">
        <v>251</v>
      </c>
      <c r="T1625" t="s">
        <v>347</v>
      </c>
      <c r="U1625" t="s">
        <v>348</v>
      </c>
      <c r="V1625" t="s">
        <v>349</v>
      </c>
      <c r="W1625" t="s">
        <v>350</v>
      </c>
      <c r="X1625" t="s">
        <v>351</v>
      </c>
      <c r="Z1625" t="s">
        <v>1034</v>
      </c>
      <c r="AL1625" t="s">
        <v>2663</v>
      </c>
      <c r="AM1625" t="s">
        <v>317</v>
      </c>
      <c r="AN1625" t="s">
        <v>259</v>
      </c>
      <c r="AO1625" t="s">
        <v>260</v>
      </c>
      <c r="AQ1625" t="s">
        <v>261</v>
      </c>
      <c r="AS1625">
        <v>21800</v>
      </c>
      <c r="AX1625" t="s">
        <v>262</v>
      </c>
      <c r="BO1625" t="s">
        <v>261</v>
      </c>
      <c r="BQ1625">
        <v>21.8</v>
      </c>
      <c r="BV1625" t="s">
        <v>263</v>
      </c>
      <c r="CM1625" t="s">
        <v>264</v>
      </c>
      <c r="CN1625" t="s">
        <v>264</v>
      </c>
      <c r="CP1625" t="s">
        <v>265</v>
      </c>
      <c r="DB1625">
        <v>1</v>
      </c>
      <c r="DG1625" t="s">
        <v>267</v>
      </c>
      <c r="DI1625">
        <v>24</v>
      </c>
      <c r="DN1625" t="s">
        <v>268</v>
      </c>
      <c r="DO1625" t="s">
        <v>1587</v>
      </c>
      <c r="DP1625" t="s">
        <v>3281</v>
      </c>
      <c r="DR1625">
        <v>6660</v>
      </c>
      <c r="DS1625">
        <v>421</v>
      </c>
      <c r="DT1625" t="s">
        <v>2665</v>
      </c>
      <c r="EW1625" t="s">
        <v>293</v>
      </c>
      <c r="FA1625" t="s">
        <v>2666</v>
      </c>
      <c r="FM1625">
        <v>25</v>
      </c>
      <c r="FR1625" t="s">
        <v>295</v>
      </c>
      <c r="GU1625">
        <v>35</v>
      </c>
      <c r="GZ1625" t="s">
        <v>296</v>
      </c>
      <c r="HH1625" t="s">
        <v>272</v>
      </c>
      <c r="IE1625" t="s">
        <v>2667</v>
      </c>
      <c r="IF1625">
        <v>16031</v>
      </c>
      <c r="IG1625" t="s">
        <v>2668</v>
      </c>
      <c r="IH1625" t="s">
        <v>2669</v>
      </c>
      <c r="II1625">
        <v>1995</v>
      </c>
      <c r="IJ1625" t="s">
        <v>2670</v>
      </c>
    </row>
    <row r="1626" spans="1:244" x14ac:dyDescent="0.45">
      <c r="A1626">
        <v>1035063</v>
      </c>
      <c r="B1626">
        <v>107210</v>
      </c>
      <c r="C1626">
        <v>7778509</v>
      </c>
      <c r="D1626" t="s">
        <v>3280</v>
      </c>
      <c r="F1626" t="s">
        <v>245</v>
      </c>
      <c r="G1626" t="s">
        <v>246</v>
      </c>
      <c r="N1626" t="s">
        <v>452</v>
      </c>
      <c r="O1626" t="s">
        <v>346</v>
      </c>
      <c r="P1626" t="s">
        <v>249</v>
      </c>
      <c r="Q1626" t="s">
        <v>250</v>
      </c>
      <c r="R1626" t="s">
        <v>251</v>
      </c>
      <c r="T1626" t="s">
        <v>347</v>
      </c>
      <c r="U1626" t="s">
        <v>348</v>
      </c>
      <c r="V1626" t="s">
        <v>349</v>
      </c>
      <c r="W1626" t="s">
        <v>350</v>
      </c>
      <c r="X1626" t="s">
        <v>453</v>
      </c>
      <c r="AD1626">
        <v>2</v>
      </c>
      <c r="AF1626">
        <v>3</v>
      </c>
      <c r="AG1626" t="s">
        <v>1409</v>
      </c>
      <c r="AL1626" t="s">
        <v>3316</v>
      </c>
      <c r="AM1626" t="s">
        <v>317</v>
      </c>
      <c r="AN1626" t="s">
        <v>259</v>
      </c>
      <c r="AO1626" t="s">
        <v>260</v>
      </c>
      <c r="AQ1626" t="s">
        <v>261</v>
      </c>
      <c r="AS1626">
        <v>291500</v>
      </c>
      <c r="AU1626">
        <v>248200</v>
      </c>
      <c r="AW1626">
        <v>344700</v>
      </c>
      <c r="AX1626" t="s">
        <v>262</v>
      </c>
      <c r="BO1626" t="s">
        <v>261</v>
      </c>
      <c r="BQ1626">
        <v>291.5</v>
      </c>
      <c r="BS1626">
        <v>248.2</v>
      </c>
      <c r="BU1626">
        <v>344.7</v>
      </c>
      <c r="BV1626" t="s">
        <v>263</v>
      </c>
      <c r="CM1626" t="s">
        <v>264</v>
      </c>
      <c r="CN1626" t="s">
        <v>264</v>
      </c>
      <c r="CP1626" t="s">
        <v>265</v>
      </c>
      <c r="CQ1626" t="s">
        <v>538</v>
      </c>
      <c r="DB1626">
        <v>1</v>
      </c>
      <c r="DG1626" t="s">
        <v>267</v>
      </c>
      <c r="DI1626">
        <v>24</v>
      </c>
      <c r="DN1626" t="s">
        <v>268</v>
      </c>
      <c r="DR1626">
        <v>85549</v>
      </c>
      <c r="DS1626">
        <v>366</v>
      </c>
      <c r="DT1626" t="s">
        <v>3317</v>
      </c>
      <c r="EW1626" t="s">
        <v>271</v>
      </c>
      <c r="FM1626">
        <v>10</v>
      </c>
      <c r="FR1626" t="s">
        <v>295</v>
      </c>
      <c r="GU1626">
        <v>50</v>
      </c>
      <c r="GZ1626" t="s">
        <v>296</v>
      </c>
      <c r="HH1626" t="s">
        <v>272</v>
      </c>
      <c r="IE1626" t="s">
        <v>3318</v>
      </c>
      <c r="IF1626">
        <v>2151</v>
      </c>
      <c r="IG1626" t="s">
        <v>3319</v>
      </c>
      <c r="IH1626" t="s">
        <v>3320</v>
      </c>
      <c r="II1626">
        <v>1989</v>
      </c>
      <c r="IJ1626" t="s">
        <v>3321</v>
      </c>
    </row>
    <row r="1627" spans="1:244" x14ac:dyDescent="0.45">
      <c r="A1627">
        <v>1186884</v>
      </c>
      <c r="B1627">
        <v>138625</v>
      </c>
      <c r="C1627">
        <v>7778509</v>
      </c>
      <c r="D1627" t="s">
        <v>3280</v>
      </c>
      <c r="F1627" t="s">
        <v>245</v>
      </c>
      <c r="G1627" t="s">
        <v>246</v>
      </c>
      <c r="N1627" t="s">
        <v>789</v>
      </c>
      <c r="O1627" t="s">
        <v>790</v>
      </c>
      <c r="P1627" t="s">
        <v>249</v>
      </c>
      <c r="Q1627" t="s">
        <v>250</v>
      </c>
      <c r="R1627" t="s">
        <v>251</v>
      </c>
      <c r="T1627" t="s">
        <v>252</v>
      </c>
      <c r="U1627" t="s">
        <v>253</v>
      </c>
      <c r="V1627" t="s">
        <v>418</v>
      </c>
      <c r="W1627" t="s">
        <v>791</v>
      </c>
      <c r="X1627" t="s">
        <v>792</v>
      </c>
      <c r="Z1627" t="s">
        <v>421</v>
      </c>
      <c r="AM1627" t="s">
        <v>258</v>
      </c>
      <c r="AN1627" t="s">
        <v>259</v>
      </c>
      <c r="AO1627" t="s">
        <v>260</v>
      </c>
      <c r="AQ1627" t="s">
        <v>261</v>
      </c>
      <c r="AS1627">
        <v>11440</v>
      </c>
      <c r="AX1627" t="s">
        <v>262</v>
      </c>
      <c r="BO1627" t="s">
        <v>261</v>
      </c>
      <c r="BQ1627">
        <v>11.44</v>
      </c>
      <c r="BV1627" t="s">
        <v>263</v>
      </c>
      <c r="CM1627" t="s">
        <v>264</v>
      </c>
      <c r="CN1627" t="s">
        <v>264</v>
      </c>
      <c r="CP1627" t="s">
        <v>265</v>
      </c>
      <c r="DB1627">
        <v>2</v>
      </c>
      <c r="DG1627" t="s">
        <v>267</v>
      </c>
      <c r="DI1627">
        <v>48</v>
      </c>
      <c r="DN1627" t="s">
        <v>268</v>
      </c>
      <c r="DR1627">
        <v>161924</v>
      </c>
      <c r="DS1627">
        <v>3045</v>
      </c>
      <c r="EW1627" t="s">
        <v>272</v>
      </c>
      <c r="FM1627">
        <v>28</v>
      </c>
      <c r="FR1627" t="s">
        <v>295</v>
      </c>
      <c r="GO1627">
        <v>8.1999999999999993</v>
      </c>
      <c r="GU1627">
        <v>32</v>
      </c>
      <c r="GZ1627" t="s">
        <v>296</v>
      </c>
      <c r="HH1627" t="s">
        <v>272</v>
      </c>
      <c r="IE1627" t="s">
        <v>1652</v>
      </c>
      <c r="IF1627">
        <v>16613</v>
      </c>
      <c r="IG1627" t="s">
        <v>1653</v>
      </c>
      <c r="IH1627" t="s">
        <v>1654</v>
      </c>
      <c r="II1627">
        <v>1994</v>
      </c>
      <c r="IJ1627" t="s">
        <v>1655</v>
      </c>
    </row>
    <row r="1628" spans="1:244" x14ac:dyDescent="0.45">
      <c r="A1628">
        <v>1212450</v>
      </c>
      <c r="B1628">
        <v>192580</v>
      </c>
      <c r="C1628">
        <v>7778509</v>
      </c>
      <c r="D1628" t="s">
        <v>3280</v>
      </c>
      <c r="F1628" t="s">
        <v>245</v>
      </c>
      <c r="G1628" t="s">
        <v>246</v>
      </c>
      <c r="N1628" t="s">
        <v>3303</v>
      </c>
      <c r="O1628" t="s">
        <v>388</v>
      </c>
      <c r="P1628" t="s">
        <v>249</v>
      </c>
      <c r="Q1628" t="s">
        <v>250</v>
      </c>
      <c r="R1628" t="s">
        <v>251</v>
      </c>
      <c r="T1628" t="s">
        <v>389</v>
      </c>
      <c r="U1628" t="s">
        <v>390</v>
      </c>
      <c r="V1628" t="s">
        <v>472</v>
      </c>
      <c r="W1628" t="s">
        <v>473</v>
      </c>
      <c r="X1628" t="s">
        <v>1446</v>
      </c>
      <c r="Z1628" t="s">
        <v>315</v>
      </c>
      <c r="AB1628">
        <v>15</v>
      </c>
      <c r="AG1628" t="s">
        <v>267</v>
      </c>
      <c r="AL1628" t="s">
        <v>3304</v>
      </c>
      <c r="AM1628" t="s">
        <v>287</v>
      </c>
      <c r="AN1628" t="s">
        <v>259</v>
      </c>
      <c r="AO1628" t="s">
        <v>260</v>
      </c>
      <c r="AQ1628" t="s">
        <v>261</v>
      </c>
      <c r="AT1628" t="s">
        <v>288</v>
      </c>
      <c r="AU1628">
        <v>5000</v>
      </c>
      <c r="AV1628" t="s">
        <v>289</v>
      </c>
      <c r="AW1628">
        <v>10000</v>
      </c>
      <c r="AX1628" t="s">
        <v>262</v>
      </c>
      <c r="BO1628" t="s">
        <v>261</v>
      </c>
      <c r="BR1628" t="s">
        <v>288</v>
      </c>
      <c r="BS1628">
        <v>5</v>
      </c>
      <c r="BT1628" t="s">
        <v>289</v>
      </c>
      <c r="BU1628">
        <v>10</v>
      </c>
      <c r="BV1628" t="s">
        <v>263</v>
      </c>
      <c r="CM1628" t="s">
        <v>264</v>
      </c>
      <c r="CN1628" t="s">
        <v>264</v>
      </c>
      <c r="CP1628" t="s">
        <v>265</v>
      </c>
      <c r="DB1628">
        <v>2</v>
      </c>
      <c r="DG1628" t="s">
        <v>267</v>
      </c>
      <c r="DI1628">
        <v>48</v>
      </c>
      <c r="DN1628" t="s">
        <v>268</v>
      </c>
      <c r="DS1628">
        <v>10240</v>
      </c>
      <c r="DT1628" t="s">
        <v>3305</v>
      </c>
      <c r="EW1628" t="s">
        <v>293</v>
      </c>
      <c r="FK1628" t="s">
        <v>1186</v>
      </c>
      <c r="FM1628">
        <v>20</v>
      </c>
      <c r="FR1628" t="s">
        <v>295</v>
      </c>
      <c r="HH1628" t="s">
        <v>272</v>
      </c>
      <c r="ID1628" t="s">
        <v>1187</v>
      </c>
      <c r="IE1628" t="s">
        <v>3306</v>
      </c>
      <c r="IF1628">
        <v>19811</v>
      </c>
      <c r="IG1628" t="s">
        <v>3307</v>
      </c>
      <c r="IH1628" t="s">
        <v>3308</v>
      </c>
      <c r="II1628">
        <v>1998</v>
      </c>
      <c r="IJ1628" t="s">
        <v>3309</v>
      </c>
    </row>
    <row r="1629" spans="1:244" x14ac:dyDescent="0.45">
      <c r="A1629">
        <v>1182179</v>
      </c>
      <c r="B1629">
        <v>160085</v>
      </c>
      <c r="C1629">
        <v>7778509</v>
      </c>
      <c r="D1629" t="s">
        <v>3280</v>
      </c>
      <c r="F1629" t="s">
        <v>245</v>
      </c>
      <c r="G1629" t="s">
        <v>246</v>
      </c>
      <c r="I1629">
        <v>99</v>
      </c>
      <c r="N1629" t="s">
        <v>345</v>
      </c>
      <c r="O1629" t="s">
        <v>346</v>
      </c>
      <c r="P1629" t="s">
        <v>249</v>
      </c>
      <c r="Q1629" t="s">
        <v>250</v>
      </c>
      <c r="R1629" t="s">
        <v>251</v>
      </c>
      <c r="T1629" t="s">
        <v>347</v>
      </c>
      <c r="U1629" t="s">
        <v>348</v>
      </c>
      <c r="V1629" t="s">
        <v>349</v>
      </c>
      <c r="W1629" t="s">
        <v>350</v>
      </c>
      <c r="X1629" t="s">
        <v>351</v>
      </c>
      <c r="Z1629" t="s">
        <v>1034</v>
      </c>
      <c r="AL1629" t="s">
        <v>2663</v>
      </c>
      <c r="AM1629" t="s">
        <v>317</v>
      </c>
      <c r="AN1629" t="s">
        <v>259</v>
      </c>
      <c r="AO1629" t="s">
        <v>260</v>
      </c>
      <c r="AQ1629" t="s">
        <v>261</v>
      </c>
      <c r="AS1629">
        <v>9900</v>
      </c>
      <c r="AX1629" t="s">
        <v>262</v>
      </c>
      <c r="BO1629" t="s">
        <v>261</v>
      </c>
      <c r="BQ1629">
        <v>9.9</v>
      </c>
      <c r="BV1629" t="s">
        <v>263</v>
      </c>
      <c r="CM1629" t="s">
        <v>264</v>
      </c>
      <c r="CN1629" t="s">
        <v>264</v>
      </c>
      <c r="CP1629" t="s">
        <v>265</v>
      </c>
      <c r="DB1629">
        <v>2</v>
      </c>
      <c r="DG1629" t="s">
        <v>267</v>
      </c>
      <c r="DI1629">
        <v>48</v>
      </c>
      <c r="DN1629" t="s">
        <v>268</v>
      </c>
      <c r="DO1629" t="s">
        <v>1587</v>
      </c>
      <c r="DP1629" t="s">
        <v>3281</v>
      </c>
      <c r="DR1629">
        <v>6660</v>
      </c>
      <c r="DS1629">
        <v>421</v>
      </c>
      <c r="DT1629" t="s">
        <v>2665</v>
      </c>
      <c r="EW1629" t="s">
        <v>293</v>
      </c>
      <c r="FA1629" t="s">
        <v>2666</v>
      </c>
      <c r="FM1629">
        <v>25</v>
      </c>
      <c r="FR1629" t="s">
        <v>295</v>
      </c>
      <c r="GU1629">
        <v>35</v>
      </c>
      <c r="GZ1629" t="s">
        <v>296</v>
      </c>
      <c r="HH1629" t="s">
        <v>272</v>
      </c>
      <c r="IE1629" t="s">
        <v>2667</v>
      </c>
      <c r="IF1629">
        <v>16031</v>
      </c>
      <c r="IG1629" t="s">
        <v>2668</v>
      </c>
      <c r="IH1629" t="s">
        <v>2669</v>
      </c>
      <c r="II1629">
        <v>1995</v>
      </c>
      <c r="IJ1629" t="s">
        <v>2670</v>
      </c>
    </row>
    <row r="1630" spans="1:244" x14ac:dyDescent="0.45">
      <c r="A1630">
        <v>1035065</v>
      </c>
      <c r="B1630">
        <v>107212</v>
      </c>
      <c r="C1630">
        <v>7778509</v>
      </c>
      <c r="D1630" t="s">
        <v>3280</v>
      </c>
      <c r="F1630" t="s">
        <v>245</v>
      </c>
      <c r="G1630" t="s">
        <v>246</v>
      </c>
      <c r="N1630" t="s">
        <v>452</v>
      </c>
      <c r="O1630" t="s">
        <v>346</v>
      </c>
      <c r="P1630" t="s">
        <v>249</v>
      </c>
      <c r="Q1630" t="s">
        <v>250</v>
      </c>
      <c r="R1630" t="s">
        <v>251</v>
      </c>
      <c r="T1630" t="s">
        <v>347</v>
      </c>
      <c r="U1630" t="s">
        <v>348</v>
      </c>
      <c r="V1630" t="s">
        <v>349</v>
      </c>
      <c r="W1630" t="s">
        <v>350</v>
      </c>
      <c r="X1630" t="s">
        <v>453</v>
      </c>
      <c r="AD1630">
        <v>2</v>
      </c>
      <c r="AF1630">
        <v>3</v>
      </c>
      <c r="AG1630" t="s">
        <v>1409</v>
      </c>
      <c r="AL1630" t="s">
        <v>3316</v>
      </c>
      <c r="AM1630" t="s">
        <v>317</v>
      </c>
      <c r="AN1630" t="s">
        <v>259</v>
      </c>
      <c r="AO1630" t="s">
        <v>260</v>
      </c>
      <c r="AQ1630" t="s">
        <v>261</v>
      </c>
      <c r="AS1630">
        <v>52300</v>
      </c>
      <c r="AU1630">
        <v>42900</v>
      </c>
      <c r="AW1630">
        <v>60500</v>
      </c>
      <c r="AX1630" t="s">
        <v>262</v>
      </c>
      <c r="BO1630" t="s">
        <v>261</v>
      </c>
      <c r="BQ1630">
        <v>52.3</v>
      </c>
      <c r="BS1630">
        <v>42.9</v>
      </c>
      <c r="BU1630">
        <v>60.5</v>
      </c>
      <c r="BV1630" t="s">
        <v>263</v>
      </c>
      <c r="CM1630" t="s">
        <v>264</v>
      </c>
      <c r="CN1630" t="s">
        <v>264</v>
      </c>
      <c r="CP1630" t="s">
        <v>265</v>
      </c>
      <c r="CQ1630" t="s">
        <v>538</v>
      </c>
      <c r="DB1630">
        <v>1</v>
      </c>
      <c r="DG1630" t="s">
        <v>267</v>
      </c>
      <c r="DI1630">
        <v>24</v>
      </c>
      <c r="DN1630" t="s">
        <v>268</v>
      </c>
      <c r="DR1630">
        <v>85549</v>
      </c>
      <c r="DS1630">
        <v>366</v>
      </c>
      <c r="DT1630" t="s">
        <v>3317</v>
      </c>
      <c r="EW1630" t="s">
        <v>271</v>
      </c>
      <c r="FM1630">
        <v>20</v>
      </c>
      <c r="FR1630" t="s">
        <v>295</v>
      </c>
      <c r="GU1630">
        <v>50</v>
      </c>
      <c r="GZ1630" t="s">
        <v>296</v>
      </c>
      <c r="HH1630" t="s">
        <v>272</v>
      </c>
      <c r="IE1630" t="s">
        <v>3318</v>
      </c>
      <c r="IF1630">
        <v>2151</v>
      </c>
      <c r="IG1630" t="s">
        <v>3319</v>
      </c>
      <c r="IH1630" t="s">
        <v>3320</v>
      </c>
      <c r="II1630">
        <v>1989</v>
      </c>
      <c r="IJ1630" t="s">
        <v>3321</v>
      </c>
    </row>
    <row r="1631" spans="1:244" x14ac:dyDescent="0.45">
      <c r="A1631">
        <v>1174938</v>
      </c>
      <c r="B1631">
        <v>58784</v>
      </c>
      <c r="C1631">
        <v>7778509</v>
      </c>
      <c r="D1631" t="s">
        <v>3280</v>
      </c>
      <c r="F1631" t="s">
        <v>245</v>
      </c>
      <c r="G1631" t="s">
        <v>246</v>
      </c>
      <c r="N1631" t="s">
        <v>345</v>
      </c>
      <c r="O1631" t="s">
        <v>346</v>
      </c>
      <c r="P1631" t="s">
        <v>249</v>
      </c>
      <c r="Q1631" t="s">
        <v>250</v>
      </c>
      <c r="R1631" t="s">
        <v>251</v>
      </c>
      <c r="T1631" t="s">
        <v>347</v>
      </c>
      <c r="U1631" t="s">
        <v>348</v>
      </c>
      <c r="V1631" t="s">
        <v>349</v>
      </c>
      <c r="W1631" t="s">
        <v>350</v>
      </c>
      <c r="X1631" t="s">
        <v>351</v>
      </c>
      <c r="Z1631" t="s">
        <v>284</v>
      </c>
      <c r="AD1631">
        <v>2</v>
      </c>
      <c r="AF1631">
        <v>3</v>
      </c>
      <c r="AG1631" t="s">
        <v>1409</v>
      </c>
      <c r="AM1631" t="s">
        <v>317</v>
      </c>
      <c r="AN1631" t="s">
        <v>259</v>
      </c>
      <c r="AO1631" t="s">
        <v>260</v>
      </c>
      <c r="AQ1631" t="s">
        <v>261</v>
      </c>
      <c r="AS1631">
        <v>9880</v>
      </c>
      <c r="AU1631">
        <v>8320</v>
      </c>
      <c r="AW1631">
        <v>11720</v>
      </c>
      <c r="AX1631" t="s">
        <v>262</v>
      </c>
      <c r="BO1631" t="s">
        <v>261</v>
      </c>
      <c r="BQ1631">
        <v>9.8800000000000008</v>
      </c>
      <c r="BS1631">
        <v>8.32</v>
      </c>
      <c r="BU1631">
        <v>11.72</v>
      </c>
      <c r="BV1631" t="s">
        <v>263</v>
      </c>
      <c r="CM1631" t="s">
        <v>264</v>
      </c>
      <c r="CN1631" t="s">
        <v>264</v>
      </c>
      <c r="CP1631" t="s">
        <v>265</v>
      </c>
      <c r="DB1631">
        <v>1</v>
      </c>
      <c r="DG1631" t="s">
        <v>267</v>
      </c>
      <c r="DI1631">
        <v>24</v>
      </c>
      <c r="DN1631" t="s">
        <v>268</v>
      </c>
      <c r="DR1631">
        <v>6660</v>
      </c>
      <c r="DS1631">
        <v>421</v>
      </c>
      <c r="EW1631" t="s">
        <v>271</v>
      </c>
      <c r="FK1631" t="s">
        <v>3365</v>
      </c>
      <c r="FM1631">
        <v>25</v>
      </c>
      <c r="FR1631" t="s">
        <v>295</v>
      </c>
      <c r="GO1631">
        <v>7.5</v>
      </c>
      <c r="GU1631">
        <v>35</v>
      </c>
      <c r="GZ1631" t="s">
        <v>296</v>
      </c>
      <c r="HH1631" t="s">
        <v>272</v>
      </c>
      <c r="ID1631" t="s">
        <v>3366</v>
      </c>
      <c r="IE1631" t="s">
        <v>3298</v>
      </c>
      <c r="IF1631">
        <v>15178</v>
      </c>
      <c r="IG1631" t="s">
        <v>3299</v>
      </c>
      <c r="IH1631" t="s">
        <v>3300</v>
      </c>
      <c r="II1631">
        <v>1980</v>
      </c>
      <c r="IJ1631" t="s">
        <v>3301</v>
      </c>
    </row>
    <row r="1632" spans="1:244" x14ac:dyDescent="0.45">
      <c r="A1632">
        <v>1174925</v>
      </c>
      <c r="B1632">
        <v>3839</v>
      </c>
      <c r="C1632">
        <v>7778509</v>
      </c>
      <c r="D1632" t="s">
        <v>3280</v>
      </c>
      <c r="F1632" t="s">
        <v>245</v>
      </c>
      <c r="G1632" t="s">
        <v>246</v>
      </c>
      <c r="N1632" t="s">
        <v>345</v>
      </c>
      <c r="O1632" t="s">
        <v>346</v>
      </c>
      <c r="P1632" t="s">
        <v>249</v>
      </c>
      <c r="Q1632" t="s">
        <v>250</v>
      </c>
      <c r="R1632" t="s">
        <v>251</v>
      </c>
      <c r="T1632" t="s">
        <v>347</v>
      </c>
      <c r="U1632" t="s">
        <v>348</v>
      </c>
      <c r="V1632" t="s">
        <v>349</v>
      </c>
      <c r="W1632" t="s">
        <v>350</v>
      </c>
      <c r="X1632" t="s">
        <v>351</v>
      </c>
      <c r="Z1632" t="s">
        <v>284</v>
      </c>
      <c r="AD1632">
        <v>2</v>
      </c>
      <c r="AF1632">
        <v>3</v>
      </c>
      <c r="AG1632" t="s">
        <v>1409</v>
      </c>
      <c r="AM1632" t="s">
        <v>317</v>
      </c>
      <c r="AN1632" t="s">
        <v>259</v>
      </c>
      <c r="AO1632" t="s">
        <v>260</v>
      </c>
      <c r="AQ1632" t="s">
        <v>261</v>
      </c>
      <c r="AS1632">
        <v>13000</v>
      </c>
      <c r="AU1632">
        <v>10480</v>
      </c>
      <c r="AW1632">
        <v>15510</v>
      </c>
      <c r="AX1632" t="s">
        <v>262</v>
      </c>
      <c r="BO1632" t="s">
        <v>261</v>
      </c>
      <c r="BQ1632">
        <v>13</v>
      </c>
      <c r="BS1632">
        <v>10.48</v>
      </c>
      <c r="BU1632">
        <v>15.51</v>
      </c>
      <c r="BV1632" t="s">
        <v>263</v>
      </c>
      <c r="CM1632" t="s">
        <v>264</v>
      </c>
      <c r="CN1632" t="s">
        <v>264</v>
      </c>
      <c r="CP1632" t="s">
        <v>265</v>
      </c>
      <c r="DB1632">
        <v>1</v>
      </c>
      <c r="DG1632" t="s">
        <v>267</v>
      </c>
      <c r="DI1632">
        <v>24</v>
      </c>
      <c r="DN1632" t="s">
        <v>268</v>
      </c>
      <c r="DR1632">
        <v>6660</v>
      </c>
      <c r="DS1632">
        <v>421</v>
      </c>
      <c r="EW1632" t="s">
        <v>271</v>
      </c>
      <c r="FK1632" t="s">
        <v>3367</v>
      </c>
      <c r="FM1632">
        <v>25</v>
      </c>
      <c r="FR1632" t="s">
        <v>295</v>
      </c>
      <c r="GO1632">
        <v>7.5</v>
      </c>
      <c r="GU1632">
        <v>35</v>
      </c>
      <c r="GZ1632" t="s">
        <v>296</v>
      </c>
      <c r="HH1632" t="s">
        <v>272</v>
      </c>
      <c r="ID1632" t="s">
        <v>3368</v>
      </c>
      <c r="IE1632" t="s">
        <v>3298</v>
      </c>
      <c r="IF1632">
        <v>15178</v>
      </c>
      <c r="IG1632" t="s">
        <v>3299</v>
      </c>
      <c r="IH1632" t="s">
        <v>3300</v>
      </c>
      <c r="II1632">
        <v>1980</v>
      </c>
      <c r="IJ1632" t="s">
        <v>3301</v>
      </c>
    </row>
    <row r="1633" spans="1:244" x14ac:dyDescent="0.45">
      <c r="A1633">
        <v>1182170</v>
      </c>
      <c r="B1633">
        <v>160076</v>
      </c>
      <c r="C1633">
        <v>7778509</v>
      </c>
      <c r="D1633" t="s">
        <v>3280</v>
      </c>
      <c r="F1633" t="s">
        <v>245</v>
      </c>
      <c r="G1633" t="s">
        <v>246</v>
      </c>
      <c r="I1633">
        <v>99</v>
      </c>
      <c r="N1633" t="s">
        <v>345</v>
      </c>
      <c r="O1633" t="s">
        <v>346</v>
      </c>
      <c r="P1633" t="s">
        <v>249</v>
      </c>
      <c r="Q1633" t="s">
        <v>250</v>
      </c>
      <c r="R1633" t="s">
        <v>251</v>
      </c>
      <c r="T1633" t="s">
        <v>347</v>
      </c>
      <c r="U1633" t="s">
        <v>348</v>
      </c>
      <c r="V1633" t="s">
        <v>349</v>
      </c>
      <c r="W1633" t="s">
        <v>350</v>
      </c>
      <c r="X1633" t="s">
        <v>351</v>
      </c>
      <c r="Z1633" t="s">
        <v>1034</v>
      </c>
      <c r="AL1633" t="s">
        <v>2663</v>
      </c>
      <c r="AM1633" t="s">
        <v>317</v>
      </c>
      <c r="AN1633" t="s">
        <v>259</v>
      </c>
      <c r="AO1633" t="s">
        <v>260</v>
      </c>
      <c r="AQ1633" t="s">
        <v>261</v>
      </c>
      <c r="AS1633">
        <v>25400</v>
      </c>
      <c r="AX1633" t="s">
        <v>262</v>
      </c>
      <c r="BO1633" t="s">
        <v>261</v>
      </c>
      <c r="BQ1633">
        <v>25.4</v>
      </c>
      <c r="BV1633" t="s">
        <v>263</v>
      </c>
      <c r="CM1633" t="s">
        <v>264</v>
      </c>
      <c r="CN1633" t="s">
        <v>264</v>
      </c>
      <c r="CP1633" t="s">
        <v>265</v>
      </c>
      <c r="DB1633">
        <v>1</v>
      </c>
      <c r="DG1633" t="s">
        <v>267</v>
      </c>
      <c r="DI1633">
        <v>24</v>
      </c>
      <c r="DN1633" t="s">
        <v>268</v>
      </c>
      <c r="DO1633" t="s">
        <v>1587</v>
      </c>
      <c r="DP1633" t="s">
        <v>3281</v>
      </c>
      <c r="DR1633">
        <v>6660</v>
      </c>
      <c r="DS1633">
        <v>421</v>
      </c>
      <c r="DT1633" t="s">
        <v>2665</v>
      </c>
      <c r="EW1633" t="s">
        <v>293</v>
      </c>
      <c r="FA1633" t="s">
        <v>2789</v>
      </c>
      <c r="FM1633">
        <v>25</v>
      </c>
      <c r="FR1633" t="s">
        <v>295</v>
      </c>
      <c r="GU1633">
        <v>35</v>
      </c>
      <c r="GZ1633" t="s">
        <v>296</v>
      </c>
      <c r="HH1633" t="s">
        <v>272</v>
      </c>
      <c r="IE1633" t="s">
        <v>2667</v>
      </c>
      <c r="IF1633">
        <v>16031</v>
      </c>
      <c r="IG1633" t="s">
        <v>2668</v>
      </c>
      <c r="IH1633" t="s">
        <v>2669</v>
      </c>
      <c r="II1633">
        <v>1995</v>
      </c>
      <c r="IJ1633" t="s">
        <v>2670</v>
      </c>
    </row>
    <row r="1634" spans="1:244" x14ac:dyDescent="0.45">
      <c r="A1634">
        <v>1212448</v>
      </c>
      <c r="B1634">
        <v>192578</v>
      </c>
      <c r="C1634">
        <v>7778509</v>
      </c>
      <c r="D1634" t="s">
        <v>3280</v>
      </c>
      <c r="F1634" t="s">
        <v>245</v>
      </c>
      <c r="G1634" t="s">
        <v>246</v>
      </c>
      <c r="N1634" t="s">
        <v>3303</v>
      </c>
      <c r="O1634" t="s">
        <v>388</v>
      </c>
      <c r="P1634" t="s">
        <v>249</v>
      </c>
      <c r="Q1634" t="s">
        <v>250</v>
      </c>
      <c r="R1634" t="s">
        <v>251</v>
      </c>
      <c r="T1634" t="s">
        <v>389</v>
      </c>
      <c r="U1634" t="s">
        <v>390</v>
      </c>
      <c r="V1634" t="s">
        <v>472</v>
      </c>
      <c r="W1634" t="s">
        <v>473</v>
      </c>
      <c r="X1634" t="s">
        <v>1446</v>
      </c>
      <c r="Z1634" t="s">
        <v>315</v>
      </c>
      <c r="AB1634">
        <v>15</v>
      </c>
      <c r="AG1634" t="s">
        <v>267</v>
      </c>
      <c r="AL1634" t="s">
        <v>3304</v>
      </c>
      <c r="AM1634" t="s">
        <v>287</v>
      </c>
      <c r="AN1634" t="s">
        <v>259</v>
      </c>
      <c r="AO1634" t="s">
        <v>260</v>
      </c>
      <c r="AQ1634" t="s">
        <v>261</v>
      </c>
      <c r="AT1634" t="s">
        <v>288</v>
      </c>
      <c r="AU1634">
        <v>15000</v>
      </c>
      <c r="AV1634" t="s">
        <v>289</v>
      </c>
      <c r="AW1634">
        <v>20000</v>
      </c>
      <c r="AX1634" t="s">
        <v>262</v>
      </c>
      <c r="BO1634" t="s">
        <v>261</v>
      </c>
      <c r="BR1634" t="s">
        <v>288</v>
      </c>
      <c r="BS1634">
        <v>15</v>
      </c>
      <c r="BT1634" t="s">
        <v>289</v>
      </c>
      <c r="BU1634">
        <v>20</v>
      </c>
      <c r="BV1634" t="s">
        <v>263</v>
      </c>
      <c r="CM1634" t="s">
        <v>264</v>
      </c>
      <c r="CN1634" t="s">
        <v>264</v>
      </c>
      <c r="CP1634" t="s">
        <v>265</v>
      </c>
      <c r="DB1634">
        <v>2</v>
      </c>
      <c r="DG1634" t="s">
        <v>267</v>
      </c>
      <c r="DI1634">
        <v>48</v>
      </c>
      <c r="DN1634" t="s">
        <v>268</v>
      </c>
      <c r="DS1634">
        <v>10240</v>
      </c>
      <c r="DT1634" t="s">
        <v>3305</v>
      </c>
      <c r="EW1634" t="s">
        <v>293</v>
      </c>
      <c r="FK1634" t="s">
        <v>1186</v>
      </c>
      <c r="FM1634">
        <v>16.5</v>
      </c>
      <c r="FR1634" t="s">
        <v>295</v>
      </c>
      <c r="HH1634" t="s">
        <v>272</v>
      </c>
      <c r="ID1634" t="s">
        <v>1187</v>
      </c>
      <c r="IE1634" t="s">
        <v>3306</v>
      </c>
      <c r="IF1634">
        <v>19811</v>
      </c>
      <c r="IG1634" t="s">
        <v>3307</v>
      </c>
      <c r="IH1634" t="s">
        <v>3308</v>
      </c>
      <c r="II1634">
        <v>1998</v>
      </c>
      <c r="IJ1634" t="s">
        <v>3309</v>
      </c>
    </row>
    <row r="1635" spans="1:244" x14ac:dyDescent="0.45">
      <c r="A1635">
        <v>1212447</v>
      </c>
      <c r="B1635">
        <v>192577</v>
      </c>
      <c r="C1635">
        <v>7778509</v>
      </c>
      <c r="D1635" t="s">
        <v>3280</v>
      </c>
      <c r="F1635" t="s">
        <v>245</v>
      </c>
      <c r="G1635" t="s">
        <v>246</v>
      </c>
      <c r="N1635" t="s">
        <v>3303</v>
      </c>
      <c r="O1635" t="s">
        <v>388</v>
      </c>
      <c r="P1635" t="s">
        <v>249</v>
      </c>
      <c r="Q1635" t="s">
        <v>250</v>
      </c>
      <c r="R1635" t="s">
        <v>251</v>
      </c>
      <c r="T1635" t="s">
        <v>389</v>
      </c>
      <c r="U1635" t="s">
        <v>390</v>
      </c>
      <c r="V1635" t="s">
        <v>472</v>
      </c>
      <c r="W1635" t="s">
        <v>473</v>
      </c>
      <c r="X1635" t="s">
        <v>1446</v>
      </c>
      <c r="Z1635" t="s">
        <v>315</v>
      </c>
      <c r="AB1635">
        <v>15</v>
      </c>
      <c r="AG1635" t="s">
        <v>267</v>
      </c>
      <c r="AL1635" t="s">
        <v>3304</v>
      </c>
      <c r="AM1635" t="s">
        <v>287</v>
      </c>
      <c r="AN1635" t="s">
        <v>259</v>
      </c>
      <c r="AO1635" t="s">
        <v>260</v>
      </c>
      <c r="AQ1635" t="s">
        <v>261</v>
      </c>
      <c r="AT1635" t="s">
        <v>288</v>
      </c>
      <c r="AU1635">
        <v>15000</v>
      </c>
      <c r="AV1635" t="s">
        <v>289</v>
      </c>
      <c r="AW1635">
        <v>20000</v>
      </c>
      <c r="AX1635" t="s">
        <v>262</v>
      </c>
      <c r="BO1635" t="s">
        <v>261</v>
      </c>
      <c r="BR1635" t="s">
        <v>288</v>
      </c>
      <c r="BS1635">
        <v>15</v>
      </c>
      <c r="BT1635" t="s">
        <v>289</v>
      </c>
      <c r="BU1635">
        <v>20</v>
      </c>
      <c r="BV1635" t="s">
        <v>263</v>
      </c>
      <c r="CM1635" t="s">
        <v>264</v>
      </c>
      <c r="CN1635" t="s">
        <v>264</v>
      </c>
      <c r="CP1635" t="s">
        <v>265</v>
      </c>
      <c r="DB1635">
        <v>2</v>
      </c>
      <c r="DG1635" t="s">
        <v>267</v>
      </c>
      <c r="DI1635">
        <v>48</v>
      </c>
      <c r="DN1635" t="s">
        <v>268</v>
      </c>
      <c r="DS1635">
        <v>10240</v>
      </c>
      <c r="DT1635" t="s">
        <v>3305</v>
      </c>
      <c r="EW1635" t="s">
        <v>293</v>
      </c>
      <c r="FK1635" t="s">
        <v>1186</v>
      </c>
      <c r="FM1635">
        <v>16.5</v>
      </c>
      <c r="FR1635" t="s">
        <v>295</v>
      </c>
      <c r="HH1635" t="s">
        <v>272</v>
      </c>
      <c r="ID1635" t="s">
        <v>1187</v>
      </c>
      <c r="IE1635" t="s">
        <v>3306</v>
      </c>
      <c r="IF1635">
        <v>19811</v>
      </c>
      <c r="IG1635" t="s">
        <v>3307</v>
      </c>
      <c r="IH1635" t="s">
        <v>3308</v>
      </c>
      <c r="II1635">
        <v>1998</v>
      </c>
      <c r="IJ1635" t="s">
        <v>3309</v>
      </c>
    </row>
    <row r="1636" spans="1:244" x14ac:dyDescent="0.45">
      <c r="A1636">
        <v>1131791</v>
      </c>
      <c r="B1636">
        <v>82435</v>
      </c>
      <c r="C1636">
        <v>7778509</v>
      </c>
      <c r="D1636" t="s">
        <v>3280</v>
      </c>
      <c r="F1636" t="s">
        <v>327</v>
      </c>
      <c r="G1636" t="s">
        <v>246</v>
      </c>
      <c r="N1636" t="s">
        <v>1753</v>
      </c>
      <c r="O1636" t="s">
        <v>1754</v>
      </c>
      <c r="P1636" t="s">
        <v>249</v>
      </c>
      <c r="Q1636" t="s">
        <v>250</v>
      </c>
      <c r="R1636" t="s">
        <v>251</v>
      </c>
      <c r="T1636" t="s">
        <v>252</v>
      </c>
      <c r="U1636" t="s">
        <v>499</v>
      </c>
      <c r="V1636" t="s">
        <v>1373</v>
      </c>
      <c r="W1636" t="s">
        <v>1755</v>
      </c>
      <c r="X1636" t="s">
        <v>1756</v>
      </c>
      <c r="Z1636" t="s">
        <v>315</v>
      </c>
      <c r="AL1636" t="s">
        <v>3369</v>
      </c>
      <c r="AM1636" t="s">
        <v>307</v>
      </c>
      <c r="AN1636" t="s">
        <v>259</v>
      </c>
      <c r="AO1636" t="s">
        <v>260</v>
      </c>
      <c r="AQ1636" t="s">
        <v>261</v>
      </c>
      <c r="AS1636">
        <v>5560</v>
      </c>
      <c r="AU1636">
        <v>4750</v>
      </c>
      <c r="AW1636">
        <v>6500</v>
      </c>
      <c r="AX1636" t="s">
        <v>262</v>
      </c>
      <c r="BO1636" t="s">
        <v>261</v>
      </c>
      <c r="BQ1636">
        <v>5.56</v>
      </c>
      <c r="BS1636">
        <v>4.75</v>
      </c>
      <c r="BU1636">
        <v>6.5</v>
      </c>
      <c r="BV1636" t="s">
        <v>263</v>
      </c>
      <c r="CM1636" t="s">
        <v>264</v>
      </c>
      <c r="CN1636" t="s">
        <v>264</v>
      </c>
      <c r="CP1636" t="s">
        <v>265</v>
      </c>
      <c r="CQ1636" t="s">
        <v>538</v>
      </c>
      <c r="DB1636">
        <v>4</v>
      </c>
      <c r="DG1636" t="s">
        <v>267</v>
      </c>
      <c r="DI1636">
        <v>96</v>
      </c>
      <c r="DN1636" t="s">
        <v>268</v>
      </c>
      <c r="DP1636" t="s">
        <v>1603</v>
      </c>
      <c r="DS1636">
        <v>1676</v>
      </c>
      <c r="DT1636" t="s">
        <v>1758</v>
      </c>
      <c r="EW1636" t="s">
        <v>333</v>
      </c>
      <c r="FK1636" t="s">
        <v>1759</v>
      </c>
      <c r="FM1636">
        <v>19.7</v>
      </c>
      <c r="FR1636" t="s">
        <v>295</v>
      </c>
      <c r="GH1636">
        <v>104</v>
      </c>
      <c r="GM1636" t="s">
        <v>356</v>
      </c>
      <c r="GO1636">
        <v>8</v>
      </c>
      <c r="GU1636">
        <v>33</v>
      </c>
      <c r="GZ1636" t="s">
        <v>296</v>
      </c>
      <c r="HH1636" t="s">
        <v>272</v>
      </c>
      <c r="ID1636" t="s">
        <v>1760</v>
      </c>
      <c r="IE1636" t="s">
        <v>1761</v>
      </c>
      <c r="IF1636">
        <v>10628</v>
      </c>
      <c r="IG1636" t="s">
        <v>1762</v>
      </c>
      <c r="IH1636" t="s">
        <v>1763</v>
      </c>
      <c r="II1636">
        <v>1982</v>
      </c>
      <c r="IJ1636" t="s">
        <v>1764</v>
      </c>
    </row>
    <row r="1637" spans="1:244" x14ac:dyDescent="0.45">
      <c r="A1637">
        <v>1078337</v>
      </c>
      <c r="B1637">
        <v>86068</v>
      </c>
      <c r="C1637">
        <v>7778509</v>
      </c>
      <c r="D1637" t="s">
        <v>3280</v>
      </c>
      <c r="F1637" t="s">
        <v>245</v>
      </c>
      <c r="G1637" t="s">
        <v>246</v>
      </c>
      <c r="N1637" t="s">
        <v>3239</v>
      </c>
      <c r="O1637" t="s">
        <v>1299</v>
      </c>
      <c r="P1637" t="s">
        <v>249</v>
      </c>
      <c r="Q1637" t="s">
        <v>250</v>
      </c>
      <c r="R1637" t="s">
        <v>251</v>
      </c>
      <c r="T1637" t="s">
        <v>252</v>
      </c>
      <c r="U1637" t="s">
        <v>371</v>
      </c>
      <c r="V1637" t="s">
        <v>372</v>
      </c>
      <c r="W1637" t="s">
        <v>3240</v>
      </c>
      <c r="X1637" t="s">
        <v>3241</v>
      </c>
      <c r="AM1637" t="s">
        <v>258</v>
      </c>
      <c r="AN1637" t="s">
        <v>259</v>
      </c>
      <c r="AO1637" t="s">
        <v>260</v>
      </c>
      <c r="AQ1637" t="s">
        <v>261</v>
      </c>
      <c r="AS1637">
        <v>10000</v>
      </c>
      <c r="AX1637" t="s">
        <v>262</v>
      </c>
      <c r="BO1637" t="s">
        <v>261</v>
      </c>
      <c r="BQ1637">
        <v>10</v>
      </c>
      <c r="BV1637" t="s">
        <v>263</v>
      </c>
      <c r="CM1637" t="s">
        <v>264</v>
      </c>
      <c r="CN1637" t="s">
        <v>264</v>
      </c>
      <c r="CP1637" t="s">
        <v>265</v>
      </c>
      <c r="CQ1637" t="s">
        <v>538</v>
      </c>
      <c r="DB1637">
        <v>4</v>
      </c>
      <c r="DG1637" t="s">
        <v>267</v>
      </c>
      <c r="DI1637">
        <v>96</v>
      </c>
      <c r="DN1637" t="s">
        <v>268</v>
      </c>
      <c r="DP1637" t="s">
        <v>2185</v>
      </c>
      <c r="DR1637">
        <v>236572</v>
      </c>
      <c r="DS1637">
        <v>1940</v>
      </c>
      <c r="DT1637" t="s">
        <v>3288</v>
      </c>
      <c r="EW1637" t="s">
        <v>271</v>
      </c>
      <c r="FM1637">
        <v>15</v>
      </c>
      <c r="FR1637" t="s">
        <v>295</v>
      </c>
      <c r="GU1637">
        <v>27</v>
      </c>
      <c r="GZ1637" t="s">
        <v>296</v>
      </c>
      <c r="HH1637" t="s">
        <v>272</v>
      </c>
      <c r="IE1637" t="s">
        <v>3289</v>
      </c>
      <c r="IF1637">
        <v>6039</v>
      </c>
      <c r="IG1637" t="s">
        <v>3290</v>
      </c>
      <c r="IH1637" t="s">
        <v>3291</v>
      </c>
      <c r="II1637">
        <v>1987</v>
      </c>
      <c r="IJ1637" t="s">
        <v>3292</v>
      </c>
    </row>
    <row r="1638" spans="1:244" x14ac:dyDescent="0.45">
      <c r="A1638">
        <v>1078365</v>
      </c>
      <c r="B1638">
        <v>105387</v>
      </c>
      <c r="C1638">
        <v>7778509</v>
      </c>
      <c r="D1638" t="s">
        <v>3280</v>
      </c>
      <c r="F1638" t="s">
        <v>245</v>
      </c>
      <c r="G1638" t="s">
        <v>246</v>
      </c>
      <c r="N1638" t="s">
        <v>3239</v>
      </c>
      <c r="O1638" t="s">
        <v>1299</v>
      </c>
      <c r="P1638" t="s">
        <v>249</v>
      </c>
      <c r="Q1638" t="s">
        <v>250</v>
      </c>
      <c r="R1638" t="s">
        <v>251</v>
      </c>
      <c r="T1638" t="s">
        <v>252</v>
      </c>
      <c r="U1638" t="s">
        <v>371</v>
      </c>
      <c r="V1638" t="s">
        <v>372</v>
      </c>
      <c r="W1638" t="s">
        <v>3240</v>
      </c>
      <c r="X1638" t="s">
        <v>3241</v>
      </c>
      <c r="AM1638" t="s">
        <v>258</v>
      </c>
      <c r="AN1638" t="s">
        <v>259</v>
      </c>
      <c r="AO1638" t="s">
        <v>260</v>
      </c>
      <c r="AQ1638" t="s">
        <v>261</v>
      </c>
      <c r="AS1638">
        <v>11000</v>
      </c>
      <c r="AX1638" t="s">
        <v>262</v>
      </c>
      <c r="BO1638" t="s">
        <v>261</v>
      </c>
      <c r="BQ1638">
        <v>11</v>
      </c>
      <c r="BV1638" t="s">
        <v>263</v>
      </c>
      <c r="CM1638" t="s">
        <v>264</v>
      </c>
      <c r="CN1638" t="s">
        <v>264</v>
      </c>
      <c r="CP1638" t="s">
        <v>265</v>
      </c>
      <c r="CQ1638" t="s">
        <v>538</v>
      </c>
      <c r="DB1638">
        <v>4</v>
      </c>
      <c r="DG1638" t="s">
        <v>267</v>
      </c>
      <c r="DI1638">
        <v>96</v>
      </c>
      <c r="DN1638" t="s">
        <v>268</v>
      </c>
      <c r="DP1638" t="s">
        <v>2185</v>
      </c>
      <c r="DR1638">
        <v>236572</v>
      </c>
      <c r="DS1638">
        <v>1940</v>
      </c>
      <c r="DT1638" t="s">
        <v>3288</v>
      </c>
      <c r="EW1638" t="s">
        <v>271</v>
      </c>
      <c r="FM1638">
        <v>15</v>
      </c>
      <c r="FR1638" t="s">
        <v>295</v>
      </c>
      <c r="GU1638">
        <v>13.5</v>
      </c>
      <c r="GZ1638" t="s">
        <v>296</v>
      </c>
      <c r="HH1638" t="s">
        <v>272</v>
      </c>
      <c r="IE1638" t="s">
        <v>3289</v>
      </c>
      <c r="IF1638">
        <v>6039</v>
      </c>
      <c r="IG1638" t="s">
        <v>3290</v>
      </c>
      <c r="IH1638" t="s">
        <v>3291</v>
      </c>
      <c r="II1638">
        <v>1987</v>
      </c>
      <c r="IJ1638" t="s">
        <v>3292</v>
      </c>
    </row>
    <row r="1639" spans="1:244" x14ac:dyDescent="0.45">
      <c r="A1639">
        <v>1212441</v>
      </c>
      <c r="B1639">
        <v>192571</v>
      </c>
      <c r="C1639">
        <v>7778509</v>
      </c>
      <c r="D1639" t="s">
        <v>3280</v>
      </c>
      <c r="F1639" t="s">
        <v>245</v>
      </c>
      <c r="G1639" t="s">
        <v>246</v>
      </c>
      <c r="N1639" t="s">
        <v>3303</v>
      </c>
      <c r="O1639" t="s">
        <v>388</v>
      </c>
      <c r="P1639" t="s">
        <v>249</v>
      </c>
      <c r="Q1639" t="s">
        <v>250</v>
      </c>
      <c r="R1639" t="s">
        <v>251</v>
      </c>
      <c r="T1639" t="s">
        <v>389</v>
      </c>
      <c r="U1639" t="s">
        <v>390</v>
      </c>
      <c r="V1639" t="s">
        <v>472</v>
      </c>
      <c r="W1639" t="s">
        <v>473</v>
      </c>
      <c r="X1639" t="s">
        <v>1446</v>
      </c>
      <c r="Z1639" t="s">
        <v>315</v>
      </c>
      <c r="AB1639">
        <v>15</v>
      </c>
      <c r="AG1639" t="s">
        <v>267</v>
      </c>
      <c r="AL1639" t="s">
        <v>3304</v>
      </c>
      <c r="AM1639" t="s">
        <v>287</v>
      </c>
      <c r="AN1639" t="s">
        <v>259</v>
      </c>
      <c r="AO1639" t="s">
        <v>260</v>
      </c>
      <c r="AQ1639" t="s">
        <v>261</v>
      </c>
      <c r="AT1639" t="s">
        <v>288</v>
      </c>
      <c r="AU1639">
        <v>25000</v>
      </c>
      <c r="AV1639" t="s">
        <v>289</v>
      </c>
      <c r="AW1639">
        <v>30000</v>
      </c>
      <c r="AX1639" t="s">
        <v>262</v>
      </c>
      <c r="BO1639" t="s">
        <v>261</v>
      </c>
      <c r="BR1639" t="s">
        <v>288</v>
      </c>
      <c r="BS1639">
        <v>25</v>
      </c>
      <c r="BT1639" t="s">
        <v>289</v>
      </c>
      <c r="BU1639">
        <v>30</v>
      </c>
      <c r="BV1639" t="s">
        <v>263</v>
      </c>
      <c r="CM1639" t="s">
        <v>264</v>
      </c>
      <c r="CN1639" t="s">
        <v>264</v>
      </c>
      <c r="CP1639" t="s">
        <v>265</v>
      </c>
      <c r="DB1639">
        <v>2</v>
      </c>
      <c r="DG1639" t="s">
        <v>267</v>
      </c>
      <c r="DI1639">
        <v>48</v>
      </c>
      <c r="DN1639" t="s">
        <v>268</v>
      </c>
      <c r="DS1639">
        <v>10240</v>
      </c>
      <c r="DT1639" t="s">
        <v>3305</v>
      </c>
      <c r="EW1639" t="s">
        <v>293</v>
      </c>
      <c r="FK1639" t="s">
        <v>1186</v>
      </c>
      <c r="FM1639">
        <v>13</v>
      </c>
      <c r="FR1639" t="s">
        <v>295</v>
      </c>
      <c r="HH1639" t="s">
        <v>272</v>
      </c>
      <c r="ID1639" t="s">
        <v>1187</v>
      </c>
      <c r="IE1639" t="s">
        <v>3306</v>
      </c>
      <c r="IF1639">
        <v>19811</v>
      </c>
      <c r="IG1639" t="s">
        <v>3307</v>
      </c>
      <c r="IH1639" t="s">
        <v>3308</v>
      </c>
      <c r="II1639">
        <v>1998</v>
      </c>
      <c r="IJ1639" t="s">
        <v>3309</v>
      </c>
    </row>
    <row r="1640" spans="1:244" x14ac:dyDescent="0.45">
      <c r="A1640">
        <v>1057447</v>
      </c>
      <c r="B1640">
        <v>131433</v>
      </c>
      <c r="C1640">
        <v>7778509</v>
      </c>
      <c r="D1640" t="s">
        <v>3280</v>
      </c>
      <c r="E1640" t="s">
        <v>386</v>
      </c>
      <c r="F1640" t="s">
        <v>245</v>
      </c>
      <c r="G1640" t="s">
        <v>246</v>
      </c>
      <c r="N1640" t="s">
        <v>845</v>
      </c>
      <c r="O1640" t="s">
        <v>846</v>
      </c>
      <c r="P1640" t="s">
        <v>249</v>
      </c>
      <c r="Q1640" t="s">
        <v>250</v>
      </c>
      <c r="R1640" t="s">
        <v>251</v>
      </c>
      <c r="T1640" t="s">
        <v>252</v>
      </c>
      <c r="U1640" t="s">
        <v>253</v>
      </c>
      <c r="V1640" t="s">
        <v>418</v>
      </c>
      <c r="W1640" t="s">
        <v>847</v>
      </c>
      <c r="X1640" t="s">
        <v>848</v>
      </c>
      <c r="AB1640">
        <v>3</v>
      </c>
      <c r="AG1640" t="s">
        <v>598</v>
      </c>
      <c r="AL1640" t="s">
        <v>858</v>
      </c>
      <c r="AM1640" t="s">
        <v>258</v>
      </c>
      <c r="AN1640" t="s">
        <v>259</v>
      </c>
      <c r="AO1640" t="s">
        <v>260</v>
      </c>
      <c r="AQ1640" t="s">
        <v>261</v>
      </c>
      <c r="AS1640">
        <v>11240</v>
      </c>
      <c r="AX1640" t="s">
        <v>262</v>
      </c>
      <c r="BO1640" t="s">
        <v>261</v>
      </c>
      <c r="BQ1640">
        <v>11.24</v>
      </c>
      <c r="BV1640" t="s">
        <v>263</v>
      </c>
      <c r="CM1640" t="s">
        <v>264</v>
      </c>
      <c r="CN1640" t="s">
        <v>264</v>
      </c>
      <c r="CP1640" t="s">
        <v>265</v>
      </c>
      <c r="CQ1640" t="s">
        <v>538</v>
      </c>
      <c r="DB1640">
        <v>2</v>
      </c>
      <c r="DG1640" t="s">
        <v>267</v>
      </c>
      <c r="DI1640">
        <v>48</v>
      </c>
      <c r="DN1640" t="s">
        <v>268</v>
      </c>
      <c r="DR1640">
        <v>32278</v>
      </c>
      <c r="DS1640">
        <v>4580</v>
      </c>
      <c r="DT1640" t="s">
        <v>850</v>
      </c>
      <c r="EW1640" t="s">
        <v>271</v>
      </c>
      <c r="FM1640">
        <v>28</v>
      </c>
      <c r="FR1640" t="s">
        <v>295</v>
      </c>
      <c r="GO1640">
        <v>8.6999999999999993</v>
      </c>
      <c r="GW1640">
        <v>30</v>
      </c>
      <c r="GY1640">
        <v>34</v>
      </c>
      <c r="GZ1640" t="s">
        <v>296</v>
      </c>
      <c r="HH1640" t="s">
        <v>272</v>
      </c>
      <c r="IE1640" t="s">
        <v>853</v>
      </c>
      <c r="IF1640">
        <v>4127</v>
      </c>
      <c r="IG1640" t="s">
        <v>854</v>
      </c>
      <c r="IH1640" t="s">
        <v>855</v>
      </c>
      <c r="II1640">
        <v>1993</v>
      </c>
      <c r="IJ1640" t="s">
        <v>856</v>
      </c>
    </row>
    <row r="1641" spans="1:244" x14ac:dyDescent="0.45">
      <c r="A1641">
        <v>1174969</v>
      </c>
      <c r="B1641">
        <v>65143</v>
      </c>
      <c r="C1641">
        <v>7778509</v>
      </c>
      <c r="D1641" t="s">
        <v>3280</v>
      </c>
      <c r="F1641" t="s">
        <v>245</v>
      </c>
      <c r="G1641" t="s">
        <v>246</v>
      </c>
      <c r="N1641" t="s">
        <v>345</v>
      </c>
      <c r="O1641" t="s">
        <v>346</v>
      </c>
      <c r="P1641" t="s">
        <v>249</v>
      </c>
      <c r="Q1641" t="s">
        <v>250</v>
      </c>
      <c r="R1641" t="s">
        <v>251</v>
      </c>
      <c r="T1641" t="s">
        <v>347</v>
      </c>
      <c r="U1641" t="s">
        <v>348</v>
      </c>
      <c r="V1641" t="s">
        <v>349</v>
      </c>
      <c r="W1641" t="s">
        <v>350</v>
      </c>
      <c r="X1641" t="s">
        <v>351</v>
      </c>
      <c r="Z1641" t="s">
        <v>284</v>
      </c>
      <c r="AD1641">
        <v>2</v>
      </c>
      <c r="AF1641">
        <v>3</v>
      </c>
      <c r="AG1641" t="s">
        <v>1409</v>
      </c>
      <c r="AM1641" t="s">
        <v>317</v>
      </c>
      <c r="AN1641" t="s">
        <v>259</v>
      </c>
      <c r="AO1641" t="s">
        <v>260</v>
      </c>
      <c r="AQ1641" t="s">
        <v>261</v>
      </c>
      <c r="AS1641">
        <v>12200</v>
      </c>
      <c r="AU1641">
        <v>10400</v>
      </c>
      <c r="AW1641">
        <v>14300</v>
      </c>
      <c r="AX1641" t="s">
        <v>262</v>
      </c>
      <c r="BO1641" t="s">
        <v>261</v>
      </c>
      <c r="BQ1641">
        <v>12.2</v>
      </c>
      <c r="BS1641">
        <v>10.4</v>
      </c>
      <c r="BU1641">
        <v>14.3</v>
      </c>
      <c r="BV1641" t="s">
        <v>263</v>
      </c>
      <c r="CM1641" t="s">
        <v>264</v>
      </c>
      <c r="CN1641" t="s">
        <v>264</v>
      </c>
      <c r="CP1641" t="s">
        <v>265</v>
      </c>
      <c r="DB1641">
        <v>1</v>
      </c>
      <c r="DG1641" t="s">
        <v>267</v>
      </c>
      <c r="DI1641">
        <v>24</v>
      </c>
      <c r="DN1641" t="s">
        <v>268</v>
      </c>
      <c r="DR1641">
        <v>6660</v>
      </c>
      <c r="DS1641">
        <v>421</v>
      </c>
      <c r="EW1641" t="s">
        <v>271</v>
      </c>
      <c r="FK1641" t="s">
        <v>3363</v>
      </c>
      <c r="FM1641">
        <v>25</v>
      </c>
      <c r="FR1641" t="s">
        <v>295</v>
      </c>
      <c r="GO1641">
        <v>7.5</v>
      </c>
      <c r="GU1641">
        <v>35</v>
      </c>
      <c r="GZ1641" t="s">
        <v>296</v>
      </c>
      <c r="HH1641" t="s">
        <v>272</v>
      </c>
      <c r="ID1641" t="s">
        <v>3364</v>
      </c>
      <c r="IE1641" t="s">
        <v>3298</v>
      </c>
      <c r="IF1641">
        <v>15178</v>
      </c>
      <c r="IG1641" t="s">
        <v>3299</v>
      </c>
      <c r="IH1641" t="s">
        <v>3300</v>
      </c>
      <c r="II1641">
        <v>1980</v>
      </c>
      <c r="IJ1641" t="s">
        <v>3301</v>
      </c>
    </row>
    <row r="1642" spans="1:244" x14ac:dyDescent="0.45">
      <c r="A1642">
        <v>1182180</v>
      </c>
      <c r="B1642">
        <v>160086</v>
      </c>
      <c r="C1642">
        <v>7778509</v>
      </c>
      <c r="D1642" t="s">
        <v>3280</v>
      </c>
      <c r="F1642" t="s">
        <v>245</v>
      </c>
      <c r="G1642" t="s">
        <v>246</v>
      </c>
      <c r="I1642">
        <v>99</v>
      </c>
      <c r="N1642" t="s">
        <v>345</v>
      </c>
      <c r="O1642" t="s">
        <v>346</v>
      </c>
      <c r="P1642" t="s">
        <v>249</v>
      </c>
      <c r="Q1642" t="s">
        <v>250</v>
      </c>
      <c r="R1642" t="s">
        <v>251</v>
      </c>
      <c r="T1642" t="s">
        <v>347</v>
      </c>
      <c r="U1642" t="s">
        <v>348</v>
      </c>
      <c r="V1642" t="s">
        <v>349</v>
      </c>
      <c r="W1642" t="s">
        <v>350</v>
      </c>
      <c r="X1642" t="s">
        <v>351</v>
      </c>
      <c r="Z1642" t="s">
        <v>1034</v>
      </c>
      <c r="AL1642" t="s">
        <v>2663</v>
      </c>
      <c r="AM1642" t="s">
        <v>317</v>
      </c>
      <c r="AN1642" t="s">
        <v>259</v>
      </c>
      <c r="AO1642" t="s">
        <v>260</v>
      </c>
      <c r="AQ1642" t="s">
        <v>261</v>
      </c>
      <c r="AS1642">
        <v>5000</v>
      </c>
      <c r="AX1642" t="s">
        <v>262</v>
      </c>
      <c r="BO1642" t="s">
        <v>261</v>
      </c>
      <c r="BQ1642">
        <v>5</v>
      </c>
      <c r="BV1642" t="s">
        <v>263</v>
      </c>
      <c r="CM1642" t="s">
        <v>264</v>
      </c>
      <c r="CN1642" t="s">
        <v>264</v>
      </c>
      <c r="CP1642" t="s">
        <v>265</v>
      </c>
      <c r="DB1642">
        <v>2</v>
      </c>
      <c r="DG1642" t="s">
        <v>267</v>
      </c>
      <c r="DI1642">
        <v>48</v>
      </c>
      <c r="DN1642" t="s">
        <v>268</v>
      </c>
      <c r="DO1642" t="s">
        <v>1587</v>
      </c>
      <c r="DP1642" t="s">
        <v>3281</v>
      </c>
      <c r="DR1642">
        <v>6660</v>
      </c>
      <c r="DS1642">
        <v>421</v>
      </c>
      <c r="DT1642" t="s">
        <v>2665</v>
      </c>
      <c r="EW1642" t="s">
        <v>293</v>
      </c>
      <c r="FA1642" t="s">
        <v>2666</v>
      </c>
      <c r="FM1642">
        <v>25</v>
      </c>
      <c r="FR1642" t="s">
        <v>295</v>
      </c>
      <c r="GU1642">
        <v>25</v>
      </c>
      <c r="GZ1642" t="s">
        <v>296</v>
      </c>
      <c r="HH1642" t="s">
        <v>272</v>
      </c>
      <c r="IE1642" t="s">
        <v>2667</v>
      </c>
      <c r="IF1642">
        <v>16031</v>
      </c>
      <c r="IG1642" t="s">
        <v>2668</v>
      </c>
      <c r="IH1642" t="s">
        <v>2669</v>
      </c>
      <c r="II1642">
        <v>1995</v>
      </c>
      <c r="IJ1642" t="s">
        <v>2670</v>
      </c>
    </row>
    <row r="1643" spans="1:244" x14ac:dyDescent="0.45">
      <c r="A1643">
        <v>1078346</v>
      </c>
      <c r="B1643">
        <v>86085</v>
      </c>
      <c r="C1643">
        <v>7778509</v>
      </c>
      <c r="D1643" t="s">
        <v>3280</v>
      </c>
      <c r="F1643" t="s">
        <v>245</v>
      </c>
      <c r="G1643" t="s">
        <v>246</v>
      </c>
      <c r="N1643" t="s">
        <v>3239</v>
      </c>
      <c r="O1643" t="s">
        <v>1299</v>
      </c>
      <c r="P1643" t="s">
        <v>249</v>
      </c>
      <c r="Q1643" t="s">
        <v>250</v>
      </c>
      <c r="R1643" t="s">
        <v>251</v>
      </c>
      <c r="T1643" t="s">
        <v>252</v>
      </c>
      <c r="U1643" t="s">
        <v>371</v>
      </c>
      <c r="V1643" t="s">
        <v>372</v>
      </c>
      <c r="W1643" t="s">
        <v>3240</v>
      </c>
      <c r="X1643" t="s">
        <v>3241</v>
      </c>
      <c r="AM1643" t="s">
        <v>258</v>
      </c>
      <c r="AN1643" t="s">
        <v>259</v>
      </c>
      <c r="AO1643" t="s">
        <v>260</v>
      </c>
      <c r="AQ1643" t="s">
        <v>261</v>
      </c>
      <c r="AS1643">
        <v>22000</v>
      </c>
      <c r="AX1643" t="s">
        <v>262</v>
      </c>
      <c r="BO1643" t="s">
        <v>261</v>
      </c>
      <c r="BQ1643">
        <v>22</v>
      </c>
      <c r="BV1643" t="s">
        <v>263</v>
      </c>
      <c r="CM1643" t="s">
        <v>264</v>
      </c>
      <c r="CN1643" t="s">
        <v>264</v>
      </c>
      <c r="CP1643" t="s">
        <v>265</v>
      </c>
      <c r="CQ1643" t="s">
        <v>538</v>
      </c>
      <c r="DB1643">
        <v>4</v>
      </c>
      <c r="DG1643" t="s">
        <v>267</v>
      </c>
      <c r="DI1643">
        <v>96</v>
      </c>
      <c r="DN1643" t="s">
        <v>268</v>
      </c>
      <c r="DP1643" t="s">
        <v>2185</v>
      </c>
      <c r="DR1643">
        <v>236572</v>
      </c>
      <c r="DS1643">
        <v>1940</v>
      </c>
      <c r="DT1643" t="s">
        <v>3288</v>
      </c>
      <c r="EW1643" t="s">
        <v>271</v>
      </c>
      <c r="FM1643">
        <v>5</v>
      </c>
      <c r="FR1643" t="s">
        <v>295</v>
      </c>
      <c r="GU1643">
        <v>22.5</v>
      </c>
      <c r="GZ1643" t="s">
        <v>296</v>
      </c>
      <c r="HH1643" t="s">
        <v>272</v>
      </c>
      <c r="IE1643" t="s">
        <v>3289</v>
      </c>
      <c r="IF1643">
        <v>6039</v>
      </c>
      <c r="IG1643" t="s">
        <v>3290</v>
      </c>
      <c r="IH1643" t="s">
        <v>3291</v>
      </c>
      <c r="II1643">
        <v>1987</v>
      </c>
      <c r="IJ1643" t="s">
        <v>3292</v>
      </c>
    </row>
    <row r="1644" spans="1:244" x14ac:dyDescent="0.45">
      <c r="A1644">
        <v>1078359</v>
      </c>
      <c r="B1644">
        <v>105381</v>
      </c>
      <c r="C1644">
        <v>7778509</v>
      </c>
      <c r="D1644" t="s">
        <v>3280</v>
      </c>
      <c r="F1644" t="s">
        <v>245</v>
      </c>
      <c r="G1644" t="s">
        <v>246</v>
      </c>
      <c r="N1644" t="s">
        <v>3239</v>
      </c>
      <c r="O1644" t="s">
        <v>1299</v>
      </c>
      <c r="P1644" t="s">
        <v>249</v>
      </c>
      <c r="Q1644" t="s">
        <v>250</v>
      </c>
      <c r="R1644" t="s">
        <v>251</v>
      </c>
      <c r="T1644" t="s">
        <v>252</v>
      </c>
      <c r="U1644" t="s">
        <v>371</v>
      </c>
      <c r="V1644" t="s">
        <v>372</v>
      </c>
      <c r="W1644" t="s">
        <v>3240</v>
      </c>
      <c r="X1644" t="s">
        <v>3241</v>
      </c>
      <c r="AM1644" t="s">
        <v>258</v>
      </c>
      <c r="AN1644" t="s">
        <v>259</v>
      </c>
      <c r="AO1644" t="s">
        <v>260</v>
      </c>
      <c r="AQ1644" t="s">
        <v>261</v>
      </c>
      <c r="AS1644">
        <v>8000</v>
      </c>
      <c r="AX1644" t="s">
        <v>262</v>
      </c>
      <c r="BO1644" t="s">
        <v>261</v>
      </c>
      <c r="BQ1644">
        <v>8</v>
      </c>
      <c r="BV1644" t="s">
        <v>263</v>
      </c>
      <c r="CM1644" t="s">
        <v>264</v>
      </c>
      <c r="CN1644" t="s">
        <v>264</v>
      </c>
      <c r="CP1644" t="s">
        <v>265</v>
      </c>
      <c r="CQ1644" t="s">
        <v>538</v>
      </c>
      <c r="DB1644">
        <v>4</v>
      </c>
      <c r="DG1644" t="s">
        <v>267</v>
      </c>
      <c r="DI1644">
        <v>96</v>
      </c>
      <c r="DN1644" t="s">
        <v>268</v>
      </c>
      <c r="DP1644" t="s">
        <v>2185</v>
      </c>
      <c r="DR1644">
        <v>236572</v>
      </c>
      <c r="DS1644">
        <v>1940</v>
      </c>
      <c r="DT1644" t="s">
        <v>3288</v>
      </c>
      <c r="EW1644" t="s">
        <v>271</v>
      </c>
      <c r="FM1644">
        <v>15</v>
      </c>
      <c r="FR1644" t="s">
        <v>295</v>
      </c>
      <c r="GU1644">
        <v>9</v>
      </c>
      <c r="GZ1644" t="s">
        <v>296</v>
      </c>
      <c r="HH1644" t="s">
        <v>272</v>
      </c>
      <c r="IE1644" t="s">
        <v>3289</v>
      </c>
      <c r="IF1644">
        <v>6039</v>
      </c>
      <c r="IG1644" t="s">
        <v>3290</v>
      </c>
      <c r="IH1644" t="s">
        <v>3291</v>
      </c>
      <c r="II1644">
        <v>1987</v>
      </c>
      <c r="IJ1644" t="s">
        <v>3292</v>
      </c>
    </row>
    <row r="1645" spans="1:244" x14ac:dyDescent="0.45">
      <c r="A1645">
        <v>1174970</v>
      </c>
      <c r="B1645">
        <v>65144</v>
      </c>
      <c r="C1645">
        <v>7778509</v>
      </c>
      <c r="D1645" t="s">
        <v>3280</v>
      </c>
      <c r="F1645" t="s">
        <v>245</v>
      </c>
      <c r="G1645" t="s">
        <v>246</v>
      </c>
      <c r="N1645" t="s">
        <v>345</v>
      </c>
      <c r="O1645" t="s">
        <v>346</v>
      </c>
      <c r="P1645" t="s">
        <v>249</v>
      </c>
      <c r="Q1645" t="s">
        <v>250</v>
      </c>
      <c r="R1645" t="s">
        <v>251</v>
      </c>
      <c r="T1645" t="s">
        <v>347</v>
      </c>
      <c r="U1645" t="s">
        <v>348</v>
      </c>
      <c r="V1645" t="s">
        <v>349</v>
      </c>
      <c r="W1645" t="s">
        <v>350</v>
      </c>
      <c r="X1645" t="s">
        <v>351</v>
      </c>
      <c r="Z1645" t="s">
        <v>284</v>
      </c>
      <c r="AD1645">
        <v>2</v>
      </c>
      <c r="AF1645">
        <v>3</v>
      </c>
      <c r="AG1645" t="s">
        <v>1409</v>
      </c>
      <c r="AM1645" t="s">
        <v>317</v>
      </c>
      <c r="AN1645" t="s">
        <v>259</v>
      </c>
      <c r="AO1645" t="s">
        <v>260</v>
      </c>
      <c r="AQ1645" t="s">
        <v>261</v>
      </c>
      <c r="AS1645">
        <v>12000</v>
      </c>
      <c r="AU1645">
        <v>9840</v>
      </c>
      <c r="AW1645">
        <v>13880</v>
      </c>
      <c r="AX1645" t="s">
        <v>262</v>
      </c>
      <c r="BO1645" t="s">
        <v>261</v>
      </c>
      <c r="BQ1645">
        <v>12</v>
      </c>
      <c r="BS1645">
        <v>9.84</v>
      </c>
      <c r="BU1645">
        <v>13.88</v>
      </c>
      <c r="BV1645" t="s">
        <v>263</v>
      </c>
      <c r="CM1645" t="s">
        <v>264</v>
      </c>
      <c r="CN1645" t="s">
        <v>264</v>
      </c>
      <c r="CP1645" t="s">
        <v>265</v>
      </c>
      <c r="DB1645">
        <v>1</v>
      </c>
      <c r="DG1645" t="s">
        <v>267</v>
      </c>
      <c r="DI1645">
        <v>24</v>
      </c>
      <c r="DN1645" t="s">
        <v>268</v>
      </c>
      <c r="DR1645">
        <v>6660</v>
      </c>
      <c r="DS1645">
        <v>421</v>
      </c>
      <c r="EW1645" t="s">
        <v>271</v>
      </c>
      <c r="FK1645" t="s">
        <v>3363</v>
      </c>
      <c r="FM1645">
        <v>25</v>
      </c>
      <c r="FR1645" t="s">
        <v>295</v>
      </c>
      <c r="GO1645">
        <v>7.5</v>
      </c>
      <c r="GU1645">
        <v>35</v>
      </c>
      <c r="GZ1645" t="s">
        <v>296</v>
      </c>
      <c r="HH1645" t="s">
        <v>272</v>
      </c>
      <c r="ID1645" t="s">
        <v>3364</v>
      </c>
      <c r="IE1645" t="s">
        <v>3298</v>
      </c>
      <c r="IF1645">
        <v>15178</v>
      </c>
      <c r="IG1645" t="s">
        <v>3299</v>
      </c>
      <c r="IH1645" t="s">
        <v>3300</v>
      </c>
      <c r="II1645">
        <v>1980</v>
      </c>
      <c r="IJ1645" t="s">
        <v>3301</v>
      </c>
    </row>
    <row r="1646" spans="1:244" x14ac:dyDescent="0.45">
      <c r="A1646">
        <v>1184334</v>
      </c>
      <c r="B1646">
        <v>139846</v>
      </c>
      <c r="C1646">
        <v>7778509</v>
      </c>
      <c r="D1646" t="s">
        <v>3280</v>
      </c>
      <c r="E1646" t="s">
        <v>439</v>
      </c>
      <c r="F1646" t="s">
        <v>245</v>
      </c>
      <c r="G1646" t="s">
        <v>246</v>
      </c>
      <c r="N1646" t="s">
        <v>1914</v>
      </c>
      <c r="O1646" t="s">
        <v>248</v>
      </c>
      <c r="P1646" t="s">
        <v>249</v>
      </c>
      <c r="Q1646" t="s">
        <v>250</v>
      </c>
      <c r="R1646" t="s">
        <v>251</v>
      </c>
      <c r="T1646" t="s">
        <v>252</v>
      </c>
      <c r="U1646" t="s">
        <v>253</v>
      </c>
      <c r="V1646" t="s">
        <v>254</v>
      </c>
      <c r="W1646" t="s">
        <v>1915</v>
      </c>
      <c r="X1646" t="s">
        <v>1916</v>
      </c>
      <c r="Z1646" t="s">
        <v>284</v>
      </c>
      <c r="AB1646" t="s">
        <v>2135</v>
      </c>
      <c r="AG1646" t="s">
        <v>1409</v>
      </c>
      <c r="AM1646" t="s">
        <v>258</v>
      </c>
      <c r="AN1646" t="s">
        <v>259</v>
      </c>
      <c r="AO1646" t="s">
        <v>260</v>
      </c>
      <c r="AQ1646" t="s">
        <v>261</v>
      </c>
      <c r="AS1646">
        <v>2100</v>
      </c>
      <c r="AU1646">
        <v>1700</v>
      </c>
      <c r="AW1646">
        <v>2700</v>
      </c>
      <c r="AX1646" t="s">
        <v>262</v>
      </c>
      <c r="BO1646" t="s">
        <v>261</v>
      </c>
      <c r="BQ1646">
        <v>2.1</v>
      </c>
      <c r="BS1646">
        <v>1.7</v>
      </c>
      <c r="BU1646">
        <v>2.7</v>
      </c>
      <c r="BV1646" t="s">
        <v>263</v>
      </c>
      <c r="CM1646" t="s">
        <v>264</v>
      </c>
      <c r="CN1646" t="s">
        <v>264</v>
      </c>
      <c r="CP1646" t="s">
        <v>265</v>
      </c>
      <c r="CQ1646" t="s">
        <v>538</v>
      </c>
      <c r="DB1646">
        <v>2</v>
      </c>
      <c r="DG1646" t="s">
        <v>267</v>
      </c>
      <c r="DI1646">
        <v>48</v>
      </c>
      <c r="DN1646" t="s">
        <v>268</v>
      </c>
      <c r="DR1646">
        <v>80836</v>
      </c>
      <c r="DS1646">
        <v>2488</v>
      </c>
      <c r="DT1646" t="s">
        <v>2136</v>
      </c>
      <c r="EW1646" t="s">
        <v>293</v>
      </c>
      <c r="FM1646">
        <v>26</v>
      </c>
      <c r="FR1646" t="s">
        <v>295</v>
      </c>
      <c r="GG1646" t="s">
        <v>278</v>
      </c>
      <c r="GH1646">
        <v>85</v>
      </c>
      <c r="GM1646" t="s">
        <v>900</v>
      </c>
      <c r="GU1646">
        <v>33</v>
      </c>
      <c r="GZ1646" t="s">
        <v>296</v>
      </c>
      <c r="HH1646" t="s">
        <v>272</v>
      </c>
      <c r="IE1646" t="s">
        <v>2137</v>
      </c>
      <c r="IF1646">
        <v>16331</v>
      </c>
      <c r="IG1646" t="s">
        <v>2138</v>
      </c>
      <c r="IH1646" t="s">
        <v>2139</v>
      </c>
      <c r="II1646">
        <v>1994</v>
      </c>
      <c r="IJ1646" t="s">
        <v>2140</v>
      </c>
    </row>
    <row r="1647" spans="1:244" x14ac:dyDescent="0.45">
      <c r="A1647">
        <v>2205569</v>
      </c>
      <c r="B1647">
        <v>2413062</v>
      </c>
      <c r="C1647">
        <v>7778509</v>
      </c>
      <c r="D1647" t="s">
        <v>3280</v>
      </c>
      <c r="F1647" t="s">
        <v>245</v>
      </c>
      <c r="G1647" t="s">
        <v>272</v>
      </c>
      <c r="N1647" t="s">
        <v>345</v>
      </c>
      <c r="O1647" t="s">
        <v>346</v>
      </c>
      <c r="P1647" t="s">
        <v>249</v>
      </c>
      <c r="Q1647" t="s">
        <v>250</v>
      </c>
      <c r="R1647" t="s">
        <v>251</v>
      </c>
      <c r="T1647" t="s">
        <v>347</v>
      </c>
      <c r="U1647" t="s">
        <v>348</v>
      </c>
      <c r="V1647" t="s">
        <v>349</v>
      </c>
      <c r="W1647" t="s">
        <v>350</v>
      </c>
      <c r="X1647" t="s">
        <v>351</v>
      </c>
      <c r="Z1647" t="s">
        <v>525</v>
      </c>
      <c r="AD1647">
        <v>2</v>
      </c>
      <c r="AF1647">
        <v>3</v>
      </c>
      <c r="AG1647" t="s">
        <v>1409</v>
      </c>
      <c r="AM1647" t="s">
        <v>317</v>
      </c>
      <c r="AN1647" t="s">
        <v>259</v>
      </c>
      <c r="AO1647" t="s">
        <v>260</v>
      </c>
      <c r="AQ1647" t="s">
        <v>261</v>
      </c>
      <c r="AS1647">
        <v>134</v>
      </c>
      <c r="AU1647">
        <v>81.7</v>
      </c>
      <c r="AW1647">
        <v>186</v>
      </c>
      <c r="AX1647" t="s">
        <v>356</v>
      </c>
      <c r="BO1647" t="s">
        <v>261</v>
      </c>
      <c r="BQ1647">
        <v>134</v>
      </c>
      <c r="BS1647">
        <v>81.7</v>
      </c>
      <c r="BU1647">
        <v>186</v>
      </c>
      <c r="BV1647" t="s">
        <v>263</v>
      </c>
      <c r="CM1647" t="s">
        <v>264</v>
      </c>
      <c r="CN1647" t="s">
        <v>264</v>
      </c>
      <c r="CP1647" t="s">
        <v>265</v>
      </c>
      <c r="DB1647">
        <v>1</v>
      </c>
      <c r="DG1647" t="s">
        <v>267</v>
      </c>
      <c r="DI1647">
        <v>24</v>
      </c>
      <c r="DN1647" t="s">
        <v>268</v>
      </c>
      <c r="DP1647" t="s">
        <v>3281</v>
      </c>
      <c r="DR1647">
        <v>6660</v>
      </c>
      <c r="DS1647">
        <v>421</v>
      </c>
      <c r="DV1647">
        <v>24</v>
      </c>
      <c r="EA1647" t="s">
        <v>268</v>
      </c>
      <c r="EC1647">
        <v>1</v>
      </c>
      <c r="EH1647" t="s">
        <v>267</v>
      </c>
      <c r="EJ1647">
        <v>24</v>
      </c>
      <c r="EO1647" t="s">
        <v>268</v>
      </c>
      <c r="EQ1647">
        <v>1</v>
      </c>
      <c r="EV1647" t="s">
        <v>267</v>
      </c>
      <c r="EW1647" t="s">
        <v>293</v>
      </c>
      <c r="FA1647" t="s">
        <v>3370</v>
      </c>
      <c r="GU1647">
        <v>30</v>
      </c>
      <c r="GZ1647" t="s">
        <v>296</v>
      </c>
      <c r="HH1647" t="s">
        <v>272</v>
      </c>
      <c r="ID1647" t="s">
        <v>3283</v>
      </c>
      <c r="IE1647" t="s">
        <v>3284</v>
      </c>
      <c r="IF1647">
        <v>7069</v>
      </c>
      <c r="IG1647" t="s">
        <v>3285</v>
      </c>
      <c r="IH1647" t="s">
        <v>3286</v>
      </c>
      <c r="II1647">
        <v>1989</v>
      </c>
      <c r="IJ1647" t="s">
        <v>3287</v>
      </c>
    </row>
    <row r="1648" spans="1:244" x14ac:dyDescent="0.45">
      <c r="A1648">
        <v>1035054</v>
      </c>
      <c r="B1648">
        <v>107201</v>
      </c>
      <c r="C1648">
        <v>7778509</v>
      </c>
      <c r="D1648" t="s">
        <v>3280</v>
      </c>
      <c r="F1648" t="s">
        <v>245</v>
      </c>
      <c r="G1648" t="s">
        <v>246</v>
      </c>
      <c r="N1648" t="s">
        <v>452</v>
      </c>
      <c r="O1648" t="s">
        <v>346</v>
      </c>
      <c r="P1648" t="s">
        <v>249</v>
      </c>
      <c r="Q1648" t="s">
        <v>250</v>
      </c>
      <c r="R1648" t="s">
        <v>251</v>
      </c>
      <c r="T1648" t="s">
        <v>347</v>
      </c>
      <c r="U1648" t="s">
        <v>348</v>
      </c>
      <c r="V1648" t="s">
        <v>349</v>
      </c>
      <c r="W1648" t="s">
        <v>350</v>
      </c>
      <c r="X1648" t="s">
        <v>453</v>
      </c>
      <c r="AD1648">
        <v>2</v>
      </c>
      <c r="AF1648">
        <v>3</v>
      </c>
      <c r="AG1648" t="s">
        <v>1409</v>
      </c>
      <c r="AL1648" t="s">
        <v>3316</v>
      </c>
      <c r="AM1648" t="s">
        <v>317</v>
      </c>
      <c r="AN1648" t="s">
        <v>259</v>
      </c>
      <c r="AO1648" t="s">
        <v>260</v>
      </c>
      <c r="AQ1648" t="s">
        <v>261</v>
      </c>
      <c r="AS1648">
        <v>160000</v>
      </c>
      <c r="AU1648">
        <v>144900</v>
      </c>
      <c r="AW1648">
        <v>178200</v>
      </c>
      <c r="AX1648" t="s">
        <v>262</v>
      </c>
      <c r="BO1648" t="s">
        <v>261</v>
      </c>
      <c r="BQ1648">
        <v>160</v>
      </c>
      <c r="BS1648">
        <v>144.9</v>
      </c>
      <c r="BU1648">
        <v>178.2</v>
      </c>
      <c r="BV1648" t="s">
        <v>263</v>
      </c>
      <c r="CM1648" t="s">
        <v>264</v>
      </c>
      <c r="CN1648" t="s">
        <v>264</v>
      </c>
      <c r="CP1648" t="s">
        <v>265</v>
      </c>
      <c r="CQ1648" t="s">
        <v>538</v>
      </c>
      <c r="DB1648">
        <v>1</v>
      </c>
      <c r="DG1648" t="s">
        <v>267</v>
      </c>
      <c r="DI1648">
        <v>24</v>
      </c>
      <c r="DN1648" t="s">
        <v>268</v>
      </c>
      <c r="DR1648">
        <v>85549</v>
      </c>
      <c r="DS1648">
        <v>366</v>
      </c>
      <c r="DT1648" t="s">
        <v>3317</v>
      </c>
      <c r="EW1648" t="s">
        <v>271</v>
      </c>
      <c r="FM1648">
        <v>15</v>
      </c>
      <c r="FR1648" t="s">
        <v>295</v>
      </c>
      <c r="GU1648">
        <v>20</v>
      </c>
      <c r="GZ1648" t="s">
        <v>296</v>
      </c>
      <c r="HH1648" t="s">
        <v>272</v>
      </c>
      <c r="IE1648" t="s">
        <v>3318</v>
      </c>
      <c r="IF1648">
        <v>2151</v>
      </c>
      <c r="IG1648" t="s">
        <v>3319</v>
      </c>
      <c r="IH1648" t="s">
        <v>3320</v>
      </c>
      <c r="II1648">
        <v>1989</v>
      </c>
      <c r="IJ1648" t="s">
        <v>3321</v>
      </c>
    </row>
    <row r="1649" spans="1:244" x14ac:dyDescent="0.45">
      <c r="A1649">
        <v>2317098</v>
      </c>
      <c r="B1649">
        <v>2796461</v>
      </c>
      <c r="C1649">
        <v>7778509</v>
      </c>
      <c r="D1649" t="s">
        <v>3280</v>
      </c>
      <c r="E1649" t="s">
        <v>439</v>
      </c>
      <c r="F1649" t="s">
        <v>245</v>
      </c>
      <c r="G1649" t="s">
        <v>272</v>
      </c>
      <c r="N1649" t="s">
        <v>1492</v>
      </c>
      <c r="O1649" t="s">
        <v>1493</v>
      </c>
      <c r="P1649" t="s">
        <v>249</v>
      </c>
      <c r="Q1649" t="s">
        <v>250</v>
      </c>
      <c r="R1649" t="s">
        <v>251</v>
      </c>
      <c r="T1649" t="s">
        <v>252</v>
      </c>
      <c r="U1649" t="s">
        <v>253</v>
      </c>
      <c r="V1649" t="s">
        <v>281</v>
      </c>
      <c r="W1649" t="s">
        <v>282</v>
      </c>
      <c r="X1649" t="s">
        <v>1494</v>
      </c>
      <c r="Z1649" t="s">
        <v>1046</v>
      </c>
      <c r="AB1649">
        <v>1</v>
      </c>
      <c r="AG1649" t="s">
        <v>598</v>
      </c>
      <c r="AJ1649" t="s">
        <v>354</v>
      </c>
      <c r="AM1649" t="s">
        <v>287</v>
      </c>
      <c r="AN1649" t="s">
        <v>259</v>
      </c>
      <c r="AO1649" t="s">
        <v>260</v>
      </c>
      <c r="AQ1649" t="s">
        <v>261</v>
      </c>
      <c r="AS1649">
        <v>3440</v>
      </c>
      <c r="AX1649" t="s">
        <v>262</v>
      </c>
      <c r="BO1649" t="s">
        <v>261</v>
      </c>
      <c r="BQ1649">
        <v>3.44</v>
      </c>
      <c r="BV1649" t="s">
        <v>263</v>
      </c>
      <c r="CM1649" t="s">
        <v>264</v>
      </c>
      <c r="CN1649" t="s">
        <v>264</v>
      </c>
      <c r="CP1649" t="s">
        <v>265</v>
      </c>
      <c r="CQ1649" t="s">
        <v>538</v>
      </c>
      <c r="DB1649">
        <v>4</v>
      </c>
      <c r="DG1649" t="s">
        <v>267</v>
      </c>
      <c r="DI1649">
        <v>96</v>
      </c>
      <c r="DN1649" t="s">
        <v>268</v>
      </c>
      <c r="DP1649" t="s">
        <v>3371</v>
      </c>
      <c r="DR1649">
        <v>29965</v>
      </c>
      <c r="DS1649">
        <v>339</v>
      </c>
      <c r="DT1649" t="s">
        <v>1771</v>
      </c>
      <c r="DV1649">
        <v>96</v>
      </c>
      <c r="EA1649" t="s">
        <v>268</v>
      </c>
      <c r="EC1649">
        <v>4</v>
      </c>
      <c r="EH1649" t="s">
        <v>267</v>
      </c>
      <c r="EJ1649">
        <v>96</v>
      </c>
      <c r="EO1649" t="s">
        <v>268</v>
      </c>
      <c r="EQ1649">
        <v>4</v>
      </c>
      <c r="EV1649" t="s">
        <v>267</v>
      </c>
      <c r="EW1649" t="s">
        <v>293</v>
      </c>
      <c r="EZ1649">
        <v>20</v>
      </c>
      <c r="FM1649">
        <v>15</v>
      </c>
      <c r="FR1649" t="s">
        <v>295</v>
      </c>
      <c r="GJ1649">
        <v>6.5</v>
      </c>
      <c r="GL1649">
        <v>8</v>
      </c>
      <c r="GM1649" t="s">
        <v>356</v>
      </c>
      <c r="GO1649">
        <v>8.1</v>
      </c>
      <c r="GU1649">
        <v>33.79</v>
      </c>
      <c r="GZ1649" t="s">
        <v>296</v>
      </c>
      <c r="HH1649" t="s">
        <v>272</v>
      </c>
      <c r="ID1649" t="s">
        <v>1772</v>
      </c>
      <c r="IE1649" t="s">
        <v>1773</v>
      </c>
      <c r="IF1649">
        <v>15497</v>
      </c>
      <c r="IG1649" t="s">
        <v>1774</v>
      </c>
      <c r="IH1649" t="s">
        <v>1775</v>
      </c>
      <c r="II1649">
        <v>1981</v>
      </c>
      <c r="IJ1649" t="s">
        <v>1776</v>
      </c>
    </row>
    <row r="1650" spans="1:244" x14ac:dyDescent="0.45">
      <c r="A1650">
        <v>1212437</v>
      </c>
      <c r="B1650">
        <v>192567</v>
      </c>
      <c r="C1650">
        <v>7778509</v>
      </c>
      <c r="D1650" t="s">
        <v>3280</v>
      </c>
      <c r="F1650" t="s">
        <v>245</v>
      </c>
      <c r="G1650" t="s">
        <v>246</v>
      </c>
      <c r="N1650" t="s">
        <v>3303</v>
      </c>
      <c r="O1650" t="s">
        <v>388</v>
      </c>
      <c r="P1650" t="s">
        <v>249</v>
      </c>
      <c r="Q1650" t="s">
        <v>250</v>
      </c>
      <c r="R1650" t="s">
        <v>251</v>
      </c>
      <c r="T1650" t="s">
        <v>389</v>
      </c>
      <c r="U1650" t="s">
        <v>390</v>
      </c>
      <c r="V1650" t="s">
        <v>472</v>
      </c>
      <c r="W1650" t="s">
        <v>473</v>
      </c>
      <c r="X1650" t="s">
        <v>1446</v>
      </c>
      <c r="Z1650" t="s">
        <v>315</v>
      </c>
      <c r="AB1650">
        <v>15</v>
      </c>
      <c r="AG1650" t="s">
        <v>267</v>
      </c>
      <c r="AL1650" t="s">
        <v>3304</v>
      </c>
      <c r="AM1650" t="s">
        <v>287</v>
      </c>
      <c r="AN1650" t="s">
        <v>259</v>
      </c>
      <c r="AO1650" t="s">
        <v>260</v>
      </c>
      <c r="AQ1650" t="s">
        <v>261</v>
      </c>
      <c r="AT1650" t="s">
        <v>288</v>
      </c>
      <c r="AU1650">
        <v>20000</v>
      </c>
      <c r="AV1650" t="s">
        <v>289</v>
      </c>
      <c r="AW1650">
        <v>25000</v>
      </c>
      <c r="AX1650" t="s">
        <v>262</v>
      </c>
      <c r="BO1650" t="s">
        <v>261</v>
      </c>
      <c r="BR1650" t="s">
        <v>288</v>
      </c>
      <c r="BS1650">
        <v>20</v>
      </c>
      <c r="BT1650" t="s">
        <v>289</v>
      </c>
      <c r="BU1650">
        <v>25</v>
      </c>
      <c r="BV1650" t="s">
        <v>263</v>
      </c>
      <c r="CM1650" t="s">
        <v>264</v>
      </c>
      <c r="CN1650" t="s">
        <v>264</v>
      </c>
      <c r="CP1650" t="s">
        <v>265</v>
      </c>
      <c r="DB1650">
        <v>2</v>
      </c>
      <c r="DG1650" t="s">
        <v>267</v>
      </c>
      <c r="DI1650">
        <v>48</v>
      </c>
      <c r="DN1650" t="s">
        <v>268</v>
      </c>
      <c r="DS1650">
        <v>10240</v>
      </c>
      <c r="DT1650" t="s">
        <v>3305</v>
      </c>
      <c r="EW1650" t="s">
        <v>293</v>
      </c>
      <c r="FK1650" t="s">
        <v>1186</v>
      </c>
      <c r="FM1650">
        <v>13</v>
      </c>
      <c r="FR1650" t="s">
        <v>295</v>
      </c>
      <c r="HH1650" t="s">
        <v>272</v>
      </c>
      <c r="ID1650" t="s">
        <v>1187</v>
      </c>
      <c r="IE1650" t="s">
        <v>3306</v>
      </c>
      <c r="IF1650">
        <v>19811</v>
      </c>
      <c r="IG1650" t="s">
        <v>3307</v>
      </c>
      <c r="IH1650" t="s">
        <v>3308</v>
      </c>
      <c r="II1650">
        <v>1998</v>
      </c>
      <c r="IJ1650" t="s">
        <v>3309</v>
      </c>
    </row>
    <row r="1651" spans="1:244" x14ac:dyDescent="0.45">
      <c r="A1651">
        <v>1325204</v>
      </c>
      <c r="B1651">
        <v>784476</v>
      </c>
      <c r="C1651">
        <v>7778509</v>
      </c>
      <c r="D1651" t="s">
        <v>3280</v>
      </c>
      <c r="E1651" t="s">
        <v>622</v>
      </c>
      <c r="F1651" t="s">
        <v>245</v>
      </c>
      <c r="G1651" t="s">
        <v>246</v>
      </c>
      <c r="I1651">
        <v>99</v>
      </c>
      <c r="N1651" t="s">
        <v>1298</v>
      </c>
      <c r="O1651" t="s">
        <v>1299</v>
      </c>
      <c r="P1651" t="s">
        <v>249</v>
      </c>
      <c r="Q1651" t="s">
        <v>250</v>
      </c>
      <c r="R1651" t="s">
        <v>251</v>
      </c>
      <c r="T1651" t="s">
        <v>252</v>
      </c>
      <c r="U1651" t="s">
        <v>371</v>
      </c>
      <c r="V1651" t="s">
        <v>372</v>
      </c>
      <c r="W1651" t="s">
        <v>1300</v>
      </c>
      <c r="X1651" t="s">
        <v>1301</v>
      </c>
      <c r="Z1651" t="s">
        <v>649</v>
      </c>
      <c r="AD1651">
        <v>2</v>
      </c>
      <c r="AF1651">
        <v>3</v>
      </c>
      <c r="AG1651" t="s">
        <v>267</v>
      </c>
      <c r="AM1651" t="s">
        <v>317</v>
      </c>
      <c r="AN1651" t="s">
        <v>259</v>
      </c>
      <c r="AO1651" t="s">
        <v>260</v>
      </c>
      <c r="AP1651" t="s">
        <v>559</v>
      </c>
      <c r="AQ1651" t="s">
        <v>261</v>
      </c>
      <c r="AS1651">
        <v>2.11</v>
      </c>
      <c r="AX1651" t="s">
        <v>356</v>
      </c>
      <c r="BO1651" t="s">
        <v>261</v>
      </c>
      <c r="BQ1651">
        <v>2.11</v>
      </c>
      <c r="BV1651" t="s">
        <v>263</v>
      </c>
      <c r="CM1651" t="s">
        <v>264</v>
      </c>
      <c r="CN1651" t="s">
        <v>264</v>
      </c>
      <c r="CP1651" t="s">
        <v>265</v>
      </c>
      <c r="CQ1651" t="s">
        <v>3311</v>
      </c>
      <c r="DB1651">
        <v>4</v>
      </c>
      <c r="DG1651" t="s">
        <v>267</v>
      </c>
      <c r="DI1651">
        <v>96</v>
      </c>
      <c r="DN1651" t="s">
        <v>268</v>
      </c>
      <c r="DO1651" t="s">
        <v>1587</v>
      </c>
      <c r="DP1651" t="s">
        <v>3312</v>
      </c>
      <c r="DS1651">
        <v>20391</v>
      </c>
      <c r="DT1651" t="s">
        <v>1302</v>
      </c>
      <c r="EW1651" t="s">
        <v>293</v>
      </c>
      <c r="FA1651" t="s">
        <v>3352</v>
      </c>
      <c r="FK1651" t="s">
        <v>3372</v>
      </c>
      <c r="FM1651">
        <v>25</v>
      </c>
      <c r="FR1651" t="s">
        <v>295</v>
      </c>
      <c r="GG1651" t="s">
        <v>288</v>
      </c>
      <c r="GH1651">
        <v>80</v>
      </c>
      <c r="GM1651" t="s">
        <v>1224</v>
      </c>
      <c r="GQ1651">
        <v>7.5</v>
      </c>
      <c r="GS1651">
        <v>8.5</v>
      </c>
      <c r="GU1651">
        <v>25</v>
      </c>
      <c r="GZ1651" t="s">
        <v>900</v>
      </c>
      <c r="HH1651" t="s">
        <v>272</v>
      </c>
      <c r="ID1651" t="s">
        <v>3373</v>
      </c>
      <c r="IE1651" t="s">
        <v>1306</v>
      </c>
      <c r="IF1651">
        <v>117932</v>
      </c>
      <c r="IG1651" t="s">
        <v>1307</v>
      </c>
      <c r="IH1651" t="s">
        <v>1308</v>
      </c>
      <c r="II1651">
        <v>2008</v>
      </c>
      <c r="IJ1651" t="s">
        <v>1309</v>
      </c>
    </row>
    <row r="1652" spans="1:244" x14ac:dyDescent="0.45">
      <c r="A1652">
        <v>1174934</v>
      </c>
      <c r="B1652">
        <v>58780</v>
      </c>
      <c r="C1652">
        <v>7778509</v>
      </c>
      <c r="D1652" t="s">
        <v>3280</v>
      </c>
      <c r="F1652" t="s">
        <v>245</v>
      </c>
      <c r="G1652" t="s">
        <v>246</v>
      </c>
      <c r="N1652" t="s">
        <v>345</v>
      </c>
      <c r="O1652" t="s">
        <v>346</v>
      </c>
      <c r="P1652" t="s">
        <v>249</v>
      </c>
      <c r="Q1652" t="s">
        <v>250</v>
      </c>
      <c r="R1652" t="s">
        <v>251</v>
      </c>
      <c r="T1652" t="s">
        <v>347</v>
      </c>
      <c r="U1652" t="s">
        <v>348</v>
      </c>
      <c r="V1652" t="s">
        <v>349</v>
      </c>
      <c r="W1652" t="s">
        <v>350</v>
      </c>
      <c r="X1652" t="s">
        <v>351</v>
      </c>
      <c r="Z1652" t="s">
        <v>284</v>
      </c>
      <c r="AD1652">
        <v>2</v>
      </c>
      <c r="AF1652">
        <v>3</v>
      </c>
      <c r="AG1652" t="s">
        <v>1409</v>
      </c>
      <c r="AM1652" t="s">
        <v>317</v>
      </c>
      <c r="AN1652" t="s">
        <v>259</v>
      </c>
      <c r="AO1652" t="s">
        <v>260</v>
      </c>
      <c r="AQ1652" t="s">
        <v>261</v>
      </c>
      <c r="AS1652">
        <v>23000</v>
      </c>
      <c r="AU1652">
        <v>20100</v>
      </c>
      <c r="AW1652">
        <v>25600</v>
      </c>
      <c r="AX1652" t="s">
        <v>262</v>
      </c>
      <c r="BO1652" t="s">
        <v>261</v>
      </c>
      <c r="BQ1652">
        <v>23</v>
      </c>
      <c r="BS1652">
        <v>20.100000000000001</v>
      </c>
      <c r="BU1652">
        <v>25.6</v>
      </c>
      <c r="BV1652" t="s">
        <v>263</v>
      </c>
      <c r="CM1652" t="s">
        <v>264</v>
      </c>
      <c r="CN1652" t="s">
        <v>264</v>
      </c>
      <c r="CP1652" t="s">
        <v>265</v>
      </c>
      <c r="DB1652">
        <v>1</v>
      </c>
      <c r="DG1652" t="s">
        <v>267</v>
      </c>
      <c r="DI1652">
        <v>24</v>
      </c>
      <c r="DN1652" t="s">
        <v>268</v>
      </c>
      <c r="DR1652">
        <v>6660</v>
      </c>
      <c r="DS1652">
        <v>421</v>
      </c>
      <c r="EW1652" t="s">
        <v>271</v>
      </c>
      <c r="FK1652" t="s">
        <v>3374</v>
      </c>
      <c r="FM1652">
        <v>25</v>
      </c>
      <c r="FR1652" t="s">
        <v>295</v>
      </c>
      <c r="GO1652">
        <v>7.5</v>
      </c>
      <c r="GU1652">
        <v>35</v>
      </c>
      <c r="GZ1652" t="s">
        <v>296</v>
      </c>
      <c r="HH1652" t="s">
        <v>272</v>
      </c>
      <c r="ID1652" t="s">
        <v>3375</v>
      </c>
      <c r="IE1652" t="s">
        <v>3298</v>
      </c>
      <c r="IF1652">
        <v>15178</v>
      </c>
      <c r="IG1652" t="s">
        <v>3299</v>
      </c>
      <c r="IH1652" t="s">
        <v>3300</v>
      </c>
      <c r="II1652">
        <v>1980</v>
      </c>
      <c r="IJ1652" t="s">
        <v>3301</v>
      </c>
    </row>
    <row r="1653" spans="1:244" x14ac:dyDescent="0.45">
      <c r="A1653">
        <v>1184332</v>
      </c>
      <c r="B1653">
        <v>139844</v>
      </c>
      <c r="C1653">
        <v>7778509</v>
      </c>
      <c r="D1653" t="s">
        <v>3280</v>
      </c>
      <c r="E1653" t="s">
        <v>439</v>
      </c>
      <c r="F1653" t="s">
        <v>245</v>
      </c>
      <c r="G1653" t="s">
        <v>246</v>
      </c>
      <c r="N1653" t="s">
        <v>1914</v>
      </c>
      <c r="O1653" t="s">
        <v>248</v>
      </c>
      <c r="P1653" t="s">
        <v>249</v>
      </c>
      <c r="Q1653" t="s">
        <v>250</v>
      </c>
      <c r="R1653" t="s">
        <v>251</v>
      </c>
      <c r="T1653" t="s">
        <v>252</v>
      </c>
      <c r="U1653" t="s">
        <v>253</v>
      </c>
      <c r="V1653" t="s">
        <v>254</v>
      </c>
      <c r="W1653" t="s">
        <v>1915</v>
      </c>
      <c r="X1653" t="s">
        <v>1916</v>
      </c>
      <c r="Z1653" t="s">
        <v>284</v>
      </c>
      <c r="AB1653" t="s">
        <v>1742</v>
      </c>
      <c r="AG1653" t="s">
        <v>1409</v>
      </c>
      <c r="AM1653" t="s">
        <v>258</v>
      </c>
      <c r="AN1653" t="s">
        <v>259</v>
      </c>
      <c r="AO1653" t="s">
        <v>260</v>
      </c>
      <c r="AQ1653" t="s">
        <v>261</v>
      </c>
      <c r="AS1653">
        <v>2400</v>
      </c>
      <c r="AU1653">
        <v>1400</v>
      </c>
      <c r="AW1653">
        <v>3900</v>
      </c>
      <c r="AX1653" t="s">
        <v>262</v>
      </c>
      <c r="BO1653" t="s">
        <v>261</v>
      </c>
      <c r="BQ1653">
        <v>2.4</v>
      </c>
      <c r="BS1653">
        <v>1.4</v>
      </c>
      <c r="BU1653">
        <v>3.9</v>
      </c>
      <c r="BV1653" t="s">
        <v>263</v>
      </c>
      <c r="CM1653" t="s">
        <v>264</v>
      </c>
      <c r="CN1653" t="s">
        <v>264</v>
      </c>
      <c r="CP1653" t="s">
        <v>265</v>
      </c>
      <c r="CQ1653" t="s">
        <v>538</v>
      </c>
      <c r="DB1653">
        <v>2</v>
      </c>
      <c r="DG1653" t="s">
        <v>267</v>
      </c>
      <c r="DI1653">
        <v>48</v>
      </c>
      <c r="DN1653" t="s">
        <v>268</v>
      </c>
      <c r="DR1653">
        <v>80836</v>
      </c>
      <c r="DS1653">
        <v>2488</v>
      </c>
      <c r="DT1653" t="s">
        <v>2136</v>
      </c>
      <c r="EW1653" t="s">
        <v>293</v>
      </c>
      <c r="FM1653">
        <v>26</v>
      </c>
      <c r="FR1653" t="s">
        <v>295</v>
      </c>
      <c r="GG1653" t="s">
        <v>278</v>
      </c>
      <c r="GH1653">
        <v>85</v>
      </c>
      <c r="GM1653" t="s">
        <v>900</v>
      </c>
      <c r="GU1653">
        <v>33</v>
      </c>
      <c r="GZ1653" t="s">
        <v>296</v>
      </c>
      <c r="HH1653" t="s">
        <v>272</v>
      </c>
      <c r="IE1653" t="s">
        <v>2137</v>
      </c>
      <c r="IF1653">
        <v>16331</v>
      </c>
      <c r="IG1653" t="s">
        <v>2138</v>
      </c>
      <c r="IH1653" t="s">
        <v>2139</v>
      </c>
      <c r="II1653">
        <v>1994</v>
      </c>
      <c r="IJ1653" t="s">
        <v>2140</v>
      </c>
    </row>
    <row r="1654" spans="1:244" x14ac:dyDescent="0.45">
      <c r="A1654">
        <v>1035053</v>
      </c>
      <c r="B1654">
        <v>107200</v>
      </c>
      <c r="C1654">
        <v>7778509</v>
      </c>
      <c r="D1654" t="s">
        <v>3280</v>
      </c>
      <c r="F1654" t="s">
        <v>245</v>
      </c>
      <c r="G1654" t="s">
        <v>246</v>
      </c>
      <c r="N1654" t="s">
        <v>452</v>
      </c>
      <c r="O1654" t="s">
        <v>346</v>
      </c>
      <c r="P1654" t="s">
        <v>249</v>
      </c>
      <c r="Q1654" t="s">
        <v>250</v>
      </c>
      <c r="R1654" t="s">
        <v>251</v>
      </c>
      <c r="T1654" t="s">
        <v>347</v>
      </c>
      <c r="U1654" t="s">
        <v>348</v>
      </c>
      <c r="V1654" t="s">
        <v>349</v>
      </c>
      <c r="W1654" t="s">
        <v>350</v>
      </c>
      <c r="X1654" t="s">
        <v>453</v>
      </c>
      <c r="AD1654">
        <v>2</v>
      </c>
      <c r="AF1654">
        <v>3</v>
      </c>
      <c r="AG1654" t="s">
        <v>1409</v>
      </c>
      <c r="AL1654" t="s">
        <v>3316</v>
      </c>
      <c r="AM1654" t="s">
        <v>317</v>
      </c>
      <c r="AN1654" t="s">
        <v>259</v>
      </c>
      <c r="AO1654" t="s">
        <v>260</v>
      </c>
      <c r="AQ1654" t="s">
        <v>261</v>
      </c>
      <c r="AS1654">
        <v>168000</v>
      </c>
      <c r="AU1654">
        <v>150000</v>
      </c>
      <c r="AW1654">
        <v>188200</v>
      </c>
      <c r="AX1654" t="s">
        <v>262</v>
      </c>
      <c r="BO1654" t="s">
        <v>261</v>
      </c>
      <c r="BQ1654">
        <v>168</v>
      </c>
      <c r="BS1654">
        <v>150</v>
      </c>
      <c r="BU1654">
        <v>188.2</v>
      </c>
      <c r="BV1654" t="s">
        <v>263</v>
      </c>
      <c r="CM1654" t="s">
        <v>264</v>
      </c>
      <c r="CN1654" t="s">
        <v>264</v>
      </c>
      <c r="CP1654" t="s">
        <v>265</v>
      </c>
      <c r="CQ1654" t="s">
        <v>538</v>
      </c>
      <c r="DB1654">
        <v>1</v>
      </c>
      <c r="DG1654" t="s">
        <v>267</v>
      </c>
      <c r="DI1654">
        <v>24</v>
      </c>
      <c r="DN1654" t="s">
        <v>268</v>
      </c>
      <c r="DR1654">
        <v>85549</v>
      </c>
      <c r="DS1654">
        <v>366</v>
      </c>
      <c r="DT1654" t="s">
        <v>3317</v>
      </c>
      <c r="EW1654" t="s">
        <v>271</v>
      </c>
      <c r="FM1654">
        <v>10</v>
      </c>
      <c r="FR1654" t="s">
        <v>295</v>
      </c>
      <c r="GU1654">
        <v>20</v>
      </c>
      <c r="GZ1654" t="s">
        <v>296</v>
      </c>
      <c r="HH1654" t="s">
        <v>272</v>
      </c>
      <c r="IE1654" t="s">
        <v>3318</v>
      </c>
      <c r="IF1654">
        <v>2151</v>
      </c>
      <c r="IG1654" t="s">
        <v>3319</v>
      </c>
      <c r="IH1654" t="s">
        <v>3320</v>
      </c>
      <c r="II1654">
        <v>1989</v>
      </c>
      <c r="IJ1654" t="s">
        <v>3321</v>
      </c>
    </row>
    <row r="1655" spans="1:244" x14ac:dyDescent="0.45">
      <c r="A1655">
        <v>1122233</v>
      </c>
      <c r="B1655">
        <v>126261</v>
      </c>
      <c r="C1655">
        <v>7778509</v>
      </c>
      <c r="D1655" t="s">
        <v>3280</v>
      </c>
      <c r="F1655" t="s">
        <v>245</v>
      </c>
      <c r="G1655" t="s">
        <v>246</v>
      </c>
      <c r="N1655" t="s">
        <v>1705</v>
      </c>
      <c r="O1655" t="s">
        <v>1706</v>
      </c>
      <c r="P1655" t="s">
        <v>249</v>
      </c>
      <c r="Q1655" t="s">
        <v>250</v>
      </c>
      <c r="R1655" t="s">
        <v>251</v>
      </c>
      <c r="T1655" t="s">
        <v>347</v>
      </c>
      <c r="U1655" t="s">
        <v>1707</v>
      </c>
      <c r="V1655" t="s">
        <v>1708</v>
      </c>
      <c r="W1655" t="s">
        <v>1709</v>
      </c>
      <c r="X1655" t="s">
        <v>1710</v>
      </c>
      <c r="AM1655" t="s">
        <v>287</v>
      </c>
      <c r="AN1655" t="s">
        <v>259</v>
      </c>
      <c r="AO1655" t="s">
        <v>260</v>
      </c>
      <c r="AQ1655" t="s">
        <v>261</v>
      </c>
      <c r="AS1655">
        <v>4240</v>
      </c>
      <c r="AU1655">
        <v>3080</v>
      </c>
      <c r="AW1655">
        <v>5840</v>
      </c>
      <c r="AX1655" t="s">
        <v>262</v>
      </c>
      <c r="BO1655" t="s">
        <v>261</v>
      </c>
      <c r="BQ1655">
        <v>4.24</v>
      </c>
      <c r="BS1655">
        <v>3.08</v>
      </c>
      <c r="BU1655">
        <v>5.84</v>
      </c>
      <c r="BV1655" t="s">
        <v>263</v>
      </c>
      <c r="CM1655" t="s">
        <v>264</v>
      </c>
      <c r="CN1655" t="s">
        <v>264</v>
      </c>
      <c r="CP1655" t="s">
        <v>265</v>
      </c>
      <c r="CQ1655" t="s">
        <v>538</v>
      </c>
      <c r="DB1655">
        <v>2</v>
      </c>
      <c r="DG1655" t="s">
        <v>267</v>
      </c>
      <c r="DI1655">
        <v>48</v>
      </c>
      <c r="DN1655" t="s">
        <v>268</v>
      </c>
      <c r="DR1655">
        <v>700594</v>
      </c>
      <c r="DS1655">
        <v>4630</v>
      </c>
      <c r="EW1655" t="s">
        <v>271</v>
      </c>
      <c r="FM1655">
        <v>25</v>
      </c>
      <c r="FR1655" t="s">
        <v>295</v>
      </c>
      <c r="GO1655">
        <v>7.85</v>
      </c>
      <c r="GU1655">
        <v>31.7</v>
      </c>
      <c r="GZ1655" t="s">
        <v>296</v>
      </c>
      <c r="HH1655" t="s">
        <v>272</v>
      </c>
      <c r="IE1655" t="s">
        <v>1711</v>
      </c>
      <c r="IF1655">
        <v>9624</v>
      </c>
      <c r="IG1655" t="s">
        <v>1712</v>
      </c>
      <c r="IH1655" t="s">
        <v>1713</v>
      </c>
      <c r="II1655">
        <v>1991</v>
      </c>
      <c r="IJ1655" t="s">
        <v>1714</v>
      </c>
    </row>
    <row r="1656" spans="1:244" x14ac:dyDescent="0.45">
      <c r="A1656">
        <v>1212444</v>
      </c>
      <c r="B1656">
        <v>192574</v>
      </c>
      <c r="C1656">
        <v>7778509</v>
      </c>
      <c r="D1656" t="s">
        <v>3280</v>
      </c>
      <c r="F1656" t="s">
        <v>245</v>
      </c>
      <c r="G1656" t="s">
        <v>246</v>
      </c>
      <c r="N1656" t="s">
        <v>3303</v>
      </c>
      <c r="O1656" t="s">
        <v>388</v>
      </c>
      <c r="P1656" t="s">
        <v>249</v>
      </c>
      <c r="Q1656" t="s">
        <v>250</v>
      </c>
      <c r="R1656" t="s">
        <v>251</v>
      </c>
      <c r="T1656" t="s">
        <v>389</v>
      </c>
      <c r="U1656" t="s">
        <v>390</v>
      </c>
      <c r="V1656" t="s">
        <v>472</v>
      </c>
      <c r="W1656" t="s">
        <v>473</v>
      </c>
      <c r="X1656" t="s">
        <v>1446</v>
      </c>
      <c r="Z1656" t="s">
        <v>315</v>
      </c>
      <c r="AB1656">
        <v>15</v>
      </c>
      <c r="AG1656" t="s">
        <v>267</v>
      </c>
      <c r="AL1656" t="s">
        <v>3304</v>
      </c>
      <c r="AM1656" t="s">
        <v>287</v>
      </c>
      <c r="AN1656" t="s">
        <v>259</v>
      </c>
      <c r="AO1656" t="s">
        <v>260</v>
      </c>
      <c r="AQ1656" t="s">
        <v>261</v>
      </c>
      <c r="AT1656" t="s">
        <v>288</v>
      </c>
      <c r="AU1656">
        <v>15000</v>
      </c>
      <c r="AV1656" t="s">
        <v>289</v>
      </c>
      <c r="AW1656">
        <v>20000</v>
      </c>
      <c r="AX1656" t="s">
        <v>262</v>
      </c>
      <c r="BO1656" t="s">
        <v>261</v>
      </c>
      <c r="BR1656" t="s">
        <v>288</v>
      </c>
      <c r="BS1656">
        <v>15</v>
      </c>
      <c r="BT1656" t="s">
        <v>289</v>
      </c>
      <c r="BU1656">
        <v>20</v>
      </c>
      <c r="BV1656" t="s">
        <v>263</v>
      </c>
      <c r="CM1656" t="s">
        <v>264</v>
      </c>
      <c r="CN1656" t="s">
        <v>264</v>
      </c>
      <c r="CP1656" t="s">
        <v>265</v>
      </c>
      <c r="DB1656">
        <v>2</v>
      </c>
      <c r="DG1656" t="s">
        <v>267</v>
      </c>
      <c r="DI1656">
        <v>48</v>
      </c>
      <c r="DN1656" t="s">
        <v>268</v>
      </c>
      <c r="DS1656">
        <v>10240</v>
      </c>
      <c r="DT1656" t="s">
        <v>3305</v>
      </c>
      <c r="EW1656" t="s">
        <v>293</v>
      </c>
      <c r="FK1656" t="s">
        <v>1186</v>
      </c>
      <c r="FM1656">
        <v>16.5</v>
      </c>
      <c r="FR1656" t="s">
        <v>295</v>
      </c>
      <c r="HH1656" t="s">
        <v>272</v>
      </c>
      <c r="ID1656" t="s">
        <v>1187</v>
      </c>
      <c r="IE1656" t="s">
        <v>3306</v>
      </c>
      <c r="IF1656">
        <v>19811</v>
      </c>
      <c r="IG1656" t="s">
        <v>3307</v>
      </c>
      <c r="IH1656" t="s">
        <v>3308</v>
      </c>
      <c r="II1656">
        <v>1998</v>
      </c>
      <c r="IJ1656" t="s">
        <v>3309</v>
      </c>
    </row>
    <row r="1657" spans="1:244" x14ac:dyDescent="0.45">
      <c r="A1657">
        <v>1325190</v>
      </c>
      <c r="B1657">
        <v>784462</v>
      </c>
      <c r="C1657">
        <v>7778509</v>
      </c>
      <c r="D1657" t="s">
        <v>3280</v>
      </c>
      <c r="E1657" t="s">
        <v>622</v>
      </c>
      <c r="F1657" t="s">
        <v>245</v>
      </c>
      <c r="G1657" t="s">
        <v>246</v>
      </c>
      <c r="I1657">
        <v>99</v>
      </c>
      <c r="N1657" t="s">
        <v>1298</v>
      </c>
      <c r="O1657" t="s">
        <v>1299</v>
      </c>
      <c r="P1657" t="s">
        <v>249</v>
      </c>
      <c r="Q1657" t="s">
        <v>250</v>
      </c>
      <c r="R1657" t="s">
        <v>251</v>
      </c>
      <c r="T1657" t="s">
        <v>252</v>
      </c>
      <c r="U1657" t="s">
        <v>371</v>
      </c>
      <c r="V1657" t="s">
        <v>372</v>
      </c>
      <c r="W1657" t="s">
        <v>1300</v>
      </c>
      <c r="X1657" t="s">
        <v>1301</v>
      </c>
      <c r="Z1657" t="s">
        <v>649</v>
      </c>
      <c r="AD1657">
        <v>2</v>
      </c>
      <c r="AF1657">
        <v>3</v>
      </c>
      <c r="AG1657" t="s">
        <v>267</v>
      </c>
      <c r="AM1657" t="s">
        <v>317</v>
      </c>
      <c r="AN1657" t="s">
        <v>259</v>
      </c>
      <c r="AO1657" t="s">
        <v>260</v>
      </c>
      <c r="AP1657" t="s">
        <v>559</v>
      </c>
      <c r="AQ1657" t="s">
        <v>261</v>
      </c>
      <c r="AS1657">
        <v>3.53</v>
      </c>
      <c r="AX1657" t="s">
        <v>356</v>
      </c>
      <c r="BO1657" t="s">
        <v>261</v>
      </c>
      <c r="BQ1657">
        <v>3.53</v>
      </c>
      <c r="BV1657" t="s">
        <v>263</v>
      </c>
      <c r="CM1657" t="s">
        <v>264</v>
      </c>
      <c r="CN1657" t="s">
        <v>264</v>
      </c>
      <c r="CP1657" t="s">
        <v>265</v>
      </c>
      <c r="CQ1657" t="s">
        <v>3311</v>
      </c>
      <c r="DB1657">
        <v>2</v>
      </c>
      <c r="DG1657" t="s">
        <v>267</v>
      </c>
      <c r="DI1657">
        <v>48</v>
      </c>
      <c r="DN1657" t="s">
        <v>268</v>
      </c>
      <c r="DO1657" t="s">
        <v>1587</v>
      </c>
      <c r="DP1657" t="s">
        <v>3312</v>
      </c>
      <c r="DS1657">
        <v>20391</v>
      </c>
      <c r="DT1657" t="s">
        <v>1302</v>
      </c>
      <c r="EW1657" t="s">
        <v>293</v>
      </c>
      <c r="FA1657" t="s">
        <v>3347</v>
      </c>
      <c r="FK1657" t="s">
        <v>3376</v>
      </c>
      <c r="FM1657">
        <v>25</v>
      </c>
      <c r="FR1657" t="s">
        <v>295</v>
      </c>
      <c r="GG1657" t="s">
        <v>288</v>
      </c>
      <c r="GH1657">
        <v>80</v>
      </c>
      <c r="GM1657" t="s">
        <v>1224</v>
      </c>
      <c r="GQ1657">
        <v>7.5</v>
      </c>
      <c r="GS1657">
        <v>8.5</v>
      </c>
      <c r="GU1657">
        <v>25</v>
      </c>
      <c r="GZ1657" t="s">
        <v>900</v>
      </c>
      <c r="HH1657" t="s">
        <v>272</v>
      </c>
      <c r="ID1657" t="s">
        <v>3377</v>
      </c>
      <c r="IE1657" t="s">
        <v>1306</v>
      </c>
      <c r="IF1657">
        <v>117932</v>
      </c>
      <c r="IG1657" t="s">
        <v>1307</v>
      </c>
      <c r="IH1657" t="s">
        <v>1308</v>
      </c>
      <c r="II1657">
        <v>2008</v>
      </c>
      <c r="IJ1657" t="s">
        <v>1309</v>
      </c>
    </row>
    <row r="1658" spans="1:244" x14ac:dyDescent="0.45">
      <c r="A1658">
        <v>1078364</v>
      </c>
      <c r="B1658">
        <v>105386</v>
      </c>
      <c r="C1658">
        <v>7778509</v>
      </c>
      <c r="D1658" t="s">
        <v>3280</v>
      </c>
      <c r="F1658" t="s">
        <v>245</v>
      </c>
      <c r="G1658" t="s">
        <v>246</v>
      </c>
      <c r="N1658" t="s">
        <v>3239</v>
      </c>
      <c r="O1658" t="s">
        <v>1299</v>
      </c>
      <c r="P1658" t="s">
        <v>249</v>
      </c>
      <c r="Q1658" t="s">
        <v>250</v>
      </c>
      <c r="R1658" t="s">
        <v>251</v>
      </c>
      <c r="T1658" t="s">
        <v>252</v>
      </c>
      <c r="U1658" t="s">
        <v>371</v>
      </c>
      <c r="V1658" t="s">
        <v>372</v>
      </c>
      <c r="W1658" t="s">
        <v>3240</v>
      </c>
      <c r="X1658" t="s">
        <v>3241</v>
      </c>
      <c r="AM1658" t="s">
        <v>258</v>
      </c>
      <c r="AN1658" t="s">
        <v>259</v>
      </c>
      <c r="AO1658" t="s">
        <v>260</v>
      </c>
      <c r="AQ1658" t="s">
        <v>261</v>
      </c>
      <c r="AS1658">
        <v>17000</v>
      </c>
      <c r="AX1658" t="s">
        <v>262</v>
      </c>
      <c r="BO1658" t="s">
        <v>261</v>
      </c>
      <c r="BQ1658">
        <v>17</v>
      </c>
      <c r="BV1658" t="s">
        <v>263</v>
      </c>
      <c r="CM1658" t="s">
        <v>264</v>
      </c>
      <c r="CN1658" t="s">
        <v>264</v>
      </c>
      <c r="CP1658" t="s">
        <v>265</v>
      </c>
      <c r="CQ1658" t="s">
        <v>538</v>
      </c>
      <c r="DB1658">
        <v>2</v>
      </c>
      <c r="DG1658" t="s">
        <v>267</v>
      </c>
      <c r="DI1658">
        <v>48</v>
      </c>
      <c r="DN1658" t="s">
        <v>268</v>
      </c>
      <c r="DP1658" t="s">
        <v>2185</v>
      </c>
      <c r="DR1658">
        <v>236572</v>
      </c>
      <c r="DS1658">
        <v>1940</v>
      </c>
      <c r="DT1658" t="s">
        <v>3288</v>
      </c>
      <c r="EW1658" t="s">
        <v>271</v>
      </c>
      <c r="FK1658" t="s">
        <v>3293</v>
      </c>
      <c r="FM1658">
        <v>15</v>
      </c>
      <c r="FR1658" t="s">
        <v>295</v>
      </c>
      <c r="GU1658">
        <v>13.5</v>
      </c>
      <c r="GZ1658" t="s">
        <v>296</v>
      </c>
      <c r="HH1658" t="s">
        <v>272</v>
      </c>
      <c r="ID1658" t="s">
        <v>3294</v>
      </c>
      <c r="IE1658" t="s">
        <v>3289</v>
      </c>
      <c r="IF1658">
        <v>6039</v>
      </c>
      <c r="IG1658" t="s">
        <v>3290</v>
      </c>
      <c r="IH1658" t="s">
        <v>3291</v>
      </c>
      <c r="II1658">
        <v>1987</v>
      </c>
      <c r="IJ1658" t="s">
        <v>3292</v>
      </c>
    </row>
    <row r="1659" spans="1:244" x14ac:dyDescent="0.45">
      <c r="A1659">
        <v>1078350</v>
      </c>
      <c r="B1659">
        <v>105362</v>
      </c>
      <c r="C1659">
        <v>7778509</v>
      </c>
      <c r="D1659" t="s">
        <v>3280</v>
      </c>
      <c r="F1659" t="s">
        <v>245</v>
      </c>
      <c r="G1659" t="s">
        <v>246</v>
      </c>
      <c r="N1659" t="s">
        <v>3239</v>
      </c>
      <c r="O1659" t="s">
        <v>1299</v>
      </c>
      <c r="P1659" t="s">
        <v>249</v>
      </c>
      <c r="Q1659" t="s">
        <v>250</v>
      </c>
      <c r="R1659" t="s">
        <v>251</v>
      </c>
      <c r="T1659" t="s">
        <v>252</v>
      </c>
      <c r="U1659" t="s">
        <v>371</v>
      </c>
      <c r="V1659" t="s">
        <v>372</v>
      </c>
      <c r="W1659" t="s">
        <v>3240</v>
      </c>
      <c r="X1659" t="s">
        <v>3241</v>
      </c>
      <c r="AM1659" t="s">
        <v>258</v>
      </c>
      <c r="AN1659" t="s">
        <v>259</v>
      </c>
      <c r="AO1659" t="s">
        <v>260</v>
      </c>
      <c r="AQ1659" t="s">
        <v>261</v>
      </c>
      <c r="AS1659">
        <v>4000</v>
      </c>
      <c r="AX1659" t="s">
        <v>262</v>
      </c>
      <c r="BO1659" t="s">
        <v>261</v>
      </c>
      <c r="BQ1659">
        <v>4</v>
      </c>
      <c r="BV1659" t="s">
        <v>263</v>
      </c>
      <c r="CM1659" t="s">
        <v>264</v>
      </c>
      <c r="CN1659" t="s">
        <v>264</v>
      </c>
      <c r="CP1659" t="s">
        <v>265</v>
      </c>
      <c r="CQ1659" t="s">
        <v>538</v>
      </c>
      <c r="DB1659">
        <v>4</v>
      </c>
      <c r="DG1659" t="s">
        <v>267</v>
      </c>
      <c r="DI1659">
        <v>96</v>
      </c>
      <c r="DN1659" t="s">
        <v>268</v>
      </c>
      <c r="DP1659" t="s">
        <v>2185</v>
      </c>
      <c r="DR1659">
        <v>236572</v>
      </c>
      <c r="DS1659">
        <v>1940</v>
      </c>
      <c r="DT1659" t="s">
        <v>3288</v>
      </c>
      <c r="EW1659" t="s">
        <v>271</v>
      </c>
      <c r="FK1659" t="s">
        <v>3293</v>
      </c>
      <c r="FM1659">
        <v>5</v>
      </c>
      <c r="FR1659" t="s">
        <v>295</v>
      </c>
      <c r="GU1659">
        <v>4.5</v>
      </c>
      <c r="GZ1659" t="s">
        <v>296</v>
      </c>
      <c r="HH1659" t="s">
        <v>272</v>
      </c>
      <c r="ID1659" t="s">
        <v>3294</v>
      </c>
      <c r="IE1659" t="s">
        <v>3289</v>
      </c>
      <c r="IF1659">
        <v>6039</v>
      </c>
      <c r="IG1659" t="s">
        <v>3290</v>
      </c>
      <c r="IH1659" t="s">
        <v>3291</v>
      </c>
      <c r="II1659">
        <v>1987</v>
      </c>
      <c r="IJ1659" t="s">
        <v>3292</v>
      </c>
    </row>
    <row r="1660" spans="1:244" x14ac:dyDescent="0.45">
      <c r="A1660">
        <v>1325197</v>
      </c>
      <c r="B1660">
        <v>784469</v>
      </c>
      <c r="C1660">
        <v>7778509</v>
      </c>
      <c r="D1660" t="s">
        <v>3280</v>
      </c>
      <c r="E1660" t="s">
        <v>622</v>
      </c>
      <c r="F1660" t="s">
        <v>245</v>
      </c>
      <c r="G1660" t="s">
        <v>246</v>
      </c>
      <c r="I1660">
        <v>99</v>
      </c>
      <c r="N1660" t="s">
        <v>1298</v>
      </c>
      <c r="O1660" t="s">
        <v>1299</v>
      </c>
      <c r="P1660" t="s">
        <v>249</v>
      </c>
      <c r="Q1660" t="s">
        <v>250</v>
      </c>
      <c r="R1660" t="s">
        <v>251</v>
      </c>
      <c r="T1660" t="s">
        <v>252</v>
      </c>
      <c r="U1660" t="s">
        <v>371</v>
      </c>
      <c r="V1660" t="s">
        <v>372</v>
      </c>
      <c r="W1660" t="s">
        <v>1300</v>
      </c>
      <c r="X1660" t="s">
        <v>1301</v>
      </c>
      <c r="Z1660" t="s">
        <v>649</v>
      </c>
      <c r="AD1660">
        <v>2</v>
      </c>
      <c r="AF1660">
        <v>3</v>
      </c>
      <c r="AG1660" t="s">
        <v>267</v>
      </c>
      <c r="AM1660" t="s">
        <v>317</v>
      </c>
      <c r="AN1660" t="s">
        <v>259</v>
      </c>
      <c r="AO1660" t="s">
        <v>260</v>
      </c>
      <c r="AP1660" t="s">
        <v>559</v>
      </c>
      <c r="AQ1660" t="s">
        <v>261</v>
      </c>
      <c r="AS1660">
        <v>2.08</v>
      </c>
      <c r="AX1660" t="s">
        <v>356</v>
      </c>
      <c r="BO1660" t="s">
        <v>261</v>
      </c>
      <c r="BQ1660">
        <v>2.08</v>
      </c>
      <c r="BV1660" t="s">
        <v>263</v>
      </c>
      <c r="CM1660" t="s">
        <v>264</v>
      </c>
      <c r="CN1660" t="s">
        <v>264</v>
      </c>
      <c r="CP1660" t="s">
        <v>265</v>
      </c>
      <c r="CQ1660" t="s">
        <v>3311</v>
      </c>
      <c r="DB1660">
        <v>4</v>
      </c>
      <c r="DG1660" t="s">
        <v>267</v>
      </c>
      <c r="DI1660">
        <v>96</v>
      </c>
      <c r="DN1660" t="s">
        <v>268</v>
      </c>
      <c r="DO1660" t="s">
        <v>1587</v>
      </c>
      <c r="DP1660" t="s">
        <v>3312</v>
      </c>
      <c r="DS1660">
        <v>20391</v>
      </c>
      <c r="DT1660" t="s">
        <v>1302</v>
      </c>
      <c r="EW1660" t="s">
        <v>293</v>
      </c>
      <c r="FA1660" t="s">
        <v>3342</v>
      </c>
      <c r="FK1660" t="s">
        <v>3378</v>
      </c>
      <c r="FM1660">
        <v>25</v>
      </c>
      <c r="FR1660" t="s">
        <v>295</v>
      </c>
      <c r="GG1660" t="s">
        <v>288</v>
      </c>
      <c r="GH1660">
        <v>80</v>
      </c>
      <c r="GM1660" t="s">
        <v>1224</v>
      </c>
      <c r="GQ1660">
        <v>7.5</v>
      </c>
      <c r="GS1660">
        <v>8.5</v>
      </c>
      <c r="GU1660">
        <v>25</v>
      </c>
      <c r="GZ1660" t="s">
        <v>900</v>
      </c>
      <c r="HH1660" t="s">
        <v>272</v>
      </c>
      <c r="ID1660" t="s">
        <v>3379</v>
      </c>
      <c r="IE1660" t="s">
        <v>1306</v>
      </c>
      <c r="IF1660">
        <v>117932</v>
      </c>
      <c r="IG1660" t="s">
        <v>1307</v>
      </c>
      <c r="IH1660" t="s">
        <v>1308</v>
      </c>
      <c r="II1660">
        <v>2008</v>
      </c>
      <c r="IJ1660" t="s">
        <v>1309</v>
      </c>
    </row>
    <row r="1661" spans="1:244" x14ac:dyDescent="0.45">
      <c r="A1661">
        <v>1122232</v>
      </c>
      <c r="B1661">
        <v>126260</v>
      </c>
      <c r="C1661">
        <v>7778509</v>
      </c>
      <c r="D1661" t="s">
        <v>3280</v>
      </c>
      <c r="F1661" t="s">
        <v>245</v>
      </c>
      <c r="G1661" t="s">
        <v>246</v>
      </c>
      <c r="N1661" t="s">
        <v>1705</v>
      </c>
      <c r="O1661" t="s">
        <v>1706</v>
      </c>
      <c r="P1661" t="s">
        <v>249</v>
      </c>
      <c r="Q1661" t="s">
        <v>250</v>
      </c>
      <c r="R1661" t="s">
        <v>251</v>
      </c>
      <c r="T1661" t="s">
        <v>347</v>
      </c>
      <c r="U1661" t="s">
        <v>1707</v>
      </c>
      <c r="V1661" t="s">
        <v>1708</v>
      </c>
      <c r="W1661" t="s">
        <v>1709</v>
      </c>
      <c r="X1661" t="s">
        <v>1710</v>
      </c>
      <c r="AM1661" t="s">
        <v>287</v>
      </c>
      <c r="AN1661" t="s">
        <v>259</v>
      </c>
      <c r="AO1661" t="s">
        <v>260</v>
      </c>
      <c r="AQ1661" t="s">
        <v>261</v>
      </c>
      <c r="AS1661">
        <v>6620</v>
      </c>
      <c r="AU1661">
        <v>5170</v>
      </c>
      <c r="AW1661">
        <v>8470</v>
      </c>
      <c r="AX1661" t="s">
        <v>262</v>
      </c>
      <c r="BO1661" t="s">
        <v>261</v>
      </c>
      <c r="BQ1661">
        <v>6.62</v>
      </c>
      <c r="BS1661">
        <v>5.17</v>
      </c>
      <c r="BU1661">
        <v>8.4700000000000006</v>
      </c>
      <c r="BV1661" t="s">
        <v>263</v>
      </c>
      <c r="CM1661" t="s">
        <v>264</v>
      </c>
      <c r="CN1661" t="s">
        <v>264</v>
      </c>
      <c r="CP1661" t="s">
        <v>265</v>
      </c>
      <c r="CQ1661" t="s">
        <v>538</v>
      </c>
      <c r="DB1661">
        <v>1</v>
      </c>
      <c r="DG1661" t="s">
        <v>267</v>
      </c>
      <c r="DI1661">
        <v>24</v>
      </c>
      <c r="DN1661" t="s">
        <v>268</v>
      </c>
      <c r="DR1661">
        <v>700594</v>
      </c>
      <c r="DS1661">
        <v>4630</v>
      </c>
      <c r="EW1661" t="s">
        <v>271</v>
      </c>
      <c r="FM1661">
        <v>25</v>
      </c>
      <c r="FR1661" t="s">
        <v>295</v>
      </c>
      <c r="GO1661">
        <v>7.85</v>
      </c>
      <c r="GU1661">
        <v>31.7</v>
      </c>
      <c r="GZ1661" t="s">
        <v>296</v>
      </c>
      <c r="HH1661" t="s">
        <v>272</v>
      </c>
      <c r="IE1661" t="s">
        <v>1711</v>
      </c>
      <c r="IF1661">
        <v>9624</v>
      </c>
      <c r="IG1661" t="s">
        <v>1712</v>
      </c>
      <c r="IH1661" t="s">
        <v>1713</v>
      </c>
      <c r="II1661">
        <v>1991</v>
      </c>
      <c r="IJ1661" t="s">
        <v>1714</v>
      </c>
    </row>
    <row r="1662" spans="1:244" x14ac:dyDescent="0.45">
      <c r="A1662">
        <v>1078355</v>
      </c>
      <c r="B1662">
        <v>105376</v>
      </c>
      <c r="C1662">
        <v>7778509</v>
      </c>
      <c r="D1662" t="s">
        <v>3280</v>
      </c>
      <c r="F1662" t="s">
        <v>245</v>
      </c>
      <c r="G1662" t="s">
        <v>246</v>
      </c>
      <c r="N1662" t="s">
        <v>3239</v>
      </c>
      <c r="O1662" t="s">
        <v>1299</v>
      </c>
      <c r="P1662" t="s">
        <v>249</v>
      </c>
      <c r="Q1662" t="s">
        <v>250</v>
      </c>
      <c r="R1662" t="s">
        <v>251</v>
      </c>
      <c r="T1662" t="s">
        <v>252</v>
      </c>
      <c r="U1662" t="s">
        <v>371</v>
      </c>
      <c r="V1662" t="s">
        <v>372</v>
      </c>
      <c r="W1662" t="s">
        <v>3240</v>
      </c>
      <c r="X1662" t="s">
        <v>3241</v>
      </c>
      <c r="AM1662" t="s">
        <v>258</v>
      </c>
      <c r="AN1662" t="s">
        <v>259</v>
      </c>
      <c r="AO1662" t="s">
        <v>260</v>
      </c>
      <c r="AQ1662" t="s">
        <v>261</v>
      </c>
      <c r="AS1662">
        <v>13000</v>
      </c>
      <c r="AX1662" t="s">
        <v>262</v>
      </c>
      <c r="BO1662" t="s">
        <v>261</v>
      </c>
      <c r="BQ1662">
        <v>13</v>
      </c>
      <c r="BV1662" t="s">
        <v>263</v>
      </c>
      <c r="CM1662" t="s">
        <v>264</v>
      </c>
      <c r="CN1662" t="s">
        <v>264</v>
      </c>
      <c r="CP1662" t="s">
        <v>265</v>
      </c>
      <c r="CQ1662" t="s">
        <v>538</v>
      </c>
      <c r="DB1662">
        <v>2</v>
      </c>
      <c r="DG1662" t="s">
        <v>267</v>
      </c>
      <c r="DI1662">
        <v>48</v>
      </c>
      <c r="DN1662" t="s">
        <v>268</v>
      </c>
      <c r="DP1662" t="s">
        <v>2185</v>
      </c>
      <c r="DR1662">
        <v>236572</v>
      </c>
      <c r="DS1662">
        <v>1940</v>
      </c>
      <c r="DT1662" t="s">
        <v>3288</v>
      </c>
      <c r="EW1662" t="s">
        <v>271</v>
      </c>
      <c r="FM1662">
        <v>5</v>
      </c>
      <c r="FR1662" t="s">
        <v>295</v>
      </c>
      <c r="GU1662">
        <v>9</v>
      </c>
      <c r="GZ1662" t="s">
        <v>296</v>
      </c>
      <c r="HH1662" t="s">
        <v>272</v>
      </c>
      <c r="IE1662" t="s">
        <v>3289</v>
      </c>
      <c r="IF1662">
        <v>6039</v>
      </c>
      <c r="IG1662" t="s">
        <v>3290</v>
      </c>
      <c r="IH1662" t="s">
        <v>3291</v>
      </c>
      <c r="II1662">
        <v>1987</v>
      </c>
      <c r="IJ1662" t="s">
        <v>3292</v>
      </c>
    </row>
    <row r="1663" spans="1:244" x14ac:dyDescent="0.45">
      <c r="A1663">
        <v>1325187</v>
      </c>
      <c r="B1663">
        <v>784459</v>
      </c>
      <c r="C1663">
        <v>7778509</v>
      </c>
      <c r="D1663" t="s">
        <v>3280</v>
      </c>
      <c r="E1663" t="s">
        <v>622</v>
      </c>
      <c r="F1663" t="s">
        <v>245</v>
      </c>
      <c r="G1663" t="s">
        <v>246</v>
      </c>
      <c r="I1663">
        <v>99</v>
      </c>
      <c r="N1663" t="s">
        <v>1298</v>
      </c>
      <c r="O1663" t="s">
        <v>1299</v>
      </c>
      <c r="P1663" t="s">
        <v>249</v>
      </c>
      <c r="Q1663" t="s">
        <v>250</v>
      </c>
      <c r="R1663" t="s">
        <v>251</v>
      </c>
      <c r="T1663" t="s">
        <v>252</v>
      </c>
      <c r="U1663" t="s">
        <v>371</v>
      </c>
      <c r="V1663" t="s">
        <v>372</v>
      </c>
      <c r="W1663" t="s">
        <v>1300</v>
      </c>
      <c r="X1663" t="s">
        <v>1301</v>
      </c>
      <c r="Z1663" t="s">
        <v>649</v>
      </c>
      <c r="AD1663">
        <v>2</v>
      </c>
      <c r="AF1663">
        <v>3</v>
      </c>
      <c r="AG1663" t="s">
        <v>267</v>
      </c>
      <c r="AM1663" t="s">
        <v>317</v>
      </c>
      <c r="AN1663" t="s">
        <v>259</v>
      </c>
      <c r="AO1663" t="s">
        <v>260</v>
      </c>
      <c r="AP1663" t="s">
        <v>559</v>
      </c>
      <c r="AQ1663" t="s">
        <v>261</v>
      </c>
      <c r="AS1663">
        <v>4.05</v>
      </c>
      <c r="AX1663" t="s">
        <v>356</v>
      </c>
      <c r="BO1663" t="s">
        <v>261</v>
      </c>
      <c r="BQ1663">
        <v>4.05</v>
      </c>
      <c r="BV1663" t="s">
        <v>263</v>
      </c>
      <c r="CM1663" t="s">
        <v>264</v>
      </c>
      <c r="CN1663" t="s">
        <v>264</v>
      </c>
      <c r="CP1663" t="s">
        <v>265</v>
      </c>
      <c r="CQ1663" t="s">
        <v>3311</v>
      </c>
      <c r="DB1663">
        <v>2</v>
      </c>
      <c r="DG1663" t="s">
        <v>267</v>
      </c>
      <c r="DI1663">
        <v>48</v>
      </c>
      <c r="DN1663" t="s">
        <v>268</v>
      </c>
      <c r="DO1663" t="s">
        <v>1587</v>
      </c>
      <c r="DP1663" t="s">
        <v>3312</v>
      </c>
      <c r="DS1663">
        <v>20391</v>
      </c>
      <c r="DT1663" t="s">
        <v>1302</v>
      </c>
      <c r="EW1663" t="s">
        <v>293</v>
      </c>
      <c r="FA1663" t="s">
        <v>3380</v>
      </c>
      <c r="FK1663" t="s">
        <v>3381</v>
      </c>
      <c r="FM1663">
        <v>25</v>
      </c>
      <c r="FR1663" t="s">
        <v>295</v>
      </c>
      <c r="GG1663" t="s">
        <v>288</v>
      </c>
      <c r="GH1663">
        <v>80</v>
      </c>
      <c r="GM1663" t="s">
        <v>1224</v>
      </c>
      <c r="GQ1663">
        <v>7.5</v>
      </c>
      <c r="GS1663">
        <v>8.5</v>
      </c>
      <c r="GU1663">
        <v>25</v>
      </c>
      <c r="GZ1663" t="s">
        <v>900</v>
      </c>
      <c r="HH1663" t="s">
        <v>272</v>
      </c>
      <c r="ID1663" t="s">
        <v>3382</v>
      </c>
      <c r="IE1663" t="s">
        <v>1306</v>
      </c>
      <c r="IF1663">
        <v>117932</v>
      </c>
      <c r="IG1663" t="s">
        <v>1307</v>
      </c>
      <c r="IH1663" t="s">
        <v>1308</v>
      </c>
      <c r="II1663">
        <v>2008</v>
      </c>
      <c r="IJ1663" t="s">
        <v>1309</v>
      </c>
    </row>
    <row r="1664" spans="1:244" x14ac:dyDescent="0.45">
      <c r="A1664">
        <v>1212451</v>
      </c>
      <c r="B1664">
        <v>192581</v>
      </c>
      <c r="C1664">
        <v>7778509</v>
      </c>
      <c r="D1664" t="s">
        <v>3280</v>
      </c>
      <c r="F1664" t="s">
        <v>245</v>
      </c>
      <c r="G1664" t="s">
        <v>246</v>
      </c>
      <c r="N1664" t="s">
        <v>3303</v>
      </c>
      <c r="O1664" t="s">
        <v>388</v>
      </c>
      <c r="P1664" t="s">
        <v>249</v>
      </c>
      <c r="Q1664" t="s">
        <v>250</v>
      </c>
      <c r="R1664" t="s">
        <v>251</v>
      </c>
      <c r="T1664" t="s">
        <v>389</v>
      </c>
      <c r="U1664" t="s">
        <v>390</v>
      </c>
      <c r="V1664" t="s">
        <v>472</v>
      </c>
      <c r="W1664" t="s">
        <v>473</v>
      </c>
      <c r="X1664" t="s">
        <v>1446</v>
      </c>
      <c r="Z1664" t="s">
        <v>315</v>
      </c>
      <c r="AB1664">
        <v>15</v>
      </c>
      <c r="AG1664" t="s">
        <v>267</v>
      </c>
      <c r="AL1664" t="s">
        <v>3304</v>
      </c>
      <c r="AM1664" t="s">
        <v>287</v>
      </c>
      <c r="AN1664" t="s">
        <v>259</v>
      </c>
      <c r="AO1664" t="s">
        <v>260</v>
      </c>
      <c r="AQ1664" t="s">
        <v>261</v>
      </c>
      <c r="AR1664" t="s">
        <v>515</v>
      </c>
      <c r="AS1664">
        <v>10000</v>
      </c>
      <c r="AX1664" t="s">
        <v>262</v>
      </c>
      <c r="BO1664" t="s">
        <v>261</v>
      </c>
      <c r="BP1664" t="s">
        <v>515</v>
      </c>
      <c r="BQ1664">
        <v>10</v>
      </c>
      <c r="BV1664" t="s">
        <v>263</v>
      </c>
      <c r="CM1664" t="s">
        <v>264</v>
      </c>
      <c r="CN1664" t="s">
        <v>264</v>
      </c>
      <c r="CP1664" t="s">
        <v>265</v>
      </c>
      <c r="DB1664">
        <v>2</v>
      </c>
      <c r="DG1664" t="s">
        <v>267</v>
      </c>
      <c r="DI1664">
        <v>48</v>
      </c>
      <c r="DN1664" t="s">
        <v>268</v>
      </c>
      <c r="DS1664">
        <v>10240</v>
      </c>
      <c r="DT1664" t="s">
        <v>3305</v>
      </c>
      <c r="EW1664" t="s">
        <v>293</v>
      </c>
      <c r="FK1664" t="s">
        <v>1186</v>
      </c>
      <c r="FM1664">
        <v>20</v>
      </c>
      <c r="FR1664" t="s">
        <v>295</v>
      </c>
      <c r="HH1664" t="s">
        <v>272</v>
      </c>
      <c r="ID1664" t="s">
        <v>1187</v>
      </c>
      <c r="IE1664" t="s">
        <v>3306</v>
      </c>
      <c r="IF1664">
        <v>19811</v>
      </c>
      <c r="IG1664" t="s">
        <v>3307</v>
      </c>
      <c r="IH1664" t="s">
        <v>3308</v>
      </c>
      <c r="II1664">
        <v>1998</v>
      </c>
      <c r="IJ1664" t="s">
        <v>3309</v>
      </c>
    </row>
    <row r="1665" spans="1:244" x14ac:dyDescent="0.45">
      <c r="A1665">
        <v>1174929</v>
      </c>
      <c r="B1665">
        <v>58775</v>
      </c>
      <c r="C1665">
        <v>7778509</v>
      </c>
      <c r="D1665" t="s">
        <v>3280</v>
      </c>
      <c r="F1665" t="s">
        <v>245</v>
      </c>
      <c r="G1665" t="s">
        <v>246</v>
      </c>
      <c r="N1665" t="s">
        <v>345</v>
      </c>
      <c r="O1665" t="s">
        <v>346</v>
      </c>
      <c r="P1665" t="s">
        <v>249</v>
      </c>
      <c r="Q1665" t="s">
        <v>250</v>
      </c>
      <c r="R1665" t="s">
        <v>251</v>
      </c>
      <c r="T1665" t="s">
        <v>347</v>
      </c>
      <c r="U1665" t="s">
        <v>348</v>
      </c>
      <c r="V1665" t="s">
        <v>349</v>
      </c>
      <c r="W1665" t="s">
        <v>350</v>
      </c>
      <c r="X1665" t="s">
        <v>351</v>
      </c>
      <c r="Z1665" t="s">
        <v>284</v>
      </c>
      <c r="AD1665">
        <v>2</v>
      </c>
      <c r="AF1665">
        <v>3</v>
      </c>
      <c r="AG1665" t="s">
        <v>1409</v>
      </c>
      <c r="AM1665" t="s">
        <v>317</v>
      </c>
      <c r="AN1665" t="s">
        <v>259</v>
      </c>
      <c r="AO1665" t="s">
        <v>260</v>
      </c>
      <c r="AQ1665" t="s">
        <v>261</v>
      </c>
      <c r="AS1665">
        <v>15000</v>
      </c>
      <c r="AU1665">
        <v>12800</v>
      </c>
      <c r="AW1665">
        <v>16400</v>
      </c>
      <c r="AX1665" t="s">
        <v>262</v>
      </c>
      <c r="BO1665" t="s">
        <v>261</v>
      </c>
      <c r="BQ1665">
        <v>15</v>
      </c>
      <c r="BS1665">
        <v>12.8</v>
      </c>
      <c r="BU1665">
        <v>16.399999999999999</v>
      </c>
      <c r="BV1665" t="s">
        <v>263</v>
      </c>
      <c r="CM1665" t="s">
        <v>264</v>
      </c>
      <c r="CN1665" t="s">
        <v>264</v>
      </c>
      <c r="CP1665" t="s">
        <v>265</v>
      </c>
      <c r="DB1665">
        <v>1</v>
      </c>
      <c r="DG1665" t="s">
        <v>267</v>
      </c>
      <c r="DI1665">
        <v>24</v>
      </c>
      <c r="DN1665" t="s">
        <v>268</v>
      </c>
      <c r="DR1665">
        <v>6660</v>
      </c>
      <c r="DS1665">
        <v>421</v>
      </c>
      <c r="EW1665" t="s">
        <v>271</v>
      </c>
      <c r="FK1665" t="s">
        <v>3383</v>
      </c>
      <c r="FM1665">
        <v>25</v>
      </c>
      <c r="FR1665" t="s">
        <v>295</v>
      </c>
      <c r="GO1665">
        <v>7.5</v>
      </c>
      <c r="GU1665">
        <v>35</v>
      </c>
      <c r="GZ1665" t="s">
        <v>296</v>
      </c>
      <c r="HH1665" t="s">
        <v>272</v>
      </c>
      <c r="ID1665" t="s">
        <v>3384</v>
      </c>
      <c r="IE1665" t="s">
        <v>3298</v>
      </c>
      <c r="IF1665">
        <v>15178</v>
      </c>
      <c r="IG1665" t="s">
        <v>3299</v>
      </c>
      <c r="IH1665" t="s">
        <v>3300</v>
      </c>
      <c r="II1665">
        <v>1980</v>
      </c>
      <c r="IJ1665" t="s">
        <v>3301</v>
      </c>
    </row>
    <row r="1666" spans="1:244" x14ac:dyDescent="0.45">
      <c r="A1666">
        <v>1186882</v>
      </c>
      <c r="B1666">
        <v>138623</v>
      </c>
      <c r="C1666">
        <v>7778509</v>
      </c>
      <c r="D1666" t="s">
        <v>3280</v>
      </c>
      <c r="F1666" t="s">
        <v>245</v>
      </c>
      <c r="G1666" t="s">
        <v>246</v>
      </c>
      <c r="N1666" t="s">
        <v>789</v>
      </c>
      <c r="O1666" t="s">
        <v>790</v>
      </c>
      <c r="P1666" t="s">
        <v>249</v>
      </c>
      <c r="Q1666" t="s">
        <v>250</v>
      </c>
      <c r="R1666" t="s">
        <v>251</v>
      </c>
      <c r="T1666" t="s">
        <v>252</v>
      </c>
      <c r="U1666" t="s">
        <v>253</v>
      </c>
      <c r="V1666" t="s">
        <v>418</v>
      </c>
      <c r="W1666" t="s">
        <v>791</v>
      </c>
      <c r="X1666" t="s">
        <v>792</v>
      </c>
      <c r="Z1666" t="s">
        <v>284</v>
      </c>
      <c r="AL1666" t="s">
        <v>1663</v>
      </c>
      <c r="AM1666" t="s">
        <v>258</v>
      </c>
      <c r="AN1666" t="s">
        <v>259</v>
      </c>
      <c r="AO1666" t="s">
        <v>260</v>
      </c>
      <c r="AQ1666" t="s">
        <v>261</v>
      </c>
      <c r="AS1666">
        <v>7465</v>
      </c>
      <c r="AX1666" t="s">
        <v>262</v>
      </c>
      <c r="BO1666" t="s">
        <v>261</v>
      </c>
      <c r="BQ1666">
        <v>7.4649999999999999</v>
      </c>
      <c r="BV1666" t="s">
        <v>263</v>
      </c>
      <c r="CM1666" t="s">
        <v>264</v>
      </c>
      <c r="CN1666" t="s">
        <v>264</v>
      </c>
      <c r="CP1666" t="s">
        <v>265</v>
      </c>
      <c r="DB1666">
        <v>2</v>
      </c>
      <c r="DG1666" t="s">
        <v>267</v>
      </c>
      <c r="DI1666">
        <v>48</v>
      </c>
      <c r="DN1666" t="s">
        <v>268</v>
      </c>
      <c r="DR1666">
        <v>161924</v>
      </c>
      <c r="DS1666">
        <v>3045</v>
      </c>
      <c r="EW1666" t="s">
        <v>272</v>
      </c>
      <c r="FM1666">
        <v>28</v>
      </c>
      <c r="FR1666" t="s">
        <v>295</v>
      </c>
      <c r="GO1666">
        <v>8.1999999999999993</v>
      </c>
      <c r="GU1666">
        <v>32</v>
      </c>
      <c r="GZ1666" t="s">
        <v>296</v>
      </c>
      <c r="HH1666" t="s">
        <v>272</v>
      </c>
      <c r="IE1666" t="s">
        <v>1652</v>
      </c>
      <c r="IF1666">
        <v>16613</v>
      </c>
      <c r="IG1666" t="s">
        <v>1653</v>
      </c>
      <c r="IH1666" t="s">
        <v>1654</v>
      </c>
      <c r="II1666">
        <v>1994</v>
      </c>
      <c r="IJ1666" t="s">
        <v>1655</v>
      </c>
    </row>
    <row r="1667" spans="1:244" x14ac:dyDescent="0.45">
      <c r="A1667">
        <v>1174973</v>
      </c>
      <c r="B1667">
        <v>65147</v>
      </c>
      <c r="C1667">
        <v>7778509</v>
      </c>
      <c r="D1667" t="s">
        <v>3280</v>
      </c>
      <c r="F1667" t="s">
        <v>245</v>
      </c>
      <c r="G1667" t="s">
        <v>246</v>
      </c>
      <c r="N1667" t="s">
        <v>345</v>
      </c>
      <c r="O1667" t="s">
        <v>346</v>
      </c>
      <c r="P1667" t="s">
        <v>249</v>
      </c>
      <c r="Q1667" t="s">
        <v>250</v>
      </c>
      <c r="R1667" t="s">
        <v>251</v>
      </c>
      <c r="T1667" t="s">
        <v>347</v>
      </c>
      <c r="U1667" t="s">
        <v>348</v>
      </c>
      <c r="V1667" t="s">
        <v>349</v>
      </c>
      <c r="W1667" t="s">
        <v>350</v>
      </c>
      <c r="X1667" t="s">
        <v>351</v>
      </c>
      <c r="Z1667" t="s">
        <v>284</v>
      </c>
      <c r="AD1667">
        <v>2</v>
      </c>
      <c r="AF1667">
        <v>3</v>
      </c>
      <c r="AG1667" t="s">
        <v>1409</v>
      </c>
      <c r="AM1667" t="s">
        <v>317</v>
      </c>
      <c r="AN1667" t="s">
        <v>259</v>
      </c>
      <c r="AO1667" t="s">
        <v>260</v>
      </c>
      <c r="AQ1667" t="s">
        <v>261</v>
      </c>
      <c r="AS1667">
        <v>11000</v>
      </c>
      <c r="AU1667">
        <v>9200</v>
      </c>
      <c r="AW1667">
        <v>13100</v>
      </c>
      <c r="AX1667" t="s">
        <v>262</v>
      </c>
      <c r="BO1667" t="s">
        <v>261</v>
      </c>
      <c r="BQ1667">
        <v>11</v>
      </c>
      <c r="BS1667">
        <v>9.1999999999999993</v>
      </c>
      <c r="BU1667">
        <v>13.1</v>
      </c>
      <c r="BV1667" t="s">
        <v>263</v>
      </c>
      <c r="CM1667" t="s">
        <v>264</v>
      </c>
      <c r="CN1667" t="s">
        <v>264</v>
      </c>
      <c r="CP1667" t="s">
        <v>265</v>
      </c>
      <c r="DB1667">
        <v>1</v>
      </c>
      <c r="DG1667" t="s">
        <v>267</v>
      </c>
      <c r="DI1667">
        <v>24</v>
      </c>
      <c r="DN1667" t="s">
        <v>268</v>
      </c>
      <c r="DR1667">
        <v>6660</v>
      </c>
      <c r="DS1667">
        <v>421</v>
      </c>
      <c r="EW1667" t="s">
        <v>271</v>
      </c>
      <c r="FK1667" t="s">
        <v>3363</v>
      </c>
      <c r="FM1667">
        <v>25</v>
      </c>
      <c r="FR1667" t="s">
        <v>295</v>
      </c>
      <c r="GO1667">
        <v>7.5</v>
      </c>
      <c r="GU1667">
        <v>35</v>
      </c>
      <c r="GZ1667" t="s">
        <v>296</v>
      </c>
      <c r="HH1667" t="s">
        <v>272</v>
      </c>
      <c r="ID1667" t="s">
        <v>3364</v>
      </c>
      <c r="IE1667" t="s">
        <v>3298</v>
      </c>
      <c r="IF1667">
        <v>15178</v>
      </c>
      <c r="IG1667" t="s">
        <v>3299</v>
      </c>
      <c r="IH1667" t="s">
        <v>3300</v>
      </c>
      <c r="II1667">
        <v>1980</v>
      </c>
      <c r="IJ1667" t="s">
        <v>3301</v>
      </c>
    </row>
    <row r="1668" spans="1:244" x14ac:dyDescent="0.45">
      <c r="A1668">
        <v>1078370</v>
      </c>
      <c r="B1668">
        <v>105392</v>
      </c>
      <c r="C1668">
        <v>7778509</v>
      </c>
      <c r="D1668" t="s">
        <v>3280</v>
      </c>
      <c r="F1668" t="s">
        <v>245</v>
      </c>
      <c r="G1668" t="s">
        <v>246</v>
      </c>
      <c r="N1668" t="s">
        <v>3239</v>
      </c>
      <c r="O1668" t="s">
        <v>1299</v>
      </c>
      <c r="P1668" t="s">
        <v>249</v>
      </c>
      <c r="Q1668" t="s">
        <v>250</v>
      </c>
      <c r="R1668" t="s">
        <v>251</v>
      </c>
      <c r="T1668" t="s">
        <v>252</v>
      </c>
      <c r="U1668" t="s">
        <v>371</v>
      </c>
      <c r="V1668" t="s">
        <v>372</v>
      </c>
      <c r="W1668" t="s">
        <v>3240</v>
      </c>
      <c r="X1668" t="s">
        <v>3241</v>
      </c>
      <c r="AM1668" t="s">
        <v>258</v>
      </c>
      <c r="AN1668" t="s">
        <v>259</v>
      </c>
      <c r="AO1668" t="s">
        <v>260</v>
      </c>
      <c r="AQ1668" t="s">
        <v>261</v>
      </c>
      <c r="AS1668">
        <v>22000</v>
      </c>
      <c r="AX1668" t="s">
        <v>262</v>
      </c>
      <c r="BO1668" t="s">
        <v>261</v>
      </c>
      <c r="BQ1668">
        <v>22</v>
      </c>
      <c r="BV1668" t="s">
        <v>263</v>
      </c>
      <c r="CM1668" t="s">
        <v>264</v>
      </c>
      <c r="CN1668" t="s">
        <v>264</v>
      </c>
      <c r="CP1668" t="s">
        <v>265</v>
      </c>
      <c r="CQ1668" t="s">
        <v>538</v>
      </c>
      <c r="DB1668">
        <v>2</v>
      </c>
      <c r="DG1668" t="s">
        <v>267</v>
      </c>
      <c r="DI1668">
        <v>48</v>
      </c>
      <c r="DN1668" t="s">
        <v>268</v>
      </c>
      <c r="DP1668" t="s">
        <v>2185</v>
      </c>
      <c r="DR1668">
        <v>236572</v>
      </c>
      <c r="DS1668">
        <v>1940</v>
      </c>
      <c r="DT1668" t="s">
        <v>3288</v>
      </c>
      <c r="EW1668" t="s">
        <v>271</v>
      </c>
      <c r="FK1668" t="s">
        <v>3293</v>
      </c>
      <c r="FM1668">
        <v>15</v>
      </c>
      <c r="FR1668" t="s">
        <v>295</v>
      </c>
      <c r="GU1668">
        <v>18</v>
      </c>
      <c r="GZ1668" t="s">
        <v>296</v>
      </c>
      <c r="HH1668" t="s">
        <v>272</v>
      </c>
      <c r="ID1668" t="s">
        <v>3294</v>
      </c>
      <c r="IE1668" t="s">
        <v>3289</v>
      </c>
      <c r="IF1668">
        <v>6039</v>
      </c>
      <c r="IG1668" t="s">
        <v>3290</v>
      </c>
      <c r="IH1668" t="s">
        <v>3291</v>
      </c>
      <c r="II1668">
        <v>1987</v>
      </c>
      <c r="IJ1668" t="s">
        <v>3292</v>
      </c>
    </row>
    <row r="1669" spans="1:244" x14ac:dyDescent="0.45">
      <c r="A1669">
        <v>1212452</v>
      </c>
      <c r="B1669">
        <v>192582</v>
      </c>
      <c r="C1669">
        <v>7778509</v>
      </c>
      <c r="D1669" t="s">
        <v>3280</v>
      </c>
      <c r="F1669" t="s">
        <v>245</v>
      </c>
      <c r="G1669" t="s">
        <v>246</v>
      </c>
      <c r="N1669" t="s">
        <v>3303</v>
      </c>
      <c r="O1669" t="s">
        <v>388</v>
      </c>
      <c r="P1669" t="s">
        <v>249</v>
      </c>
      <c r="Q1669" t="s">
        <v>250</v>
      </c>
      <c r="R1669" t="s">
        <v>251</v>
      </c>
      <c r="T1669" t="s">
        <v>389</v>
      </c>
      <c r="U1669" t="s">
        <v>390</v>
      </c>
      <c r="V1669" t="s">
        <v>472</v>
      </c>
      <c r="W1669" t="s">
        <v>473</v>
      </c>
      <c r="X1669" t="s">
        <v>1446</v>
      </c>
      <c r="Z1669" t="s">
        <v>315</v>
      </c>
      <c r="AB1669">
        <v>15</v>
      </c>
      <c r="AG1669" t="s">
        <v>267</v>
      </c>
      <c r="AL1669" t="s">
        <v>3304</v>
      </c>
      <c r="AM1669" t="s">
        <v>287</v>
      </c>
      <c r="AN1669" t="s">
        <v>259</v>
      </c>
      <c r="AO1669" t="s">
        <v>260</v>
      </c>
      <c r="AQ1669" t="s">
        <v>261</v>
      </c>
      <c r="AT1669" t="s">
        <v>288</v>
      </c>
      <c r="AU1669">
        <v>5000</v>
      </c>
      <c r="AV1669" t="s">
        <v>289</v>
      </c>
      <c r="AW1669">
        <v>10000</v>
      </c>
      <c r="AX1669" t="s">
        <v>262</v>
      </c>
      <c r="BO1669" t="s">
        <v>261</v>
      </c>
      <c r="BR1669" t="s">
        <v>288</v>
      </c>
      <c r="BS1669">
        <v>5</v>
      </c>
      <c r="BT1669" t="s">
        <v>289</v>
      </c>
      <c r="BU1669">
        <v>10</v>
      </c>
      <c r="BV1669" t="s">
        <v>263</v>
      </c>
      <c r="CM1669" t="s">
        <v>264</v>
      </c>
      <c r="CN1669" t="s">
        <v>264</v>
      </c>
      <c r="CP1669" t="s">
        <v>265</v>
      </c>
      <c r="DB1669">
        <v>2</v>
      </c>
      <c r="DG1669" t="s">
        <v>267</v>
      </c>
      <c r="DI1669">
        <v>48</v>
      </c>
      <c r="DN1669" t="s">
        <v>268</v>
      </c>
      <c r="DS1669">
        <v>10240</v>
      </c>
      <c r="DT1669" t="s">
        <v>3305</v>
      </c>
      <c r="EW1669" t="s">
        <v>293</v>
      </c>
      <c r="FK1669" t="s">
        <v>1186</v>
      </c>
      <c r="FM1669">
        <v>20</v>
      </c>
      <c r="FR1669" t="s">
        <v>295</v>
      </c>
      <c r="HH1669" t="s">
        <v>272</v>
      </c>
      <c r="ID1669" t="s">
        <v>1187</v>
      </c>
      <c r="IE1669" t="s">
        <v>3306</v>
      </c>
      <c r="IF1669">
        <v>19811</v>
      </c>
      <c r="IG1669" t="s">
        <v>3307</v>
      </c>
      <c r="IH1669" t="s">
        <v>3308</v>
      </c>
      <c r="II1669">
        <v>1998</v>
      </c>
      <c r="IJ1669" t="s">
        <v>3309</v>
      </c>
    </row>
    <row r="1670" spans="1:244" x14ac:dyDescent="0.45">
      <c r="A1670">
        <v>1286709</v>
      </c>
      <c r="B1670">
        <v>740967</v>
      </c>
      <c r="C1670">
        <v>7778509</v>
      </c>
      <c r="D1670" t="s">
        <v>3280</v>
      </c>
      <c r="E1670" t="s">
        <v>439</v>
      </c>
      <c r="F1670" t="s">
        <v>245</v>
      </c>
      <c r="G1670" t="s">
        <v>246</v>
      </c>
      <c r="N1670" t="s">
        <v>838</v>
      </c>
      <c r="O1670" t="s">
        <v>839</v>
      </c>
      <c r="P1670" t="s">
        <v>249</v>
      </c>
      <c r="Q1670" t="s">
        <v>250</v>
      </c>
      <c r="R1670" t="s">
        <v>251</v>
      </c>
      <c r="T1670" t="s">
        <v>347</v>
      </c>
      <c r="U1670" t="s">
        <v>348</v>
      </c>
      <c r="V1670" t="s">
        <v>349</v>
      </c>
      <c r="W1670" t="s">
        <v>350</v>
      </c>
      <c r="X1670" t="s">
        <v>840</v>
      </c>
      <c r="Z1670" t="s">
        <v>284</v>
      </c>
      <c r="AA1670" t="s">
        <v>352</v>
      </c>
      <c r="AB1670">
        <v>48</v>
      </c>
      <c r="AG1670" t="s">
        <v>268</v>
      </c>
      <c r="AL1670" t="s">
        <v>3385</v>
      </c>
      <c r="AM1670" t="s">
        <v>317</v>
      </c>
      <c r="AN1670" t="s">
        <v>259</v>
      </c>
      <c r="AO1670" t="s">
        <v>260</v>
      </c>
      <c r="AQ1670" t="s">
        <v>261</v>
      </c>
      <c r="AS1670">
        <v>4.7699999999999996</v>
      </c>
      <c r="AU1670">
        <v>4.57</v>
      </c>
      <c r="AW1670">
        <v>4.9800000000000004</v>
      </c>
      <c r="AX1670" t="s">
        <v>356</v>
      </c>
      <c r="BO1670" t="s">
        <v>261</v>
      </c>
      <c r="BQ1670">
        <v>4.7699999999999996</v>
      </c>
      <c r="BS1670">
        <v>4.57</v>
      </c>
      <c r="BU1670">
        <v>4.9800000000000004</v>
      </c>
      <c r="BV1670" t="s">
        <v>263</v>
      </c>
      <c r="CM1670" t="s">
        <v>264</v>
      </c>
      <c r="CN1670" t="s">
        <v>264</v>
      </c>
      <c r="CP1670" t="s">
        <v>265</v>
      </c>
      <c r="DB1670">
        <v>1</v>
      </c>
      <c r="DG1670" t="s">
        <v>267</v>
      </c>
      <c r="DI1670">
        <v>24</v>
      </c>
      <c r="DN1670" t="s">
        <v>268</v>
      </c>
      <c r="DP1670" t="s">
        <v>3312</v>
      </c>
      <c r="DR1670">
        <v>6661</v>
      </c>
      <c r="DS1670">
        <v>3004</v>
      </c>
      <c r="EW1670" t="s">
        <v>293</v>
      </c>
      <c r="FA1670" t="s">
        <v>1381</v>
      </c>
      <c r="FK1670" t="s">
        <v>1103</v>
      </c>
      <c r="FM1670">
        <v>25</v>
      </c>
      <c r="FR1670" t="s">
        <v>295</v>
      </c>
      <c r="GU1670">
        <v>35</v>
      </c>
      <c r="GZ1670" t="s">
        <v>3386</v>
      </c>
      <c r="HH1670" t="s">
        <v>272</v>
      </c>
      <c r="ID1670" t="s">
        <v>1104</v>
      </c>
      <c r="IE1670" t="s">
        <v>3387</v>
      </c>
      <c r="IF1670">
        <v>68179</v>
      </c>
      <c r="IG1670" t="s">
        <v>3388</v>
      </c>
      <c r="IH1670" t="s">
        <v>3389</v>
      </c>
      <c r="II1670">
        <v>2001</v>
      </c>
      <c r="IJ1670" t="s">
        <v>3390</v>
      </c>
    </row>
    <row r="1671" spans="1:244" x14ac:dyDescent="0.45">
      <c r="A1671">
        <v>1078368</v>
      </c>
      <c r="B1671">
        <v>105390</v>
      </c>
      <c r="C1671">
        <v>7778509</v>
      </c>
      <c r="D1671" t="s">
        <v>3280</v>
      </c>
      <c r="F1671" t="s">
        <v>245</v>
      </c>
      <c r="G1671" t="s">
        <v>246</v>
      </c>
      <c r="N1671" t="s">
        <v>3239</v>
      </c>
      <c r="O1671" t="s">
        <v>1299</v>
      </c>
      <c r="P1671" t="s">
        <v>249</v>
      </c>
      <c r="Q1671" t="s">
        <v>250</v>
      </c>
      <c r="R1671" t="s">
        <v>251</v>
      </c>
      <c r="T1671" t="s">
        <v>252</v>
      </c>
      <c r="U1671" t="s">
        <v>371</v>
      </c>
      <c r="V1671" t="s">
        <v>372</v>
      </c>
      <c r="W1671" t="s">
        <v>3240</v>
      </c>
      <c r="X1671" t="s">
        <v>3241</v>
      </c>
      <c r="AM1671" t="s">
        <v>258</v>
      </c>
      <c r="AN1671" t="s">
        <v>259</v>
      </c>
      <c r="AO1671" t="s">
        <v>260</v>
      </c>
      <c r="AQ1671" t="s">
        <v>261</v>
      </c>
      <c r="AS1671">
        <v>22000</v>
      </c>
      <c r="AX1671" t="s">
        <v>262</v>
      </c>
      <c r="BO1671" t="s">
        <v>261</v>
      </c>
      <c r="BQ1671">
        <v>22</v>
      </c>
      <c r="BV1671" t="s">
        <v>263</v>
      </c>
      <c r="CM1671" t="s">
        <v>264</v>
      </c>
      <c r="CN1671" t="s">
        <v>264</v>
      </c>
      <c r="CP1671" t="s">
        <v>265</v>
      </c>
      <c r="CQ1671" t="s">
        <v>538</v>
      </c>
      <c r="DB1671">
        <v>4</v>
      </c>
      <c r="DG1671" t="s">
        <v>267</v>
      </c>
      <c r="DI1671">
        <v>96</v>
      </c>
      <c r="DN1671" t="s">
        <v>268</v>
      </c>
      <c r="DP1671" t="s">
        <v>2185</v>
      </c>
      <c r="DR1671">
        <v>236572</v>
      </c>
      <c r="DS1671">
        <v>1940</v>
      </c>
      <c r="DT1671" t="s">
        <v>3288</v>
      </c>
      <c r="EW1671" t="s">
        <v>271</v>
      </c>
      <c r="FM1671">
        <v>5</v>
      </c>
      <c r="FR1671" t="s">
        <v>295</v>
      </c>
      <c r="GU1671">
        <v>18</v>
      </c>
      <c r="GZ1671" t="s">
        <v>296</v>
      </c>
      <c r="HH1671" t="s">
        <v>272</v>
      </c>
      <c r="IE1671" t="s">
        <v>3289</v>
      </c>
      <c r="IF1671">
        <v>6039</v>
      </c>
      <c r="IG1671" t="s">
        <v>3290</v>
      </c>
      <c r="IH1671" t="s">
        <v>3291</v>
      </c>
      <c r="II1671">
        <v>1987</v>
      </c>
      <c r="IJ1671" t="s">
        <v>3292</v>
      </c>
    </row>
    <row r="1672" spans="1:244" x14ac:dyDescent="0.45">
      <c r="A1672">
        <v>1182174</v>
      </c>
      <c r="B1672">
        <v>160080</v>
      </c>
      <c r="C1672">
        <v>7778509</v>
      </c>
      <c r="D1672" t="s">
        <v>3280</v>
      </c>
      <c r="F1672" t="s">
        <v>245</v>
      </c>
      <c r="G1672" t="s">
        <v>246</v>
      </c>
      <c r="I1672">
        <v>99</v>
      </c>
      <c r="N1672" t="s">
        <v>345</v>
      </c>
      <c r="O1672" t="s">
        <v>346</v>
      </c>
      <c r="P1672" t="s">
        <v>249</v>
      </c>
      <c r="Q1672" t="s">
        <v>250</v>
      </c>
      <c r="R1672" t="s">
        <v>251</v>
      </c>
      <c r="T1672" t="s">
        <v>347</v>
      </c>
      <c r="U1672" t="s">
        <v>348</v>
      </c>
      <c r="V1672" t="s">
        <v>349</v>
      </c>
      <c r="W1672" t="s">
        <v>350</v>
      </c>
      <c r="X1672" t="s">
        <v>351</v>
      </c>
      <c r="Z1672" t="s">
        <v>1034</v>
      </c>
      <c r="AL1672" t="s">
        <v>2663</v>
      </c>
      <c r="AM1672" t="s">
        <v>317</v>
      </c>
      <c r="AN1672" t="s">
        <v>259</v>
      </c>
      <c r="AO1672" t="s">
        <v>260</v>
      </c>
      <c r="AQ1672" t="s">
        <v>261</v>
      </c>
      <c r="AS1672">
        <v>4600</v>
      </c>
      <c r="AX1672" t="s">
        <v>262</v>
      </c>
      <c r="BO1672" t="s">
        <v>261</v>
      </c>
      <c r="BQ1672">
        <v>4.5999999999999996</v>
      </c>
      <c r="BV1672" t="s">
        <v>263</v>
      </c>
      <c r="CM1672" t="s">
        <v>264</v>
      </c>
      <c r="CN1672" t="s">
        <v>264</v>
      </c>
      <c r="CP1672" t="s">
        <v>265</v>
      </c>
      <c r="DB1672">
        <v>2</v>
      </c>
      <c r="DG1672" t="s">
        <v>267</v>
      </c>
      <c r="DI1672">
        <v>48</v>
      </c>
      <c r="DN1672" t="s">
        <v>268</v>
      </c>
      <c r="DO1672" t="s">
        <v>1587</v>
      </c>
      <c r="DP1672" t="s">
        <v>3281</v>
      </c>
      <c r="DR1672">
        <v>6660</v>
      </c>
      <c r="DS1672">
        <v>421</v>
      </c>
      <c r="DT1672" t="s">
        <v>2665</v>
      </c>
      <c r="EW1672" t="s">
        <v>293</v>
      </c>
      <c r="FA1672" t="s">
        <v>2789</v>
      </c>
      <c r="FM1672">
        <v>25</v>
      </c>
      <c r="FR1672" t="s">
        <v>295</v>
      </c>
      <c r="GU1672">
        <v>25</v>
      </c>
      <c r="GZ1672" t="s">
        <v>296</v>
      </c>
      <c r="HH1672" t="s">
        <v>272</v>
      </c>
      <c r="IE1672" t="s">
        <v>2667</v>
      </c>
      <c r="IF1672">
        <v>16031</v>
      </c>
      <c r="IG1672" t="s">
        <v>2668</v>
      </c>
      <c r="IH1672" t="s">
        <v>2669</v>
      </c>
      <c r="II1672">
        <v>1995</v>
      </c>
      <c r="IJ1672" t="s">
        <v>2670</v>
      </c>
    </row>
    <row r="1673" spans="1:244" x14ac:dyDescent="0.45">
      <c r="A1673">
        <v>1123287</v>
      </c>
      <c r="B1673">
        <v>145127</v>
      </c>
      <c r="C1673">
        <v>7778509</v>
      </c>
      <c r="D1673" t="s">
        <v>3280</v>
      </c>
      <c r="F1673" t="s">
        <v>245</v>
      </c>
      <c r="G1673" t="s">
        <v>246</v>
      </c>
      <c r="N1673" t="s">
        <v>1202</v>
      </c>
      <c r="O1673" t="s">
        <v>498</v>
      </c>
      <c r="P1673" t="s">
        <v>249</v>
      </c>
      <c r="Q1673" t="s">
        <v>250</v>
      </c>
      <c r="R1673" t="s">
        <v>251</v>
      </c>
      <c r="T1673" t="s">
        <v>252</v>
      </c>
      <c r="U1673" t="s">
        <v>499</v>
      </c>
      <c r="V1673" t="s">
        <v>500</v>
      </c>
      <c r="W1673" t="s">
        <v>501</v>
      </c>
      <c r="X1673" t="s">
        <v>1203</v>
      </c>
      <c r="AL1673" t="s">
        <v>3302</v>
      </c>
      <c r="AM1673" t="s">
        <v>287</v>
      </c>
      <c r="AN1673" t="s">
        <v>259</v>
      </c>
      <c r="AO1673" t="s">
        <v>260</v>
      </c>
      <c r="AQ1673" t="s">
        <v>261</v>
      </c>
      <c r="AS1673">
        <v>3400</v>
      </c>
      <c r="AU1673">
        <v>1900</v>
      </c>
      <c r="AW1673">
        <v>6000</v>
      </c>
      <c r="AX1673" t="s">
        <v>262</v>
      </c>
      <c r="BO1673" t="s">
        <v>261</v>
      </c>
      <c r="BQ1673">
        <v>3.4</v>
      </c>
      <c r="BS1673">
        <v>1.9</v>
      </c>
      <c r="BU1673">
        <v>6</v>
      </c>
      <c r="BV1673" t="s">
        <v>263</v>
      </c>
      <c r="CM1673" t="s">
        <v>264</v>
      </c>
      <c r="CN1673" t="s">
        <v>264</v>
      </c>
      <c r="CP1673" t="s">
        <v>265</v>
      </c>
      <c r="CQ1673" t="s">
        <v>538</v>
      </c>
      <c r="DB1673">
        <v>4</v>
      </c>
      <c r="DG1673" t="s">
        <v>267</v>
      </c>
      <c r="DI1673">
        <v>96</v>
      </c>
      <c r="DN1673" t="s">
        <v>268</v>
      </c>
      <c r="DS1673">
        <v>4697</v>
      </c>
      <c r="DT1673" t="s">
        <v>1205</v>
      </c>
      <c r="EW1673" t="s">
        <v>293</v>
      </c>
      <c r="FM1673">
        <v>19</v>
      </c>
      <c r="FR1673" t="s">
        <v>295</v>
      </c>
      <c r="HH1673" t="s">
        <v>272</v>
      </c>
      <c r="IE1673" t="s">
        <v>1206</v>
      </c>
      <c r="IF1673">
        <v>9755</v>
      </c>
      <c r="IG1673" t="s">
        <v>1207</v>
      </c>
      <c r="IH1673" t="s">
        <v>1208</v>
      </c>
      <c r="II1673">
        <v>1993</v>
      </c>
      <c r="IJ1673" t="s">
        <v>1209</v>
      </c>
    </row>
    <row r="1674" spans="1:244" x14ac:dyDescent="0.45">
      <c r="A1674">
        <v>2205567</v>
      </c>
      <c r="B1674">
        <v>2413058</v>
      </c>
      <c r="C1674">
        <v>7778509</v>
      </c>
      <c r="D1674" t="s">
        <v>3280</v>
      </c>
      <c r="F1674" t="s">
        <v>245</v>
      </c>
      <c r="G1674" t="s">
        <v>272</v>
      </c>
      <c r="N1674" t="s">
        <v>345</v>
      </c>
      <c r="O1674" t="s">
        <v>346</v>
      </c>
      <c r="P1674" t="s">
        <v>249</v>
      </c>
      <c r="Q1674" t="s">
        <v>250</v>
      </c>
      <c r="R1674" t="s">
        <v>251</v>
      </c>
      <c r="T1674" t="s">
        <v>347</v>
      </c>
      <c r="U1674" t="s">
        <v>348</v>
      </c>
      <c r="V1674" t="s">
        <v>349</v>
      </c>
      <c r="W1674" t="s">
        <v>350</v>
      </c>
      <c r="X1674" t="s">
        <v>351</v>
      </c>
      <c r="Z1674" t="s">
        <v>525</v>
      </c>
      <c r="AD1674">
        <v>2</v>
      </c>
      <c r="AF1674">
        <v>3</v>
      </c>
      <c r="AG1674" t="s">
        <v>1409</v>
      </c>
      <c r="AM1674" t="s">
        <v>317</v>
      </c>
      <c r="AN1674" t="s">
        <v>259</v>
      </c>
      <c r="AO1674" t="s">
        <v>260</v>
      </c>
      <c r="AQ1674" t="s">
        <v>261</v>
      </c>
      <c r="AR1674" t="s">
        <v>288</v>
      </c>
      <c r="AS1674">
        <v>100</v>
      </c>
      <c r="AX1674" t="s">
        <v>356</v>
      </c>
      <c r="BO1674" t="s">
        <v>261</v>
      </c>
      <c r="BP1674" t="s">
        <v>288</v>
      </c>
      <c r="BQ1674">
        <v>100</v>
      </c>
      <c r="BV1674" t="s">
        <v>263</v>
      </c>
      <c r="CM1674" t="s">
        <v>264</v>
      </c>
      <c r="CN1674" t="s">
        <v>264</v>
      </c>
      <c r="CP1674" t="s">
        <v>265</v>
      </c>
      <c r="DB1674">
        <v>1</v>
      </c>
      <c r="DG1674" t="s">
        <v>267</v>
      </c>
      <c r="DI1674">
        <v>24</v>
      </c>
      <c r="DN1674" t="s">
        <v>268</v>
      </c>
      <c r="DP1674" t="s">
        <v>3281</v>
      </c>
      <c r="DR1674">
        <v>6660</v>
      </c>
      <c r="DS1674">
        <v>421</v>
      </c>
      <c r="DV1674">
        <v>24</v>
      </c>
      <c r="EA1674" t="s">
        <v>268</v>
      </c>
      <c r="EC1674">
        <v>1</v>
      </c>
      <c r="EH1674" t="s">
        <v>267</v>
      </c>
      <c r="EJ1674">
        <v>24</v>
      </c>
      <c r="EO1674" t="s">
        <v>268</v>
      </c>
      <c r="EQ1674">
        <v>1</v>
      </c>
      <c r="EV1674" t="s">
        <v>267</v>
      </c>
      <c r="EW1674" t="s">
        <v>293</v>
      </c>
      <c r="FA1674" t="s">
        <v>3391</v>
      </c>
      <c r="GU1674">
        <v>30</v>
      </c>
      <c r="GZ1674" t="s">
        <v>296</v>
      </c>
      <c r="HH1674" t="s">
        <v>272</v>
      </c>
      <c r="ID1674" t="s">
        <v>3283</v>
      </c>
      <c r="IE1674" t="s">
        <v>3284</v>
      </c>
      <c r="IF1674">
        <v>7069</v>
      </c>
      <c r="IG1674" t="s">
        <v>3285</v>
      </c>
      <c r="IH1674" t="s">
        <v>3286</v>
      </c>
      <c r="II1674">
        <v>1989</v>
      </c>
      <c r="IJ1674" t="s">
        <v>3287</v>
      </c>
    </row>
    <row r="1675" spans="1:244" x14ac:dyDescent="0.45">
      <c r="A1675">
        <v>1035060</v>
      </c>
      <c r="B1675">
        <v>107207</v>
      </c>
      <c r="C1675">
        <v>7778509</v>
      </c>
      <c r="D1675" t="s">
        <v>3280</v>
      </c>
      <c r="F1675" t="s">
        <v>245</v>
      </c>
      <c r="G1675" t="s">
        <v>246</v>
      </c>
      <c r="N1675" t="s">
        <v>452</v>
      </c>
      <c r="O1675" t="s">
        <v>346</v>
      </c>
      <c r="P1675" t="s">
        <v>249</v>
      </c>
      <c r="Q1675" t="s">
        <v>250</v>
      </c>
      <c r="R1675" t="s">
        <v>251</v>
      </c>
      <c r="T1675" t="s">
        <v>347</v>
      </c>
      <c r="U1675" t="s">
        <v>348</v>
      </c>
      <c r="V1675" t="s">
        <v>349</v>
      </c>
      <c r="W1675" t="s">
        <v>350</v>
      </c>
      <c r="X1675" t="s">
        <v>453</v>
      </c>
      <c r="AD1675">
        <v>2</v>
      </c>
      <c r="AF1675">
        <v>3</v>
      </c>
      <c r="AG1675" t="s">
        <v>1409</v>
      </c>
      <c r="AL1675" t="s">
        <v>3316</v>
      </c>
      <c r="AM1675" t="s">
        <v>317</v>
      </c>
      <c r="AN1675" t="s">
        <v>259</v>
      </c>
      <c r="AO1675" t="s">
        <v>260</v>
      </c>
      <c r="AQ1675" t="s">
        <v>261</v>
      </c>
      <c r="AS1675">
        <v>48500</v>
      </c>
      <c r="AU1675">
        <v>39800</v>
      </c>
      <c r="AW1675">
        <v>61400</v>
      </c>
      <c r="AX1675" t="s">
        <v>262</v>
      </c>
      <c r="BO1675" t="s">
        <v>261</v>
      </c>
      <c r="BQ1675">
        <v>48.5</v>
      </c>
      <c r="BS1675">
        <v>39.799999999999997</v>
      </c>
      <c r="BU1675">
        <v>61.4</v>
      </c>
      <c r="BV1675" t="s">
        <v>263</v>
      </c>
      <c r="CM1675" t="s">
        <v>264</v>
      </c>
      <c r="CN1675" t="s">
        <v>264</v>
      </c>
      <c r="CP1675" t="s">
        <v>265</v>
      </c>
      <c r="CQ1675" t="s">
        <v>538</v>
      </c>
      <c r="DB1675">
        <v>1</v>
      </c>
      <c r="DG1675" t="s">
        <v>267</v>
      </c>
      <c r="DI1675">
        <v>24</v>
      </c>
      <c r="DN1675" t="s">
        <v>268</v>
      </c>
      <c r="DR1675">
        <v>85549</v>
      </c>
      <c r="DS1675">
        <v>366</v>
      </c>
      <c r="DT1675" t="s">
        <v>3317</v>
      </c>
      <c r="EW1675" t="s">
        <v>271</v>
      </c>
      <c r="FM1675">
        <v>20</v>
      </c>
      <c r="FR1675" t="s">
        <v>295</v>
      </c>
      <c r="GU1675">
        <v>35</v>
      </c>
      <c r="GZ1675" t="s">
        <v>296</v>
      </c>
      <c r="HH1675" t="s">
        <v>272</v>
      </c>
      <c r="IE1675" t="s">
        <v>3318</v>
      </c>
      <c r="IF1675">
        <v>2151</v>
      </c>
      <c r="IG1675" t="s">
        <v>3319</v>
      </c>
      <c r="IH1675" t="s">
        <v>3320</v>
      </c>
      <c r="II1675">
        <v>1989</v>
      </c>
      <c r="IJ1675" t="s">
        <v>3321</v>
      </c>
    </row>
    <row r="1676" spans="1:244" x14ac:dyDescent="0.45">
      <c r="A1676">
        <v>1035067</v>
      </c>
      <c r="B1676">
        <v>107214</v>
      </c>
      <c r="C1676">
        <v>7778509</v>
      </c>
      <c r="D1676" t="s">
        <v>3280</v>
      </c>
      <c r="F1676" t="s">
        <v>245</v>
      </c>
      <c r="G1676" t="s">
        <v>246</v>
      </c>
      <c r="N1676" t="s">
        <v>452</v>
      </c>
      <c r="O1676" t="s">
        <v>346</v>
      </c>
      <c r="P1676" t="s">
        <v>249</v>
      </c>
      <c r="Q1676" t="s">
        <v>250</v>
      </c>
      <c r="R1676" t="s">
        <v>251</v>
      </c>
      <c r="T1676" t="s">
        <v>347</v>
      </c>
      <c r="U1676" t="s">
        <v>348</v>
      </c>
      <c r="V1676" t="s">
        <v>349</v>
      </c>
      <c r="W1676" t="s">
        <v>350</v>
      </c>
      <c r="X1676" t="s">
        <v>453</v>
      </c>
      <c r="AD1676">
        <v>2</v>
      </c>
      <c r="AF1676">
        <v>3</v>
      </c>
      <c r="AG1676" t="s">
        <v>1409</v>
      </c>
      <c r="AL1676" t="s">
        <v>3316</v>
      </c>
      <c r="AM1676" t="s">
        <v>317</v>
      </c>
      <c r="AN1676" t="s">
        <v>259</v>
      </c>
      <c r="AO1676" t="s">
        <v>260</v>
      </c>
      <c r="AQ1676" t="s">
        <v>261</v>
      </c>
      <c r="AS1676">
        <v>20600</v>
      </c>
      <c r="AU1676">
        <v>16200</v>
      </c>
      <c r="AW1676">
        <v>24400</v>
      </c>
      <c r="AX1676" t="s">
        <v>262</v>
      </c>
      <c r="BO1676" t="s">
        <v>261</v>
      </c>
      <c r="BQ1676">
        <v>20.6</v>
      </c>
      <c r="BS1676">
        <v>16.2</v>
      </c>
      <c r="BU1676">
        <v>24.4</v>
      </c>
      <c r="BV1676" t="s">
        <v>263</v>
      </c>
      <c r="CM1676" t="s">
        <v>264</v>
      </c>
      <c r="CN1676" t="s">
        <v>264</v>
      </c>
      <c r="CP1676" t="s">
        <v>265</v>
      </c>
      <c r="CQ1676" t="s">
        <v>538</v>
      </c>
      <c r="DB1676">
        <v>1</v>
      </c>
      <c r="DG1676" t="s">
        <v>267</v>
      </c>
      <c r="DI1676">
        <v>24</v>
      </c>
      <c r="DN1676" t="s">
        <v>268</v>
      </c>
      <c r="DR1676">
        <v>85549</v>
      </c>
      <c r="DS1676">
        <v>366</v>
      </c>
      <c r="DT1676" t="s">
        <v>3317</v>
      </c>
      <c r="EW1676" t="s">
        <v>271</v>
      </c>
      <c r="FM1676">
        <v>30</v>
      </c>
      <c r="FR1676" t="s">
        <v>295</v>
      </c>
      <c r="GU1676">
        <v>50</v>
      </c>
      <c r="GZ1676" t="s">
        <v>296</v>
      </c>
      <c r="HH1676" t="s">
        <v>272</v>
      </c>
      <c r="IE1676" t="s">
        <v>3318</v>
      </c>
      <c r="IF1676">
        <v>2151</v>
      </c>
      <c r="IG1676" t="s">
        <v>3319</v>
      </c>
      <c r="IH1676" t="s">
        <v>3320</v>
      </c>
      <c r="II1676">
        <v>1989</v>
      </c>
      <c r="IJ1676" t="s">
        <v>3321</v>
      </c>
    </row>
    <row r="1677" spans="1:244" x14ac:dyDescent="0.45">
      <c r="A1677">
        <v>1078351</v>
      </c>
      <c r="B1677">
        <v>105363</v>
      </c>
      <c r="C1677">
        <v>7778509</v>
      </c>
      <c r="D1677" t="s">
        <v>3280</v>
      </c>
      <c r="F1677" t="s">
        <v>245</v>
      </c>
      <c r="G1677" t="s">
        <v>246</v>
      </c>
      <c r="N1677" t="s">
        <v>3239</v>
      </c>
      <c r="O1677" t="s">
        <v>1299</v>
      </c>
      <c r="P1677" t="s">
        <v>249</v>
      </c>
      <c r="Q1677" t="s">
        <v>250</v>
      </c>
      <c r="R1677" t="s">
        <v>251</v>
      </c>
      <c r="T1677" t="s">
        <v>252</v>
      </c>
      <c r="U1677" t="s">
        <v>371</v>
      </c>
      <c r="V1677" t="s">
        <v>372</v>
      </c>
      <c r="W1677" t="s">
        <v>3240</v>
      </c>
      <c r="X1677" t="s">
        <v>3241</v>
      </c>
      <c r="AM1677" t="s">
        <v>258</v>
      </c>
      <c r="AN1677" t="s">
        <v>259</v>
      </c>
      <c r="AO1677" t="s">
        <v>260</v>
      </c>
      <c r="AQ1677" t="s">
        <v>261</v>
      </c>
      <c r="AS1677">
        <v>7000</v>
      </c>
      <c r="AX1677" t="s">
        <v>262</v>
      </c>
      <c r="BO1677" t="s">
        <v>261</v>
      </c>
      <c r="BQ1677">
        <v>7</v>
      </c>
      <c r="BV1677" t="s">
        <v>263</v>
      </c>
      <c r="CM1677" t="s">
        <v>264</v>
      </c>
      <c r="CN1677" t="s">
        <v>264</v>
      </c>
      <c r="CP1677" t="s">
        <v>265</v>
      </c>
      <c r="CQ1677" t="s">
        <v>538</v>
      </c>
      <c r="DB1677">
        <v>2</v>
      </c>
      <c r="DG1677" t="s">
        <v>267</v>
      </c>
      <c r="DI1677">
        <v>48</v>
      </c>
      <c r="DN1677" t="s">
        <v>268</v>
      </c>
      <c r="DP1677" t="s">
        <v>2185</v>
      </c>
      <c r="DR1677">
        <v>236572</v>
      </c>
      <c r="DS1677">
        <v>1940</v>
      </c>
      <c r="DT1677" t="s">
        <v>3288</v>
      </c>
      <c r="EW1677" t="s">
        <v>271</v>
      </c>
      <c r="FK1677" t="s">
        <v>3293</v>
      </c>
      <c r="FM1677">
        <v>5</v>
      </c>
      <c r="FR1677" t="s">
        <v>295</v>
      </c>
      <c r="GU1677">
        <v>4.5</v>
      </c>
      <c r="GZ1677" t="s">
        <v>296</v>
      </c>
      <c r="HH1677" t="s">
        <v>272</v>
      </c>
      <c r="ID1677" t="s">
        <v>3294</v>
      </c>
      <c r="IE1677" t="s">
        <v>3289</v>
      </c>
      <c r="IF1677">
        <v>6039</v>
      </c>
      <c r="IG1677" t="s">
        <v>3290</v>
      </c>
      <c r="IH1677" t="s">
        <v>3291</v>
      </c>
      <c r="II1677">
        <v>1987</v>
      </c>
      <c r="IJ1677" t="s">
        <v>3292</v>
      </c>
    </row>
    <row r="1678" spans="1:244" x14ac:dyDescent="0.45">
      <c r="A1678">
        <v>1186883</v>
      </c>
      <c r="B1678">
        <v>138624</v>
      </c>
      <c r="C1678">
        <v>7778509</v>
      </c>
      <c r="D1678" t="s">
        <v>3280</v>
      </c>
      <c r="F1678" t="s">
        <v>245</v>
      </c>
      <c r="G1678" t="s">
        <v>246</v>
      </c>
      <c r="N1678" t="s">
        <v>789</v>
      </c>
      <c r="O1678" t="s">
        <v>790</v>
      </c>
      <c r="P1678" t="s">
        <v>249</v>
      </c>
      <c r="Q1678" t="s">
        <v>250</v>
      </c>
      <c r="R1678" t="s">
        <v>251</v>
      </c>
      <c r="T1678" t="s">
        <v>252</v>
      </c>
      <c r="U1678" t="s">
        <v>253</v>
      </c>
      <c r="V1678" t="s">
        <v>418</v>
      </c>
      <c r="W1678" t="s">
        <v>791</v>
      </c>
      <c r="X1678" t="s">
        <v>792</v>
      </c>
      <c r="Z1678" t="s">
        <v>421</v>
      </c>
      <c r="AM1678" t="s">
        <v>258</v>
      </c>
      <c r="AN1678" t="s">
        <v>259</v>
      </c>
      <c r="AO1678" t="s">
        <v>260</v>
      </c>
      <c r="AQ1678" t="s">
        <v>261</v>
      </c>
      <c r="AS1678">
        <v>27500</v>
      </c>
      <c r="AX1678" t="s">
        <v>262</v>
      </c>
      <c r="BO1678" t="s">
        <v>261</v>
      </c>
      <c r="BQ1678">
        <v>27.5</v>
      </c>
      <c r="BV1678" t="s">
        <v>263</v>
      </c>
      <c r="CM1678" t="s">
        <v>264</v>
      </c>
      <c r="CN1678" t="s">
        <v>264</v>
      </c>
      <c r="CP1678" t="s">
        <v>265</v>
      </c>
      <c r="DB1678">
        <v>1</v>
      </c>
      <c r="DG1678" t="s">
        <v>267</v>
      </c>
      <c r="DI1678">
        <v>24</v>
      </c>
      <c r="DN1678" t="s">
        <v>268</v>
      </c>
      <c r="DR1678">
        <v>161924</v>
      </c>
      <c r="DS1678">
        <v>3045</v>
      </c>
      <c r="EW1678" t="s">
        <v>272</v>
      </c>
      <c r="FM1678">
        <v>28</v>
      </c>
      <c r="FR1678" t="s">
        <v>295</v>
      </c>
      <c r="GO1678">
        <v>8.1999999999999993</v>
      </c>
      <c r="GU1678">
        <v>32</v>
      </c>
      <c r="GZ1678" t="s">
        <v>296</v>
      </c>
      <c r="HH1678" t="s">
        <v>272</v>
      </c>
      <c r="IE1678" t="s">
        <v>1652</v>
      </c>
      <c r="IF1678">
        <v>16613</v>
      </c>
      <c r="IG1678" t="s">
        <v>1653</v>
      </c>
      <c r="IH1678" t="s">
        <v>1654</v>
      </c>
      <c r="II1678">
        <v>1994</v>
      </c>
      <c r="IJ1678" t="s">
        <v>1655</v>
      </c>
    </row>
    <row r="1679" spans="1:244" x14ac:dyDescent="0.45">
      <c r="A1679">
        <v>1174928</v>
      </c>
      <c r="B1679">
        <v>58774</v>
      </c>
      <c r="C1679">
        <v>7778509</v>
      </c>
      <c r="D1679" t="s">
        <v>3280</v>
      </c>
      <c r="F1679" t="s">
        <v>245</v>
      </c>
      <c r="G1679" t="s">
        <v>246</v>
      </c>
      <c r="N1679" t="s">
        <v>345</v>
      </c>
      <c r="O1679" t="s">
        <v>346</v>
      </c>
      <c r="P1679" t="s">
        <v>249</v>
      </c>
      <c r="Q1679" t="s">
        <v>250</v>
      </c>
      <c r="R1679" t="s">
        <v>251</v>
      </c>
      <c r="T1679" t="s">
        <v>347</v>
      </c>
      <c r="U1679" t="s">
        <v>348</v>
      </c>
      <c r="V1679" t="s">
        <v>349</v>
      </c>
      <c r="W1679" t="s">
        <v>350</v>
      </c>
      <c r="X1679" t="s">
        <v>351</v>
      </c>
      <c r="Z1679" t="s">
        <v>284</v>
      </c>
      <c r="AD1679">
        <v>2</v>
      </c>
      <c r="AF1679">
        <v>3</v>
      </c>
      <c r="AG1679" t="s">
        <v>1409</v>
      </c>
      <c r="AM1679" t="s">
        <v>317</v>
      </c>
      <c r="AN1679" t="s">
        <v>259</v>
      </c>
      <c r="AO1679" t="s">
        <v>260</v>
      </c>
      <c r="AQ1679" t="s">
        <v>261</v>
      </c>
      <c r="AS1679">
        <v>10000</v>
      </c>
      <c r="AU1679">
        <v>8600</v>
      </c>
      <c r="AW1679">
        <v>12200</v>
      </c>
      <c r="AX1679" t="s">
        <v>262</v>
      </c>
      <c r="BO1679" t="s">
        <v>261</v>
      </c>
      <c r="BQ1679">
        <v>10</v>
      </c>
      <c r="BS1679">
        <v>8.6</v>
      </c>
      <c r="BU1679">
        <v>12.2</v>
      </c>
      <c r="BV1679" t="s">
        <v>263</v>
      </c>
      <c r="CM1679" t="s">
        <v>264</v>
      </c>
      <c r="CN1679" t="s">
        <v>264</v>
      </c>
      <c r="CP1679" t="s">
        <v>265</v>
      </c>
      <c r="DB1679">
        <v>1</v>
      </c>
      <c r="DG1679" t="s">
        <v>267</v>
      </c>
      <c r="DI1679">
        <v>24</v>
      </c>
      <c r="DN1679" t="s">
        <v>268</v>
      </c>
      <c r="DR1679">
        <v>6660</v>
      </c>
      <c r="DS1679">
        <v>421</v>
      </c>
      <c r="EW1679" t="s">
        <v>271</v>
      </c>
      <c r="FK1679" t="s">
        <v>3322</v>
      </c>
      <c r="FM1679">
        <v>25</v>
      </c>
      <c r="FR1679" t="s">
        <v>295</v>
      </c>
      <c r="GO1679">
        <v>7.5</v>
      </c>
      <c r="GU1679">
        <v>35</v>
      </c>
      <c r="GZ1679" t="s">
        <v>296</v>
      </c>
      <c r="HH1679" t="s">
        <v>272</v>
      </c>
      <c r="ID1679" t="s">
        <v>3323</v>
      </c>
      <c r="IE1679" t="s">
        <v>3298</v>
      </c>
      <c r="IF1679">
        <v>15178</v>
      </c>
      <c r="IG1679" t="s">
        <v>3299</v>
      </c>
      <c r="IH1679" t="s">
        <v>3300</v>
      </c>
      <c r="II1679">
        <v>1980</v>
      </c>
      <c r="IJ1679" t="s">
        <v>3301</v>
      </c>
    </row>
    <row r="1680" spans="1:244" x14ac:dyDescent="0.45">
      <c r="A1680">
        <v>1035066</v>
      </c>
      <c r="B1680">
        <v>107213</v>
      </c>
      <c r="C1680">
        <v>7778509</v>
      </c>
      <c r="D1680" t="s">
        <v>3280</v>
      </c>
      <c r="F1680" t="s">
        <v>245</v>
      </c>
      <c r="G1680" t="s">
        <v>246</v>
      </c>
      <c r="N1680" t="s">
        <v>452</v>
      </c>
      <c r="O1680" t="s">
        <v>346</v>
      </c>
      <c r="P1680" t="s">
        <v>249</v>
      </c>
      <c r="Q1680" t="s">
        <v>250</v>
      </c>
      <c r="R1680" t="s">
        <v>251</v>
      </c>
      <c r="T1680" t="s">
        <v>347</v>
      </c>
      <c r="U1680" t="s">
        <v>348</v>
      </c>
      <c r="V1680" t="s">
        <v>349</v>
      </c>
      <c r="W1680" t="s">
        <v>350</v>
      </c>
      <c r="X1680" t="s">
        <v>453</v>
      </c>
      <c r="AD1680">
        <v>2</v>
      </c>
      <c r="AF1680">
        <v>3</v>
      </c>
      <c r="AG1680" t="s">
        <v>1409</v>
      </c>
      <c r="AL1680" t="s">
        <v>3316</v>
      </c>
      <c r="AM1680" t="s">
        <v>317</v>
      </c>
      <c r="AN1680" t="s">
        <v>259</v>
      </c>
      <c r="AO1680" t="s">
        <v>260</v>
      </c>
      <c r="AQ1680" t="s">
        <v>261</v>
      </c>
      <c r="AS1680">
        <v>31000</v>
      </c>
      <c r="AU1680">
        <v>26800</v>
      </c>
      <c r="AW1680">
        <v>35800</v>
      </c>
      <c r="AX1680" t="s">
        <v>262</v>
      </c>
      <c r="BO1680" t="s">
        <v>261</v>
      </c>
      <c r="BQ1680">
        <v>31</v>
      </c>
      <c r="BS1680">
        <v>26.8</v>
      </c>
      <c r="BU1680">
        <v>35.799999999999997</v>
      </c>
      <c r="BV1680" t="s">
        <v>263</v>
      </c>
      <c r="CM1680" t="s">
        <v>264</v>
      </c>
      <c r="CN1680" t="s">
        <v>264</v>
      </c>
      <c r="CP1680" t="s">
        <v>265</v>
      </c>
      <c r="CQ1680" t="s">
        <v>538</v>
      </c>
      <c r="DB1680">
        <v>1</v>
      </c>
      <c r="DG1680" t="s">
        <v>267</v>
      </c>
      <c r="DI1680">
        <v>24</v>
      </c>
      <c r="DN1680" t="s">
        <v>268</v>
      </c>
      <c r="DR1680">
        <v>85549</v>
      </c>
      <c r="DS1680">
        <v>366</v>
      </c>
      <c r="DT1680" t="s">
        <v>3317</v>
      </c>
      <c r="EW1680" t="s">
        <v>271</v>
      </c>
      <c r="FM1680">
        <v>25</v>
      </c>
      <c r="FR1680" t="s">
        <v>295</v>
      </c>
      <c r="GU1680">
        <v>50</v>
      </c>
      <c r="GZ1680" t="s">
        <v>296</v>
      </c>
      <c r="HH1680" t="s">
        <v>272</v>
      </c>
      <c r="IE1680" t="s">
        <v>3318</v>
      </c>
      <c r="IF1680">
        <v>2151</v>
      </c>
      <c r="IG1680" t="s">
        <v>3319</v>
      </c>
      <c r="IH1680" t="s">
        <v>3320</v>
      </c>
      <c r="II1680">
        <v>1989</v>
      </c>
      <c r="IJ1680" t="s">
        <v>3321</v>
      </c>
    </row>
    <row r="1681" spans="1:244" x14ac:dyDescent="0.45">
      <c r="A1681">
        <v>1325199</v>
      </c>
      <c r="B1681">
        <v>784471</v>
      </c>
      <c r="C1681">
        <v>7778509</v>
      </c>
      <c r="D1681" t="s">
        <v>3280</v>
      </c>
      <c r="E1681" t="s">
        <v>622</v>
      </c>
      <c r="F1681" t="s">
        <v>245</v>
      </c>
      <c r="G1681" t="s">
        <v>246</v>
      </c>
      <c r="I1681">
        <v>99</v>
      </c>
      <c r="N1681" t="s">
        <v>1298</v>
      </c>
      <c r="O1681" t="s">
        <v>1299</v>
      </c>
      <c r="P1681" t="s">
        <v>249</v>
      </c>
      <c r="Q1681" t="s">
        <v>250</v>
      </c>
      <c r="R1681" t="s">
        <v>251</v>
      </c>
      <c r="T1681" t="s">
        <v>252</v>
      </c>
      <c r="U1681" t="s">
        <v>371</v>
      </c>
      <c r="V1681" t="s">
        <v>372</v>
      </c>
      <c r="W1681" t="s">
        <v>1300</v>
      </c>
      <c r="X1681" t="s">
        <v>1301</v>
      </c>
      <c r="Z1681" t="s">
        <v>649</v>
      </c>
      <c r="AD1681">
        <v>2</v>
      </c>
      <c r="AF1681">
        <v>3</v>
      </c>
      <c r="AG1681" t="s">
        <v>267</v>
      </c>
      <c r="AM1681" t="s">
        <v>317</v>
      </c>
      <c r="AN1681" t="s">
        <v>259</v>
      </c>
      <c r="AO1681" t="s">
        <v>260</v>
      </c>
      <c r="AP1681" t="s">
        <v>559</v>
      </c>
      <c r="AQ1681" t="s">
        <v>261</v>
      </c>
      <c r="AS1681">
        <v>2.15</v>
      </c>
      <c r="AX1681" t="s">
        <v>356</v>
      </c>
      <c r="BO1681" t="s">
        <v>261</v>
      </c>
      <c r="BQ1681">
        <v>2.15</v>
      </c>
      <c r="BV1681" t="s">
        <v>263</v>
      </c>
      <c r="CM1681" t="s">
        <v>264</v>
      </c>
      <c r="CN1681" t="s">
        <v>264</v>
      </c>
      <c r="CP1681" t="s">
        <v>265</v>
      </c>
      <c r="CQ1681" t="s">
        <v>3311</v>
      </c>
      <c r="DB1681">
        <v>4</v>
      </c>
      <c r="DG1681" t="s">
        <v>267</v>
      </c>
      <c r="DI1681">
        <v>96</v>
      </c>
      <c r="DN1681" t="s">
        <v>268</v>
      </c>
      <c r="DO1681" t="s">
        <v>1587</v>
      </c>
      <c r="DP1681" t="s">
        <v>3312</v>
      </c>
      <c r="DS1681">
        <v>20391</v>
      </c>
      <c r="DT1681" t="s">
        <v>1302</v>
      </c>
      <c r="EW1681" t="s">
        <v>293</v>
      </c>
      <c r="FA1681" t="s">
        <v>3380</v>
      </c>
      <c r="FK1681" t="s">
        <v>3392</v>
      </c>
      <c r="FM1681">
        <v>25</v>
      </c>
      <c r="FR1681" t="s">
        <v>295</v>
      </c>
      <c r="GG1681" t="s">
        <v>288</v>
      </c>
      <c r="GH1681">
        <v>80</v>
      </c>
      <c r="GM1681" t="s">
        <v>1224</v>
      </c>
      <c r="GQ1681">
        <v>7.5</v>
      </c>
      <c r="GS1681">
        <v>8.5</v>
      </c>
      <c r="GU1681">
        <v>25</v>
      </c>
      <c r="GZ1681" t="s">
        <v>900</v>
      </c>
      <c r="HH1681" t="s">
        <v>272</v>
      </c>
      <c r="ID1681" t="s">
        <v>3393</v>
      </c>
      <c r="IE1681" t="s">
        <v>1306</v>
      </c>
      <c r="IF1681">
        <v>117932</v>
      </c>
      <c r="IG1681" t="s">
        <v>1307</v>
      </c>
      <c r="IH1681" t="s">
        <v>1308</v>
      </c>
      <c r="II1681">
        <v>2008</v>
      </c>
      <c r="IJ1681" t="s">
        <v>1309</v>
      </c>
    </row>
    <row r="1682" spans="1:244" x14ac:dyDescent="0.45">
      <c r="A1682">
        <v>1186881</v>
      </c>
      <c r="B1682">
        <v>138622</v>
      </c>
      <c r="C1682">
        <v>7778509</v>
      </c>
      <c r="D1682" t="s">
        <v>3280</v>
      </c>
      <c r="F1682" t="s">
        <v>245</v>
      </c>
      <c r="G1682" t="s">
        <v>246</v>
      </c>
      <c r="N1682" t="s">
        <v>789</v>
      </c>
      <c r="O1682" t="s">
        <v>790</v>
      </c>
      <c r="P1682" t="s">
        <v>249</v>
      </c>
      <c r="Q1682" t="s">
        <v>250</v>
      </c>
      <c r="R1682" t="s">
        <v>251</v>
      </c>
      <c r="T1682" t="s">
        <v>252</v>
      </c>
      <c r="U1682" t="s">
        <v>253</v>
      </c>
      <c r="V1682" t="s">
        <v>418</v>
      </c>
      <c r="W1682" t="s">
        <v>791</v>
      </c>
      <c r="X1682" t="s">
        <v>792</v>
      </c>
      <c r="Z1682" t="s">
        <v>284</v>
      </c>
      <c r="AL1682" t="s">
        <v>1663</v>
      </c>
      <c r="AM1682" t="s">
        <v>258</v>
      </c>
      <c r="AN1682" t="s">
        <v>259</v>
      </c>
      <c r="AO1682" t="s">
        <v>260</v>
      </c>
      <c r="AQ1682" t="s">
        <v>261</v>
      </c>
      <c r="AS1682">
        <v>15380</v>
      </c>
      <c r="AX1682" t="s">
        <v>262</v>
      </c>
      <c r="BO1682" t="s">
        <v>261</v>
      </c>
      <c r="BQ1682">
        <v>15.38</v>
      </c>
      <c r="BV1682" t="s">
        <v>263</v>
      </c>
      <c r="CM1682" t="s">
        <v>264</v>
      </c>
      <c r="CN1682" t="s">
        <v>264</v>
      </c>
      <c r="CP1682" t="s">
        <v>265</v>
      </c>
      <c r="DB1682">
        <v>1</v>
      </c>
      <c r="DG1682" t="s">
        <v>267</v>
      </c>
      <c r="DI1682">
        <v>24</v>
      </c>
      <c r="DN1682" t="s">
        <v>268</v>
      </c>
      <c r="DR1682">
        <v>161924</v>
      </c>
      <c r="DS1682">
        <v>3045</v>
      </c>
      <c r="EW1682" t="s">
        <v>272</v>
      </c>
      <c r="FM1682">
        <v>28</v>
      </c>
      <c r="FR1682" t="s">
        <v>295</v>
      </c>
      <c r="GO1682">
        <v>8.1999999999999993</v>
      </c>
      <c r="GU1682">
        <v>32</v>
      </c>
      <c r="GZ1682" t="s">
        <v>296</v>
      </c>
      <c r="HH1682" t="s">
        <v>272</v>
      </c>
      <c r="IE1682" t="s">
        <v>1652</v>
      </c>
      <c r="IF1682">
        <v>16613</v>
      </c>
      <c r="IG1682" t="s">
        <v>1653</v>
      </c>
      <c r="IH1682" t="s">
        <v>1654</v>
      </c>
      <c r="II1682">
        <v>1994</v>
      </c>
      <c r="IJ1682" t="s">
        <v>1655</v>
      </c>
    </row>
    <row r="1683" spans="1:244" x14ac:dyDescent="0.45">
      <c r="A1683">
        <v>1035061</v>
      </c>
      <c r="B1683">
        <v>107208</v>
      </c>
      <c r="C1683">
        <v>7778509</v>
      </c>
      <c r="D1683" t="s">
        <v>3280</v>
      </c>
      <c r="F1683" t="s">
        <v>245</v>
      </c>
      <c r="G1683" t="s">
        <v>246</v>
      </c>
      <c r="N1683" t="s">
        <v>452</v>
      </c>
      <c r="O1683" t="s">
        <v>346</v>
      </c>
      <c r="P1683" t="s">
        <v>249</v>
      </c>
      <c r="Q1683" t="s">
        <v>250</v>
      </c>
      <c r="R1683" t="s">
        <v>251</v>
      </c>
      <c r="T1683" t="s">
        <v>347</v>
      </c>
      <c r="U1683" t="s">
        <v>348</v>
      </c>
      <c r="V1683" t="s">
        <v>349</v>
      </c>
      <c r="W1683" t="s">
        <v>350</v>
      </c>
      <c r="X1683" t="s">
        <v>453</v>
      </c>
      <c r="AD1683">
        <v>2</v>
      </c>
      <c r="AF1683">
        <v>3</v>
      </c>
      <c r="AG1683" t="s">
        <v>1409</v>
      </c>
      <c r="AL1683" t="s">
        <v>3316</v>
      </c>
      <c r="AM1683" t="s">
        <v>317</v>
      </c>
      <c r="AN1683" t="s">
        <v>259</v>
      </c>
      <c r="AO1683" t="s">
        <v>260</v>
      </c>
      <c r="AQ1683" t="s">
        <v>261</v>
      </c>
      <c r="AS1683">
        <v>22200</v>
      </c>
      <c r="AU1683">
        <v>19000</v>
      </c>
      <c r="AW1683">
        <v>26200</v>
      </c>
      <c r="AX1683" t="s">
        <v>262</v>
      </c>
      <c r="BO1683" t="s">
        <v>261</v>
      </c>
      <c r="BQ1683">
        <v>22.2</v>
      </c>
      <c r="BS1683">
        <v>19</v>
      </c>
      <c r="BU1683">
        <v>26.2</v>
      </c>
      <c r="BV1683" t="s">
        <v>263</v>
      </c>
      <c r="CM1683" t="s">
        <v>264</v>
      </c>
      <c r="CN1683" t="s">
        <v>264</v>
      </c>
      <c r="CP1683" t="s">
        <v>265</v>
      </c>
      <c r="CQ1683" t="s">
        <v>538</v>
      </c>
      <c r="DB1683">
        <v>1</v>
      </c>
      <c r="DG1683" t="s">
        <v>267</v>
      </c>
      <c r="DI1683">
        <v>24</v>
      </c>
      <c r="DN1683" t="s">
        <v>268</v>
      </c>
      <c r="DR1683">
        <v>85549</v>
      </c>
      <c r="DS1683">
        <v>366</v>
      </c>
      <c r="DT1683" t="s">
        <v>3317</v>
      </c>
      <c r="EW1683" t="s">
        <v>271</v>
      </c>
      <c r="FM1683">
        <v>25</v>
      </c>
      <c r="FR1683" t="s">
        <v>295</v>
      </c>
      <c r="GU1683">
        <v>35</v>
      </c>
      <c r="GZ1683" t="s">
        <v>296</v>
      </c>
      <c r="HH1683" t="s">
        <v>272</v>
      </c>
      <c r="IE1683" t="s">
        <v>3318</v>
      </c>
      <c r="IF1683">
        <v>2151</v>
      </c>
      <c r="IG1683" t="s">
        <v>3319</v>
      </c>
      <c r="IH1683" t="s">
        <v>3320</v>
      </c>
      <c r="II1683">
        <v>1989</v>
      </c>
      <c r="IJ1683" t="s">
        <v>3321</v>
      </c>
    </row>
    <row r="1684" spans="1:244" x14ac:dyDescent="0.45">
      <c r="A1684">
        <v>2306132</v>
      </c>
      <c r="B1684">
        <v>2737279</v>
      </c>
      <c r="C1684">
        <v>7778509</v>
      </c>
      <c r="D1684" t="s">
        <v>3280</v>
      </c>
      <c r="E1684" t="s">
        <v>811</v>
      </c>
      <c r="F1684" t="s">
        <v>327</v>
      </c>
      <c r="G1684" t="s">
        <v>1550</v>
      </c>
      <c r="N1684" t="s">
        <v>369</v>
      </c>
      <c r="O1684" t="s">
        <v>370</v>
      </c>
      <c r="P1684" t="s">
        <v>249</v>
      </c>
      <c r="Q1684" t="s">
        <v>250</v>
      </c>
      <c r="R1684" t="s">
        <v>251</v>
      </c>
      <c r="T1684" t="s">
        <v>252</v>
      </c>
      <c r="U1684" t="s">
        <v>371</v>
      </c>
      <c r="V1684" t="s">
        <v>372</v>
      </c>
      <c r="W1684" t="s">
        <v>373</v>
      </c>
      <c r="X1684" t="s">
        <v>374</v>
      </c>
      <c r="Z1684" t="s">
        <v>421</v>
      </c>
      <c r="AB1684">
        <v>24</v>
      </c>
      <c r="AG1684" t="s">
        <v>268</v>
      </c>
      <c r="AI1684">
        <v>6</v>
      </c>
      <c r="AJ1684" t="s">
        <v>354</v>
      </c>
      <c r="AM1684" t="s">
        <v>307</v>
      </c>
      <c r="AN1684" t="s">
        <v>259</v>
      </c>
      <c r="AO1684" t="s">
        <v>260</v>
      </c>
      <c r="AP1684">
        <v>5</v>
      </c>
      <c r="AQ1684" t="s">
        <v>261</v>
      </c>
      <c r="AS1684">
        <v>2030</v>
      </c>
      <c r="AU1684">
        <v>1560</v>
      </c>
      <c r="AW1684">
        <v>2450</v>
      </c>
      <c r="AX1684" t="s">
        <v>262</v>
      </c>
      <c r="BO1684" t="s">
        <v>261</v>
      </c>
      <c r="BQ1684">
        <v>2.0299999999999998</v>
      </c>
      <c r="BS1684">
        <v>1.56</v>
      </c>
      <c r="BU1684">
        <v>2.4500000000000002</v>
      </c>
      <c r="BV1684" t="s">
        <v>263</v>
      </c>
      <c r="CM1684" t="s">
        <v>264</v>
      </c>
      <c r="CN1684" t="s">
        <v>264</v>
      </c>
      <c r="CP1684" t="s">
        <v>265</v>
      </c>
      <c r="CQ1684" t="s">
        <v>538</v>
      </c>
      <c r="DB1684">
        <v>4</v>
      </c>
      <c r="DG1684" t="s">
        <v>267</v>
      </c>
      <c r="DI1684">
        <v>96</v>
      </c>
      <c r="DN1684" t="s">
        <v>268</v>
      </c>
      <c r="DP1684" t="s">
        <v>3281</v>
      </c>
      <c r="DR1684">
        <v>110441</v>
      </c>
      <c r="DS1684">
        <v>142</v>
      </c>
      <c r="DT1684" t="s">
        <v>1551</v>
      </c>
      <c r="DV1684">
        <v>96</v>
      </c>
      <c r="EA1684" t="s">
        <v>268</v>
      </c>
      <c r="EC1684">
        <v>4</v>
      </c>
      <c r="EH1684" t="s">
        <v>267</v>
      </c>
      <c r="EJ1684">
        <v>96</v>
      </c>
      <c r="EO1684" t="s">
        <v>268</v>
      </c>
      <c r="EQ1684">
        <v>4</v>
      </c>
      <c r="EV1684" t="s">
        <v>267</v>
      </c>
      <c r="EW1684" t="s">
        <v>293</v>
      </c>
      <c r="EY1684" t="s">
        <v>377</v>
      </c>
      <c r="EZ1684">
        <v>5</v>
      </c>
      <c r="FA1684" t="s">
        <v>1552</v>
      </c>
      <c r="FO1684">
        <v>20</v>
      </c>
      <c r="FQ1684">
        <v>25</v>
      </c>
      <c r="FR1684" t="s">
        <v>295</v>
      </c>
      <c r="GQ1684">
        <v>7.8</v>
      </c>
      <c r="GS1684">
        <v>8.1999999999999993</v>
      </c>
      <c r="GU1684">
        <v>30</v>
      </c>
      <c r="GZ1684" t="s">
        <v>296</v>
      </c>
      <c r="HH1684" t="s">
        <v>272</v>
      </c>
      <c r="ID1684" t="s">
        <v>1553</v>
      </c>
      <c r="IE1684" t="s">
        <v>1554</v>
      </c>
      <c r="IF1684">
        <v>11331</v>
      </c>
      <c r="IG1684" t="s">
        <v>1555</v>
      </c>
      <c r="IH1684" t="s">
        <v>1556</v>
      </c>
      <c r="II1684">
        <v>1985</v>
      </c>
      <c r="IJ1684" t="s">
        <v>1557</v>
      </c>
    </row>
    <row r="1685" spans="1:244" x14ac:dyDescent="0.45">
      <c r="A1685">
        <v>1141767</v>
      </c>
      <c r="B1685">
        <v>105359</v>
      </c>
      <c r="C1685">
        <v>7778509</v>
      </c>
      <c r="D1685" t="s">
        <v>3280</v>
      </c>
      <c r="F1685" t="s">
        <v>245</v>
      </c>
      <c r="G1685" t="s">
        <v>246</v>
      </c>
      <c r="N1685" t="s">
        <v>2183</v>
      </c>
      <c r="O1685" t="s">
        <v>498</v>
      </c>
      <c r="P1685" t="s">
        <v>249</v>
      </c>
      <c r="Q1685" t="s">
        <v>250</v>
      </c>
      <c r="R1685" t="s">
        <v>251</v>
      </c>
      <c r="T1685" t="s">
        <v>252</v>
      </c>
      <c r="U1685" t="s">
        <v>499</v>
      </c>
      <c r="V1685" t="s">
        <v>1281</v>
      </c>
      <c r="W1685" t="s">
        <v>1282</v>
      </c>
      <c r="X1685" t="s">
        <v>2184</v>
      </c>
      <c r="AM1685" t="s">
        <v>317</v>
      </c>
      <c r="AN1685" t="s">
        <v>259</v>
      </c>
      <c r="AO1685" t="s">
        <v>260</v>
      </c>
      <c r="AQ1685" t="s">
        <v>261</v>
      </c>
      <c r="AS1685">
        <v>16000</v>
      </c>
      <c r="AX1685" t="s">
        <v>262</v>
      </c>
      <c r="BO1685" t="s">
        <v>261</v>
      </c>
      <c r="BQ1685">
        <v>16</v>
      </c>
      <c r="BV1685" t="s">
        <v>263</v>
      </c>
      <c r="CM1685" t="s">
        <v>264</v>
      </c>
      <c r="CN1685" t="s">
        <v>264</v>
      </c>
      <c r="CP1685" t="s">
        <v>265</v>
      </c>
      <c r="CQ1685" t="s">
        <v>538</v>
      </c>
      <c r="DB1685">
        <v>2</v>
      </c>
      <c r="DG1685" t="s">
        <v>267</v>
      </c>
      <c r="DI1685">
        <v>48</v>
      </c>
      <c r="DN1685" t="s">
        <v>268</v>
      </c>
      <c r="DP1685" t="s">
        <v>2185</v>
      </c>
      <c r="DR1685">
        <v>371472</v>
      </c>
      <c r="DS1685">
        <v>1342</v>
      </c>
      <c r="DT1685" t="s">
        <v>3394</v>
      </c>
      <c r="EW1685" t="s">
        <v>271</v>
      </c>
      <c r="FM1685">
        <v>5</v>
      </c>
      <c r="FR1685" t="s">
        <v>295</v>
      </c>
      <c r="GU1685">
        <v>10</v>
      </c>
      <c r="GZ1685" t="s">
        <v>296</v>
      </c>
      <c r="HH1685" t="s">
        <v>272</v>
      </c>
      <c r="IE1685" t="s">
        <v>3395</v>
      </c>
      <c r="IF1685">
        <v>11873</v>
      </c>
      <c r="IG1685" t="s">
        <v>3396</v>
      </c>
      <c r="IH1685" t="s">
        <v>3397</v>
      </c>
      <c r="II1685">
        <v>1984</v>
      </c>
      <c r="IJ1685" t="s">
        <v>3398</v>
      </c>
    </row>
    <row r="1686" spans="1:244" x14ac:dyDescent="0.45">
      <c r="A1686">
        <v>1141779</v>
      </c>
      <c r="B1686">
        <v>106935</v>
      </c>
      <c r="C1686">
        <v>7778509</v>
      </c>
      <c r="D1686" t="s">
        <v>3280</v>
      </c>
      <c r="F1686" t="s">
        <v>245</v>
      </c>
      <c r="G1686" t="s">
        <v>246</v>
      </c>
      <c r="N1686" t="s">
        <v>2183</v>
      </c>
      <c r="O1686" t="s">
        <v>498</v>
      </c>
      <c r="P1686" t="s">
        <v>249</v>
      </c>
      <c r="Q1686" t="s">
        <v>250</v>
      </c>
      <c r="R1686" t="s">
        <v>251</v>
      </c>
      <c r="T1686" t="s">
        <v>252</v>
      </c>
      <c r="U1686" t="s">
        <v>499</v>
      </c>
      <c r="V1686" t="s">
        <v>1281</v>
      </c>
      <c r="W1686" t="s">
        <v>1282</v>
      </c>
      <c r="X1686" t="s">
        <v>2184</v>
      </c>
      <c r="AM1686" t="s">
        <v>317</v>
      </c>
      <c r="AN1686" t="s">
        <v>259</v>
      </c>
      <c r="AO1686" t="s">
        <v>260</v>
      </c>
      <c r="AQ1686" t="s">
        <v>261</v>
      </c>
      <c r="AS1686">
        <v>90000</v>
      </c>
      <c r="AX1686" t="s">
        <v>262</v>
      </c>
      <c r="BO1686" t="s">
        <v>261</v>
      </c>
      <c r="BQ1686">
        <v>90</v>
      </c>
      <c r="BV1686" t="s">
        <v>263</v>
      </c>
      <c r="CM1686" t="s">
        <v>264</v>
      </c>
      <c r="CN1686" t="s">
        <v>264</v>
      </c>
      <c r="CP1686" t="s">
        <v>265</v>
      </c>
      <c r="CQ1686" t="s">
        <v>538</v>
      </c>
      <c r="DB1686">
        <v>2</v>
      </c>
      <c r="DG1686" t="s">
        <v>267</v>
      </c>
      <c r="DI1686">
        <v>48</v>
      </c>
      <c r="DN1686" t="s">
        <v>268</v>
      </c>
      <c r="DP1686" t="s">
        <v>2185</v>
      </c>
      <c r="DR1686">
        <v>371472</v>
      </c>
      <c r="DS1686">
        <v>1342</v>
      </c>
      <c r="DT1686" t="s">
        <v>3394</v>
      </c>
      <c r="EW1686" t="s">
        <v>271</v>
      </c>
      <c r="FM1686">
        <v>10</v>
      </c>
      <c r="FR1686" t="s">
        <v>295</v>
      </c>
      <c r="GU1686">
        <v>40</v>
      </c>
      <c r="GZ1686" t="s">
        <v>296</v>
      </c>
      <c r="HH1686" t="s">
        <v>272</v>
      </c>
      <c r="IE1686" t="s">
        <v>3395</v>
      </c>
      <c r="IF1686">
        <v>11873</v>
      </c>
      <c r="IG1686" t="s">
        <v>3396</v>
      </c>
      <c r="IH1686" t="s">
        <v>3397</v>
      </c>
      <c r="II1686">
        <v>1984</v>
      </c>
      <c r="IJ1686" t="s">
        <v>3398</v>
      </c>
    </row>
    <row r="1687" spans="1:244" x14ac:dyDescent="0.45">
      <c r="A1687">
        <v>1201121</v>
      </c>
      <c r="B1687">
        <v>160584</v>
      </c>
      <c r="C1687">
        <v>7778509</v>
      </c>
      <c r="D1687" t="s">
        <v>3280</v>
      </c>
      <c r="F1687" t="s">
        <v>245</v>
      </c>
      <c r="G1687" t="s">
        <v>246</v>
      </c>
      <c r="N1687" t="s">
        <v>566</v>
      </c>
      <c r="O1687" t="s">
        <v>388</v>
      </c>
      <c r="P1687" t="s">
        <v>249</v>
      </c>
      <c r="Q1687" t="s">
        <v>250</v>
      </c>
      <c r="R1687" t="s">
        <v>251</v>
      </c>
      <c r="T1687" t="s">
        <v>389</v>
      </c>
      <c r="U1687" t="s">
        <v>390</v>
      </c>
      <c r="V1687" t="s">
        <v>567</v>
      </c>
      <c r="W1687" t="s">
        <v>568</v>
      </c>
      <c r="X1687" t="s">
        <v>569</v>
      </c>
      <c r="Z1687" t="s">
        <v>649</v>
      </c>
      <c r="AM1687" t="s">
        <v>287</v>
      </c>
      <c r="AN1687" t="s">
        <v>259</v>
      </c>
      <c r="AO1687" t="s">
        <v>260</v>
      </c>
      <c r="AQ1687" t="s">
        <v>261</v>
      </c>
      <c r="AS1687">
        <v>22000</v>
      </c>
      <c r="AX1687" t="s">
        <v>262</v>
      </c>
      <c r="BO1687" t="s">
        <v>261</v>
      </c>
      <c r="BQ1687">
        <v>22</v>
      </c>
      <c r="BV1687" t="s">
        <v>263</v>
      </c>
      <c r="CM1687" t="s">
        <v>264</v>
      </c>
      <c r="CN1687" t="s">
        <v>264</v>
      </c>
      <c r="CP1687" t="s">
        <v>265</v>
      </c>
      <c r="DB1687">
        <v>4</v>
      </c>
      <c r="DG1687" t="s">
        <v>267</v>
      </c>
      <c r="DI1687">
        <v>96</v>
      </c>
      <c r="DN1687" t="s">
        <v>268</v>
      </c>
      <c r="DS1687">
        <v>212</v>
      </c>
      <c r="DT1687" t="s">
        <v>3399</v>
      </c>
      <c r="EW1687" t="s">
        <v>293</v>
      </c>
      <c r="FM1687">
        <v>20</v>
      </c>
      <c r="FR1687" t="s">
        <v>295</v>
      </c>
      <c r="GU1687">
        <v>9</v>
      </c>
      <c r="GZ1687" t="s">
        <v>296</v>
      </c>
      <c r="HH1687" t="s">
        <v>272</v>
      </c>
      <c r="IE1687" t="s">
        <v>3400</v>
      </c>
      <c r="IF1687">
        <v>18307</v>
      </c>
      <c r="IG1687" t="s">
        <v>3401</v>
      </c>
      <c r="IH1687" t="s">
        <v>3402</v>
      </c>
      <c r="II1687">
        <v>1993</v>
      </c>
      <c r="IJ1687" t="s">
        <v>3403</v>
      </c>
    </row>
    <row r="1688" spans="1:244" x14ac:dyDescent="0.45">
      <c r="A1688">
        <v>1141766</v>
      </c>
      <c r="B1688">
        <v>105358</v>
      </c>
      <c r="C1688">
        <v>7778509</v>
      </c>
      <c r="D1688" t="s">
        <v>3280</v>
      </c>
      <c r="F1688" t="s">
        <v>245</v>
      </c>
      <c r="G1688" t="s">
        <v>246</v>
      </c>
      <c r="N1688" t="s">
        <v>2183</v>
      </c>
      <c r="O1688" t="s">
        <v>498</v>
      </c>
      <c r="P1688" t="s">
        <v>249</v>
      </c>
      <c r="Q1688" t="s">
        <v>250</v>
      </c>
      <c r="R1688" t="s">
        <v>251</v>
      </c>
      <c r="T1688" t="s">
        <v>252</v>
      </c>
      <c r="U1688" t="s">
        <v>499</v>
      </c>
      <c r="V1688" t="s">
        <v>1281</v>
      </c>
      <c r="W1688" t="s">
        <v>1282</v>
      </c>
      <c r="X1688" t="s">
        <v>2184</v>
      </c>
      <c r="AM1688" t="s">
        <v>317</v>
      </c>
      <c r="AN1688" t="s">
        <v>259</v>
      </c>
      <c r="AO1688" t="s">
        <v>260</v>
      </c>
      <c r="AQ1688" t="s">
        <v>261</v>
      </c>
      <c r="AS1688">
        <v>9500</v>
      </c>
      <c r="AX1688" t="s">
        <v>262</v>
      </c>
      <c r="BO1688" t="s">
        <v>261</v>
      </c>
      <c r="BQ1688">
        <v>9.5</v>
      </c>
      <c r="BV1688" t="s">
        <v>263</v>
      </c>
      <c r="CM1688" t="s">
        <v>264</v>
      </c>
      <c r="CN1688" t="s">
        <v>264</v>
      </c>
      <c r="CP1688" t="s">
        <v>265</v>
      </c>
      <c r="CQ1688" t="s">
        <v>538</v>
      </c>
      <c r="DB1688">
        <v>2</v>
      </c>
      <c r="DG1688" t="s">
        <v>267</v>
      </c>
      <c r="DI1688">
        <v>48</v>
      </c>
      <c r="DN1688" t="s">
        <v>268</v>
      </c>
      <c r="DP1688" t="s">
        <v>2185</v>
      </c>
      <c r="DR1688">
        <v>371472</v>
      </c>
      <c r="DS1688">
        <v>1342</v>
      </c>
      <c r="DT1688" t="s">
        <v>3394</v>
      </c>
      <c r="EW1688" t="s">
        <v>271</v>
      </c>
      <c r="FM1688">
        <v>5</v>
      </c>
      <c r="FR1688" t="s">
        <v>295</v>
      </c>
      <c r="GU1688">
        <v>5</v>
      </c>
      <c r="GZ1688" t="s">
        <v>296</v>
      </c>
      <c r="HH1688" t="s">
        <v>272</v>
      </c>
      <c r="IE1688" t="s">
        <v>3395</v>
      </c>
      <c r="IF1688">
        <v>11873</v>
      </c>
      <c r="IG1688" t="s">
        <v>3396</v>
      </c>
      <c r="IH1688" t="s">
        <v>3397</v>
      </c>
      <c r="II1688">
        <v>1984</v>
      </c>
      <c r="IJ1688" t="s">
        <v>3398</v>
      </c>
    </row>
    <row r="1689" spans="1:244" x14ac:dyDescent="0.45">
      <c r="A1689">
        <v>1141768</v>
      </c>
      <c r="B1689">
        <v>105360</v>
      </c>
      <c r="C1689">
        <v>7778509</v>
      </c>
      <c r="D1689" t="s">
        <v>3280</v>
      </c>
      <c r="F1689" t="s">
        <v>245</v>
      </c>
      <c r="G1689" t="s">
        <v>246</v>
      </c>
      <c r="N1689" t="s">
        <v>2183</v>
      </c>
      <c r="O1689" t="s">
        <v>498</v>
      </c>
      <c r="P1689" t="s">
        <v>249</v>
      </c>
      <c r="Q1689" t="s">
        <v>250</v>
      </c>
      <c r="R1689" t="s">
        <v>251</v>
      </c>
      <c r="T1689" t="s">
        <v>252</v>
      </c>
      <c r="U1689" t="s">
        <v>499</v>
      </c>
      <c r="V1689" t="s">
        <v>1281</v>
      </c>
      <c r="W1689" t="s">
        <v>1282</v>
      </c>
      <c r="X1689" t="s">
        <v>2184</v>
      </c>
      <c r="AM1689" t="s">
        <v>317</v>
      </c>
      <c r="AN1689" t="s">
        <v>259</v>
      </c>
      <c r="AO1689" t="s">
        <v>260</v>
      </c>
      <c r="AQ1689" t="s">
        <v>261</v>
      </c>
      <c r="AS1689">
        <v>34000</v>
      </c>
      <c r="AX1689" t="s">
        <v>262</v>
      </c>
      <c r="BO1689" t="s">
        <v>261</v>
      </c>
      <c r="BQ1689">
        <v>34</v>
      </c>
      <c r="BV1689" t="s">
        <v>263</v>
      </c>
      <c r="CM1689" t="s">
        <v>264</v>
      </c>
      <c r="CN1689" t="s">
        <v>264</v>
      </c>
      <c r="CP1689" t="s">
        <v>265</v>
      </c>
      <c r="CQ1689" t="s">
        <v>538</v>
      </c>
      <c r="DB1689">
        <v>2</v>
      </c>
      <c r="DG1689" t="s">
        <v>267</v>
      </c>
      <c r="DI1689">
        <v>48</v>
      </c>
      <c r="DN1689" t="s">
        <v>268</v>
      </c>
      <c r="DP1689" t="s">
        <v>2185</v>
      </c>
      <c r="DR1689">
        <v>371472</v>
      </c>
      <c r="DS1689">
        <v>1342</v>
      </c>
      <c r="DT1689" t="s">
        <v>3394</v>
      </c>
      <c r="EW1689" t="s">
        <v>271</v>
      </c>
      <c r="FM1689">
        <v>5</v>
      </c>
      <c r="FR1689" t="s">
        <v>295</v>
      </c>
      <c r="GU1689">
        <v>15</v>
      </c>
      <c r="GZ1689" t="s">
        <v>296</v>
      </c>
      <c r="HH1689" t="s">
        <v>272</v>
      </c>
      <c r="IE1689" t="s">
        <v>3395</v>
      </c>
      <c r="IF1689">
        <v>11873</v>
      </c>
      <c r="IG1689" t="s">
        <v>3396</v>
      </c>
      <c r="IH1689" t="s">
        <v>3397</v>
      </c>
      <c r="II1689">
        <v>1984</v>
      </c>
      <c r="IJ1689" t="s">
        <v>3398</v>
      </c>
    </row>
    <row r="1690" spans="1:244" x14ac:dyDescent="0.45">
      <c r="A1690">
        <v>1201115</v>
      </c>
      <c r="B1690">
        <v>160578</v>
      </c>
      <c r="C1690">
        <v>7778509</v>
      </c>
      <c r="D1690" t="s">
        <v>3280</v>
      </c>
      <c r="F1690" t="s">
        <v>245</v>
      </c>
      <c r="G1690" t="s">
        <v>246</v>
      </c>
      <c r="N1690" t="s">
        <v>566</v>
      </c>
      <c r="O1690" t="s">
        <v>388</v>
      </c>
      <c r="P1690" t="s">
        <v>249</v>
      </c>
      <c r="Q1690" t="s">
        <v>250</v>
      </c>
      <c r="R1690" t="s">
        <v>251</v>
      </c>
      <c r="T1690" t="s">
        <v>389</v>
      </c>
      <c r="U1690" t="s">
        <v>390</v>
      </c>
      <c r="V1690" t="s">
        <v>567</v>
      </c>
      <c r="W1690" t="s">
        <v>568</v>
      </c>
      <c r="X1690" t="s">
        <v>569</v>
      </c>
      <c r="Z1690" t="s">
        <v>649</v>
      </c>
      <c r="AM1690" t="s">
        <v>287</v>
      </c>
      <c r="AN1690" t="s">
        <v>259</v>
      </c>
      <c r="AO1690" t="s">
        <v>260</v>
      </c>
      <c r="AQ1690" t="s">
        <v>261</v>
      </c>
      <c r="AR1690" t="s">
        <v>288</v>
      </c>
      <c r="AS1690">
        <v>80000</v>
      </c>
      <c r="AX1690" t="s">
        <v>262</v>
      </c>
      <c r="BO1690" t="s">
        <v>261</v>
      </c>
      <c r="BP1690" t="s">
        <v>288</v>
      </c>
      <c r="BQ1690">
        <v>80</v>
      </c>
      <c r="BV1690" t="s">
        <v>263</v>
      </c>
      <c r="CM1690" t="s">
        <v>264</v>
      </c>
      <c r="CN1690" t="s">
        <v>264</v>
      </c>
      <c r="CP1690" t="s">
        <v>265</v>
      </c>
      <c r="DB1690">
        <v>3</v>
      </c>
      <c r="DG1690" t="s">
        <v>267</v>
      </c>
      <c r="DI1690">
        <v>72</v>
      </c>
      <c r="DN1690" t="s">
        <v>268</v>
      </c>
      <c r="DS1690">
        <v>212</v>
      </c>
      <c r="DT1690" t="s">
        <v>3399</v>
      </c>
      <c r="EW1690" t="s">
        <v>293</v>
      </c>
      <c r="FM1690">
        <v>20</v>
      </c>
      <c r="FR1690" t="s">
        <v>295</v>
      </c>
      <c r="GU1690">
        <v>27</v>
      </c>
      <c r="GZ1690" t="s">
        <v>296</v>
      </c>
      <c r="HH1690" t="s">
        <v>272</v>
      </c>
      <c r="IE1690" t="s">
        <v>3400</v>
      </c>
      <c r="IF1690">
        <v>18307</v>
      </c>
      <c r="IG1690" t="s">
        <v>3401</v>
      </c>
      <c r="IH1690" t="s">
        <v>3402</v>
      </c>
      <c r="II1690">
        <v>1993</v>
      </c>
      <c r="IJ1690" t="s">
        <v>3403</v>
      </c>
    </row>
    <row r="1691" spans="1:244" x14ac:dyDescent="0.45">
      <c r="A1691">
        <v>1201116</v>
      </c>
      <c r="B1691">
        <v>160579</v>
      </c>
      <c r="C1691">
        <v>7778509</v>
      </c>
      <c r="D1691" t="s">
        <v>3280</v>
      </c>
      <c r="F1691" t="s">
        <v>245</v>
      </c>
      <c r="G1691" t="s">
        <v>246</v>
      </c>
      <c r="N1691" t="s">
        <v>566</v>
      </c>
      <c r="O1691" t="s">
        <v>388</v>
      </c>
      <c r="P1691" t="s">
        <v>249</v>
      </c>
      <c r="Q1691" t="s">
        <v>250</v>
      </c>
      <c r="R1691" t="s">
        <v>251</v>
      </c>
      <c r="T1691" t="s">
        <v>389</v>
      </c>
      <c r="U1691" t="s">
        <v>390</v>
      </c>
      <c r="V1691" t="s">
        <v>567</v>
      </c>
      <c r="W1691" t="s">
        <v>568</v>
      </c>
      <c r="X1691" t="s">
        <v>569</v>
      </c>
      <c r="Z1691" t="s">
        <v>649</v>
      </c>
      <c r="AM1691" t="s">
        <v>287</v>
      </c>
      <c r="AN1691" t="s">
        <v>259</v>
      </c>
      <c r="AO1691" t="s">
        <v>260</v>
      </c>
      <c r="AQ1691" t="s">
        <v>261</v>
      </c>
      <c r="AS1691">
        <v>50000</v>
      </c>
      <c r="AU1691">
        <v>38000</v>
      </c>
      <c r="AW1691">
        <v>77000</v>
      </c>
      <c r="AX1691" t="s">
        <v>262</v>
      </c>
      <c r="BO1691" t="s">
        <v>261</v>
      </c>
      <c r="BQ1691">
        <v>50</v>
      </c>
      <c r="BS1691">
        <v>38</v>
      </c>
      <c r="BU1691">
        <v>77</v>
      </c>
      <c r="BV1691" t="s">
        <v>263</v>
      </c>
      <c r="CM1691" t="s">
        <v>264</v>
      </c>
      <c r="CN1691" t="s">
        <v>264</v>
      </c>
      <c r="CP1691" t="s">
        <v>265</v>
      </c>
      <c r="DB1691">
        <v>4</v>
      </c>
      <c r="DG1691" t="s">
        <v>267</v>
      </c>
      <c r="DI1691">
        <v>96</v>
      </c>
      <c r="DN1691" t="s">
        <v>268</v>
      </c>
      <c r="DS1691">
        <v>212</v>
      </c>
      <c r="DT1691" t="s">
        <v>3399</v>
      </c>
      <c r="EW1691" t="s">
        <v>293</v>
      </c>
      <c r="FM1691">
        <v>20</v>
      </c>
      <c r="FR1691" t="s">
        <v>295</v>
      </c>
      <c r="GU1691">
        <v>27</v>
      </c>
      <c r="GZ1691" t="s">
        <v>296</v>
      </c>
      <c r="HH1691" t="s">
        <v>272</v>
      </c>
      <c r="IE1691" t="s">
        <v>3400</v>
      </c>
      <c r="IF1691">
        <v>18307</v>
      </c>
      <c r="IG1691" t="s">
        <v>3401</v>
      </c>
      <c r="IH1691" t="s">
        <v>3402</v>
      </c>
      <c r="II1691">
        <v>1993</v>
      </c>
      <c r="IJ1691" t="s">
        <v>3403</v>
      </c>
    </row>
    <row r="1692" spans="1:244" x14ac:dyDescent="0.45">
      <c r="A1692">
        <v>1201130</v>
      </c>
      <c r="B1692">
        <v>160593</v>
      </c>
      <c r="C1692">
        <v>7778509</v>
      </c>
      <c r="D1692" t="s">
        <v>3280</v>
      </c>
      <c r="F1692" t="s">
        <v>245</v>
      </c>
      <c r="G1692" t="s">
        <v>246</v>
      </c>
      <c r="N1692" t="s">
        <v>566</v>
      </c>
      <c r="O1692" t="s">
        <v>388</v>
      </c>
      <c r="P1692" t="s">
        <v>249</v>
      </c>
      <c r="Q1692" t="s">
        <v>250</v>
      </c>
      <c r="R1692" t="s">
        <v>251</v>
      </c>
      <c r="T1692" t="s">
        <v>389</v>
      </c>
      <c r="U1692" t="s">
        <v>390</v>
      </c>
      <c r="V1692" t="s">
        <v>567</v>
      </c>
      <c r="W1692" t="s">
        <v>568</v>
      </c>
      <c r="X1692" t="s">
        <v>569</v>
      </c>
      <c r="Z1692" t="s">
        <v>649</v>
      </c>
      <c r="AM1692" t="s">
        <v>287</v>
      </c>
      <c r="AN1692" t="s">
        <v>259</v>
      </c>
      <c r="AO1692" t="s">
        <v>260</v>
      </c>
      <c r="AQ1692" t="s">
        <v>261</v>
      </c>
      <c r="AS1692">
        <v>34000</v>
      </c>
      <c r="AX1692" t="s">
        <v>262</v>
      </c>
      <c r="BO1692" t="s">
        <v>261</v>
      </c>
      <c r="BQ1692">
        <v>34</v>
      </c>
      <c r="BV1692" t="s">
        <v>263</v>
      </c>
      <c r="CM1692" t="s">
        <v>264</v>
      </c>
      <c r="CN1692" t="s">
        <v>264</v>
      </c>
      <c r="CP1692" t="s">
        <v>265</v>
      </c>
      <c r="DB1692">
        <v>4</v>
      </c>
      <c r="DG1692" t="s">
        <v>267</v>
      </c>
      <c r="DI1692">
        <v>96</v>
      </c>
      <c r="DN1692" t="s">
        <v>268</v>
      </c>
      <c r="DS1692">
        <v>212</v>
      </c>
      <c r="DT1692" t="s">
        <v>3399</v>
      </c>
      <c r="EW1692" t="s">
        <v>293</v>
      </c>
      <c r="FM1692">
        <v>20</v>
      </c>
      <c r="FR1692" t="s">
        <v>295</v>
      </c>
      <c r="GU1692">
        <v>16</v>
      </c>
      <c r="GZ1692" t="s">
        <v>296</v>
      </c>
      <c r="HH1692" t="s">
        <v>272</v>
      </c>
      <c r="IE1692" t="s">
        <v>3400</v>
      </c>
      <c r="IF1692">
        <v>18307</v>
      </c>
      <c r="IG1692" t="s">
        <v>3401</v>
      </c>
      <c r="IH1692" t="s">
        <v>3402</v>
      </c>
      <c r="II1692">
        <v>1993</v>
      </c>
      <c r="IJ1692" t="s">
        <v>3403</v>
      </c>
    </row>
    <row r="1693" spans="1:244" x14ac:dyDescent="0.45">
      <c r="A1693">
        <v>1141786</v>
      </c>
      <c r="B1693">
        <v>106942</v>
      </c>
      <c r="C1693">
        <v>7778509</v>
      </c>
      <c r="D1693" t="s">
        <v>3280</v>
      </c>
      <c r="F1693" t="s">
        <v>245</v>
      </c>
      <c r="G1693" t="s">
        <v>246</v>
      </c>
      <c r="N1693" t="s">
        <v>2183</v>
      </c>
      <c r="O1693" t="s">
        <v>498</v>
      </c>
      <c r="P1693" t="s">
        <v>249</v>
      </c>
      <c r="Q1693" t="s">
        <v>250</v>
      </c>
      <c r="R1693" t="s">
        <v>251</v>
      </c>
      <c r="T1693" t="s">
        <v>252</v>
      </c>
      <c r="U1693" t="s">
        <v>499</v>
      </c>
      <c r="V1693" t="s">
        <v>1281</v>
      </c>
      <c r="W1693" t="s">
        <v>1282</v>
      </c>
      <c r="X1693" t="s">
        <v>2184</v>
      </c>
      <c r="AM1693" t="s">
        <v>317</v>
      </c>
      <c r="AN1693" t="s">
        <v>259</v>
      </c>
      <c r="AO1693" t="s">
        <v>260</v>
      </c>
      <c r="AQ1693" t="s">
        <v>261</v>
      </c>
      <c r="AS1693">
        <v>36000</v>
      </c>
      <c r="AX1693" t="s">
        <v>262</v>
      </c>
      <c r="BO1693" t="s">
        <v>261</v>
      </c>
      <c r="BQ1693">
        <v>36</v>
      </c>
      <c r="BV1693" t="s">
        <v>263</v>
      </c>
      <c r="CM1693" t="s">
        <v>264</v>
      </c>
      <c r="CN1693" t="s">
        <v>264</v>
      </c>
      <c r="CP1693" t="s">
        <v>265</v>
      </c>
      <c r="CQ1693" t="s">
        <v>538</v>
      </c>
      <c r="DB1693">
        <v>4</v>
      </c>
      <c r="DG1693" t="s">
        <v>267</v>
      </c>
      <c r="DI1693">
        <v>96</v>
      </c>
      <c r="DN1693" t="s">
        <v>268</v>
      </c>
      <c r="DP1693" t="s">
        <v>2185</v>
      </c>
      <c r="DR1693">
        <v>371472</v>
      </c>
      <c r="DS1693">
        <v>1342</v>
      </c>
      <c r="DT1693" t="s">
        <v>3394</v>
      </c>
      <c r="EW1693" t="s">
        <v>271</v>
      </c>
      <c r="FM1693">
        <v>10</v>
      </c>
      <c r="FR1693" t="s">
        <v>295</v>
      </c>
      <c r="GU1693">
        <v>35</v>
      </c>
      <c r="GZ1693" t="s">
        <v>296</v>
      </c>
      <c r="HH1693" t="s">
        <v>272</v>
      </c>
      <c r="IE1693" t="s">
        <v>3395</v>
      </c>
      <c r="IF1693">
        <v>11873</v>
      </c>
      <c r="IG1693" t="s">
        <v>3396</v>
      </c>
      <c r="IH1693" t="s">
        <v>3397</v>
      </c>
      <c r="II1693">
        <v>1984</v>
      </c>
      <c r="IJ1693" t="s">
        <v>3398</v>
      </c>
    </row>
    <row r="1694" spans="1:244" x14ac:dyDescent="0.45">
      <c r="A1694">
        <v>1141805</v>
      </c>
      <c r="B1694">
        <v>106961</v>
      </c>
      <c r="C1694">
        <v>7778509</v>
      </c>
      <c r="D1694" t="s">
        <v>3280</v>
      </c>
      <c r="F1694" t="s">
        <v>245</v>
      </c>
      <c r="G1694" t="s">
        <v>246</v>
      </c>
      <c r="N1694" t="s">
        <v>2183</v>
      </c>
      <c r="O1694" t="s">
        <v>498</v>
      </c>
      <c r="P1694" t="s">
        <v>249</v>
      </c>
      <c r="Q1694" t="s">
        <v>250</v>
      </c>
      <c r="R1694" t="s">
        <v>251</v>
      </c>
      <c r="T1694" t="s">
        <v>252</v>
      </c>
      <c r="U1694" t="s">
        <v>499</v>
      </c>
      <c r="V1694" t="s">
        <v>1281</v>
      </c>
      <c r="W1694" t="s">
        <v>1282</v>
      </c>
      <c r="X1694" t="s">
        <v>2184</v>
      </c>
      <c r="AM1694" t="s">
        <v>317</v>
      </c>
      <c r="AN1694" t="s">
        <v>259</v>
      </c>
      <c r="AO1694" t="s">
        <v>260</v>
      </c>
      <c r="AQ1694" t="s">
        <v>261</v>
      </c>
      <c r="AS1694">
        <v>75000</v>
      </c>
      <c r="AX1694" t="s">
        <v>262</v>
      </c>
      <c r="BO1694" t="s">
        <v>261</v>
      </c>
      <c r="BQ1694">
        <v>75</v>
      </c>
      <c r="BV1694" t="s">
        <v>263</v>
      </c>
      <c r="CM1694" t="s">
        <v>264</v>
      </c>
      <c r="CN1694" t="s">
        <v>264</v>
      </c>
      <c r="CP1694" t="s">
        <v>265</v>
      </c>
      <c r="CQ1694" t="s">
        <v>538</v>
      </c>
      <c r="DB1694">
        <v>1</v>
      </c>
      <c r="DG1694" t="s">
        <v>267</v>
      </c>
      <c r="DI1694">
        <v>24</v>
      </c>
      <c r="DN1694" t="s">
        <v>268</v>
      </c>
      <c r="DP1694" t="s">
        <v>2185</v>
      </c>
      <c r="DR1694">
        <v>371472</v>
      </c>
      <c r="DS1694">
        <v>1342</v>
      </c>
      <c r="DT1694" t="s">
        <v>3394</v>
      </c>
      <c r="EW1694" t="s">
        <v>271</v>
      </c>
      <c r="FM1694">
        <v>15</v>
      </c>
      <c r="FR1694" t="s">
        <v>295</v>
      </c>
      <c r="GU1694">
        <v>30</v>
      </c>
      <c r="GZ1694" t="s">
        <v>296</v>
      </c>
      <c r="HH1694" t="s">
        <v>272</v>
      </c>
      <c r="IE1694" t="s">
        <v>3395</v>
      </c>
      <c r="IF1694">
        <v>11873</v>
      </c>
      <c r="IG1694" t="s">
        <v>3396</v>
      </c>
      <c r="IH1694" t="s">
        <v>3397</v>
      </c>
      <c r="II1694">
        <v>1984</v>
      </c>
      <c r="IJ1694" t="s">
        <v>3398</v>
      </c>
    </row>
    <row r="1695" spans="1:244" x14ac:dyDescent="0.45">
      <c r="A1695">
        <v>1141764</v>
      </c>
      <c r="B1695">
        <v>105356</v>
      </c>
      <c r="C1695">
        <v>7778509</v>
      </c>
      <c r="D1695" t="s">
        <v>3280</v>
      </c>
      <c r="F1695" t="s">
        <v>245</v>
      </c>
      <c r="G1695" t="s">
        <v>246</v>
      </c>
      <c r="N1695" t="s">
        <v>2183</v>
      </c>
      <c r="O1695" t="s">
        <v>498</v>
      </c>
      <c r="P1695" t="s">
        <v>249</v>
      </c>
      <c r="Q1695" t="s">
        <v>250</v>
      </c>
      <c r="R1695" t="s">
        <v>251</v>
      </c>
      <c r="T1695" t="s">
        <v>252</v>
      </c>
      <c r="U1695" t="s">
        <v>499</v>
      </c>
      <c r="V1695" t="s">
        <v>1281</v>
      </c>
      <c r="W1695" t="s">
        <v>1282</v>
      </c>
      <c r="X1695" t="s">
        <v>2184</v>
      </c>
      <c r="AM1695" t="s">
        <v>317</v>
      </c>
      <c r="AN1695" t="s">
        <v>259</v>
      </c>
      <c r="AO1695" t="s">
        <v>260</v>
      </c>
      <c r="AQ1695" t="s">
        <v>261</v>
      </c>
      <c r="AS1695">
        <v>90000</v>
      </c>
      <c r="AX1695" t="s">
        <v>262</v>
      </c>
      <c r="BO1695" t="s">
        <v>261</v>
      </c>
      <c r="BQ1695">
        <v>90</v>
      </c>
      <c r="BV1695" t="s">
        <v>263</v>
      </c>
      <c r="CM1695" t="s">
        <v>264</v>
      </c>
      <c r="CN1695" t="s">
        <v>264</v>
      </c>
      <c r="CP1695" t="s">
        <v>265</v>
      </c>
      <c r="CQ1695" t="s">
        <v>538</v>
      </c>
      <c r="DB1695">
        <v>1</v>
      </c>
      <c r="DG1695" t="s">
        <v>267</v>
      </c>
      <c r="DI1695">
        <v>24</v>
      </c>
      <c r="DN1695" t="s">
        <v>268</v>
      </c>
      <c r="DP1695" t="s">
        <v>2185</v>
      </c>
      <c r="DR1695">
        <v>371472</v>
      </c>
      <c r="DS1695">
        <v>1342</v>
      </c>
      <c r="DT1695" t="s">
        <v>3394</v>
      </c>
      <c r="EW1695" t="s">
        <v>271</v>
      </c>
      <c r="FM1695">
        <v>5</v>
      </c>
      <c r="FR1695" t="s">
        <v>295</v>
      </c>
      <c r="GU1695">
        <v>20</v>
      </c>
      <c r="GZ1695" t="s">
        <v>296</v>
      </c>
      <c r="HH1695" t="s">
        <v>272</v>
      </c>
      <c r="IE1695" t="s">
        <v>3395</v>
      </c>
      <c r="IF1695">
        <v>11873</v>
      </c>
      <c r="IG1695" t="s">
        <v>3396</v>
      </c>
      <c r="IH1695" t="s">
        <v>3397</v>
      </c>
      <c r="II1695">
        <v>1984</v>
      </c>
      <c r="IJ1695" t="s">
        <v>3398</v>
      </c>
    </row>
    <row r="1696" spans="1:244" x14ac:dyDescent="0.45">
      <c r="A1696">
        <v>1201119</v>
      </c>
      <c r="B1696">
        <v>160582</v>
      </c>
      <c r="C1696">
        <v>7778509</v>
      </c>
      <c r="D1696" t="s">
        <v>3280</v>
      </c>
      <c r="F1696" t="s">
        <v>245</v>
      </c>
      <c r="G1696" t="s">
        <v>246</v>
      </c>
      <c r="N1696" t="s">
        <v>566</v>
      </c>
      <c r="O1696" t="s">
        <v>388</v>
      </c>
      <c r="P1696" t="s">
        <v>249</v>
      </c>
      <c r="Q1696" t="s">
        <v>250</v>
      </c>
      <c r="R1696" t="s">
        <v>251</v>
      </c>
      <c r="T1696" t="s">
        <v>389</v>
      </c>
      <c r="U1696" t="s">
        <v>390</v>
      </c>
      <c r="V1696" t="s">
        <v>567</v>
      </c>
      <c r="W1696" t="s">
        <v>568</v>
      </c>
      <c r="X1696" t="s">
        <v>569</v>
      </c>
      <c r="Z1696" t="s">
        <v>649</v>
      </c>
      <c r="AM1696" t="s">
        <v>287</v>
      </c>
      <c r="AN1696" t="s">
        <v>259</v>
      </c>
      <c r="AO1696" t="s">
        <v>260</v>
      </c>
      <c r="AQ1696" t="s">
        <v>261</v>
      </c>
      <c r="AS1696">
        <v>22700</v>
      </c>
      <c r="AX1696" t="s">
        <v>262</v>
      </c>
      <c r="BO1696" t="s">
        <v>261</v>
      </c>
      <c r="BQ1696">
        <v>22.7</v>
      </c>
      <c r="BV1696" t="s">
        <v>263</v>
      </c>
      <c r="CM1696" t="s">
        <v>264</v>
      </c>
      <c r="CN1696" t="s">
        <v>264</v>
      </c>
      <c r="CP1696" t="s">
        <v>265</v>
      </c>
      <c r="DB1696">
        <v>4</v>
      </c>
      <c r="DG1696" t="s">
        <v>267</v>
      </c>
      <c r="DI1696">
        <v>96</v>
      </c>
      <c r="DN1696" t="s">
        <v>268</v>
      </c>
      <c r="DS1696">
        <v>212</v>
      </c>
      <c r="DT1696" t="s">
        <v>3399</v>
      </c>
      <c r="EW1696" t="s">
        <v>293</v>
      </c>
      <c r="FM1696">
        <v>20</v>
      </c>
      <c r="FR1696" t="s">
        <v>295</v>
      </c>
      <c r="GU1696">
        <v>9</v>
      </c>
      <c r="GZ1696" t="s">
        <v>296</v>
      </c>
      <c r="HH1696" t="s">
        <v>272</v>
      </c>
      <c r="IE1696" t="s">
        <v>3400</v>
      </c>
      <c r="IF1696">
        <v>18307</v>
      </c>
      <c r="IG1696" t="s">
        <v>3401</v>
      </c>
      <c r="IH1696" t="s">
        <v>3402</v>
      </c>
      <c r="II1696">
        <v>1993</v>
      </c>
      <c r="IJ1696" t="s">
        <v>3403</v>
      </c>
    </row>
    <row r="1697" spans="1:244" x14ac:dyDescent="0.45">
      <c r="A1697">
        <v>1141778</v>
      </c>
      <c r="B1697">
        <v>105375</v>
      </c>
      <c r="C1697">
        <v>7778509</v>
      </c>
      <c r="D1697" t="s">
        <v>3280</v>
      </c>
      <c r="F1697" t="s">
        <v>245</v>
      </c>
      <c r="G1697" t="s">
        <v>246</v>
      </c>
      <c r="N1697" t="s">
        <v>2183</v>
      </c>
      <c r="O1697" t="s">
        <v>498</v>
      </c>
      <c r="P1697" t="s">
        <v>249</v>
      </c>
      <c r="Q1697" t="s">
        <v>250</v>
      </c>
      <c r="R1697" t="s">
        <v>251</v>
      </c>
      <c r="T1697" t="s">
        <v>252</v>
      </c>
      <c r="U1697" t="s">
        <v>499</v>
      </c>
      <c r="V1697" t="s">
        <v>1281</v>
      </c>
      <c r="W1697" t="s">
        <v>1282</v>
      </c>
      <c r="X1697" t="s">
        <v>2184</v>
      </c>
      <c r="AM1697" t="s">
        <v>317</v>
      </c>
      <c r="AN1697" t="s">
        <v>259</v>
      </c>
      <c r="AO1697" t="s">
        <v>260</v>
      </c>
      <c r="AQ1697" t="s">
        <v>261</v>
      </c>
      <c r="AS1697">
        <v>36000</v>
      </c>
      <c r="AX1697" t="s">
        <v>262</v>
      </c>
      <c r="BO1697" t="s">
        <v>261</v>
      </c>
      <c r="BQ1697">
        <v>36</v>
      </c>
      <c r="BV1697" t="s">
        <v>263</v>
      </c>
      <c r="CM1697" t="s">
        <v>264</v>
      </c>
      <c r="CN1697" t="s">
        <v>264</v>
      </c>
      <c r="CP1697" t="s">
        <v>265</v>
      </c>
      <c r="CQ1697" t="s">
        <v>538</v>
      </c>
      <c r="DB1697">
        <v>4</v>
      </c>
      <c r="DG1697" t="s">
        <v>267</v>
      </c>
      <c r="DI1697">
        <v>96</v>
      </c>
      <c r="DN1697" t="s">
        <v>268</v>
      </c>
      <c r="DP1697" t="s">
        <v>2185</v>
      </c>
      <c r="DR1697">
        <v>371472</v>
      </c>
      <c r="DS1697">
        <v>1342</v>
      </c>
      <c r="DT1697" t="s">
        <v>3394</v>
      </c>
      <c r="EW1697" t="s">
        <v>271</v>
      </c>
      <c r="FM1697">
        <v>5</v>
      </c>
      <c r="FR1697" t="s">
        <v>295</v>
      </c>
      <c r="GU1697">
        <v>25</v>
      </c>
      <c r="GZ1697" t="s">
        <v>296</v>
      </c>
      <c r="HH1697" t="s">
        <v>272</v>
      </c>
      <c r="IE1697" t="s">
        <v>3395</v>
      </c>
      <c r="IF1697">
        <v>11873</v>
      </c>
      <c r="IG1697" t="s">
        <v>3396</v>
      </c>
      <c r="IH1697" t="s">
        <v>3397</v>
      </c>
      <c r="II1697">
        <v>1984</v>
      </c>
      <c r="IJ1697" t="s">
        <v>3398</v>
      </c>
    </row>
    <row r="1698" spans="1:244" x14ac:dyDescent="0.45">
      <c r="A1698">
        <v>1141810</v>
      </c>
      <c r="B1698">
        <v>106966</v>
      </c>
      <c r="C1698">
        <v>7778509</v>
      </c>
      <c r="D1698" t="s">
        <v>3280</v>
      </c>
      <c r="F1698" t="s">
        <v>245</v>
      </c>
      <c r="G1698" t="s">
        <v>246</v>
      </c>
      <c r="N1698" t="s">
        <v>2183</v>
      </c>
      <c r="O1698" t="s">
        <v>498</v>
      </c>
      <c r="P1698" t="s">
        <v>249</v>
      </c>
      <c r="Q1698" t="s">
        <v>250</v>
      </c>
      <c r="R1698" t="s">
        <v>251</v>
      </c>
      <c r="T1698" t="s">
        <v>252</v>
      </c>
      <c r="U1698" t="s">
        <v>499</v>
      </c>
      <c r="V1698" t="s">
        <v>1281</v>
      </c>
      <c r="W1698" t="s">
        <v>1282</v>
      </c>
      <c r="X1698" t="s">
        <v>2184</v>
      </c>
      <c r="AM1698" t="s">
        <v>317</v>
      </c>
      <c r="AN1698" t="s">
        <v>259</v>
      </c>
      <c r="AO1698" t="s">
        <v>260</v>
      </c>
      <c r="AQ1698" t="s">
        <v>261</v>
      </c>
      <c r="AS1698">
        <v>11000</v>
      </c>
      <c r="AX1698" t="s">
        <v>262</v>
      </c>
      <c r="BO1698" t="s">
        <v>261</v>
      </c>
      <c r="BQ1698">
        <v>11</v>
      </c>
      <c r="BV1698" t="s">
        <v>263</v>
      </c>
      <c r="CM1698" t="s">
        <v>264</v>
      </c>
      <c r="CN1698" t="s">
        <v>264</v>
      </c>
      <c r="CP1698" t="s">
        <v>265</v>
      </c>
      <c r="CQ1698" t="s">
        <v>538</v>
      </c>
      <c r="DB1698">
        <v>2</v>
      </c>
      <c r="DG1698" t="s">
        <v>267</v>
      </c>
      <c r="DI1698">
        <v>48</v>
      </c>
      <c r="DN1698" t="s">
        <v>268</v>
      </c>
      <c r="DP1698" t="s">
        <v>2185</v>
      </c>
      <c r="DR1698">
        <v>371472</v>
      </c>
      <c r="DS1698">
        <v>1342</v>
      </c>
      <c r="DT1698" t="s">
        <v>3394</v>
      </c>
      <c r="EW1698" t="s">
        <v>271</v>
      </c>
      <c r="FM1698">
        <v>15</v>
      </c>
      <c r="FR1698" t="s">
        <v>295</v>
      </c>
      <c r="GU1698">
        <v>15</v>
      </c>
      <c r="GZ1698" t="s">
        <v>296</v>
      </c>
      <c r="HH1698" t="s">
        <v>272</v>
      </c>
      <c r="IE1698" t="s">
        <v>3395</v>
      </c>
      <c r="IF1698">
        <v>11873</v>
      </c>
      <c r="IG1698" t="s">
        <v>3396</v>
      </c>
      <c r="IH1698" t="s">
        <v>3397</v>
      </c>
      <c r="II1698">
        <v>1984</v>
      </c>
      <c r="IJ1698" t="s">
        <v>3398</v>
      </c>
    </row>
    <row r="1699" spans="1:244" x14ac:dyDescent="0.45">
      <c r="A1699">
        <v>1201120</v>
      </c>
      <c r="B1699">
        <v>160583</v>
      </c>
      <c r="C1699">
        <v>7778509</v>
      </c>
      <c r="D1699" t="s">
        <v>3280</v>
      </c>
      <c r="F1699" t="s">
        <v>245</v>
      </c>
      <c r="G1699" t="s">
        <v>246</v>
      </c>
      <c r="N1699" t="s">
        <v>566</v>
      </c>
      <c r="O1699" t="s">
        <v>388</v>
      </c>
      <c r="P1699" t="s">
        <v>249</v>
      </c>
      <c r="Q1699" t="s">
        <v>250</v>
      </c>
      <c r="R1699" t="s">
        <v>251</v>
      </c>
      <c r="T1699" t="s">
        <v>389</v>
      </c>
      <c r="U1699" t="s">
        <v>390</v>
      </c>
      <c r="V1699" t="s">
        <v>567</v>
      </c>
      <c r="W1699" t="s">
        <v>568</v>
      </c>
      <c r="X1699" t="s">
        <v>569</v>
      </c>
      <c r="Z1699" t="s">
        <v>649</v>
      </c>
      <c r="AM1699" t="s">
        <v>287</v>
      </c>
      <c r="AN1699" t="s">
        <v>259</v>
      </c>
      <c r="AO1699" t="s">
        <v>260</v>
      </c>
      <c r="AQ1699" t="s">
        <v>261</v>
      </c>
      <c r="AS1699">
        <v>15500</v>
      </c>
      <c r="AX1699" t="s">
        <v>262</v>
      </c>
      <c r="BO1699" t="s">
        <v>261</v>
      </c>
      <c r="BQ1699">
        <v>15.5</v>
      </c>
      <c r="BV1699" t="s">
        <v>263</v>
      </c>
      <c r="CM1699" t="s">
        <v>264</v>
      </c>
      <c r="CN1699" t="s">
        <v>264</v>
      </c>
      <c r="CP1699" t="s">
        <v>265</v>
      </c>
      <c r="DB1699">
        <v>4</v>
      </c>
      <c r="DG1699" t="s">
        <v>267</v>
      </c>
      <c r="DI1699">
        <v>96</v>
      </c>
      <c r="DN1699" t="s">
        <v>268</v>
      </c>
      <c r="DS1699">
        <v>212</v>
      </c>
      <c r="DT1699" t="s">
        <v>3399</v>
      </c>
      <c r="EW1699" t="s">
        <v>293</v>
      </c>
      <c r="FM1699">
        <v>20</v>
      </c>
      <c r="FR1699" t="s">
        <v>295</v>
      </c>
      <c r="GU1699">
        <v>9</v>
      </c>
      <c r="GZ1699" t="s">
        <v>296</v>
      </c>
      <c r="HH1699" t="s">
        <v>272</v>
      </c>
      <c r="IE1699" t="s">
        <v>3400</v>
      </c>
      <c r="IF1699">
        <v>18307</v>
      </c>
      <c r="IG1699" t="s">
        <v>3401</v>
      </c>
      <c r="IH1699" t="s">
        <v>3402</v>
      </c>
      <c r="II1699">
        <v>1993</v>
      </c>
      <c r="IJ1699" t="s">
        <v>3403</v>
      </c>
    </row>
    <row r="1700" spans="1:244" x14ac:dyDescent="0.45">
      <c r="A1700">
        <v>1141917</v>
      </c>
      <c r="B1700">
        <v>107073</v>
      </c>
      <c r="C1700">
        <v>7778509</v>
      </c>
      <c r="D1700" t="s">
        <v>3280</v>
      </c>
      <c r="F1700" t="s">
        <v>245</v>
      </c>
      <c r="G1700" t="s">
        <v>246</v>
      </c>
      <c r="N1700" t="s">
        <v>2183</v>
      </c>
      <c r="O1700" t="s">
        <v>498</v>
      </c>
      <c r="P1700" t="s">
        <v>249</v>
      </c>
      <c r="Q1700" t="s">
        <v>250</v>
      </c>
      <c r="R1700" t="s">
        <v>251</v>
      </c>
      <c r="T1700" t="s">
        <v>252</v>
      </c>
      <c r="U1700" t="s">
        <v>499</v>
      </c>
      <c r="V1700" t="s">
        <v>1281</v>
      </c>
      <c r="W1700" t="s">
        <v>1282</v>
      </c>
      <c r="X1700" t="s">
        <v>2184</v>
      </c>
      <c r="AM1700" t="s">
        <v>317</v>
      </c>
      <c r="AN1700" t="s">
        <v>259</v>
      </c>
      <c r="AO1700" t="s">
        <v>260</v>
      </c>
      <c r="AQ1700" t="s">
        <v>261</v>
      </c>
      <c r="AS1700">
        <v>110000</v>
      </c>
      <c r="AX1700" t="s">
        <v>262</v>
      </c>
      <c r="BO1700" t="s">
        <v>261</v>
      </c>
      <c r="BQ1700">
        <v>110</v>
      </c>
      <c r="BV1700" t="s">
        <v>263</v>
      </c>
      <c r="CM1700" t="s">
        <v>264</v>
      </c>
      <c r="CN1700" t="s">
        <v>264</v>
      </c>
      <c r="CP1700" t="s">
        <v>265</v>
      </c>
      <c r="CQ1700" t="s">
        <v>538</v>
      </c>
      <c r="DB1700">
        <v>1</v>
      </c>
      <c r="DG1700" t="s">
        <v>267</v>
      </c>
      <c r="DI1700">
        <v>24</v>
      </c>
      <c r="DN1700" t="s">
        <v>268</v>
      </c>
      <c r="DP1700" t="s">
        <v>2185</v>
      </c>
      <c r="DR1700">
        <v>371472</v>
      </c>
      <c r="DS1700">
        <v>1342</v>
      </c>
      <c r="DT1700" t="s">
        <v>3394</v>
      </c>
      <c r="EW1700" t="s">
        <v>271</v>
      </c>
      <c r="FM1700">
        <v>10</v>
      </c>
      <c r="FR1700" t="s">
        <v>295</v>
      </c>
      <c r="GU1700">
        <v>20</v>
      </c>
      <c r="GZ1700" t="s">
        <v>296</v>
      </c>
      <c r="HH1700" t="s">
        <v>272</v>
      </c>
      <c r="IE1700" t="s">
        <v>3395</v>
      </c>
      <c r="IF1700">
        <v>11873</v>
      </c>
      <c r="IG1700" t="s">
        <v>3396</v>
      </c>
      <c r="IH1700" t="s">
        <v>3397</v>
      </c>
      <c r="II1700">
        <v>1984</v>
      </c>
      <c r="IJ1700" t="s">
        <v>3398</v>
      </c>
    </row>
    <row r="1701" spans="1:244" x14ac:dyDescent="0.45">
      <c r="A1701">
        <v>1149452</v>
      </c>
      <c r="B1701">
        <v>102113</v>
      </c>
      <c r="C1701">
        <v>7778509</v>
      </c>
      <c r="D1701" t="s">
        <v>3280</v>
      </c>
      <c r="F1701" t="s">
        <v>327</v>
      </c>
      <c r="G1701" t="s">
        <v>246</v>
      </c>
      <c r="N1701" t="s">
        <v>369</v>
      </c>
      <c r="O1701" t="s">
        <v>370</v>
      </c>
      <c r="P1701" t="s">
        <v>249</v>
      </c>
      <c r="Q1701" t="s">
        <v>250</v>
      </c>
      <c r="R1701" t="s">
        <v>251</v>
      </c>
      <c r="T1701" t="s">
        <v>252</v>
      </c>
      <c r="U1701" t="s">
        <v>371</v>
      </c>
      <c r="V1701" t="s">
        <v>372</v>
      </c>
      <c r="W1701" t="s">
        <v>373</v>
      </c>
      <c r="X1701" t="s">
        <v>374</v>
      </c>
      <c r="AM1701" t="s">
        <v>317</v>
      </c>
      <c r="AN1701" t="s">
        <v>259</v>
      </c>
      <c r="AO1701" t="s">
        <v>260</v>
      </c>
      <c r="AQ1701" t="s">
        <v>261</v>
      </c>
      <c r="AS1701">
        <v>7140</v>
      </c>
      <c r="AU1701">
        <v>6710</v>
      </c>
      <c r="AW1701">
        <v>7310</v>
      </c>
      <c r="AX1701" t="s">
        <v>262</v>
      </c>
      <c r="BO1701" t="s">
        <v>261</v>
      </c>
      <c r="BQ1701">
        <v>7.14</v>
      </c>
      <c r="BS1701">
        <v>6.71</v>
      </c>
      <c r="BU1701">
        <v>7.31</v>
      </c>
      <c r="BV1701" t="s">
        <v>263</v>
      </c>
      <c r="CM1701" t="s">
        <v>264</v>
      </c>
      <c r="CN1701" t="s">
        <v>264</v>
      </c>
      <c r="CP1701" t="s">
        <v>265</v>
      </c>
      <c r="CQ1701" t="s">
        <v>538</v>
      </c>
      <c r="DB1701">
        <v>2</v>
      </c>
      <c r="DG1701" t="s">
        <v>267</v>
      </c>
      <c r="DI1701">
        <v>48</v>
      </c>
      <c r="DN1701" t="s">
        <v>268</v>
      </c>
      <c r="DR1701">
        <v>110441</v>
      </c>
      <c r="DS1701">
        <v>142</v>
      </c>
      <c r="DT1701" t="s">
        <v>3404</v>
      </c>
      <c r="EW1701" t="s">
        <v>333</v>
      </c>
      <c r="HH1701" t="s">
        <v>272</v>
      </c>
      <c r="IE1701" t="s">
        <v>3405</v>
      </c>
      <c r="IF1701">
        <v>12660</v>
      </c>
      <c r="IG1701" t="s">
        <v>3406</v>
      </c>
      <c r="IH1701" t="s">
        <v>3407</v>
      </c>
      <c r="II1701">
        <v>1987</v>
      </c>
      <c r="IJ1701" t="s">
        <v>3408</v>
      </c>
    </row>
    <row r="1702" spans="1:244" x14ac:dyDescent="0.45">
      <c r="A1702">
        <v>1201107</v>
      </c>
      <c r="B1702">
        <v>160570</v>
      </c>
      <c r="C1702">
        <v>7778509</v>
      </c>
      <c r="D1702" t="s">
        <v>3280</v>
      </c>
      <c r="F1702" t="s">
        <v>245</v>
      </c>
      <c r="G1702" t="s">
        <v>246</v>
      </c>
      <c r="N1702" t="s">
        <v>566</v>
      </c>
      <c r="O1702" t="s">
        <v>388</v>
      </c>
      <c r="P1702" t="s">
        <v>249</v>
      </c>
      <c r="Q1702" t="s">
        <v>250</v>
      </c>
      <c r="R1702" t="s">
        <v>251</v>
      </c>
      <c r="T1702" t="s">
        <v>389</v>
      </c>
      <c r="U1702" t="s">
        <v>390</v>
      </c>
      <c r="V1702" t="s">
        <v>567</v>
      </c>
      <c r="W1702" t="s">
        <v>568</v>
      </c>
      <c r="X1702" t="s">
        <v>569</v>
      </c>
      <c r="Z1702" t="s">
        <v>649</v>
      </c>
      <c r="AM1702" t="s">
        <v>287</v>
      </c>
      <c r="AN1702" t="s">
        <v>259</v>
      </c>
      <c r="AO1702" t="s">
        <v>260</v>
      </c>
      <c r="AQ1702" t="s">
        <v>261</v>
      </c>
      <c r="AS1702">
        <v>16000</v>
      </c>
      <c r="AU1702">
        <v>12000</v>
      </c>
      <c r="AW1702">
        <v>21000</v>
      </c>
      <c r="AX1702" t="s">
        <v>262</v>
      </c>
      <c r="BO1702" t="s">
        <v>261</v>
      </c>
      <c r="BQ1702">
        <v>16</v>
      </c>
      <c r="BS1702">
        <v>12</v>
      </c>
      <c r="BU1702">
        <v>21</v>
      </c>
      <c r="BV1702" t="s">
        <v>263</v>
      </c>
      <c r="CM1702" t="s">
        <v>264</v>
      </c>
      <c r="CN1702" t="s">
        <v>264</v>
      </c>
      <c r="CP1702" t="s">
        <v>265</v>
      </c>
      <c r="DB1702">
        <v>3</v>
      </c>
      <c r="DG1702" t="s">
        <v>267</v>
      </c>
      <c r="DI1702">
        <v>72</v>
      </c>
      <c r="DN1702" t="s">
        <v>268</v>
      </c>
      <c r="DS1702">
        <v>212</v>
      </c>
      <c r="DT1702" t="s">
        <v>3399</v>
      </c>
      <c r="EW1702" t="s">
        <v>293</v>
      </c>
      <c r="FM1702">
        <v>20</v>
      </c>
      <c r="FR1702" t="s">
        <v>295</v>
      </c>
      <c r="GU1702">
        <v>6.8</v>
      </c>
      <c r="GZ1702" t="s">
        <v>296</v>
      </c>
      <c r="HH1702" t="s">
        <v>272</v>
      </c>
      <c r="IE1702" t="s">
        <v>3400</v>
      </c>
      <c r="IF1702">
        <v>18307</v>
      </c>
      <c r="IG1702" t="s">
        <v>3401</v>
      </c>
      <c r="IH1702" t="s">
        <v>3402</v>
      </c>
      <c r="II1702">
        <v>1993</v>
      </c>
      <c r="IJ1702" t="s">
        <v>3403</v>
      </c>
    </row>
    <row r="1703" spans="1:244" x14ac:dyDescent="0.45">
      <c r="A1703">
        <v>1068392</v>
      </c>
      <c r="B1703">
        <v>1890</v>
      </c>
      <c r="C1703">
        <v>7778509</v>
      </c>
      <c r="D1703" t="s">
        <v>3280</v>
      </c>
      <c r="F1703" t="s">
        <v>245</v>
      </c>
      <c r="G1703" t="s">
        <v>246</v>
      </c>
      <c r="N1703" t="s">
        <v>1564</v>
      </c>
      <c r="O1703" t="s">
        <v>1565</v>
      </c>
      <c r="P1703" t="s">
        <v>249</v>
      </c>
      <c r="Q1703" t="s">
        <v>250</v>
      </c>
      <c r="R1703" t="s">
        <v>251</v>
      </c>
      <c r="T1703" t="s">
        <v>252</v>
      </c>
      <c r="U1703" t="s">
        <v>253</v>
      </c>
      <c r="V1703" t="s">
        <v>254</v>
      </c>
      <c r="W1703" t="s">
        <v>1566</v>
      </c>
      <c r="X1703" t="s">
        <v>1567</v>
      </c>
      <c r="Z1703" t="s">
        <v>649</v>
      </c>
      <c r="AL1703" t="s">
        <v>3409</v>
      </c>
      <c r="AM1703" t="s">
        <v>317</v>
      </c>
      <c r="AN1703" t="s">
        <v>259</v>
      </c>
      <c r="AO1703" t="s">
        <v>260</v>
      </c>
      <c r="AQ1703" t="s">
        <v>261</v>
      </c>
      <c r="AS1703">
        <v>142000</v>
      </c>
      <c r="AU1703">
        <v>131000</v>
      </c>
      <c r="AW1703">
        <v>153000</v>
      </c>
      <c r="AX1703" t="s">
        <v>262</v>
      </c>
      <c r="BO1703" t="s">
        <v>261</v>
      </c>
      <c r="BQ1703">
        <v>142</v>
      </c>
      <c r="BS1703">
        <v>131</v>
      </c>
      <c r="BU1703">
        <v>153</v>
      </c>
      <c r="BV1703" t="s">
        <v>263</v>
      </c>
      <c r="CM1703" t="s">
        <v>264</v>
      </c>
      <c r="CN1703" t="s">
        <v>264</v>
      </c>
      <c r="CP1703" t="s">
        <v>265</v>
      </c>
      <c r="CQ1703" t="s">
        <v>538</v>
      </c>
      <c r="DB1703">
        <v>1</v>
      </c>
      <c r="DG1703" t="s">
        <v>267</v>
      </c>
      <c r="DI1703">
        <v>24</v>
      </c>
      <c r="DN1703" t="s">
        <v>268</v>
      </c>
      <c r="DP1703" t="s">
        <v>570</v>
      </c>
      <c r="DR1703">
        <v>6763</v>
      </c>
      <c r="DS1703">
        <v>76</v>
      </c>
      <c r="DT1703" t="s">
        <v>3410</v>
      </c>
      <c r="EW1703" t="s">
        <v>271</v>
      </c>
      <c r="FO1703">
        <v>20</v>
      </c>
      <c r="FQ1703">
        <v>22</v>
      </c>
      <c r="FR1703" t="s">
        <v>295</v>
      </c>
      <c r="GQ1703">
        <v>6.5</v>
      </c>
      <c r="GS1703">
        <v>7.9</v>
      </c>
      <c r="GU1703">
        <v>15</v>
      </c>
      <c r="GZ1703" t="s">
        <v>296</v>
      </c>
      <c r="HH1703" t="s">
        <v>272</v>
      </c>
      <c r="IE1703" t="s">
        <v>3411</v>
      </c>
      <c r="IF1703">
        <v>5384</v>
      </c>
      <c r="IG1703" t="s">
        <v>3412</v>
      </c>
      <c r="IH1703" t="s">
        <v>3413</v>
      </c>
      <c r="II1703">
        <v>1979</v>
      </c>
      <c r="IJ1703" t="s">
        <v>3414</v>
      </c>
    </row>
    <row r="1704" spans="1:244" x14ac:dyDescent="0.45">
      <c r="A1704">
        <v>1068389</v>
      </c>
      <c r="B1704">
        <v>812</v>
      </c>
      <c r="C1704">
        <v>7778509</v>
      </c>
      <c r="D1704" t="s">
        <v>3280</v>
      </c>
      <c r="F1704" t="s">
        <v>245</v>
      </c>
      <c r="G1704" t="s">
        <v>246</v>
      </c>
      <c r="N1704" t="s">
        <v>1564</v>
      </c>
      <c r="O1704" t="s">
        <v>1565</v>
      </c>
      <c r="P1704" t="s">
        <v>249</v>
      </c>
      <c r="Q1704" t="s">
        <v>250</v>
      </c>
      <c r="R1704" t="s">
        <v>251</v>
      </c>
      <c r="T1704" t="s">
        <v>252</v>
      </c>
      <c r="U1704" t="s">
        <v>253</v>
      </c>
      <c r="V1704" t="s">
        <v>254</v>
      </c>
      <c r="W1704" t="s">
        <v>1566</v>
      </c>
      <c r="X1704" t="s">
        <v>1567</v>
      </c>
      <c r="Z1704" t="s">
        <v>649</v>
      </c>
      <c r="AL1704" t="s">
        <v>3409</v>
      </c>
      <c r="AM1704" t="s">
        <v>317</v>
      </c>
      <c r="AN1704" t="s">
        <v>259</v>
      </c>
      <c r="AO1704" t="s">
        <v>260</v>
      </c>
      <c r="AQ1704" t="s">
        <v>261</v>
      </c>
      <c r="AS1704">
        <v>126000</v>
      </c>
      <c r="AU1704">
        <v>110000</v>
      </c>
      <c r="AW1704">
        <v>145000</v>
      </c>
      <c r="AX1704" t="s">
        <v>262</v>
      </c>
      <c r="BO1704" t="s">
        <v>261</v>
      </c>
      <c r="BQ1704">
        <v>126</v>
      </c>
      <c r="BS1704">
        <v>110</v>
      </c>
      <c r="BU1704">
        <v>145</v>
      </c>
      <c r="BV1704" t="s">
        <v>263</v>
      </c>
      <c r="CM1704" t="s">
        <v>264</v>
      </c>
      <c r="CN1704" t="s">
        <v>264</v>
      </c>
      <c r="CP1704" t="s">
        <v>265</v>
      </c>
      <c r="CQ1704" t="s">
        <v>538</v>
      </c>
      <c r="DB1704">
        <v>2</v>
      </c>
      <c r="DG1704" t="s">
        <v>267</v>
      </c>
      <c r="DI1704">
        <v>48</v>
      </c>
      <c r="DN1704" t="s">
        <v>268</v>
      </c>
      <c r="DP1704" t="s">
        <v>570</v>
      </c>
      <c r="DR1704">
        <v>6763</v>
      </c>
      <c r="DS1704">
        <v>76</v>
      </c>
      <c r="DT1704" t="s">
        <v>3410</v>
      </c>
      <c r="EW1704" t="s">
        <v>271</v>
      </c>
      <c r="FO1704">
        <v>20</v>
      </c>
      <c r="FQ1704">
        <v>22</v>
      </c>
      <c r="FR1704" t="s">
        <v>295</v>
      </c>
      <c r="GQ1704">
        <v>6.5</v>
      </c>
      <c r="GS1704">
        <v>7.9</v>
      </c>
      <c r="GU1704">
        <v>15</v>
      </c>
      <c r="GZ1704" t="s">
        <v>296</v>
      </c>
      <c r="HH1704" t="s">
        <v>272</v>
      </c>
      <c r="IE1704" t="s">
        <v>3411</v>
      </c>
      <c r="IF1704">
        <v>5384</v>
      </c>
      <c r="IG1704" t="s">
        <v>3412</v>
      </c>
      <c r="IH1704" t="s">
        <v>3413</v>
      </c>
      <c r="II1704">
        <v>1979</v>
      </c>
      <c r="IJ1704" t="s">
        <v>3414</v>
      </c>
    </row>
    <row r="1705" spans="1:244" x14ac:dyDescent="0.45">
      <c r="A1705">
        <v>2314542</v>
      </c>
      <c r="B1705">
        <v>2781646</v>
      </c>
      <c r="C1705">
        <v>7778509</v>
      </c>
      <c r="D1705" t="s">
        <v>3280</v>
      </c>
      <c r="F1705" t="s">
        <v>245</v>
      </c>
      <c r="G1705" t="s">
        <v>557</v>
      </c>
      <c r="N1705" t="s">
        <v>630</v>
      </c>
      <c r="O1705" t="s">
        <v>631</v>
      </c>
      <c r="P1705" t="s">
        <v>249</v>
      </c>
      <c r="Q1705" t="s">
        <v>250</v>
      </c>
      <c r="R1705" t="s">
        <v>251</v>
      </c>
      <c r="T1705" t="s">
        <v>389</v>
      </c>
      <c r="U1705" t="s">
        <v>632</v>
      </c>
      <c r="V1705" t="s">
        <v>633</v>
      </c>
      <c r="W1705" t="s">
        <v>634</v>
      </c>
      <c r="X1705" t="s">
        <v>635</v>
      </c>
      <c r="Z1705" t="s">
        <v>315</v>
      </c>
      <c r="AD1705">
        <v>10</v>
      </c>
      <c r="AF1705">
        <v>12</v>
      </c>
      <c r="AG1705" t="s">
        <v>267</v>
      </c>
      <c r="AI1705">
        <v>6</v>
      </c>
      <c r="AJ1705" t="s">
        <v>354</v>
      </c>
      <c r="AM1705" t="s">
        <v>317</v>
      </c>
      <c r="AN1705" t="s">
        <v>259</v>
      </c>
      <c r="AO1705" t="s">
        <v>260</v>
      </c>
      <c r="AP1705" t="s">
        <v>3415</v>
      </c>
      <c r="AQ1705" t="s">
        <v>261</v>
      </c>
      <c r="AS1705">
        <v>47</v>
      </c>
      <c r="AU1705">
        <v>38</v>
      </c>
      <c r="AW1705">
        <v>63</v>
      </c>
      <c r="AX1705" t="s">
        <v>356</v>
      </c>
      <c r="BO1705" t="s">
        <v>261</v>
      </c>
      <c r="BQ1705">
        <v>47</v>
      </c>
      <c r="BS1705">
        <v>38</v>
      </c>
      <c r="BU1705">
        <v>63</v>
      </c>
      <c r="BV1705" t="s">
        <v>263</v>
      </c>
      <c r="CM1705" t="s">
        <v>264</v>
      </c>
      <c r="CN1705" t="s">
        <v>264</v>
      </c>
      <c r="CP1705" t="s">
        <v>265</v>
      </c>
      <c r="DB1705">
        <v>1</v>
      </c>
      <c r="DG1705" t="s">
        <v>267</v>
      </c>
      <c r="DI1705">
        <v>24</v>
      </c>
      <c r="DN1705" t="s">
        <v>268</v>
      </c>
      <c r="DP1705" t="s">
        <v>3281</v>
      </c>
      <c r="DR1705">
        <v>136180</v>
      </c>
      <c r="DS1705">
        <v>376</v>
      </c>
      <c r="DT1705" t="s">
        <v>3416</v>
      </c>
      <c r="DV1705">
        <v>48</v>
      </c>
      <c r="EA1705" t="s">
        <v>268</v>
      </c>
      <c r="EC1705">
        <v>2</v>
      </c>
      <c r="EH1705" t="s">
        <v>267</v>
      </c>
      <c r="EJ1705">
        <v>48</v>
      </c>
      <c r="EO1705" t="s">
        <v>268</v>
      </c>
      <c r="EQ1705">
        <v>2</v>
      </c>
      <c r="EV1705" t="s">
        <v>267</v>
      </c>
      <c r="EW1705" t="s">
        <v>1512</v>
      </c>
      <c r="EY1705" t="s">
        <v>377</v>
      </c>
      <c r="EZ1705">
        <v>5</v>
      </c>
      <c r="FA1705" t="s">
        <v>3417</v>
      </c>
      <c r="FM1705">
        <v>20</v>
      </c>
      <c r="FR1705" t="s">
        <v>295</v>
      </c>
      <c r="GU1705">
        <v>18</v>
      </c>
      <c r="GZ1705" t="s">
        <v>296</v>
      </c>
      <c r="HH1705" t="s">
        <v>272</v>
      </c>
      <c r="ID1705" t="s">
        <v>3418</v>
      </c>
      <c r="IE1705" t="s">
        <v>3419</v>
      </c>
      <c r="IF1705">
        <v>52818</v>
      </c>
      <c r="IG1705" t="s">
        <v>3420</v>
      </c>
      <c r="IH1705" t="s">
        <v>3421</v>
      </c>
      <c r="II1705">
        <v>1999</v>
      </c>
      <c r="IJ1705" t="s">
        <v>3422</v>
      </c>
    </row>
    <row r="1706" spans="1:244" x14ac:dyDescent="0.45">
      <c r="A1706">
        <v>2314542</v>
      </c>
      <c r="B1706">
        <v>2781647</v>
      </c>
      <c r="C1706">
        <v>7778509</v>
      </c>
      <c r="D1706" t="s">
        <v>3280</v>
      </c>
      <c r="F1706" t="s">
        <v>245</v>
      </c>
      <c r="G1706" t="s">
        <v>557</v>
      </c>
      <c r="N1706" t="s">
        <v>630</v>
      </c>
      <c r="O1706" t="s">
        <v>631</v>
      </c>
      <c r="P1706" t="s">
        <v>249</v>
      </c>
      <c r="Q1706" t="s">
        <v>250</v>
      </c>
      <c r="R1706" t="s">
        <v>251</v>
      </c>
      <c r="T1706" t="s">
        <v>389</v>
      </c>
      <c r="U1706" t="s">
        <v>632</v>
      </c>
      <c r="V1706" t="s">
        <v>633</v>
      </c>
      <c r="W1706" t="s">
        <v>634</v>
      </c>
      <c r="X1706" t="s">
        <v>635</v>
      </c>
      <c r="Z1706" t="s">
        <v>315</v>
      </c>
      <c r="AD1706">
        <v>10</v>
      </c>
      <c r="AF1706">
        <v>12</v>
      </c>
      <c r="AG1706" t="s">
        <v>267</v>
      </c>
      <c r="AI1706">
        <v>6</v>
      </c>
      <c r="AJ1706" t="s">
        <v>354</v>
      </c>
      <c r="AM1706" t="s">
        <v>317</v>
      </c>
      <c r="AN1706" t="s">
        <v>259</v>
      </c>
      <c r="AO1706" t="s">
        <v>260</v>
      </c>
      <c r="AP1706" t="s">
        <v>3415</v>
      </c>
      <c r="AQ1706" t="s">
        <v>261</v>
      </c>
      <c r="AS1706">
        <v>16</v>
      </c>
      <c r="AU1706">
        <v>13</v>
      </c>
      <c r="AW1706">
        <v>21</v>
      </c>
      <c r="AX1706" t="s">
        <v>356</v>
      </c>
      <c r="BO1706" t="s">
        <v>261</v>
      </c>
      <c r="BQ1706">
        <v>16</v>
      </c>
      <c r="BS1706">
        <v>13</v>
      </c>
      <c r="BU1706">
        <v>21</v>
      </c>
      <c r="BV1706" t="s">
        <v>263</v>
      </c>
      <c r="CM1706" t="s">
        <v>264</v>
      </c>
      <c r="CN1706" t="s">
        <v>264</v>
      </c>
      <c r="CP1706" t="s">
        <v>265</v>
      </c>
      <c r="DB1706">
        <v>2</v>
      </c>
      <c r="DG1706" t="s">
        <v>267</v>
      </c>
      <c r="DI1706">
        <v>48</v>
      </c>
      <c r="DN1706" t="s">
        <v>268</v>
      </c>
      <c r="DP1706" t="s">
        <v>3281</v>
      </c>
      <c r="DR1706">
        <v>136180</v>
      </c>
      <c r="DS1706">
        <v>376</v>
      </c>
      <c r="DT1706" t="s">
        <v>3416</v>
      </c>
      <c r="DV1706">
        <v>48</v>
      </c>
      <c r="EA1706" t="s">
        <v>268</v>
      </c>
      <c r="EC1706">
        <v>2</v>
      </c>
      <c r="EH1706" t="s">
        <v>267</v>
      </c>
      <c r="EJ1706">
        <v>48</v>
      </c>
      <c r="EO1706" t="s">
        <v>268</v>
      </c>
      <c r="EQ1706">
        <v>2</v>
      </c>
      <c r="EV1706" t="s">
        <v>267</v>
      </c>
      <c r="EW1706" t="s">
        <v>1512</v>
      </c>
      <c r="EY1706" t="s">
        <v>377</v>
      </c>
      <c r="EZ1706">
        <v>5</v>
      </c>
      <c r="FA1706" t="s">
        <v>3417</v>
      </c>
      <c r="FM1706">
        <v>20</v>
      </c>
      <c r="FR1706" t="s">
        <v>295</v>
      </c>
      <c r="GU1706">
        <v>18</v>
      </c>
      <c r="GZ1706" t="s">
        <v>296</v>
      </c>
      <c r="HH1706" t="s">
        <v>272</v>
      </c>
      <c r="ID1706" t="s">
        <v>3418</v>
      </c>
      <c r="IE1706" t="s">
        <v>3419</v>
      </c>
      <c r="IF1706">
        <v>52818</v>
      </c>
      <c r="IG1706" t="s">
        <v>3420</v>
      </c>
      <c r="IH1706" t="s">
        <v>3421</v>
      </c>
      <c r="II1706">
        <v>1999</v>
      </c>
      <c r="IJ1706" t="s">
        <v>3422</v>
      </c>
    </row>
    <row r="1707" spans="1:244" x14ac:dyDescent="0.45">
      <c r="A1707">
        <v>1141818</v>
      </c>
      <c r="B1707">
        <v>106974</v>
      </c>
      <c r="C1707">
        <v>7778509</v>
      </c>
      <c r="D1707" t="s">
        <v>3280</v>
      </c>
      <c r="F1707" t="s">
        <v>245</v>
      </c>
      <c r="G1707" t="s">
        <v>246</v>
      </c>
      <c r="N1707" t="s">
        <v>2183</v>
      </c>
      <c r="O1707" t="s">
        <v>498</v>
      </c>
      <c r="P1707" t="s">
        <v>249</v>
      </c>
      <c r="Q1707" t="s">
        <v>250</v>
      </c>
      <c r="R1707" t="s">
        <v>251</v>
      </c>
      <c r="T1707" t="s">
        <v>252</v>
      </c>
      <c r="U1707" t="s">
        <v>499</v>
      </c>
      <c r="V1707" t="s">
        <v>1281</v>
      </c>
      <c r="W1707" t="s">
        <v>1282</v>
      </c>
      <c r="X1707" t="s">
        <v>2184</v>
      </c>
      <c r="AM1707" t="s">
        <v>317</v>
      </c>
      <c r="AN1707" t="s">
        <v>259</v>
      </c>
      <c r="AO1707" t="s">
        <v>260</v>
      </c>
      <c r="AQ1707" t="s">
        <v>261</v>
      </c>
      <c r="AS1707">
        <v>4700</v>
      </c>
      <c r="AX1707" t="s">
        <v>262</v>
      </c>
      <c r="BO1707" t="s">
        <v>261</v>
      </c>
      <c r="BQ1707">
        <v>4.7</v>
      </c>
      <c r="BV1707" t="s">
        <v>263</v>
      </c>
      <c r="CM1707" t="s">
        <v>264</v>
      </c>
      <c r="CN1707" t="s">
        <v>264</v>
      </c>
      <c r="CP1707" t="s">
        <v>265</v>
      </c>
      <c r="CQ1707" t="s">
        <v>538</v>
      </c>
      <c r="DB1707">
        <v>4</v>
      </c>
      <c r="DG1707" t="s">
        <v>267</v>
      </c>
      <c r="DI1707">
        <v>96</v>
      </c>
      <c r="DN1707" t="s">
        <v>268</v>
      </c>
      <c r="DP1707" t="s">
        <v>2185</v>
      </c>
      <c r="DR1707">
        <v>371472</v>
      </c>
      <c r="DS1707">
        <v>1342</v>
      </c>
      <c r="DT1707" t="s">
        <v>3394</v>
      </c>
      <c r="EW1707" t="s">
        <v>271</v>
      </c>
      <c r="FM1707">
        <v>15</v>
      </c>
      <c r="FR1707" t="s">
        <v>295</v>
      </c>
      <c r="GU1707">
        <v>25</v>
      </c>
      <c r="GZ1707" t="s">
        <v>296</v>
      </c>
      <c r="HH1707" t="s">
        <v>272</v>
      </c>
      <c r="IE1707" t="s">
        <v>3395</v>
      </c>
      <c r="IF1707">
        <v>11873</v>
      </c>
      <c r="IG1707" t="s">
        <v>3396</v>
      </c>
      <c r="IH1707" t="s">
        <v>3397</v>
      </c>
      <c r="II1707">
        <v>1984</v>
      </c>
      <c r="IJ1707" t="s">
        <v>3398</v>
      </c>
    </row>
    <row r="1708" spans="1:244" x14ac:dyDescent="0.45">
      <c r="A1708">
        <v>1141808</v>
      </c>
      <c r="B1708">
        <v>106964</v>
      </c>
      <c r="C1708">
        <v>7778509</v>
      </c>
      <c r="D1708" t="s">
        <v>3280</v>
      </c>
      <c r="F1708" t="s">
        <v>245</v>
      </c>
      <c r="G1708" t="s">
        <v>246</v>
      </c>
      <c r="N1708" t="s">
        <v>2183</v>
      </c>
      <c r="O1708" t="s">
        <v>498</v>
      </c>
      <c r="P1708" t="s">
        <v>249</v>
      </c>
      <c r="Q1708" t="s">
        <v>250</v>
      </c>
      <c r="R1708" t="s">
        <v>251</v>
      </c>
      <c r="T1708" t="s">
        <v>252</v>
      </c>
      <c r="U1708" t="s">
        <v>499</v>
      </c>
      <c r="V1708" t="s">
        <v>1281</v>
      </c>
      <c r="W1708" t="s">
        <v>1282</v>
      </c>
      <c r="X1708" t="s">
        <v>2184</v>
      </c>
      <c r="AM1708" t="s">
        <v>317</v>
      </c>
      <c r="AN1708" t="s">
        <v>259</v>
      </c>
      <c r="AO1708" t="s">
        <v>260</v>
      </c>
      <c r="AQ1708" t="s">
        <v>261</v>
      </c>
      <c r="AS1708">
        <v>2000</v>
      </c>
      <c r="AX1708" t="s">
        <v>262</v>
      </c>
      <c r="BO1708" t="s">
        <v>261</v>
      </c>
      <c r="BQ1708">
        <v>2</v>
      </c>
      <c r="BV1708" t="s">
        <v>263</v>
      </c>
      <c r="CM1708" t="s">
        <v>264</v>
      </c>
      <c r="CN1708" t="s">
        <v>264</v>
      </c>
      <c r="CP1708" t="s">
        <v>265</v>
      </c>
      <c r="CQ1708" t="s">
        <v>538</v>
      </c>
      <c r="DB1708">
        <v>2</v>
      </c>
      <c r="DG1708" t="s">
        <v>267</v>
      </c>
      <c r="DI1708">
        <v>48</v>
      </c>
      <c r="DN1708" t="s">
        <v>268</v>
      </c>
      <c r="DP1708" t="s">
        <v>2185</v>
      </c>
      <c r="DR1708">
        <v>371472</v>
      </c>
      <c r="DS1708">
        <v>1342</v>
      </c>
      <c r="DT1708" t="s">
        <v>3394</v>
      </c>
      <c r="EW1708" t="s">
        <v>271</v>
      </c>
      <c r="FM1708">
        <v>15</v>
      </c>
      <c r="FR1708" t="s">
        <v>295</v>
      </c>
      <c r="GU1708">
        <v>5</v>
      </c>
      <c r="GZ1708" t="s">
        <v>296</v>
      </c>
      <c r="HH1708" t="s">
        <v>272</v>
      </c>
      <c r="IE1708" t="s">
        <v>3395</v>
      </c>
      <c r="IF1708">
        <v>11873</v>
      </c>
      <c r="IG1708" t="s">
        <v>3396</v>
      </c>
      <c r="IH1708" t="s">
        <v>3397</v>
      </c>
      <c r="II1708">
        <v>1984</v>
      </c>
      <c r="IJ1708" t="s">
        <v>3398</v>
      </c>
    </row>
    <row r="1709" spans="1:244" x14ac:dyDescent="0.45">
      <c r="A1709">
        <v>1159875</v>
      </c>
      <c r="B1709">
        <v>142884</v>
      </c>
      <c r="C1709">
        <v>7778509</v>
      </c>
      <c r="D1709" t="s">
        <v>3280</v>
      </c>
      <c r="E1709" t="s">
        <v>622</v>
      </c>
      <c r="F1709" t="s">
        <v>327</v>
      </c>
      <c r="G1709" t="s">
        <v>246</v>
      </c>
      <c r="N1709" t="s">
        <v>623</v>
      </c>
      <c r="O1709" t="s">
        <v>388</v>
      </c>
      <c r="P1709" t="s">
        <v>249</v>
      </c>
      <c r="Q1709" t="s">
        <v>250</v>
      </c>
      <c r="R1709" t="s">
        <v>251</v>
      </c>
      <c r="T1709" t="s">
        <v>389</v>
      </c>
      <c r="U1709" t="s">
        <v>390</v>
      </c>
      <c r="V1709" t="s">
        <v>472</v>
      </c>
      <c r="W1709" t="s">
        <v>473</v>
      </c>
      <c r="X1709" t="s">
        <v>624</v>
      </c>
      <c r="Z1709" t="s">
        <v>315</v>
      </c>
      <c r="AL1709" t="s">
        <v>2122</v>
      </c>
      <c r="AM1709" t="s">
        <v>258</v>
      </c>
      <c r="AN1709" t="s">
        <v>259</v>
      </c>
      <c r="AO1709" t="s">
        <v>260</v>
      </c>
      <c r="AQ1709" t="s">
        <v>261</v>
      </c>
      <c r="AS1709">
        <v>5900</v>
      </c>
      <c r="AX1709" t="s">
        <v>262</v>
      </c>
      <c r="BO1709" t="s">
        <v>261</v>
      </c>
      <c r="BQ1709">
        <v>5.9</v>
      </c>
      <c r="BV1709" t="s">
        <v>263</v>
      </c>
      <c r="CM1709" t="s">
        <v>264</v>
      </c>
      <c r="CN1709" t="s">
        <v>264</v>
      </c>
      <c r="CP1709" t="s">
        <v>265</v>
      </c>
      <c r="CQ1709" t="s">
        <v>538</v>
      </c>
      <c r="DB1709">
        <v>4</v>
      </c>
      <c r="DG1709" t="s">
        <v>267</v>
      </c>
      <c r="DI1709">
        <v>96</v>
      </c>
      <c r="DN1709" t="s">
        <v>268</v>
      </c>
      <c r="DS1709">
        <v>4676</v>
      </c>
      <c r="DT1709" t="s">
        <v>625</v>
      </c>
      <c r="EW1709" t="s">
        <v>376</v>
      </c>
      <c r="FO1709">
        <v>20</v>
      </c>
      <c r="FQ1709">
        <v>21</v>
      </c>
      <c r="FR1709" t="s">
        <v>295</v>
      </c>
      <c r="GJ1709">
        <v>7</v>
      </c>
      <c r="GL1709">
        <v>7.9</v>
      </c>
      <c r="GM1709" t="s">
        <v>356</v>
      </c>
      <c r="GQ1709">
        <v>7.7</v>
      </c>
      <c r="GS1709">
        <v>8.14</v>
      </c>
      <c r="GW1709">
        <v>34.5</v>
      </c>
      <c r="GY1709">
        <v>35.01</v>
      </c>
      <c r="GZ1709" t="s">
        <v>296</v>
      </c>
      <c r="HH1709" t="s">
        <v>272</v>
      </c>
      <c r="IE1709" t="s">
        <v>626</v>
      </c>
      <c r="IF1709">
        <v>14137</v>
      </c>
      <c r="IG1709" t="s">
        <v>627</v>
      </c>
      <c r="IH1709" t="s">
        <v>628</v>
      </c>
      <c r="II1709">
        <v>1994</v>
      </c>
      <c r="IJ1709" t="s">
        <v>629</v>
      </c>
    </row>
    <row r="1710" spans="1:244" x14ac:dyDescent="0.45">
      <c r="A1710">
        <v>1141770</v>
      </c>
      <c r="B1710">
        <v>105367</v>
      </c>
      <c r="C1710">
        <v>7778509</v>
      </c>
      <c r="D1710" t="s">
        <v>3280</v>
      </c>
      <c r="F1710" t="s">
        <v>245</v>
      </c>
      <c r="G1710" t="s">
        <v>246</v>
      </c>
      <c r="N1710" t="s">
        <v>2183</v>
      </c>
      <c r="O1710" t="s">
        <v>498</v>
      </c>
      <c r="P1710" t="s">
        <v>249</v>
      </c>
      <c r="Q1710" t="s">
        <v>250</v>
      </c>
      <c r="R1710" t="s">
        <v>251</v>
      </c>
      <c r="T1710" t="s">
        <v>252</v>
      </c>
      <c r="U1710" t="s">
        <v>499</v>
      </c>
      <c r="V1710" t="s">
        <v>1281</v>
      </c>
      <c r="W1710" t="s">
        <v>1282</v>
      </c>
      <c r="X1710" t="s">
        <v>2184</v>
      </c>
      <c r="AM1710" t="s">
        <v>317</v>
      </c>
      <c r="AN1710" t="s">
        <v>259</v>
      </c>
      <c r="AO1710" t="s">
        <v>260</v>
      </c>
      <c r="AQ1710" t="s">
        <v>261</v>
      </c>
      <c r="AS1710">
        <v>80000</v>
      </c>
      <c r="AX1710" t="s">
        <v>262</v>
      </c>
      <c r="BO1710" t="s">
        <v>261</v>
      </c>
      <c r="BQ1710">
        <v>80</v>
      </c>
      <c r="BV1710" t="s">
        <v>263</v>
      </c>
      <c r="CM1710" t="s">
        <v>264</v>
      </c>
      <c r="CN1710" t="s">
        <v>264</v>
      </c>
      <c r="CP1710" t="s">
        <v>265</v>
      </c>
      <c r="CQ1710" t="s">
        <v>538</v>
      </c>
      <c r="DB1710">
        <v>2</v>
      </c>
      <c r="DG1710" t="s">
        <v>267</v>
      </c>
      <c r="DI1710">
        <v>48</v>
      </c>
      <c r="DN1710" t="s">
        <v>268</v>
      </c>
      <c r="DP1710" t="s">
        <v>2185</v>
      </c>
      <c r="DR1710">
        <v>371472</v>
      </c>
      <c r="DS1710">
        <v>1342</v>
      </c>
      <c r="DT1710" t="s">
        <v>3394</v>
      </c>
      <c r="EW1710" t="s">
        <v>271</v>
      </c>
      <c r="FM1710">
        <v>5</v>
      </c>
      <c r="FR1710" t="s">
        <v>295</v>
      </c>
      <c r="GU1710">
        <v>25</v>
      </c>
      <c r="GZ1710" t="s">
        <v>296</v>
      </c>
      <c r="HH1710" t="s">
        <v>272</v>
      </c>
      <c r="IE1710" t="s">
        <v>3395</v>
      </c>
      <c r="IF1710">
        <v>11873</v>
      </c>
      <c r="IG1710" t="s">
        <v>3396</v>
      </c>
      <c r="IH1710" t="s">
        <v>3397</v>
      </c>
      <c r="II1710">
        <v>1984</v>
      </c>
      <c r="IJ1710" t="s">
        <v>3398</v>
      </c>
    </row>
    <row r="1711" spans="1:244" x14ac:dyDescent="0.45">
      <c r="A1711">
        <v>1141900</v>
      </c>
      <c r="B1711">
        <v>107056</v>
      </c>
      <c r="C1711">
        <v>7778509</v>
      </c>
      <c r="D1711" t="s">
        <v>3280</v>
      </c>
      <c r="F1711" t="s">
        <v>245</v>
      </c>
      <c r="G1711" t="s">
        <v>246</v>
      </c>
      <c r="N1711" t="s">
        <v>2183</v>
      </c>
      <c r="O1711" t="s">
        <v>498</v>
      </c>
      <c r="P1711" t="s">
        <v>249</v>
      </c>
      <c r="Q1711" t="s">
        <v>250</v>
      </c>
      <c r="R1711" t="s">
        <v>251</v>
      </c>
      <c r="T1711" t="s">
        <v>252</v>
      </c>
      <c r="U1711" t="s">
        <v>499</v>
      </c>
      <c r="V1711" t="s">
        <v>1281</v>
      </c>
      <c r="W1711" t="s">
        <v>1282</v>
      </c>
      <c r="X1711" t="s">
        <v>2184</v>
      </c>
      <c r="AM1711" t="s">
        <v>317</v>
      </c>
      <c r="AN1711" t="s">
        <v>259</v>
      </c>
      <c r="AO1711" t="s">
        <v>260</v>
      </c>
      <c r="AQ1711" t="s">
        <v>261</v>
      </c>
      <c r="AS1711">
        <v>38000</v>
      </c>
      <c r="AX1711" t="s">
        <v>262</v>
      </c>
      <c r="BO1711" t="s">
        <v>261</v>
      </c>
      <c r="BQ1711">
        <v>38</v>
      </c>
      <c r="BV1711" t="s">
        <v>263</v>
      </c>
      <c r="CM1711" t="s">
        <v>264</v>
      </c>
      <c r="CN1711" t="s">
        <v>264</v>
      </c>
      <c r="CP1711" t="s">
        <v>265</v>
      </c>
      <c r="CQ1711" t="s">
        <v>538</v>
      </c>
      <c r="DB1711">
        <v>4</v>
      </c>
      <c r="DG1711" t="s">
        <v>267</v>
      </c>
      <c r="DI1711">
        <v>96</v>
      </c>
      <c r="DN1711" t="s">
        <v>268</v>
      </c>
      <c r="DP1711" t="s">
        <v>2185</v>
      </c>
      <c r="DR1711">
        <v>371472</v>
      </c>
      <c r="DS1711">
        <v>1342</v>
      </c>
      <c r="DT1711" t="s">
        <v>3394</v>
      </c>
      <c r="EW1711" t="s">
        <v>271</v>
      </c>
      <c r="FM1711">
        <v>5</v>
      </c>
      <c r="FR1711" t="s">
        <v>295</v>
      </c>
      <c r="GU1711">
        <v>30</v>
      </c>
      <c r="GZ1711" t="s">
        <v>296</v>
      </c>
      <c r="HH1711" t="s">
        <v>272</v>
      </c>
      <c r="IE1711" t="s">
        <v>3395</v>
      </c>
      <c r="IF1711">
        <v>11873</v>
      </c>
      <c r="IG1711" t="s">
        <v>3396</v>
      </c>
      <c r="IH1711" t="s">
        <v>3397</v>
      </c>
      <c r="II1711">
        <v>1984</v>
      </c>
      <c r="IJ1711" t="s">
        <v>3398</v>
      </c>
    </row>
    <row r="1712" spans="1:244" x14ac:dyDescent="0.45">
      <c r="A1712">
        <v>2314544</v>
      </c>
      <c r="B1712">
        <v>2781653</v>
      </c>
      <c r="C1712">
        <v>7778509</v>
      </c>
      <c r="D1712" t="s">
        <v>3280</v>
      </c>
      <c r="F1712" t="s">
        <v>245</v>
      </c>
      <c r="G1712" t="s">
        <v>557</v>
      </c>
      <c r="N1712" t="s">
        <v>630</v>
      </c>
      <c r="O1712" t="s">
        <v>631</v>
      </c>
      <c r="P1712" t="s">
        <v>249</v>
      </c>
      <c r="Q1712" t="s">
        <v>250</v>
      </c>
      <c r="R1712" t="s">
        <v>251</v>
      </c>
      <c r="T1712" t="s">
        <v>389</v>
      </c>
      <c r="U1712" t="s">
        <v>632</v>
      </c>
      <c r="V1712" t="s">
        <v>633</v>
      </c>
      <c r="W1712" t="s">
        <v>634</v>
      </c>
      <c r="X1712" t="s">
        <v>635</v>
      </c>
      <c r="Z1712" t="s">
        <v>315</v>
      </c>
      <c r="AD1712">
        <v>10</v>
      </c>
      <c r="AF1712">
        <v>12</v>
      </c>
      <c r="AG1712" t="s">
        <v>267</v>
      </c>
      <c r="AI1712">
        <v>6</v>
      </c>
      <c r="AJ1712" t="s">
        <v>354</v>
      </c>
      <c r="AM1712" t="s">
        <v>317</v>
      </c>
      <c r="AN1712" t="s">
        <v>259</v>
      </c>
      <c r="AO1712" t="s">
        <v>260</v>
      </c>
      <c r="AP1712" t="s">
        <v>3415</v>
      </c>
      <c r="AQ1712" t="s">
        <v>261</v>
      </c>
      <c r="AS1712">
        <v>10</v>
      </c>
      <c r="AU1712">
        <v>8.6999999999999993</v>
      </c>
      <c r="AW1712">
        <v>12</v>
      </c>
      <c r="AX1712" t="s">
        <v>356</v>
      </c>
      <c r="BO1712" t="s">
        <v>261</v>
      </c>
      <c r="BQ1712">
        <v>10</v>
      </c>
      <c r="BS1712">
        <v>8.6999999999999993</v>
      </c>
      <c r="BU1712">
        <v>12</v>
      </c>
      <c r="BV1712" t="s">
        <v>263</v>
      </c>
      <c r="CM1712" t="s">
        <v>264</v>
      </c>
      <c r="CN1712" t="s">
        <v>264</v>
      </c>
      <c r="CP1712" t="s">
        <v>265</v>
      </c>
      <c r="DB1712">
        <v>2</v>
      </c>
      <c r="DG1712" t="s">
        <v>267</v>
      </c>
      <c r="DI1712">
        <v>48</v>
      </c>
      <c r="DN1712" t="s">
        <v>268</v>
      </c>
      <c r="DP1712" t="s">
        <v>3281</v>
      </c>
      <c r="DR1712">
        <v>136180</v>
      </c>
      <c r="DS1712">
        <v>376</v>
      </c>
      <c r="DT1712" t="s">
        <v>3416</v>
      </c>
      <c r="DV1712">
        <v>48</v>
      </c>
      <c r="EA1712" t="s">
        <v>268</v>
      </c>
      <c r="EC1712">
        <v>2</v>
      </c>
      <c r="EH1712" t="s">
        <v>267</v>
      </c>
      <c r="EJ1712">
        <v>48</v>
      </c>
      <c r="EO1712" t="s">
        <v>268</v>
      </c>
      <c r="EQ1712">
        <v>2</v>
      </c>
      <c r="EV1712" t="s">
        <v>267</v>
      </c>
      <c r="EW1712" t="s">
        <v>1512</v>
      </c>
      <c r="EY1712" t="s">
        <v>377</v>
      </c>
      <c r="EZ1712">
        <v>5</v>
      </c>
      <c r="FA1712" t="s">
        <v>3423</v>
      </c>
      <c r="FM1712">
        <v>20</v>
      </c>
      <c r="FR1712" t="s">
        <v>295</v>
      </c>
      <c r="GU1712">
        <v>18</v>
      </c>
      <c r="GZ1712" t="s">
        <v>296</v>
      </c>
      <c r="HH1712" t="s">
        <v>272</v>
      </c>
      <c r="ID1712" t="s">
        <v>3424</v>
      </c>
      <c r="IE1712" t="s">
        <v>3419</v>
      </c>
      <c r="IF1712">
        <v>52818</v>
      </c>
      <c r="IG1712" t="s">
        <v>3420</v>
      </c>
      <c r="IH1712" t="s">
        <v>3421</v>
      </c>
      <c r="II1712">
        <v>1999</v>
      </c>
      <c r="IJ1712" t="s">
        <v>3422</v>
      </c>
    </row>
    <row r="1713" spans="1:244" x14ac:dyDescent="0.45">
      <c r="A1713">
        <v>2314544</v>
      </c>
      <c r="B1713">
        <v>2781652</v>
      </c>
      <c r="C1713">
        <v>7778509</v>
      </c>
      <c r="D1713" t="s">
        <v>3280</v>
      </c>
      <c r="F1713" t="s">
        <v>245</v>
      </c>
      <c r="G1713" t="s">
        <v>557</v>
      </c>
      <c r="N1713" t="s">
        <v>630</v>
      </c>
      <c r="O1713" t="s">
        <v>631</v>
      </c>
      <c r="P1713" t="s">
        <v>249</v>
      </c>
      <c r="Q1713" t="s">
        <v>250</v>
      </c>
      <c r="R1713" t="s">
        <v>251</v>
      </c>
      <c r="T1713" t="s">
        <v>389</v>
      </c>
      <c r="U1713" t="s">
        <v>632</v>
      </c>
      <c r="V1713" t="s">
        <v>633</v>
      </c>
      <c r="W1713" t="s">
        <v>634</v>
      </c>
      <c r="X1713" t="s">
        <v>635</v>
      </c>
      <c r="Z1713" t="s">
        <v>315</v>
      </c>
      <c r="AD1713">
        <v>10</v>
      </c>
      <c r="AF1713">
        <v>12</v>
      </c>
      <c r="AG1713" t="s">
        <v>267</v>
      </c>
      <c r="AI1713">
        <v>6</v>
      </c>
      <c r="AJ1713" t="s">
        <v>354</v>
      </c>
      <c r="AM1713" t="s">
        <v>317</v>
      </c>
      <c r="AN1713" t="s">
        <v>259</v>
      </c>
      <c r="AO1713" t="s">
        <v>260</v>
      </c>
      <c r="AP1713" t="s">
        <v>3415</v>
      </c>
      <c r="AQ1713" t="s">
        <v>261</v>
      </c>
      <c r="AS1713">
        <v>20</v>
      </c>
      <c r="AU1713">
        <v>17</v>
      </c>
      <c r="AW1713">
        <v>23</v>
      </c>
      <c r="AX1713" t="s">
        <v>356</v>
      </c>
      <c r="BO1713" t="s">
        <v>261</v>
      </c>
      <c r="BQ1713">
        <v>20</v>
      </c>
      <c r="BS1713">
        <v>17</v>
      </c>
      <c r="BU1713">
        <v>23</v>
      </c>
      <c r="BV1713" t="s">
        <v>263</v>
      </c>
      <c r="CM1713" t="s">
        <v>264</v>
      </c>
      <c r="CN1713" t="s">
        <v>264</v>
      </c>
      <c r="CP1713" t="s">
        <v>265</v>
      </c>
      <c r="DB1713">
        <v>1</v>
      </c>
      <c r="DG1713" t="s">
        <v>267</v>
      </c>
      <c r="DI1713">
        <v>24</v>
      </c>
      <c r="DN1713" t="s">
        <v>268</v>
      </c>
      <c r="DP1713" t="s">
        <v>3281</v>
      </c>
      <c r="DR1713">
        <v>136180</v>
      </c>
      <c r="DS1713">
        <v>376</v>
      </c>
      <c r="DT1713" t="s">
        <v>3416</v>
      </c>
      <c r="DV1713">
        <v>48</v>
      </c>
      <c r="EA1713" t="s">
        <v>268</v>
      </c>
      <c r="EC1713">
        <v>2</v>
      </c>
      <c r="EH1713" t="s">
        <v>267</v>
      </c>
      <c r="EJ1713">
        <v>48</v>
      </c>
      <c r="EO1713" t="s">
        <v>268</v>
      </c>
      <c r="EQ1713">
        <v>2</v>
      </c>
      <c r="EV1713" t="s">
        <v>267</v>
      </c>
      <c r="EW1713" t="s">
        <v>1512</v>
      </c>
      <c r="EY1713" t="s">
        <v>377</v>
      </c>
      <c r="EZ1713">
        <v>5</v>
      </c>
      <c r="FA1713" t="s">
        <v>3423</v>
      </c>
      <c r="FM1713">
        <v>20</v>
      </c>
      <c r="FR1713" t="s">
        <v>295</v>
      </c>
      <c r="GU1713">
        <v>18</v>
      </c>
      <c r="GZ1713" t="s">
        <v>296</v>
      </c>
      <c r="HH1713" t="s">
        <v>272</v>
      </c>
      <c r="ID1713" t="s">
        <v>3424</v>
      </c>
      <c r="IE1713" t="s">
        <v>3419</v>
      </c>
      <c r="IF1713">
        <v>52818</v>
      </c>
      <c r="IG1713" t="s">
        <v>3420</v>
      </c>
      <c r="IH1713" t="s">
        <v>3421</v>
      </c>
      <c r="II1713">
        <v>1999</v>
      </c>
      <c r="IJ1713" t="s">
        <v>3422</v>
      </c>
    </row>
    <row r="1714" spans="1:244" x14ac:dyDescent="0.45">
      <c r="A1714">
        <v>1141814</v>
      </c>
      <c r="B1714">
        <v>106970</v>
      </c>
      <c r="C1714">
        <v>7778509</v>
      </c>
      <c r="D1714" t="s">
        <v>3280</v>
      </c>
      <c r="F1714" t="s">
        <v>245</v>
      </c>
      <c r="G1714" t="s">
        <v>246</v>
      </c>
      <c r="N1714" t="s">
        <v>2183</v>
      </c>
      <c r="O1714" t="s">
        <v>498</v>
      </c>
      <c r="P1714" t="s">
        <v>249</v>
      </c>
      <c r="Q1714" t="s">
        <v>250</v>
      </c>
      <c r="R1714" t="s">
        <v>251</v>
      </c>
      <c r="T1714" t="s">
        <v>252</v>
      </c>
      <c r="U1714" t="s">
        <v>499</v>
      </c>
      <c r="V1714" t="s">
        <v>1281</v>
      </c>
      <c r="W1714" t="s">
        <v>1282</v>
      </c>
      <c r="X1714" t="s">
        <v>2184</v>
      </c>
      <c r="AM1714" t="s">
        <v>317</v>
      </c>
      <c r="AN1714" t="s">
        <v>259</v>
      </c>
      <c r="AO1714" t="s">
        <v>260</v>
      </c>
      <c r="AQ1714" t="s">
        <v>261</v>
      </c>
      <c r="AS1714">
        <v>17000</v>
      </c>
      <c r="AX1714" t="s">
        <v>262</v>
      </c>
      <c r="BO1714" t="s">
        <v>261</v>
      </c>
      <c r="BQ1714">
        <v>17</v>
      </c>
      <c r="BV1714" t="s">
        <v>263</v>
      </c>
      <c r="CM1714" t="s">
        <v>264</v>
      </c>
      <c r="CN1714" t="s">
        <v>264</v>
      </c>
      <c r="CP1714" t="s">
        <v>265</v>
      </c>
      <c r="CQ1714" t="s">
        <v>538</v>
      </c>
      <c r="DB1714">
        <v>2</v>
      </c>
      <c r="DG1714" t="s">
        <v>267</v>
      </c>
      <c r="DI1714">
        <v>48</v>
      </c>
      <c r="DN1714" t="s">
        <v>268</v>
      </c>
      <c r="DP1714" t="s">
        <v>2185</v>
      </c>
      <c r="DR1714">
        <v>371472</v>
      </c>
      <c r="DS1714">
        <v>1342</v>
      </c>
      <c r="DT1714" t="s">
        <v>3394</v>
      </c>
      <c r="EW1714" t="s">
        <v>271</v>
      </c>
      <c r="FM1714">
        <v>15</v>
      </c>
      <c r="FR1714" t="s">
        <v>295</v>
      </c>
      <c r="GU1714">
        <v>35</v>
      </c>
      <c r="GZ1714" t="s">
        <v>296</v>
      </c>
      <c r="HH1714" t="s">
        <v>272</v>
      </c>
      <c r="IE1714" t="s">
        <v>3395</v>
      </c>
      <c r="IF1714">
        <v>11873</v>
      </c>
      <c r="IG1714" t="s">
        <v>3396</v>
      </c>
      <c r="IH1714" t="s">
        <v>3397</v>
      </c>
      <c r="II1714">
        <v>1984</v>
      </c>
      <c r="IJ1714" t="s">
        <v>3398</v>
      </c>
    </row>
    <row r="1715" spans="1:244" x14ac:dyDescent="0.45">
      <c r="A1715">
        <v>2114272</v>
      </c>
      <c r="B1715">
        <v>2208825</v>
      </c>
      <c r="C1715">
        <v>7778509</v>
      </c>
      <c r="D1715" t="s">
        <v>3280</v>
      </c>
      <c r="F1715" t="s">
        <v>327</v>
      </c>
      <c r="G1715" t="s">
        <v>1550</v>
      </c>
      <c r="N1715" t="s">
        <v>630</v>
      </c>
      <c r="O1715" t="s">
        <v>631</v>
      </c>
      <c r="P1715" t="s">
        <v>249</v>
      </c>
      <c r="Q1715" t="s">
        <v>250</v>
      </c>
      <c r="R1715" t="s">
        <v>251</v>
      </c>
      <c r="T1715" t="s">
        <v>389</v>
      </c>
      <c r="U1715" t="s">
        <v>632</v>
      </c>
      <c r="V1715" t="s">
        <v>633</v>
      </c>
      <c r="W1715" t="s">
        <v>634</v>
      </c>
      <c r="X1715" t="s">
        <v>635</v>
      </c>
      <c r="Z1715" t="s">
        <v>1034</v>
      </c>
      <c r="AD1715">
        <v>14</v>
      </c>
      <c r="AF1715">
        <v>21</v>
      </c>
      <c r="AG1715" t="s">
        <v>267</v>
      </c>
      <c r="AJ1715" t="s">
        <v>354</v>
      </c>
      <c r="AL1715" t="s">
        <v>3425</v>
      </c>
      <c r="AM1715" t="s">
        <v>317</v>
      </c>
      <c r="AN1715" t="s">
        <v>259</v>
      </c>
      <c r="AO1715" t="s">
        <v>260</v>
      </c>
      <c r="AQ1715" t="s">
        <v>261</v>
      </c>
      <c r="AS1715">
        <v>10.6</v>
      </c>
      <c r="AU1715">
        <v>7.2</v>
      </c>
      <c r="AW1715">
        <v>26</v>
      </c>
      <c r="AX1715" t="s">
        <v>356</v>
      </c>
      <c r="BO1715" t="s">
        <v>261</v>
      </c>
      <c r="BQ1715">
        <v>10.6</v>
      </c>
      <c r="BS1715">
        <v>7.2</v>
      </c>
      <c r="BU1715">
        <v>26</v>
      </c>
      <c r="BV1715" t="s">
        <v>263</v>
      </c>
      <c r="CM1715" t="s">
        <v>264</v>
      </c>
      <c r="CN1715" t="s">
        <v>264</v>
      </c>
      <c r="CP1715" t="s">
        <v>265</v>
      </c>
      <c r="DB1715">
        <v>2</v>
      </c>
      <c r="DG1715" t="s">
        <v>267</v>
      </c>
      <c r="DI1715">
        <v>48</v>
      </c>
      <c r="DN1715" t="s">
        <v>268</v>
      </c>
      <c r="DP1715" t="s">
        <v>3281</v>
      </c>
      <c r="DR1715">
        <v>136180</v>
      </c>
      <c r="DS1715">
        <v>376</v>
      </c>
      <c r="DV1715">
        <v>48</v>
      </c>
      <c r="EA1715" t="s">
        <v>268</v>
      </c>
      <c r="EC1715">
        <v>2</v>
      </c>
      <c r="EH1715" t="s">
        <v>267</v>
      </c>
      <c r="EJ1715">
        <v>48</v>
      </c>
      <c r="EO1715" t="s">
        <v>268</v>
      </c>
      <c r="EQ1715">
        <v>2</v>
      </c>
      <c r="EV1715" t="s">
        <v>267</v>
      </c>
      <c r="EW1715" t="s">
        <v>293</v>
      </c>
      <c r="EY1715" t="s">
        <v>377</v>
      </c>
      <c r="FA1715" t="s">
        <v>3426</v>
      </c>
      <c r="FM1715">
        <v>25</v>
      </c>
      <c r="FR1715" t="s">
        <v>295</v>
      </c>
      <c r="GH1715">
        <v>7.6</v>
      </c>
      <c r="GJ1715">
        <v>7</v>
      </c>
      <c r="GL1715">
        <v>8.6999999999999993</v>
      </c>
      <c r="GM1715" t="s">
        <v>356</v>
      </c>
      <c r="GO1715">
        <v>8.1</v>
      </c>
      <c r="GQ1715">
        <v>8</v>
      </c>
      <c r="GS1715">
        <v>8.4</v>
      </c>
      <c r="GW1715">
        <v>29</v>
      </c>
      <c r="GY1715">
        <v>35</v>
      </c>
      <c r="GZ1715" t="s">
        <v>296</v>
      </c>
      <c r="HH1715" t="s">
        <v>272</v>
      </c>
      <c r="ID1715" t="s">
        <v>1028</v>
      </c>
      <c r="IE1715" t="s">
        <v>3427</v>
      </c>
      <c r="IF1715">
        <v>167149</v>
      </c>
      <c r="IG1715" t="s">
        <v>3428</v>
      </c>
      <c r="IH1715" t="s">
        <v>3429</v>
      </c>
      <c r="II1715">
        <v>2006</v>
      </c>
      <c r="IJ1715" t="s">
        <v>3430</v>
      </c>
    </row>
    <row r="1716" spans="1:244" x14ac:dyDescent="0.45">
      <c r="A1716">
        <v>2114255</v>
      </c>
      <c r="B1716">
        <v>2208798</v>
      </c>
      <c r="C1716">
        <v>7778509</v>
      </c>
      <c r="D1716" t="s">
        <v>3280</v>
      </c>
      <c r="F1716" t="s">
        <v>327</v>
      </c>
      <c r="G1716" t="s">
        <v>1550</v>
      </c>
      <c r="N1716" t="s">
        <v>630</v>
      </c>
      <c r="O1716" t="s">
        <v>631</v>
      </c>
      <c r="P1716" t="s">
        <v>249</v>
      </c>
      <c r="Q1716" t="s">
        <v>250</v>
      </c>
      <c r="R1716" t="s">
        <v>251</v>
      </c>
      <c r="T1716" t="s">
        <v>389</v>
      </c>
      <c r="U1716" t="s">
        <v>632</v>
      </c>
      <c r="V1716" t="s">
        <v>633</v>
      </c>
      <c r="W1716" t="s">
        <v>634</v>
      </c>
      <c r="X1716" t="s">
        <v>635</v>
      </c>
      <c r="Z1716" t="s">
        <v>1034</v>
      </c>
      <c r="AD1716">
        <v>14</v>
      </c>
      <c r="AF1716">
        <v>21</v>
      </c>
      <c r="AG1716" t="s">
        <v>267</v>
      </c>
      <c r="AJ1716" t="s">
        <v>354</v>
      </c>
      <c r="AL1716" t="s">
        <v>3425</v>
      </c>
      <c r="AM1716" t="s">
        <v>317</v>
      </c>
      <c r="AN1716" t="s">
        <v>259</v>
      </c>
      <c r="AO1716" t="s">
        <v>260</v>
      </c>
      <c r="AQ1716" t="s">
        <v>261</v>
      </c>
      <c r="AS1716">
        <v>11.9</v>
      </c>
      <c r="AU1716">
        <v>7.2</v>
      </c>
      <c r="AW1716">
        <v>26</v>
      </c>
      <c r="AX1716" t="s">
        <v>356</v>
      </c>
      <c r="BO1716" t="s">
        <v>261</v>
      </c>
      <c r="BQ1716">
        <v>11.9</v>
      </c>
      <c r="BS1716">
        <v>7.2</v>
      </c>
      <c r="BU1716">
        <v>26</v>
      </c>
      <c r="BV1716" t="s">
        <v>263</v>
      </c>
      <c r="CM1716" t="s">
        <v>264</v>
      </c>
      <c r="CN1716" t="s">
        <v>264</v>
      </c>
      <c r="CP1716" t="s">
        <v>265</v>
      </c>
      <c r="DB1716">
        <v>2</v>
      </c>
      <c r="DG1716" t="s">
        <v>267</v>
      </c>
      <c r="DI1716">
        <v>48</v>
      </c>
      <c r="DN1716" t="s">
        <v>268</v>
      </c>
      <c r="DP1716" t="s">
        <v>3281</v>
      </c>
      <c r="DR1716">
        <v>136180</v>
      </c>
      <c r="DS1716">
        <v>376</v>
      </c>
      <c r="DV1716">
        <v>48</v>
      </c>
      <c r="EA1716" t="s">
        <v>268</v>
      </c>
      <c r="EC1716">
        <v>2</v>
      </c>
      <c r="EH1716" t="s">
        <v>267</v>
      </c>
      <c r="EJ1716">
        <v>48</v>
      </c>
      <c r="EO1716" t="s">
        <v>268</v>
      </c>
      <c r="EQ1716">
        <v>2</v>
      </c>
      <c r="EV1716" t="s">
        <v>267</v>
      </c>
      <c r="EW1716" t="s">
        <v>293</v>
      </c>
      <c r="EY1716" t="s">
        <v>377</v>
      </c>
      <c r="FA1716" t="s">
        <v>3431</v>
      </c>
      <c r="FM1716">
        <v>25</v>
      </c>
      <c r="FR1716" t="s">
        <v>295</v>
      </c>
      <c r="GJ1716">
        <v>7.1</v>
      </c>
      <c r="GL1716">
        <v>8.6</v>
      </c>
      <c r="GM1716" t="s">
        <v>356</v>
      </c>
      <c r="GQ1716">
        <v>8</v>
      </c>
      <c r="GS1716">
        <v>8.3000000000000007</v>
      </c>
      <c r="GW1716">
        <v>29</v>
      </c>
      <c r="GY1716">
        <v>35</v>
      </c>
      <c r="GZ1716" t="s">
        <v>296</v>
      </c>
      <c r="HB1716">
        <v>4500</v>
      </c>
      <c r="HG1716" t="s">
        <v>952</v>
      </c>
      <c r="HH1716" t="s">
        <v>272</v>
      </c>
      <c r="ID1716" t="s">
        <v>1028</v>
      </c>
      <c r="IE1716" t="s">
        <v>3427</v>
      </c>
      <c r="IF1716">
        <v>167149</v>
      </c>
      <c r="IG1716" t="s">
        <v>3428</v>
      </c>
      <c r="IH1716" t="s">
        <v>3429</v>
      </c>
      <c r="II1716">
        <v>2006</v>
      </c>
      <c r="IJ1716" t="s">
        <v>3430</v>
      </c>
    </row>
    <row r="1717" spans="1:244" x14ac:dyDescent="0.45">
      <c r="A1717">
        <v>1201124</v>
      </c>
      <c r="B1717">
        <v>160587</v>
      </c>
      <c r="C1717">
        <v>7778509</v>
      </c>
      <c r="D1717" t="s">
        <v>3280</v>
      </c>
      <c r="F1717" t="s">
        <v>245</v>
      </c>
      <c r="G1717" t="s">
        <v>246</v>
      </c>
      <c r="N1717" t="s">
        <v>566</v>
      </c>
      <c r="O1717" t="s">
        <v>388</v>
      </c>
      <c r="P1717" t="s">
        <v>249</v>
      </c>
      <c r="Q1717" t="s">
        <v>250</v>
      </c>
      <c r="R1717" t="s">
        <v>251</v>
      </c>
      <c r="T1717" t="s">
        <v>389</v>
      </c>
      <c r="U1717" t="s">
        <v>390</v>
      </c>
      <c r="V1717" t="s">
        <v>567</v>
      </c>
      <c r="W1717" t="s">
        <v>568</v>
      </c>
      <c r="X1717" t="s">
        <v>569</v>
      </c>
      <c r="Z1717" t="s">
        <v>649</v>
      </c>
      <c r="AM1717" t="s">
        <v>287</v>
      </c>
      <c r="AN1717" t="s">
        <v>259</v>
      </c>
      <c r="AO1717" t="s">
        <v>260</v>
      </c>
      <c r="AQ1717" t="s">
        <v>261</v>
      </c>
      <c r="AS1717">
        <v>21000</v>
      </c>
      <c r="AX1717" t="s">
        <v>262</v>
      </c>
      <c r="BO1717" t="s">
        <v>261</v>
      </c>
      <c r="BQ1717">
        <v>21</v>
      </c>
      <c r="BV1717" t="s">
        <v>263</v>
      </c>
      <c r="CM1717" t="s">
        <v>264</v>
      </c>
      <c r="CN1717" t="s">
        <v>264</v>
      </c>
      <c r="CP1717" t="s">
        <v>265</v>
      </c>
      <c r="DB1717">
        <v>4</v>
      </c>
      <c r="DG1717" t="s">
        <v>267</v>
      </c>
      <c r="DI1717">
        <v>96</v>
      </c>
      <c r="DN1717" t="s">
        <v>268</v>
      </c>
      <c r="DS1717">
        <v>212</v>
      </c>
      <c r="DT1717" t="s">
        <v>3399</v>
      </c>
      <c r="EW1717" t="s">
        <v>293</v>
      </c>
      <c r="FM1717">
        <v>20</v>
      </c>
      <c r="FR1717" t="s">
        <v>295</v>
      </c>
      <c r="GU1717">
        <v>9</v>
      </c>
      <c r="GZ1717" t="s">
        <v>296</v>
      </c>
      <c r="HH1717" t="s">
        <v>272</v>
      </c>
      <c r="IE1717" t="s">
        <v>3400</v>
      </c>
      <c r="IF1717">
        <v>18307</v>
      </c>
      <c r="IG1717" t="s">
        <v>3401</v>
      </c>
      <c r="IH1717" t="s">
        <v>3402</v>
      </c>
      <c r="II1717">
        <v>1993</v>
      </c>
      <c r="IJ1717" t="s">
        <v>3403</v>
      </c>
    </row>
    <row r="1718" spans="1:244" x14ac:dyDescent="0.45">
      <c r="A1718">
        <v>1141922</v>
      </c>
      <c r="B1718">
        <v>107078</v>
      </c>
      <c r="C1718">
        <v>7778509</v>
      </c>
      <c r="D1718" t="s">
        <v>3280</v>
      </c>
      <c r="F1718" t="s">
        <v>245</v>
      </c>
      <c r="G1718" t="s">
        <v>246</v>
      </c>
      <c r="N1718" t="s">
        <v>2183</v>
      </c>
      <c r="O1718" t="s">
        <v>498</v>
      </c>
      <c r="P1718" t="s">
        <v>249</v>
      </c>
      <c r="Q1718" t="s">
        <v>250</v>
      </c>
      <c r="R1718" t="s">
        <v>251</v>
      </c>
      <c r="T1718" t="s">
        <v>252</v>
      </c>
      <c r="U1718" t="s">
        <v>499</v>
      </c>
      <c r="V1718" t="s">
        <v>1281</v>
      </c>
      <c r="W1718" t="s">
        <v>1282</v>
      </c>
      <c r="X1718" t="s">
        <v>2184</v>
      </c>
      <c r="AM1718" t="s">
        <v>317</v>
      </c>
      <c r="AN1718" t="s">
        <v>259</v>
      </c>
      <c r="AO1718" t="s">
        <v>260</v>
      </c>
      <c r="AQ1718" t="s">
        <v>261</v>
      </c>
      <c r="AS1718">
        <v>60000</v>
      </c>
      <c r="AX1718" t="s">
        <v>262</v>
      </c>
      <c r="BO1718" t="s">
        <v>261</v>
      </c>
      <c r="BQ1718">
        <v>60</v>
      </c>
      <c r="BV1718" t="s">
        <v>263</v>
      </c>
      <c r="CM1718" t="s">
        <v>264</v>
      </c>
      <c r="CN1718" t="s">
        <v>264</v>
      </c>
      <c r="CP1718" t="s">
        <v>265</v>
      </c>
      <c r="CQ1718" t="s">
        <v>538</v>
      </c>
      <c r="DB1718">
        <v>2</v>
      </c>
      <c r="DG1718" t="s">
        <v>267</v>
      </c>
      <c r="DI1718">
        <v>48</v>
      </c>
      <c r="DN1718" t="s">
        <v>268</v>
      </c>
      <c r="DP1718" t="s">
        <v>2185</v>
      </c>
      <c r="DR1718">
        <v>371472</v>
      </c>
      <c r="DS1718">
        <v>1342</v>
      </c>
      <c r="DT1718" t="s">
        <v>3394</v>
      </c>
      <c r="EW1718" t="s">
        <v>271</v>
      </c>
      <c r="FM1718">
        <v>10</v>
      </c>
      <c r="FR1718" t="s">
        <v>295</v>
      </c>
      <c r="GU1718">
        <v>25</v>
      </c>
      <c r="GZ1718" t="s">
        <v>296</v>
      </c>
      <c r="HH1718" t="s">
        <v>272</v>
      </c>
      <c r="IE1718" t="s">
        <v>3395</v>
      </c>
      <c r="IF1718">
        <v>11873</v>
      </c>
      <c r="IG1718" t="s">
        <v>3396</v>
      </c>
      <c r="IH1718" t="s">
        <v>3397</v>
      </c>
      <c r="II1718">
        <v>1984</v>
      </c>
      <c r="IJ1718" t="s">
        <v>3398</v>
      </c>
    </row>
    <row r="1719" spans="1:244" x14ac:dyDescent="0.45">
      <c r="A1719">
        <v>1068395</v>
      </c>
      <c r="B1719">
        <v>1895</v>
      </c>
      <c r="C1719">
        <v>7778509</v>
      </c>
      <c r="D1719" t="s">
        <v>3280</v>
      </c>
      <c r="F1719" t="s">
        <v>245</v>
      </c>
      <c r="G1719" t="s">
        <v>246</v>
      </c>
      <c r="N1719" t="s">
        <v>1564</v>
      </c>
      <c r="O1719" t="s">
        <v>1565</v>
      </c>
      <c r="P1719" t="s">
        <v>249</v>
      </c>
      <c r="Q1719" t="s">
        <v>250</v>
      </c>
      <c r="R1719" t="s">
        <v>251</v>
      </c>
      <c r="T1719" t="s">
        <v>252</v>
      </c>
      <c r="U1719" t="s">
        <v>253</v>
      </c>
      <c r="V1719" t="s">
        <v>254</v>
      </c>
      <c r="W1719" t="s">
        <v>1566</v>
      </c>
      <c r="X1719" t="s">
        <v>1567</v>
      </c>
      <c r="Z1719" t="s">
        <v>649</v>
      </c>
      <c r="AL1719" t="s">
        <v>3409</v>
      </c>
      <c r="AM1719" t="s">
        <v>317</v>
      </c>
      <c r="AN1719" t="s">
        <v>259</v>
      </c>
      <c r="AO1719" t="s">
        <v>260</v>
      </c>
      <c r="AQ1719" t="s">
        <v>261</v>
      </c>
      <c r="AS1719">
        <v>98000</v>
      </c>
      <c r="AU1719">
        <v>90000</v>
      </c>
      <c r="AW1719">
        <v>106000</v>
      </c>
      <c r="AX1719" t="s">
        <v>262</v>
      </c>
      <c r="BO1719" t="s">
        <v>261</v>
      </c>
      <c r="BQ1719">
        <v>98</v>
      </c>
      <c r="BS1719">
        <v>90</v>
      </c>
      <c r="BU1719">
        <v>106</v>
      </c>
      <c r="BV1719" t="s">
        <v>263</v>
      </c>
      <c r="CM1719" t="s">
        <v>264</v>
      </c>
      <c r="CN1719" t="s">
        <v>264</v>
      </c>
      <c r="CP1719" t="s">
        <v>265</v>
      </c>
      <c r="CQ1719" t="s">
        <v>538</v>
      </c>
      <c r="DB1719">
        <v>4</v>
      </c>
      <c r="DG1719" t="s">
        <v>267</v>
      </c>
      <c r="DI1719">
        <v>96</v>
      </c>
      <c r="DN1719" t="s">
        <v>268</v>
      </c>
      <c r="DP1719" t="s">
        <v>570</v>
      </c>
      <c r="DR1719">
        <v>6763</v>
      </c>
      <c r="DS1719">
        <v>76</v>
      </c>
      <c r="DT1719" t="s">
        <v>3410</v>
      </c>
      <c r="EW1719" t="s">
        <v>271</v>
      </c>
      <c r="FO1719">
        <v>20</v>
      </c>
      <c r="FQ1719">
        <v>22</v>
      </c>
      <c r="FR1719" t="s">
        <v>295</v>
      </c>
      <c r="GQ1719">
        <v>6.5</v>
      </c>
      <c r="GS1719">
        <v>7.9</v>
      </c>
      <c r="GU1719">
        <v>35</v>
      </c>
      <c r="GZ1719" t="s">
        <v>296</v>
      </c>
      <c r="HH1719" t="s">
        <v>272</v>
      </c>
      <c r="IE1719" t="s">
        <v>3411</v>
      </c>
      <c r="IF1719">
        <v>5384</v>
      </c>
      <c r="IG1719" t="s">
        <v>3412</v>
      </c>
      <c r="IH1719" t="s">
        <v>3413</v>
      </c>
      <c r="II1719">
        <v>1979</v>
      </c>
      <c r="IJ1719" t="s">
        <v>3414</v>
      </c>
    </row>
    <row r="1720" spans="1:244" x14ac:dyDescent="0.45">
      <c r="A1720">
        <v>1068391</v>
      </c>
      <c r="B1720">
        <v>1679</v>
      </c>
      <c r="C1720">
        <v>7778509</v>
      </c>
      <c r="D1720" t="s">
        <v>3280</v>
      </c>
      <c r="F1720" t="s">
        <v>245</v>
      </c>
      <c r="G1720" t="s">
        <v>246</v>
      </c>
      <c r="N1720" t="s">
        <v>1564</v>
      </c>
      <c r="O1720" t="s">
        <v>1565</v>
      </c>
      <c r="P1720" t="s">
        <v>249</v>
      </c>
      <c r="Q1720" t="s">
        <v>250</v>
      </c>
      <c r="R1720" t="s">
        <v>251</v>
      </c>
      <c r="T1720" t="s">
        <v>252</v>
      </c>
      <c r="U1720" t="s">
        <v>253</v>
      </c>
      <c r="V1720" t="s">
        <v>254</v>
      </c>
      <c r="W1720" t="s">
        <v>1566</v>
      </c>
      <c r="X1720" t="s">
        <v>1567</v>
      </c>
      <c r="Z1720" t="s">
        <v>649</v>
      </c>
      <c r="AL1720" t="s">
        <v>3409</v>
      </c>
      <c r="AM1720" t="s">
        <v>317</v>
      </c>
      <c r="AN1720" t="s">
        <v>259</v>
      </c>
      <c r="AO1720" t="s">
        <v>260</v>
      </c>
      <c r="AQ1720" t="s">
        <v>261</v>
      </c>
      <c r="AS1720">
        <v>130000</v>
      </c>
      <c r="AU1720">
        <v>121000</v>
      </c>
      <c r="AW1720">
        <v>140000</v>
      </c>
      <c r="AX1720" t="s">
        <v>262</v>
      </c>
      <c r="BO1720" t="s">
        <v>261</v>
      </c>
      <c r="BQ1720">
        <v>130</v>
      </c>
      <c r="BS1720">
        <v>121</v>
      </c>
      <c r="BU1720">
        <v>140</v>
      </c>
      <c r="BV1720" t="s">
        <v>263</v>
      </c>
      <c r="CM1720" t="s">
        <v>264</v>
      </c>
      <c r="CN1720" t="s">
        <v>264</v>
      </c>
      <c r="CP1720" t="s">
        <v>265</v>
      </c>
      <c r="CQ1720" t="s">
        <v>538</v>
      </c>
      <c r="DB1720">
        <v>2</v>
      </c>
      <c r="DG1720" t="s">
        <v>267</v>
      </c>
      <c r="DI1720">
        <v>48</v>
      </c>
      <c r="DN1720" t="s">
        <v>268</v>
      </c>
      <c r="DP1720" t="s">
        <v>570</v>
      </c>
      <c r="DR1720">
        <v>6763</v>
      </c>
      <c r="DS1720">
        <v>76</v>
      </c>
      <c r="DT1720" t="s">
        <v>3410</v>
      </c>
      <c r="EW1720" t="s">
        <v>271</v>
      </c>
      <c r="FO1720">
        <v>20</v>
      </c>
      <c r="FQ1720">
        <v>22</v>
      </c>
      <c r="FR1720" t="s">
        <v>295</v>
      </c>
      <c r="GQ1720">
        <v>6.5</v>
      </c>
      <c r="GS1720">
        <v>7.9</v>
      </c>
      <c r="GU1720">
        <v>35</v>
      </c>
      <c r="GZ1720" t="s">
        <v>296</v>
      </c>
      <c r="HH1720" t="s">
        <v>272</v>
      </c>
      <c r="IE1720" t="s">
        <v>3411</v>
      </c>
      <c r="IF1720">
        <v>5384</v>
      </c>
      <c r="IG1720" t="s">
        <v>3412</v>
      </c>
      <c r="IH1720" t="s">
        <v>3413</v>
      </c>
      <c r="II1720">
        <v>1979</v>
      </c>
      <c r="IJ1720" t="s">
        <v>3414</v>
      </c>
    </row>
    <row r="1721" spans="1:244" x14ac:dyDescent="0.45">
      <c r="A1721">
        <v>1141806</v>
      </c>
      <c r="B1721">
        <v>106962</v>
      </c>
      <c r="C1721">
        <v>7778509</v>
      </c>
      <c r="D1721" t="s">
        <v>3280</v>
      </c>
      <c r="F1721" t="s">
        <v>245</v>
      </c>
      <c r="G1721" t="s">
        <v>246</v>
      </c>
      <c r="N1721" t="s">
        <v>2183</v>
      </c>
      <c r="O1721" t="s">
        <v>498</v>
      </c>
      <c r="P1721" t="s">
        <v>249</v>
      </c>
      <c r="Q1721" t="s">
        <v>250</v>
      </c>
      <c r="R1721" t="s">
        <v>251</v>
      </c>
      <c r="T1721" t="s">
        <v>252</v>
      </c>
      <c r="U1721" t="s">
        <v>499</v>
      </c>
      <c r="V1721" t="s">
        <v>1281</v>
      </c>
      <c r="W1721" t="s">
        <v>1282</v>
      </c>
      <c r="X1721" t="s">
        <v>2184</v>
      </c>
      <c r="AM1721" t="s">
        <v>317</v>
      </c>
      <c r="AN1721" t="s">
        <v>259</v>
      </c>
      <c r="AO1721" t="s">
        <v>260</v>
      </c>
      <c r="AQ1721" t="s">
        <v>261</v>
      </c>
      <c r="AS1721">
        <v>52000</v>
      </c>
      <c r="AX1721" t="s">
        <v>262</v>
      </c>
      <c r="BO1721" t="s">
        <v>261</v>
      </c>
      <c r="BQ1721">
        <v>52</v>
      </c>
      <c r="BV1721" t="s">
        <v>263</v>
      </c>
      <c r="CM1721" t="s">
        <v>264</v>
      </c>
      <c r="CN1721" t="s">
        <v>264</v>
      </c>
      <c r="CP1721" t="s">
        <v>265</v>
      </c>
      <c r="CQ1721" t="s">
        <v>538</v>
      </c>
      <c r="DB1721">
        <v>1</v>
      </c>
      <c r="DG1721" t="s">
        <v>267</v>
      </c>
      <c r="DI1721">
        <v>24</v>
      </c>
      <c r="DN1721" t="s">
        <v>268</v>
      </c>
      <c r="DP1721" t="s">
        <v>2185</v>
      </c>
      <c r="DR1721">
        <v>371472</v>
      </c>
      <c r="DS1721">
        <v>1342</v>
      </c>
      <c r="DT1721" t="s">
        <v>3394</v>
      </c>
      <c r="EW1721" t="s">
        <v>271</v>
      </c>
      <c r="FM1721">
        <v>15</v>
      </c>
      <c r="FR1721" t="s">
        <v>295</v>
      </c>
      <c r="GU1721">
        <v>35</v>
      </c>
      <c r="GZ1721" t="s">
        <v>296</v>
      </c>
      <c r="HH1721" t="s">
        <v>272</v>
      </c>
      <c r="IE1721" t="s">
        <v>3395</v>
      </c>
      <c r="IF1721">
        <v>11873</v>
      </c>
      <c r="IG1721" t="s">
        <v>3396</v>
      </c>
      <c r="IH1721" t="s">
        <v>3397</v>
      </c>
      <c r="II1721">
        <v>1984</v>
      </c>
      <c r="IJ1721" t="s">
        <v>3398</v>
      </c>
    </row>
    <row r="1722" spans="1:244" x14ac:dyDescent="0.45">
      <c r="A1722">
        <v>1141785</v>
      </c>
      <c r="B1722">
        <v>106941</v>
      </c>
      <c r="C1722">
        <v>7778509</v>
      </c>
      <c r="D1722" t="s">
        <v>3280</v>
      </c>
      <c r="F1722" t="s">
        <v>245</v>
      </c>
      <c r="G1722" t="s">
        <v>246</v>
      </c>
      <c r="N1722" t="s">
        <v>2183</v>
      </c>
      <c r="O1722" t="s">
        <v>498</v>
      </c>
      <c r="P1722" t="s">
        <v>249</v>
      </c>
      <c r="Q1722" t="s">
        <v>250</v>
      </c>
      <c r="R1722" t="s">
        <v>251</v>
      </c>
      <c r="T1722" t="s">
        <v>252</v>
      </c>
      <c r="U1722" t="s">
        <v>499</v>
      </c>
      <c r="V1722" t="s">
        <v>1281</v>
      </c>
      <c r="W1722" t="s">
        <v>1282</v>
      </c>
      <c r="X1722" t="s">
        <v>2184</v>
      </c>
      <c r="AM1722" t="s">
        <v>317</v>
      </c>
      <c r="AN1722" t="s">
        <v>259</v>
      </c>
      <c r="AO1722" t="s">
        <v>260</v>
      </c>
      <c r="AQ1722" t="s">
        <v>261</v>
      </c>
      <c r="AS1722">
        <v>25000</v>
      </c>
      <c r="AX1722" t="s">
        <v>262</v>
      </c>
      <c r="BO1722" t="s">
        <v>261</v>
      </c>
      <c r="BQ1722">
        <v>25</v>
      </c>
      <c r="BV1722" t="s">
        <v>263</v>
      </c>
      <c r="CM1722" t="s">
        <v>264</v>
      </c>
      <c r="CN1722" t="s">
        <v>264</v>
      </c>
      <c r="CP1722" t="s">
        <v>265</v>
      </c>
      <c r="CQ1722" t="s">
        <v>538</v>
      </c>
      <c r="DB1722">
        <v>4</v>
      </c>
      <c r="DG1722" t="s">
        <v>267</v>
      </c>
      <c r="DI1722">
        <v>96</v>
      </c>
      <c r="DN1722" t="s">
        <v>268</v>
      </c>
      <c r="DP1722" t="s">
        <v>2185</v>
      </c>
      <c r="DR1722">
        <v>371472</v>
      </c>
      <c r="DS1722">
        <v>1342</v>
      </c>
      <c r="DT1722" t="s">
        <v>3394</v>
      </c>
      <c r="EW1722" t="s">
        <v>271</v>
      </c>
      <c r="FM1722">
        <v>10</v>
      </c>
      <c r="FR1722" t="s">
        <v>295</v>
      </c>
      <c r="GU1722">
        <v>30</v>
      </c>
      <c r="GZ1722" t="s">
        <v>296</v>
      </c>
      <c r="HH1722" t="s">
        <v>272</v>
      </c>
      <c r="IE1722" t="s">
        <v>3395</v>
      </c>
      <c r="IF1722">
        <v>11873</v>
      </c>
      <c r="IG1722" t="s">
        <v>3396</v>
      </c>
      <c r="IH1722" t="s">
        <v>3397</v>
      </c>
      <c r="II1722">
        <v>1984</v>
      </c>
      <c r="IJ1722" t="s">
        <v>3398</v>
      </c>
    </row>
    <row r="1723" spans="1:244" x14ac:dyDescent="0.45">
      <c r="A1723">
        <v>2299146</v>
      </c>
      <c r="B1723">
        <v>2706683</v>
      </c>
      <c r="C1723">
        <v>7778509</v>
      </c>
      <c r="D1723" t="s">
        <v>3280</v>
      </c>
      <c r="F1723" t="s">
        <v>245</v>
      </c>
      <c r="G1723" t="s">
        <v>272</v>
      </c>
      <c r="I1723">
        <v>99.9</v>
      </c>
      <c r="N1723" t="s">
        <v>566</v>
      </c>
      <c r="O1723" t="s">
        <v>388</v>
      </c>
      <c r="P1723" t="s">
        <v>249</v>
      </c>
      <c r="Q1723" t="s">
        <v>250</v>
      </c>
      <c r="R1723" t="s">
        <v>251</v>
      </c>
      <c r="T1723" t="s">
        <v>389</v>
      </c>
      <c r="U1723" t="s">
        <v>390</v>
      </c>
      <c r="V1723" t="s">
        <v>567</v>
      </c>
      <c r="W1723" t="s">
        <v>568</v>
      </c>
      <c r="X1723" t="s">
        <v>569</v>
      </c>
      <c r="Z1723" t="s">
        <v>315</v>
      </c>
      <c r="AD1723">
        <v>3</v>
      </c>
      <c r="AF1723">
        <v>6</v>
      </c>
      <c r="AG1723" t="s">
        <v>516</v>
      </c>
      <c r="AI1723">
        <v>2</v>
      </c>
      <c r="AJ1723" t="s">
        <v>354</v>
      </c>
      <c r="AM1723" t="s">
        <v>317</v>
      </c>
      <c r="AN1723" t="s">
        <v>259</v>
      </c>
      <c r="AO1723" t="s">
        <v>260</v>
      </c>
      <c r="AP1723" t="s">
        <v>2484</v>
      </c>
      <c r="AQ1723" t="s">
        <v>261</v>
      </c>
      <c r="AS1723">
        <v>16</v>
      </c>
      <c r="AU1723">
        <v>11</v>
      </c>
      <c r="AW1723">
        <v>23</v>
      </c>
      <c r="AX1723" t="s">
        <v>356</v>
      </c>
      <c r="BO1723" t="s">
        <v>261</v>
      </c>
      <c r="BQ1723">
        <v>16</v>
      </c>
      <c r="BS1723">
        <v>11</v>
      </c>
      <c r="BU1723">
        <v>23</v>
      </c>
      <c r="BV1723" t="s">
        <v>263</v>
      </c>
      <c r="CM1723" t="s">
        <v>264</v>
      </c>
      <c r="CN1723" t="s">
        <v>264</v>
      </c>
      <c r="CP1723" t="s">
        <v>265</v>
      </c>
      <c r="DB1723">
        <v>4</v>
      </c>
      <c r="DG1723" t="s">
        <v>267</v>
      </c>
      <c r="DI1723">
        <v>96</v>
      </c>
      <c r="DN1723" t="s">
        <v>268</v>
      </c>
      <c r="DP1723" t="s">
        <v>3281</v>
      </c>
      <c r="DQ1723" t="s">
        <v>2486</v>
      </c>
      <c r="DS1723">
        <v>212</v>
      </c>
      <c r="DT1723" t="s">
        <v>2487</v>
      </c>
      <c r="DV1723">
        <v>96</v>
      </c>
      <c r="EA1723" t="s">
        <v>268</v>
      </c>
      <c r="EC1723">
        <v>4</v>
      </c>
      <c r="EH1723" t="s">
        <v>267</v>
      </c>
      <c r="EJ1723">
        <v>96</v>
      </c>
      <c r="EO1723" t="s">
        <v>268</v>
      </c>
      <c r="EQ1723">
        <v>4</v>
      </c>
      <c r="EV1723" t="s">
        <v>267</v>
      </c>
      <c r="EW1723" t="s">
        <v>293</v>
      </c>
      <c r="EZ1723">
        <v>10</v>
      </c>
      <c r="FA1723" t="s">
        <v>2488</v>
      </c>
      <c r="FM1723">
        <v>21</v>
      </c>
      <c r="FO1723">
        <v>20</v>
      </c>
      <c r="FQ1723">
        <v>22</v>
      </c>
      <c r="FR1723" t="s">
        <v>295</v>
      </c>
      <c r="GA1723">
        <v>1.5</v>
      </c>
      <c r="GF1723" t="s">
        <v>2489</v>
      </c>
      <c r="GG1723" t="s">
        <v>278</v>
      </c>
      <c r="GH1723">
        <v>5</v>
      </c>
      <c r="GM1723" t="s">
        <v>356</v>
      </c>
      <c r="GO1723">
        <v>7.8</v>
      </c>
      <c r="GU1723">
        <v>7</v>
      </c>
      <c r="GZ1723" t="s">
        <v>296</v>
      </c>
      <c r="HH1723" t="s">
        <v>272</v>
      </c>
      <c r="ID1723" t="s">
        <v>2490</v>
      </c>
      <c r="IE1723" t="s">
        <v>2491</v>
      </c>
      <c r="IF1723">
        <v>5185</v>
      </c>
      <c r="IG1723" t="s">
        <v>2492</v>
      </c>
      <c r="IH1723" t="s">
        <v>2493</v>
      </c>
      <c r="II1723">
        <v>1979</v>
      </c>
      <c r="IJ1723" t="s">
        <v>2494</v>
      </c>
    </row>
    <row r="1724" spans="1:244" x14ac:dyDescent="0.45">
      <c r="A1724">
        <v>1201105</v>
      </c>
      <c r="B1724">
        <v>160568</v>
      </c>
      <c r="C1724">
        <v>7778509</v>
      </c>
      <c r="D1724" t="s">
        <v>3280</v>
      </c>
      <c r="F1724" t="s">
        <v>245</v>
      </c>
      <c r="G1724" t="s">
        <v>246</v>
      </c>
      <c r="N1724" t="s">
        <v>566</v>
      </c>
      <c r="O1724" t="s">
        <v>388</v>
      </c>
      <c r="P1724" t="s">
        <v>249</v>
      </c>
      <c r="Q1724" t="s">
        <v>250</v>
      </c>
      <c r="R1724" t="s">
        <v>251</v>
      </c>
      <c r="T1724" t="s">
        <v>389</v>
      </c>
      <c r="U1724" t="s">
        <v>390</v>
      </c>
      <c r="V1724" t="s">
        <v>567</v>
      </c>
      <c r="W1724" t="s">
        <v>568</v>
      </c>
      <c r="X1724" t="s">
        <v>569</v>
      </c>
      <c r="Z1724" t="s">
        <v>649</v>
      </c>
      <c r="AM1724" t="s">
        <v>287</v>
      </c>
      <c r="AN1724" t="s">
        <v>259</v>
      </c>
      <c r="AO1724" t="s">
        <v>260</v>
      </c>
      <c r="AQ1724" t="s">
        <v>261</v>
      </c>
      <c r="AS1724">
        <v>51000</v>
      </c>
      <c r="AU1724">
        <v>36000</v>
      </c>
      <c r="AW1724">
        <v>94000</v>
      </c>
      <c r="AX1724" t="s">
        <v>262</v>
      </c>
      <c r="BO1724" t="s">
        <v>261</v>
      </c>
      <c r="BQ1724">
        <v>51</v>
      </c>
      <c r="BS1724">
        <v>36</v>
      </c>
      <c r="BU1724">
        <v>94</v>
      </c>
      <c r="BV1724" t="s">
        <v>263</v>
      </c>
      <c r="CM1724" t="s">
        <v>264</v>
      </c>
      <c r="CN1724" t="s">
        <v>264</v>
      </c>
      <c r="CP1724" t="s">
        <v>265</v>
      </c>
      <c r="DB1724">
        <v>1</v>
      </c>
      <c r="DG1724" t="s">
        <v>267</v>
      </c>
      <c r="DI1724">
        <v>24</v>
      </c>
      <c r="DN1724" t="s">
        <v>268</v>
      </c>
      <c r="DS1724">
        <v>212</v>
      </c>
      <c r="DT1724" t="s">
        <v>3399</v>
      </c>
      <c r="EW1724" t="s">
        <v>293</v>
      </c>
      <c r="FM1724">
        <v>20</v>
      </c>
      <c r="FR1724" t="s">
        <v>295</v>
      </c>
      <c r="GU1724">
        <v>6.8</v>
      </c>
      <c r="GZ1724" t="s">
        <v>296</v>
      </c>
      <c r="HH1724" t="s">
        <v>272</v>
      </c>
      <c r="IE1724" t="s">
        <v>3400</v>
      </c>
      <c r="IF1724">
        <v>18307</v>
      </c>
      <c r="IG1724" t="s">
        <v>3401</v>
      </c>
      <c r="IH1724" t="s">
        <v>3402</v>
      </c>
      <c r="II1724">
        <v>1993</v>
      </c>
      <c r="IJ1724" t="s">
        <v>3403</v>
      </c>
    </row>
    <row r="1725" spans="1:244" x14ac:dyDescent="0.45">
      <c r="A1725">
        <v>1141803</v>
      </c>
      <c r="B1725">
        <v>106959</v>
      </c>
      <c r="C1725">
        <v>7778509</v>
      </c>
      <c r="D1725" t="s">
        <v>3280</v>
      </c>
      <c r="F1725" t="s">
        <v>245</v>
      </c>
      <c r="G1725" t="s">
        <v>246</v>
      </c>
      <c r="N1725" t="s">
        <v>2183</v>
      </c>
      <c r="O1725" t="s">
        <v>498</v>
      </c>
      <c r="P1725" t="s">
        <v>249</v>
      </c>
      <c r="Q1725" t="s">
        <v>250</v>
      </c>
      <c r="R1725" t="s">
        <v>251</v>
      </c>
      <c r="T1725" t="s">
        <v>252</v>
      </c>
      <c r="U1725" t="s">
        <v>499</v>
      </c>
      <c r="V1725" t="s">
        <v>1281</v>
      </c>
      <c r="W1725" t="s">
        <v>1282</v>
      </c>
      <c r="X1725" t="s">
        <v>2184</v>
      </c>
      <c r="AM1725" t="s">
        <v>317</v>
      </c>
      <c r="AN1725" t="s">
        <v>259</v>
      </c>
      <c r="AO1725" t="s">
        <v>260</v>
      </c>
      <c r="AQ1725" t="s">
        <v>261</v>
      </c>
      <c r="AS1725">
        <v>38000</v>
      </c>
      <c r="AX1725" t="s">
        <v>262</v>
      </c>
      <c r="BO1725" t="s">
        <v>261</v>
      </c>
      <c r="BQ1725">
        <v>38</v>
      </c>
      <c r="BV1725" t="s">
        <v>263</v>
      </c>
      <c r="CM1725" t="s">
        <v>264</v>
      </c>
      <c r="CN1725" t="s">
        <v>264</v>
      </c>
      <c r="CP1725" t="s">
        <v>265</v>
      </c>
      <c r="CQ1725" t="s">
        <v>538</v>
      </c>
      <c r="DB1725">
        <v>1</v>
      </c>
      <c r="DG1725" t="s">
        <v>267</v>
      </c>
      <c r="DI1725">
        <v>24</v>
      </c>
      <c r="DN1725" t="s">
        <v>268</v>
      </c>
      <c r="DP1725" t="s">
        <v>2185</v>
      </c>
      <c r="DR1725">
        <v>371472</v>
      </c>
      <c r="DS1725">
        <v>1342</v>
      </c>
      <c r="DT1725" t="s">
        <v>3394</v>
      </c>
      <c r="EW1725" t="s">
        <v>271</v>
      </c>
      <c r="FM1725">
        <v>15</v>
      </c>
      <c r="FR1725" t="s">
        <v>295</v>
      </c>
      <c r="GU1725">
        <v>20</v>
      </c>
      <c r="GZ1725" t="s">
        <v>296</v>
      </c>
      <c r="HH1725" t="s">
        <v>272</v>
      </c>
      <c r="IE1725" t="s">
        <v>3395</v>
      </c>
      <c r="IF1725">
        <v>11873</v>
      </c>
      <c r="IG1725" t="s">
        <v>3396</v>
      </c>
      <c r="IH1725" t="s">
        <v>3397</v>
      </c>
      <c r="II1725">
        <v>1984</v>
      </c>
      <c r="IJ1725" t="s">
        <v>3398</v>
      </c>
    </row>
    <row r="1726" spans="1:244" x14ac:dyDescent="0.45">
      <c r="A1726">
        <v>1201129</v>
      </c>
      <c r="B1726">
        <v>160592</v>
      </c>
      <c r="C1726">
        <v>7778509</v>
      </c>
      <c r="D1726" t="s">
        <v>3280</v>
      </c>
      <c r="F1726" t="s">
        <v>245</v>
      </c>
      <c r="G1726" t="s">
        <v>246</v>
      </c>
      <c r="N1726" t="s">
        <v>566</v>
      </c>
      <c r="O1726" t="s">
        <v>388</v>
      </c>
      <c r="P1726" t="s">
        <v>249</v>
      </c>
      <c r="Q1726" t="s">
        <v>250</v>
      </c>
      <c r="R1726" t="s">
        <v>251</v>
      </c>
      <c r="T1726" t="s">
        <v>389</v>
      </c>
      <c r="U1726" t="s">
        <v>390</v>
      </c>
      <c r="V1726" t="s">
        <v>567</v>
      </c>
      <c r="W1726" t="s">
        <v>568</v>
      </c>
      <c r="X1726" t="s">
        <v>569</v>
      </c>
      <c r="Z1726" t="s">
        <v>649</v>
      </c>
      <c r="AM1726" t="s">
        <v>287</v>
      </c>
      <c r="AN1726" t="s">
        <v>259</v>
      </c>
      <c r="AO1726" t="s">
        <v>260</v>
      </c>
      <c r="AQ1726" t="s">
        <v>261</v>
      </c>
      <c r="AS1726">
        <v>54600</v>
      </c>
      <c r="AX1726" t="s">
        <v>262</v>
      </c>
      <c r="BO1726" t="s">
        <v>261</v>
      </c>
      <c r="BQ1726">
        <v>54.6</v>
      </c>
      <c r="BV1726" t="s">
        <v>263</v>
      </c>
      <c r="CM1726" t="s">
        <v>264</v>
      </c>
      <c r="CN1726" t="s">
        <v>264</v>
      </c>
      <c r="CP1726" t="s">
        <v>265</v>
      </c>
      <c r="DB1726">
        <v>4</v>
      </c>
      <c r="DG1726" t="s">
        <v>267</v>
      </c>
      <c r="DI1726">
        <v>96</v>
      </c>
      <c r="DN1726" t="s">
        <v>268</v>
      </c>
      <c r="DS1726">
        <v>212</v>
      </c>
      <c r="DT1726" t="s">
        <v>3399</v>
      </c>
      <c r="EW1726" t="s">
        <v>293</v>
      </c>
      <c r="FM1726">
        <v>20</v>
      </c>
      <c r="FR1726" t="s">
        <v>295</v>
      </c>
      <c r="GU1726">
        <v>15</v>
      </c>
      <c r="GZ1726" t="s">
        <v>296</v>
      </c>
      <c r="HH1726" t="s">
        <v>272</v>
      </c>
      <c r="IE1726" t="s">
        <v>3400</v>
      </c>
      <c r="IF1726">
        <v>18307</v>
      </c>
      <c r="IG1726" t="s">
        <v>3401</v>
      </c>
      <c r="IH1726" t="s">
        <v>3402</v>
      </c>
      <c r="II1726">
        <v>1993</v>
      </c>
      <c r="IJ1726" t="s">
        <v>3403</v>
      </c>
    </row>
    <row r="1727" spans="1:244" x14ac:dyDescent="0.45">
      <c r="A1727">
        <v>1141774</v>
      </c>
      <c r="B1727">
        <v>105371</v>
      </c>
      <c r="C1727">
        <v>7778509</v>
      </c>
      <c r="D1727" t="s">
        <v>3280</v>
      </c>
      <c r="F1727" t="s">
        <v>245</v>
      </c>
      <c r="G1727" t="s">
        <v>246</v>
      </c>
      <c r="N1727" t="s">
        <v>2183</v>
      </c>
      <c r="O1727" t="s">
        <v>498</v>
      </c>
      <c r="P1727" t="s">
        <v>249</v>
      </c>
      <c r="Q1727" t="s">
        <v>250</v>
      </c>
      <c r="R1727" t="s">
        <v>251</v>
      </c>
      <c r="T1727" t="s">
        <v>252</v>
      </c>
      <c r="U1727" t="s">
        <v>499</v>
      </c>
      <c r="V1727" t="s">
        <v>1281</v>
      </c>
      <c r="W1727" t="s">
        <v>1282</v>
      </c>
      <c r="X1727" t="s">
        <v>2184</v>
      </c>
      <c r="AM1727" t="s">
        <v>317</v>
      </c>
      <c r="AN1727" t="s">
        <v>259</v>
      </c>
      <c r="AO1727" t="s">
        <v>260</v>
      </c>
      <c r="AQ1727" t="s">
        <v>261</v>
      </c>
      <c r="AS1727">
        <v>5000</v>
      </c>
      <c r="AX1727" t="s">
        <v>262</v>
      </c>
      <c r="BO1727" t="s">
        <v>261</v>
      </c>
      <c r="BQ1727">
        <v>5</v>
      </c>
      <c r="BV1727" t="s">
        <v>263</v>
      </c>
      <c r="CM1727" t="s">
        <v>264</v>
      </c>
      <c r="CN1727" t="s">
        <v>264</v>
      </c>
      <c r="CP1727" t="s">
        <v>265</v>
      </c>
      <c r="CQ1727" t="s">
        <v>538</v>
      </c>
      <c r="DB1727">
        <v>4</v>
      </c>
      <c r="DG1727" t="s">
        <v>267</v>
      </c>
      <c r="DI1727">
        <v>96</v>
      </c>
      <c r="DN1727" t="s">
        <v>268</v>
      </c>
      <c r="DP1727" t="s">
        <v>2185</v>
      </c>
      <c r="DR1727">
        <v>371472</v>
      </c>
      <c r="DS1727">
        <v>1342</v>
      </c>
      <c r="DT1727" t="s">
        <v>3394</v>
      </c>
      <c r="EW1727" t="s">
        <v>271</v>
      </c>
      <c r="FM1727">
        <v>5</v>
      </c>
      <c r="FR1727" t="s">
        <v>295</v>
      </c>
      <c r="GU1727">
        <v>5</v>
      </c>
      <c r="GZ1727" t="s">
        <v>296</v>
      </c>
      <c r="HH1727" t="s">
        <v>272</v>
      </c>
      <c r="IE1727" t="s">
        <v>3395</v>
      </c>
      <c r="IF1727">
        <v>11873</v>
      </c>
      <c r="IG1727" t="s">
        <v>3396</v>
      </c>
      <c r="IH1727" t="s">
        <v>3397</v>
      </c>
      <c r="II1727">
        <v>1984</v>
      </c>
      <c r="IJ1727" t="s">
        <v>3398</v>
      </c>
    </row>
    <row r="1728" spans="1:244" x14ac:dyDescent="0.45">
      <c r="A1728">
        <v>1141772</v>
      </c>
      <c r="B1728">
        <v>105369</v>
      </c>
      <c r="C1728">
        <v>7778509</v>
      </c>
      <c r="D1728" t="s">
        <v>3280</v>
      </c>
      <c r="F1728" t="s">
        <v>245</v>
      </c>
      <c r="G1728" t="s">
        <v>246</v>
      </c>
      <c r="N1728" t="s">
        <v>2183</v>
      </c>
      <c r="O1728" t="s">
        <v>498</v>
      </c>
      <c r="P1728" t="s">
        <v>249</v>
      </c>
      <c r="Q1728" t="s">
        <v>250</v>
      </c>
      <c r="R1728" t="s">
        <v>251</v>
      </c>
      <c r="T1728" t="s">
        <v>252</v>
      </c>
      <c r="U1728" t="s">
        <v>499</v>
      </c>
      <c r="V1728" t="s">
        <v>1281</v>
      </c>
      <c r="W1728" t="s">
        <v>1282</v>
      </c>
      <c r="X1728" t="s">
        <v>2184</v>
      </c>
      <c r="AM1728" t="s">
        <v>317</v>
      </c>
      <c r="AN1728" t="s">
        <v>259</v>
      </c>
      <c r="AO1728" t="s">
        <v>260</v>
      </c>
      <c r="AQ1728" t="s">
        <v>261</v>
      </c>
      <c r="AS1728">
        <v>85000</v>
      </c>
      <c r="AX1728" t="s">
        <v>262</v>
      </c>
      <c r="BO1728" t="s">
        <v>261</v>
      </c>
      <c r="BQ1728">
        <v>85</v>
      </c>
      <c r="BV1728" t="s">
        <v>263</v>
      </c>
      <c r="CM1728" t="s">
        <v>264</v>
      </c>
      <c r="CN1728" t="s">
        <v>264</v>
      </c>
      <c r="CP1728" t="s">
        <v>265</v>
      </c>
      <c r="CQ1728" t="s">
        <v>538</v>
      </c>
      <c r="DB1728">
        <v>2</v>
      </c>
      <c r="DG1728" t="s">
        <v>267</v>
      </c>
      <c r="DI1728">
        <v>48</v>
      </c>
      <c r="DN1728" t="s">
        <v>268</v>
      </c>
      <c r="DP1728" t="s">
        <v>2185</v>
      </c>
      <c r="DR1728">
        <v>371472</v>
      </c>
      <c r="DS1728">
        <v>1342</v>
      </c>
      <c r="DT1728" t="s">
        <v>3394</v>
      </c>
      <c r="EW1728" t="s">
        <v>271</v>
      </c>
      <c r="FM1728">
        <v>5</v>
      </c>
      <c r="FR1728" t="s">
        <v>295</v>
      </c>
      <c r="GU1728">
        <v>35</v>
      </c>
      <c r="GZ1728" t="s">
        <v>296</v>
      </c>
      <c r="HH1728" t="s">
        <v>272</v>
      </c>
      <c r="IE1728" t="s">
        <v>3395</v>
      </c>
      <c r="IF1728">
        <v>11873</v>
      </c>
      <c r="IG1728" t="s">
        <v>3396</v>
      </c>
      <c r="IH1728" t="s">
        <v>3397</v>
      </c>
      <c r="II1728">
        <v>1984</v>
      </c>
      <c r="IJ1728" t="s">
        <v>3398</v>
      </c>
    </row>
    <row r="1729" spans="1:244" x14ac:dyDescent="0.45">
      <c r="A1729">
        <v>1141801</v>
      </c>
      <c r="B1729">
        <v>106957</v>
      </c>
      <c r="C1729">
        <v>7778509</v>
      </c>
      <c r="D1729" t="s">
        <v>3280</v>
      </c>
      <c r="F1729" t="s">
        <v>245</v>
      </c>
      <c r="G1729" t="s">
        <v>246</v>
      </c>
      <c r="N1729" t="s">
        <v>2183</v>
      </c>
      <c r="O1729" t="s">
        <v>498</v>
      </c>
      <c r="P1729" t="s">
        <v>249</v>
      </c>
      <c r="Q1729" t="s">
        <v>250</v>
      </c>
      <c r="R1729" t="s">
        <v>251</v>
      </c>
      <c r="T1729" t="s">
        <v>252</v>
      </c>
      <c r="U1729" t="s">
        <v>499</v>
      </c>
      <c r="V1729" t="s">
        <v>1281</v>
      </c>
      <c r="W1729" t="s">
        <v>1282</v>
      </c>
      <c r="X1729" t="s">
        <v>2184</v>
      </c>
      <c r="AM1729" t="s">
        <v>317</v>
      </c>
      <c r="AN1729" t="s">
        <v>259</v>
      </c>
      <c r="AO1729" t="s">
        <v>260</v>
      </c>
      <c r="AQ1729" t="s">
        <v>261</v>
      </c>
      <c r="AS1729">
        <v>12000</v>
      </c>
      <c r="AX1729" t="s">
        <v>262</v>
      </c>
      <c r="BO1729" t="s">
        <v>261</v>
      </c>
      <c r="BQ1729">
        <v>12</v>
      </c>
      <c r="BV1729" t="s">
        <v>263</v>
      </c>
      <c r="CM1729" t="s">
        <v>264</v>
      </c>
      <c r="CN1729" t="s">
        <v>264</v>
      </c>
      <c r="CP1729" t="s">
        <v>265</v>
      </c>
      <c r="CQ1729" t="s">
        <v>538</v>
      </c>
      <c r="DB1729">
        <v>1</v>
      </c>
      <c r="DG1729" t="s">
        <v>267</v>
      </c>
      <c r="DI1729">
        <v>24</v>
      </c>
      <c r="DN1729" t="s">
        <v>268</v>
      </c>
      <c r="DP1729" t="s">
        <v>2185</v>
      </c>
      <c r="DR1729">
        <v>371472</v>
      </c>
      <c r="DS1729">
        <v>1342</v>
      </c>
      <c r="DT1729" t="s">
        <v>3394</v>
      </c>
      <c r="EW1729" t="s">
        <v>271</v>
      </c>
      <c r="FM1729">
        <v>15</v>
      </c>
      <c r="FR1729" t="s">
        <v>295</v>
      </c>
      <c r="GU1729">
        <v>10</v>
      </c>
      <c r="GZ1729" t="s">
        <v>296</v>
      </c>
      <c r="HH1729" t="s">
        <v>272</v>
      </c>
      <c r="IE1729" t="s">
        <v>3395</v>
      </c>
      <c r="IF1729">
        <v>11873</v>
      </c>
      <c r="IG1729" t="s">
        <v>3396</v>
      </c>
      <c r="IH1729" t="s">
        <v>3397</v>
      </c>
      <c r="II1729">
        <v>1984</v>
      </c>
      <c r="IJ1729" t="s">
        <v>3398</v>
      </c>
    </row>
    <row r="1730" spans="1:244" x14ac:dyDescent="0.45">
      <c r="A1730">
        <v>1141923</v>
      </c>
      <c r="B1730">
        <v>107079</v>
      </c>
      <c r="C1730">
        <v>7778509</v>
      </c>
      <c r="D1730" t="s">
        <v>3280</v>
      </c>
      <c r="F1730" t="s">
        <v>245</v>
      </c>
      <c r="G1730" t="s">
        <v>246</v>
      </c>
      <c r="N1730" t="s">
        <v>2183</v>
      </c>
      <c r="O1730" t="s">
        <v>498</v>
      </c>
      <c r="P1730" t="s">
        <v>249</v>
      </c>
      <c r="Q1730" t="s">
        <v>250</v>
      </c>
      <c r="R1730" t="s">
        <v>251</v>
      </c>
      <c r="T1730" t="s">
        <v>252</v>
      </c>
      <c r="U1730" t="s">
        <v>499</v>
      </c>
      <c r="V1730" t="s">
        <v>1281</v>
      </c>
      <c r="W1730" t="s">
        <v>1282</v>
      </c>
      <c r="X1730" t="s">
        <v>2184</v>
      </c>
      <c r="AM1730" t="s">
        <v>317</v>
      </c>
      <c r="AN1730" t="s">
        <v>259</v>
      </c>
      <c r="AO1730" t="s">
        <v>260</v>
      </c>
      <c r="AQ1730" t="s">
        <v>261</v>
      </c>
      <c r="AS1730">
        <v>100000</v>
      </c>
      <c r="AX1730" t="s">
        <v>262</v>
      </c>
      <c r="BO1730" t="s">
        <v>261</v>
      </c>
      <c r="BQ1730">
        <v>100</v>
      </c>
      <c r="BV1730" t="s">
        <v>263</v>
      </c>
      <c r="CM1730" t="s">
        <v>264</v>
      </c>
      <c r="CN1730" t="s">
        <v>264</v>
      </c>
      <c r="CP1730" t="s">
        <v>265</v>
      </c>
      <c r="CQ1730" t="s">
        <v>538</v>
      </c>
      <c r="DB1730">
        <v>2</v>
      </c>
      <c r="DG1730" t="s">
        <v>267</v>
      </c>
      <c r="DI1730">
        <v>48</v>
      </c>
      <c r="DN1730" t="s">
        <v>268</v>
      </c>
      <c r="DP1730" t="s">
        <v>2185</v>
      </c>
      <c r="DR1730">
        <v>371472</v>
      </c>
      <c r="DS1730">
        <v>1342</v>
      </c>
      <c r="DT1730" t="s">
        <v>3394</v>
      </c>
      <c r="EW1730" t="s">
        <v>271</v>
      </c>
      <c r="FM1730">
        <v>10</v>
      </c>
      <c r="FR1730" t="s">
        <v>295</v>
      </c>
      <c r="GU1730">
        <v>30</v>
      </c>
      <c r="GZ1730" t="s">
        <v>296</v>
      </c>
      <c r="HH1730" t="s">
        <v>272</v>
      </c>
      <c r="IE1730" t="s">
        <v>3395</v>
      </c>
      <c r="IF1730">
        <v>11873</v>
      </c>
      <c r="IG1730" t="s">
        <v>3396</v>
      </c>
      <c r="IH1730" t="s">
        <v>3397</v>
      </c>
      <c r="II1730">
        <v>1984</v>
      </c>
      <c r="IJ1730" t="s">
        <v>3398</v>
      </c>
    </row>
    <row r="1731" spans="1:244" x14ac:dyDescent="0.45">
      <c r="A1731">
        <v>1141812</v>
      </c>
      <c r="B1731">
        <v>106968</v>
      </c>
      <c r="C1731">
        <v>7778509</v>
      </c>
      <c r="D1731" t="s">
        <v>3280</v>
      </c>
      <c r="F1731" t="s">
        <v>245</v>
      </c>
      <c r="G1731" t="s">
        <v>246</v>
      </c>
      <c r="N1731" t="s">
        <v>2183</v>
      </c>
      <c r="O1731" t="s">
        <v>498</v>
      </c>
      <c r="P1731" t="s">
        <v>249</v>
      </c>
      <c r="Q1731" t="s">
        <v>250</v>
      </c>
      <c r="R1731" t="s">
        <v>251</v>
      </c>
      <c r="T1731" t="s">
        <v>252</v>
      </c>
      <c r="U1731" t="s">
        <v>499</v>
      </c>
      <c r="V1731" t="s">
        <v>1281</v>
      </c>
      <c r="W1731" t="s">
        <v>1282</v>
      </c>
      <c r="X1731" t="s">
        <v>2184</v>
      </c>
      <c r="AM1731" t="s">
        <v>317</v>
      </c>
      <c r="AN1731" t="s">
        <v>259</v>
      </c>
      <c r="AO1731" t="s">
        <v>260</v>
      </c>
      <c r="AQ1731" t="s">
        <v>261</v>
      </c>
      <c r="AS1731">
        <v>17000</v>
      </c>
      <c r="AX1731" t="s">
        <v>262</v>
      </c>
      <c r="BO1731" t="s">
        <v>261</v>
      </c>
      <c r="BQ1731">
        <v>17</v>
      </c>
      <c r="BV1731" t="s">
        <v>263</v>
      </c>
      <c r="CM1731" t="s">
        <v>264</v>
      </c>
      <c r="CN1731" t="s">
        <v>264</v>
      </c>
      <c r="CP1731" t="s">
        <v>265</v>
      </c>
      <c r="CQ1731" t="s">
        <v>538</v>
      </c>
      <c r="DB1731">
        <v>2</v>
      </c>
      <c r="DG1731" t="s">
        <v>267</v>
      </c>
      <c r="DI1731">
        <v>48</v>
      </c>
      <c r="DN1731" t="s">
        <v>268</v>
      </c>
      <c r="DP1731" t="s">
        <v>2185</v>
      </c>
      <c r="DR1731">
        <v>371472</v>
      </c>
      <c r="DS1731">
        <v>1342</v>
      </c>
      <c r="DT1731" t="s">
        <v>3394</v>
      </c>
      <c r="EW1731" t="s">
        <v>271</v>
      </c>
      <c r="FM1731">
        <v>15</v>
      </c>
      <c r="FR1731" t="s">
        <v>295</v>
      </c>
      <c r="GU1731">
        <v>25</v>
      </c>
      <c r="GZ1731" t="s">
        <v>296</v>
      </c>
      <c r="HH1731" t="s">
        <v>272</v>
      </c>
      <c r="IE1731" t="s">
        <v>3395</v>
      </c>
      <c r="IF1731">
        <v>11873</v>
      </c>
      <c r="IG1731" t="s">
        <v>3396</v>
      </c>
      <c r="IH1731" t="s">
        <v>3397</v>
      </c>
      <c r="II1731">
        <v>1984</v>
      </c>
      <c r="IJ1731" t="s">
        <v>3398</v>
      </c>
    </row>
    <row r="1732" spans="1:244" x14ac:dyDescent="0.45">
      <c r="A1732">
        <v>1141921</v>
      </c>
      <c r="B1732">
        <v>107077</v>
      </c>
      <c r="C1732">
        <v>7778509</v>
      </c>
      <c r="D1732" t="s">
        <v>3280</v>
      </c>
      <c r="F1732" t="s">
        <v>245</v>
      </c>
      <c r="G1732" t="s">
        <v>246</v>
      </c>
      <c r="N1732" t="s">
        <v>2183</v>
      </c>
      <c r="O1732" t="s">
        <v>498</v>
      </c>
      <c r="P1732" t="s">
        <v>249</v>
      </c>
      <c r="Q1732" t="s">
        <v>250</v>
      </c>
      <c r="R1732" t="s">
        <v>251</v>
      </c>
      <c r="T1732" t="s">
        <v>252</v>
      </c>
      <c r="U1732" t="s">
        <v>499</v>
      </c>
      <c r="V1732" t="s">
        <v>1281</v>
      </c>
      <c r="W1732" t="s">
        <v>1282</v>
      </c>
      <c r="X1732" t="s">
        <v>2184</v>
      </c>
      <c r="AM1732" t="s">
        <v>317</v>
      </c>
      <c r="AN1732" t="s">
        <v>259</v>
      </c>
      <c r="AO1732" t="s">
        <v>260</v>
      </c>
      <c r="AQ1732" t="s">
        <v>261</v>
      </c>
      <c r="AS1732">
        <v>48000</v>
      </c>
      <c r="AX1732" t="s">
        <v>262</v>
      </c>
      <c r="BO1732" t="s">
        <v>261</v>
      </c>
      <c r="BQ1732">
        <v>48</v>
      </c>
      <c r="BV1732" t="s">
        <v>263</v>
      </c>
      <c r="CM1732" t="s">
        <v>264</v>
      </c>
      <c r="CN1732" t="s">
        <v>264</v>
      </c>
      <c r="CP1732" t="s">
        <v>265</v>
      </c>
      <c r="CQ1732" t="s">
        <v>538</v>
      </c>
      <c r="DB1732">
        <v>2</v>
      </c>
      <c r="DG1732" t="s">
        <v>267</v>
      </c>
      <c r="DI1732">
        <v>48</v>
      </c>
      <c r="DN1732" t="s">
        <v>268</v>
      </c>
      <c r="DP1732" t="s">
        <v>2185</v>
      </c>
      <c r="DR1732">
        <v>371472</v>
      </c>
      <c r="DS1732">
        <v>1342</v>
      </c>
      <c r="DT1732" t="s">
        <v>3394</v>
      </c>
      <c r="EW1732" t="s">
        <v>271</v>
      </c>
      <c r="FM1732">
        <v>10</v>
      </c>
      <c r="FR1732" t="s">
        <v>295</v>
      </c>
      <c r="GU1732">
        <v>20</v>
      </c>
      <c r="GZ1732" t="s">
        <v>296</v>
      </c>
      <c r="HH1732" t="s">
        <v>272</v>
      </c>
      <c r="IE1732" t="s">
        <v>3395</v>
      </c>
      <c r="IF1732">
        <v>11873</v>
      </c>
      <c r="IG1732" t="s">
        <v>3396</v>
      </c>
      <c r="IH1732" t="s">
        <v>3397</v>
      </c>
      <c r="II1732">
        <v>1984</v>
      </c>
      <c r="IJ1732" t="s">
        <v>3398</v>
      </c>
    </row>
    <row r="1733" spans="1:244" x14ac:dyDescent="0.45">
      <c r="A1733">
        <v>1141777</v>
      </c>
      <c r="B1733">
        <v>105374</v>
      </c>
      <c r="C1733">
        <v>7778509</v>
      </c>
      <c r="D1733" t="s">
        <v>3280</v>
      </c>
      <c r="F1733" t="s">
        <v>245</v>
      </c>
      <c r="G1733" t="s">
        <v>246</v>
      </c>
      <c r="N1733" t="s">
        <v>2183</v>
      </c>
      <c r="O1733" t="s">
        <v>498</v>
      </c>
      <c r="P1733" t="s">
        <v>249</v>
      </c>
      <c r="Q1733" t="s">
        <v>250</v>
      </c>
      <c r="R1733" t="s">
        <v>251</v>
      </c>
      <c r="T1733" t="s">
        <v>252</v>
      </c>
      <c r="U1733" t="s">
        <v>499</v>
      </c>
      <c r="V1733" t="s">
        <v>1281</v>
      </c>
      <c r="W1733" t="s">
        <v>1282</v>
      </c>
      <c r="X1733" t="s">
        <v>2184</v>
      </c>
      <c r="AM1733" t="s">
        <v>317</v>
      </c>
      <c r="AN1733" t="s">
        <v>259</v>
      </c>
      <c r="AO1733" t="s">
        <v>260</v>
      </c>
      <c r="AQ1733" t="s">
        <v>261</v>
      </c>
      <c r="AS1733">
        <v>17000</v>
      </c>
      <c r="AX1733" t="s">
        <v>262</v>
      </c>
      <c r="BO1733" t="s">
        <v>261</v>
      </c>
      <c r="BQ1733">
        <v>17</v>
      </c>
      <c r="BV1733" t="s">
        <v>263</v>
      </c>
      <c r="CM1733" t="s">
        <v>264</v>
      </c>
      <c r="CN1733" t="s">
        <v>264</v>
      </c>
      <c r="CP1733" t="s">
        <v>265</v>
      </c>
      <c r="CQ1733" t="s">
        <v>538</v>
      </c>
      <c r="DB1733">
        <v>4</v>
      </c>
      <c r="DG1733" t="s">
        <v>267</v>
      </c>
      <c r="DI1733">
        <v>96</v>
      </c>
      <c r="DN1733" t="s">
        <v>268</v>
      </c>
      <c r="DP1733" t="s">
        <v>2185</v>
      </c>
      <c r="DR1733">
        <v>371472</v>
      </c>
      <c r="DS1733">
        <v>1342</v>
      </c>
      <c r="DT1733" t="s">
        <v>3394</v>
      </c>
      <c r="EW1733" t="s">
        <v>271</v>
      </c>
      <c r="FM1733">
        <v>5</v>
      </c>
      <c r="FR1733" t="s">
        <v>295</v>
      </c>
      <c r="GU1733">
        <v>20</v>
      </c>
      <c r="GZ1733" t="s">
        <v>296</v>
      </c>
      <c r="HH1733" t="s">
        <v>272</v>
      </c>
      <c r="IE1733" t="s">
        <v>3395</v>
      </c>
      <c r="IF1733">
        <v>11873</v>
      </c>
      <c r="IG1733" t="s">
        <v>3396</v>
      </c>
      <c r="IH1733" t="s">
        <v>3397</v>
      </c>
      <c r="II1733">
        <v>1984</v>
      </c>
      <c r="IJ1733" t="s">
        <v>3398</v>
      </c>
    </row>
    <row r="1734" spans="1:244" x14ac:dyDescent="0.45">
      <c r="A1734">
        <v>1141776</v>
      </c>
      <c r="B1734">
        <v>105373</v>
      </c>
      <c r="C1734">
        <v>7778509</v>
      </c>
      <c r="D1734" t="s">
        <v>3280</v>
      </c>
      <c r="F1734" t="s">
        <v>245</v>
      </c>
      <c r="G1734" t="s">
        <v>246</v>
      </c>
      <c r="N1734" t="s">
        <v>2183</v>
      </c>
      <c r="O1734" t="s">
        <v>498</v>
      </c>
      <c r="P1734" t="s">
        <v>249</v>
      </c>
      <c r="Q1734" t="s">
        <v>250</v>
      </c>
      <c r="R1734" t="s">
        <v>251</v>
      </c>
      <c r="T1734" t="s">
        <v>252</v>
      </c>
      <c r="U1734" t="s">
        <v>499</v>
      </c>
      <c r="V1734" t="s">
        <v>1281</v>
      </c>
      <c r="W1734" t="s">
        <v>1282</v>
      </c>
      <c r="X1734" t="s">
        <v>2184</v>
      </c>
      <c r="AM1734" t="s">
        <v>317</v>
      </c>
      <c r="AN1734" t="s">
        <v>259</v>
      </c>
      <c r="AO1734" t="s">
        <v>260</v>
      </c>
      <c r="AQ1734" t="s">
        <v>261</v>
      </c>
      <c r="AS1734">
        <v>15000</v>
      </c>
      <c r="AX1734" t="s">
        <v>262</v>
      </c>
      <c r="BO1734" t="s">
        <v>261</v>
      </c>
      <c r="BQ1734">
        <v>15</v>
      </c>
      <c r="BV1734" t="s">
        <v>263</v>
      </c>
      <c r="CM1734" t="s">
        <v>264</v>
      </c>
      <c r="CN1734" t="s">
        <v>264</v>
      </c>
      <c r="CP1734" t="s">
        <v>265</v>
      </c>
      <c r="CQ1734" t="s">
        <v>538</v>
      </c>
      <c r="DB1734">
        <v>4</v>
      </c>
      <c r="DG1734" t="s">
        <v>267</v>
      </c>
      <c r="DI1734">
        <v>96</v>
      </c>
      <c r="DN1734" t="s">
        <v>268</v>
      </c>
      <c r="DP1734" t="s">
        <v>2185</v>
      </c>
      <c r="DR1734">
        <v>371472</v>
      </c>
      <c r="DS1734">
        <v>1342</v>
      </c>
      <c r="DT1734" t="s">
        <v>3394</v>
      </c>
      <c r="EW1734" t="s">
        <v>271</v>
      </c>
      <c r="FM1734">
        <v>5</v>
      </c>
      <c r="FR1734" t="s">
        <v>295</v>
      </c>
      <c r="GU1734">
        <v>15</v>
      </c>
      <c r="GZ1734" t="s">
        <v>296</v>
      </c>
      <c r="HH1734" t="s">
        <v>272</v>
      </c>
      <c r="IE1734" t="s">
        <v>3395</v>
      </c>
      <c r="IF1734">
        <v>11873</v>
      </c>
      <c r="IG1734" t="s">
        <v>3396</v>
      </c>
      <c r="IH1734" t="s">
        <v>3397</v>
      </c>
      <c r="II1734">
        <v>1984</v>
      </c>
      <c r="IJ1734" t="s">
        <v>3398</v>
      </c>
    </row>
    <row r="1735" spans="1:244" x14ac:dyDescent="0.45">
      <c r="A1735">
        <v>1201131</v>
      </c>
      <c r="B1735">
        <v>160594</v>
      </c>
      <c r="C1735">
        <v>7778509</v>
      </c>
      <c r="D1735" t="s">
        <v>3280</v>
      </c>
      <c r="F1735" t="s">
        <v>245</v>
      </c>
      <c r="G1735" t="s">
        <v>246</v>
      </c>
      <c r="N1735" t="s">
        <v>566</v>
      </c>
      <c r="O1735" t="s">
        <v>388</v>
      </c>
      <c r="P1735" t="s">
        <v>249</v>
      </c>
      <c r="Q1735" t="s">
        <v>250</v>
      </c>
      <c r="R1735" t="s">
        <v>251</v>
      </c>
      <c r="T1735" t="s">
        <v>389</v>
      </c>
      <c r="U1735" t="s">
        <v>390</v>
      </c>
      <c r="V1735" t="s">
        <v>567</v>
      </c>
      <c r="W1735" t="s">
        <v>568</v>
      </c>
      <c r="X1735" t="s">
        <v>569</v>
      </c>
      <c r="Z1735" t="s">
        <v>649</v>
      </c>
      <c r="AM1735" t="s">
        <v>287</v>
      </c>
      <c r="AN1735" t="s">
        <v>259</v>
      </c>
      <c r="AO1735" t="s">
        <v>260</v>
      </c>
      <c r="AQ1735" t="s">
        <v>261</v>
      </c>
      <c r="AS1735">
        <v>15000</v>
      </c>
      <c r="AX1735" t="s">
        <v>262</v>
      </c>
      <c r="BO1735" t="s">
        <v>261</v>
      </c>
      <c r="BQ1735">
        <v>15</v>
      </c>
      <c r="BV1735" t="s">
        <v>263</v>
      </c>
      <c r="CM1735" t="s">
        <v>264</v>
      </c>
      <c r="CN1735" t="s">
        <v>264</v>
      </c>
      <c r="CP1735" t="s">
        <v>265</v>
      </c>
      <c r="DB1735">
        <v>4</v>
      </c>
      <c r="DG1735" t="s">
        <v>267</v>
      </c>
      <c r="DI1735">
        <v>96</v>
      </c>
      <c r="DN1735" t="s">
        <v>268</v>
      </c>
      <c r="DS1735">
        <v>212</v>
      </c>
      <c r="DT1735" t="s">
        <v>3399</v>
      </c>
      <c r="EW1735" t="s">
        <v>293</v>
      </c>
      <c r="FM1735">
        <v>20</v>
      </c>
      <c r="FR1735" t="s">
        <v>295</v>
      </c>
      <c r="GU1735">
        <v>16</v>
      </c>
      <c r="GZ1735" t="s">
        <v>296</v>
      </c>
      <c r="HH1735" t="s">
        <v>272</v>
      </c>
      <c r="IE1735" t="s">
        <v>3400</v>
      </c>
      <c r="IF1735">
        <v>18307</v>
      </c>
      <c r="IG1735" t="s">
        <v>3401</v>
      </c>
      <c r="IH1735" t="s">
        <v>3402</v>
      </c>
      <c r="II1735">
        <v>1993</v>
      </c>
      <c r="IJ1735" t="s">
        <v>3403</v>
      </c>
    </row>
    <row r="1736" spans="1:244" x14ac:dyDescent="0.45">
      <c r="A1736">
        <v>1141816</v>
      </c>
      <c r="B1736">
        <v>106972</v>
      </c>
      <c r="C1736">
        <v>7778509</v>
      </c>
      <c r="D1736" t="s">
        <v>3280</v>
      </c>
      <c r="F1736" t="s">
        <v>245</v>
      </c>
      <c r="G1736" t="s">
        <v>246</v>
      </c>
      <c r="N1736" t="s">
        <v>2183</v>
      </c>
      <c r="O1736" t="s">
        <v>498</v>
      </c>
      <c r="P1736" t="s">
        <v>249</v>
      </c>
      <c r="Q1736" t="s">
        <v>250</v>
      </c>
      <c r="R1736" t="s">
        <v>251</v>
      </c>
      <c r="T1736" t="s">
        <v>252</v>
      </c>
      <c r="U1736" t="s">
        <v>499</v>
      </c>
      <c r="V1736" t="s">
        <v>1281</v>
      </c>
      <c r="W1736" t="s">
        <v>1282</v>
      </c>
      <c r="X1736" t="s">
        <v>2184</v>
      </c>
      <c r="AM1736" t="s">
        <v>317</v>
      </c>
      <c r="AN1736" t="s">
        <v>259</v>
      </c>
      <c r="AO1736" t="s">
        <v>260</v>
      </c>
      <c r="AQ1736" t="s">
        <v>261</v>
      </c>
      <c r="AS1736">
        <v>4400</v>
      </c>
      <c r="AX1736" t="s">
        <v>262</v>
      </c>
      <c r="BO1736" t="s">
        <v>261</v>
      </c>
      <c r="BQ1736">
        <v>4.4000000000000004</v>
      </c>
      <c r="BV1736" t="s">
        <v>263</v>
      </c>
      <c r="CM1736" t="s">
        <v>264</v>
      </c>
      <c r="CN1736" t="s">
        <v>264</v>
      </c>
      <c r="CP1736" t="s">
        <v>265</v>
      </c>
      <c r="CQ1736" t="s">
        <v>538</v>
      </c>
      <c r="DB1736">
        <v>4</v>
      </c>
      <c r="DG1736" t="s">
        <v>267</v>
      </c>
      <c r="DI1736">
        <v>96</v>
      </c>
      <c r="DN1736" t="s">
        <v>268</v>
      </c>
      <c r="DP1736" t="s">
        <v>2185</v>
      </c>
      <c r="DR1736">
        <v>371472</v>
      </c>
      <c r="DS1736">
        <v>1342</v>
      </c>
      <c r="DT1736" t="s">
        <v>3394</v>
      </c>
      <c r="EW1736" t="s">
        <v>271</v>
      </c>
      <c r="FM1736">
        <v>15</v>
      </c>
      <c r="FR1736" t="s">
        <v>295</v>
      </c>
      <c r="GU1736">
        <v>15</v>
      </c>
      <c r="GZ1736" t="s">
        <v>296</v>
      </c>
      <c r="HH1736" t="s">
        <v>272</v>
      </c>
      <c r="IE1736" t="s">
        <v>3395</v>
      </c>
      <c r="IF1736">
        <v>11873</v>
      </c>
      <c r="IG1736" t="s">
        <v>3396</v>
      </c>
      <c r="IH1736" t="s">
        <v>3397</v>
      </c>
      <c r="II1736">
        <v>1984</v>
      </c>
      <c r="IJ1736" t="s">
        <v>3398</v>
      </c>
    </row>
    <row r="1737" spans="1:244" x14ac:dyDescent="0.45">
      <c r="A1737">
        <v>1201118</v>
      </c>
      <c r="B1737">
        <v>160581</v>
      </c>
      <c r="C1737">
        <v>7778509</v>
      </c>
      <c r="D1737" t="s">
        <v>3280</v>
      </c>
      <c r="F1737" t="s">
        <v>245</v>
      </c>
      <c r="G1737" t="s">
        <v>246</v>
      </c>
      <c r="N1737" t="s">
        <v>566</v>
      </c>
      <c r="O1737" t="s">
        <v>388</v>
      </c>
      <c r="P1737" t="s">
        <v>249</v>
      </c>
      <c r="Q1737" t="s">
        <v>250</v>
      </c>
      <c r="R1737" t="s">
        <v>251</v>
      </c>
      <c r="T1737" t="s">
        <v>389</v>
      </c>
      <c r="U1737" t="s">
        <v>390</v>
      </c>
      <c r="V1737" t="s">
        <v>567</v>
      </c>
      <c r="W1737" t="s">
        <v>568</v>
      </c>
      <c r="X1737" t="s">
        <v>569</v>
      </c>
      <c r="Z1737" t="s">
        <v>649</v>
      </c>
      <c r="AM1737" t="s">
        <v>287</v>
      </c>
      <c r="AN1737" t="s">
        <v>259</v>
      </c>
      <c r="AO1737" t="s">
        <v>260</v>
      </c>
      <c r="AQ1737" t="s">
        <v>261</v>
      </c>
      <c r="AS1737">
        <v>20500</v>
      </c>
      <c r="AX1737" t="s">
        <v>262</v>
      </c>
      <c r="BO1737" t="s">
        <v>261</v>
      </c>
      <c r="BQ1737">
        <v>20.5</v>
      </c>
      <c r="BV1737" t="s">
        <v>263</v>
      </c>
      <c r="CM1737" t="s">
        <v>264</v>
      </c>
      <c r="CN1737" t="s">
        <v>264</v>
      </c>
      <c r="CP1737" t="s">
        <v>265</v>
      </c>
      <c r="DB1737">
        <v>4</v>
      </c>
      <c r="DG1737" t="s">
        <v>267</v>
      </c>
      <c r="DI1737">
        <v>96</v>
      </c>
      <c r="DN1737" t="s">
        <v>268</v>
      </c>
      <c r="DS1737">
        <v>212</v>
      </c>
      <c r="DT1737" t="s">
        <v>3399</v>
      </c>
      <c r="EW1737" t="s">
        <v>293</v>
      </c>
      <c r="FM1737">
        <v>20</v>
      </c>
      <c r="FR1737" t="s">
        <v>295</v>
      </c>
      <c r="GU1737">
        <v>7</v>
      </c>
      <c r="GZ1737" t="s">
        <v>296</v>
      </c>
      <c r="HH1737" t="s">
        <v>272</v>
      </c>
      <c r="IE1737" t="s">
        <v>3400</v>
      </c>
      <c r="IF1737">
        <v>18307</v>
      </c>
      <c r="IG1737" t="s">
        <v>3401</v>
      </c>
      <c r="IH1737" t="s">
        <v>3402</v>
      </c>
      <c r="II1737">
        <v>1993</v>
      </c>
      <c r="IJ1737" t="s">
        <v>3403</v>
      </c>
    </row>
    <row r="1738" spans="1:244" x14ac:dyDescent="0.45">
      <c r="A1738">
        <v>1201114</v>
      </c>
      <c r="B1738">
        <v>160577</v>
      </c>
      <c r="C1738">
        <v>7778509</v>
      </c>
      <c r="D1738" t="s">
        <v>3280</v>
      </c>
      <c r="F1738" t="s">
        <v>245</v>
      </c>
      <c r="G1738" t="s">
        <v>246</v>
      </c>
      <c r="N1738" t="s">
        <v>566</v>
      </c>
      <c r="O1738" t="s">
        <v>388</v>
      </c>
      <c r="P1738" t="s">
        <v>249</v>
      </c>
      <c r="Q1738" t="s">
        <v>250</v>
      </c>
      <c r="R1738" t="s">
        <v>251</v>
      </c>
      <c r="T1738" t="s">
        <v>389</v>
      </c>
      <c r="U1738" t="s">
        <v>390</v>
      </c>
      <c r="V1738" t="s">
        <v>567</v>
      </c>
      <c r="W1738" t="s">
        <v>568</v>
      </c>
      <c r="X1738" t="s">
        <v>569</v>
      </c>
      <c r="Z1738" t="s">
        <v>649</v>
      </c>
      <c r="AM1738" t="s">
        <v>287</v>
      </c>
      <c r="AN1738" t="s">
        <v>259</v>
      </c>
      <c r="AO1738" t="s">
        <v>260</v>
      </c>
      <c r="AQ1738" t="s">
        <v>261</v>
      </c>
      <c r="AR1738" t="s">
        <v>288</v>
      </c>
      <c r="AS1738">
        <v>80000</v>
      </c>
      <c r="AX1738" t="s">
        <v>262</v>
      </c>
      <c r="BO1738" t="s">
        <v>261</v>
      </c>
      <c r="BP1738" t="s">
        <v>288</v>
      </c>
      <c r="BQ1738">
        <v>80</v>
      </c>
      <c r="BV1738" t="s">
        <v>263</v>
      </c>
      <c r="CM1738" t="s">
        <v>264</v>
      </c>
      <c r="CN1738" t="s">
        <v>264</v>
      </c>
      <c r="CP1738" t="s">
        <v>265</v>
      </c>
      <c r="DB1738">
        <v>2</v>
      </c>
      <c r="DG1738" t="s">
        <v>267</v>
      </c>
      <c r="DI1738">
        <v>48</v>
      </c>
      <c r="DN1738" t="s">
        <v>268</v>
      </c>
      <c r="DS1738">
        <v>212</v>
      </c>
      <c r="DT1738" t="s">
        <v>3399</v>
      </c>
      <c r="EW1738" t="s">
        <v>293</v>
      </c>
      <c r="FM1738">
        <v>20</v>
      </c>
      <c r="FR1738" t="s">
        <v>295</v>
      </c>
      <c r="GU1738">
        <v>27</v>
      </c>
      <c r="GZ1738" t="s">
        <v>296</v>
      </c>
      <c r="HH1738" t="s">
        <v>272</v>
      </c>
      <c r="IE1738" t="s">
        <v>3400</v>
      </c>
      <c r="IF1738">
        <v>18307</v>
      </c>
      <c r="IG1738" t="s">
        <v>3401</v>
      </c>
      <c r="IH1738" t="s">
        <v>3402</v>
      </c>
      <c r="II1738">
        <v>1993</v>
      </c>
      <c r="IJ1738" t="s">
        <v>3403</v>
      </c>
    </row>
    <row r="1739" spans="1:244" x14ac:dyDescent="0.45">
      <c r="A1739">
        <v>1141783</v>
      </c>
      <c r="B1739">
        <v>106939</v>
      </c>
      <c r="C1739">
        <v>7778509</v>
      </c>
      <c r="D1739" t="s">
        <v>3280</v>
      </c>
      <c r="F1739" t="s">
        <v>245</v>
      </c>
      <c r="G1739" t="s">
        <v>246</v>
      </c>
      <c r="N1739" t="s">
        <v>2183</v>
      </c>
      <c r="O1739" t="s">
        <v>498</v>
      </c>
      <c r="P1739" t="s">
        <v>249</v>
      </c>
      <c r="Q1739" t="s">
        <v>250</v>
      </c>
      <c r="R1739" t="s">
        <v>251</v>
      </c>
      <c r="T1739" t="s">
        <v>252</v>
      </c>
      <c r="U1739" t="s">
        <v>499</v>
      </c>
      <c r="V1739" t="s">
        <v>1281</v>
      </c>
      <c r="W1739" t="s">
        <v>1282</v>
      </c>
      <c r="X1739" t="s">
        <v>2184</v>
      </c>
      <c r="AM1739" t="s">
        <v>317</v>
      </c>
      <c r="AN1739" t="s">
        <v>259</v>
      </c>
      <c r="AO1739" t="s">
        <v>260</v>
      </c>
      <c r="AQ1739" t="s">
        <v>261</v>
      </c>
      <c r="AS1739">
        <v>20000</v>
      </c>
      <c r="AX1739" t="s">
        <v>262</v>
      </c>
      <c r="BO1739" t="s">
        <v>261</v>
      </c>
      <c r="BQ1739">
        <v>20</v>
      </c>
      <c r="BV1739" t="s">
        <v>263</v>
      </c>
      <c r="CM1739" t="s">
        <v>264</v>
      </c>
      <c r="CN1739" t="s">
        <v>264</v>
      </c>
      <c r="CP1739" t="s">
        <v>265</v>
      </c>
      <c r="CQ1739" t="s">
        <v>538</v>
      </c>
      <c r="DB1739">
        <v>4</v>
      </c>
      <c r="DG1739" t="s">
        <v>267</v>
      </c>
      <c r="DI1739">
        <v>96</v>
      </c>
      <c r="DN1739" t="s">
        <v>268</v>
      </c>
      <c r="DP1739" t="s">
        <v>2185</v>
      </c>
      <c r="DR1739">
        <v>371472</v>
      </c>
      <c r="DS1739">
        <v>1342</v>
      </c>
      <c r="DT1739" t="s">
        <v>3394</v>
      </c>
      <c r="EW1739" t="s">
        <v>271</v>
      </c>
      <c r="FM1739">
        <v>10</v>
      </c>
      <c r="FR1739" t="s">
        <v>295</v>
      </c>
      <c r="GU1739">
        <v>20</v>
      </c>
      <c r="GZ1739" t="s">
        <v>296</v>
      </c>
      <c r="HH1739" t="s">
        <v>272</v>
      </c>
      <c r="IE1739" t="s">
        <v>3395</v>
      </c>
      <c r="IF1739">
        <v>11873</v>
      </c>
      <c r="IG1739" t="s">
        <v>3396</v>
      </c>
      <c r="IH1739" t="s">
        <v>3397</v>
      </c>
      <c r="II1739">
        <v>1984</v>
      </c>
      <c r="IJ1739" t="s">
        <v>3398</v>
      </c>
    </row>
    <row r="1740" spans="1:244" x14ac:dyDescent="0.45">
      <c r="A1740">
        <v>1141782</v>
      </c>
      <c r="B1740">
        <v>106938</v>
      </c>
      <c r="C1740">
        <v>7778509</v>
      </c>
      <c r="D1740" t="s">
        <v>3280</v>
      </c>
      <c r="F1740" t="s">
        <v>245</v>
      </c>
      <c r="G1740" t="s">
        <v>246</v>
      </c>
      <c r="N1740" t="s">
        <v>2183</v>
      </c>
      <c r="O1740" t="s">
        <v>498</v>
      </c>
      <c r="P1740" t="s">
        <v>249</v>
      </c>
      <c r="Q1740" t="s">
        <v>250</v>
      </c>
      <c r="R1740" t="s">
        <v>251</v>
      </c>
      <c r="T1740" t="s">
        <v>252</v>
      </c>
      <c r="U1740" t="s">
        <v>499</v>
      </c>
      <c r="V1740" t="s">
        <v>1281</v>
      </c>
      <c r="W1740" t="s">
        <v>1282</v>
      </c>
      <c r="X1740" t="s">
        <v>2184</v>
      </c>
      <c r="AM1740" t="s">
        <v>317</v>
      </c>
      <c r="AN1740" t="s">
        <v>259</v>
      </c>
      <c r="AO1740" t="s">
        <v>260</v>
      </c>
      <c r="AQ1740" t="s">
        <v>261</v>
      </c>
      <c r="AS1740">
        <v>120000</v>
      </c>
      <c r="AX1740" t="s">
        <v>262</v>
      </c>
      <c r="BO1740" t="s">
        <v>261</v>
      </c>
      <c r="BQ1740">
        <v>120</v>
      </c>
      <c r="BV1740" t="s">
        <v>263</v>
      </c>
      <c r="CM1740" t="s">
        <v>264</v>
      </c>
      <c r="CN1740" t="s">
        <v>264</v>
      </c>
      <c r="CP1740" t="s">
        <v>265</v>
      </c>
      <c r="CQ1740" t="s">
        <v>538</v>
      </c>
      <c r="DB1740">
        <v>4</v>
      </c>
      <c r="DG1740" t="s">
        <v>267</v>
      </c>
      <c r="DI1740">
        <v>96</v>
      </c>
      <c r="DN1740" t="s">
        <v>268</v>
      </c>
      <c r="DP1740" t="s">
        <v>2185</v>
      </c>
      <c r="DR1740">
        <v>371472</v>
      </c>
      <c r="DS1740">
        <v>1342</v>
      </c>
      <c r="DT1740" t="s">
        <v>3394</v>
      </c>
      <c r="EW1740" t="s">
        <v>271</v>
      </c>
      <c r="FM1740">
        <v>10</v>
      </c>
      <c r="FR1740" t="s">
        <v>295</v>
      </c>
      <c r="GU1740">
        <v>15</v>
      </c>
      <c r="GZ1740" t="s">
        <v>296</v>
      </c>
      <c r="HH1740" t="s">
        <v>272</v>
      </c>
      <c r="IE1740" t="s">
        <v>3395</v>
      </c>
      <c r="IF1740">
        <v>11873</v>
      </c>
      <c r="IG1740" t="s">
        <v>3396</v>
      </c>
      <c r="IH1740" t="s">
        <v>3397</v>
      </c>
      <c r="II1740">
        <v>1984</v>
      </c>
      <c r="IJ1740" t="s">
        <v>3398</v>
      </c>
    </row>
    <row r="1741" spans="1:244" x14ac:dyDescent="0.45">
      <c r="A1741">
        <v>2314543</v>
      </c>
      <c r="B1741">
        <v>2781649</v>
      </c>
      <c r="C1741">
        <v>7778509</v>
      </c>
      <c r="D1741" t="s">
        <v>3280</v>
      </c>
      <c r="F1741" t="s">
        <v>245</v>
      </c>
      <c r="G1741" t="s">
        <v>557</v>
      </c>
      <c r="N1741" t="s">
        <v>630</v>
      </c>
      <c r="O1741" t="s">
        <v>631</v>
      </c>
      <c r="P1741" t="s">
        <v>249</v>
      </c>
      <c r="Q1741" t="s">
        <v>250</v>
      </c>
      <c r="R1741" t="s">
        <v>251</v>
      </c>
      <c r="T1741" t="s">
        <v>389</v>
      </c>
      <c r="U1741" t="s">
        <v>632</v>
      </c>
      <c r="V1741" t="s">
        <v>633</v>
      </c>
      <c r="W1741" t="s">
        <v>634</v>
      </c>
      <c r="X1741" t="s">
        <v>635</v>
      </c>
      <c r="Z1741" t="s">
        <v>315</v>
      </c>
      <c r="AD1741">
        <v>10</v>
      </c>
      <c r="AF1741">
        <v>12</v>
      </c>
      <c r="AG1741" t="s">
        <v>267</v>
      </c>
      <c r="AI1741">
        <v>6</v>
      </c>
      <c r="AJ1741" t="s">
        <v>354</v>
      </c>
      <c r="AM1741" t="s">
        <v>317</v>
      </c>
      <c r="AN1741" t="s">
        <v>259</v>
      </c>
      <c r="AO1741" t="s">
        <v>260</v>
      </c>
      <c r="AP1741" t="s">
        <v>3415</v>
      </c>
      <c r="AQ1741" t="s">
        <v>261</v>
      </c>
      <c r="AS1741">
        <v>49</v>
      </c>
      <c r="AU1741">
        <v>41</v>
      </c>
      <c r="AW1741">
        <v>61</v>
      </c>
      <c r="AX1741" t="s">
        <v>356</v>
      </c>
      <c r="BO1741" t="s">
        <v>261</v>
      </c>
      <c r="BQ1741">
        <v>49</v>
      </c>
      <c r="BS1741">
        <v>41</v>
      </c>
      <c r="BU1741">
        <v>61</v>
      </c>
      <c r="BV1741" t="s">
        <v>263</v>
      </c>
      <c r="CM1741" t="s">
        <v>264</v>
      </c>
      <c r="CN1741" t="s">
        <v>264</v>
      </c>
      <c r="CP1741" t="s">
        <v>265</v>
      </c>
      <c r="DB1741">
        <v>1</v>
      </c>
      <c r="DG1741" t="s">
        <v>267</v>
      </c>
      <c r="DI1741">
        <v>24</v>
      </c>
      <c r="DN1741" t="s">
        <v>268</v>
      </c>
      <c r="DP1741" t="s">
        <v>3281</v>
      </c>
      <c r="DR1741">
        <v>136180</v>
      </c>
      <c r="DS1741">
        <v>376</v>
      </c>
      <c r="DT1741" t="s">
        <v>3416</v>
      </c>
      <c r="DV1741">
        <v>48</v>
      </c>
      <c r="EA1741" t="s">
        <v>268</v>
      </c>
      <c r="EC1741">
        <v>2</v>
      </c>
      <c r="EH1741" t="s">
        <v>267</v>
      </c>
      <c r="EJ1741">
        <v>48</v>
      </c>
      <c r="EO1741" t="s">
        <v>268</v>
      </c>
      <c r="EQ1741">
        <v>2</v>
      </c>
      <c r="EV1741" t="s">
        <v>267</v>
      </c>
      <c r="EW1741" t="s">
        <v>1512</v>
      </c>
      <c r="EY1741" t="s">
        <v>377</v>
      </c>
      <c r="EZ1741">
        <v>5</v>
      </c>
      <c r="FA1741" t="s">
        <v>3432</v>
      </c>
      <c r="FM1741">
        <v>20</v>
      </c>
      <c r="FR1741" t="s">
        <v>295</v>
      </c>
      <c r="GU1741">
        <v>18</v>
      </c>
      <c r="GZ1741" t="s">
        <v>296</v>
      </c>
      <c r="HH1741" t="s">
        <v>272</v>
      </c>
      <c r="ID1741" t="s">
        <v>3433</v>
      </c>
      <c r="IE1741" t="s">
        <v>3419</v>
      </c>
      <c r="IF1741">
        <v>52818</v>
      </c>
      <c r="IG1741" t="s">
        <v>3420</v>
      </c>
      <c r="IH1741" t="s">
        <v>3421</v>
      </c>
      <c r="II1741">
        <v>1999</v>
      </c>
      <c r="IJ1741" t="s">
        <v>3422</v>
      </c>
    </row>
    <row r="1742" spans="1:244" x14ac:dyDescent="0.45">
      <c r="A1742">
        <v>1141775</v>
      </c>
      <c r="B1742">
        <v>105372</v>
      </c>
      <c r="C1742">
        <v>7778509</v>
      </c>
      <c r="D1742" t="s">
        <v>3280</v>
      </c>
      <c r="F1742" t="s">
        <v>245</v>
      </c>
      <c r="G1742" t="s">
        <v>246</v>
      </c>
      <c r="N1742" t="s">
        <v>2183</v>
      </c>
      <c r="O1742" t="s">
        <v>498</v>
      </c>
      <c r="P1742" t="s">
        <v>249</v>
      </c>
      <c r="Q1742" t="s">
        <v>250</v>
      </c>
      <c r="R1742" t="s">
        <v>251</v>
      </c>
      <c r="T1742" t="s">
        <v>252</v>
      </c>
      <c r="U1742" t="s">
        <v>499</v>
      </c>
      <c r="V1742" t="s">
        <v>1281</v>
      </c>
      <c r="W1742" t="s">
        <v>1282</v>
      </c>
      <c r="X1742" t="s">
        <v>2184</v>
      </c>
      <c r="AM1742" t="s">
        <v>317</v>
      </c>
      <c r="AN1742" t="s">
        <v>259</v>
      </c>
      <c r="AO1742" t="s">
        <v>260</v>
      </c>
      <c r="AQ1742" t="s">
        <v>261</v>
      </c>
      <c r="AS1742">
        <v>8000</v>
      </c>
      <c r="AX1742" t="s">
        <v>262</v>
      </c>
      <c r="BO1742" t="s">
        <v>261</v>
      </c>
      <c r="BQ1742">
        <v>8</v>
      </c>
      <c r="BV1742" t="s">
        <v>263</v>
      </c>
      <c r="CM1742" t="s">
        <v>264</v>
      </c>
      <c r="CN1742" t="s">
        <v>264</v>
      </c>
      <c r="CP1742" t="s">
        <v>265</v>
      </c>
      <c r="CQ1742" t="s">
        <v>538</v>
      </c>
      <c r="DB1742">
        <v>4</v>
      </c>
      <c r="DG1742" t="s">
        <v>267</v>
      </c>
      <c r="DI1742">
        <v>96</v>
      </c>
      <c r="DN1742" t="s">
        <v>268</v>
      </c>
      <c r="DP1742" t="s">
        <v>2185</v>
      </c>
      <c r="DR1742">
        <v>371472</v>
      </c>
      <c r="DS1742">
        <v>1342</v>
      </c>
      <c r="DT1742" t="s">
        <v>3394</v>
      </c>
      <c r="EW1742" t="s">
        <v>271</v>
      </c>
      <c r="FM1742">
        <v>5</v>
      </c>
      <c r="FR1742" t="s">
        <v>295</v>
      </c>
      <c r="GU1742">
        <v>10</v>
      </c>
      <c r="GZ1742" t="s">
        <v>296</v>
      </c>
      <c r="HH1742" t="s">
        <v>272</v>
      </c>
      <c r="IE1742" t="s">
        <v>3395</v>
      </c>
      <c r="IF1742">
        <v>11873</v>
      </c>
      <c r="IG1742" t="s">
        <v>3396</v>
      </c>
      <c r="IH1742" t="s">
        <v>3397</v>
      </c>
      <c r="II1742">
        <v>1984</v>
      </c>
      <c r="IJ1742" t="s">
        <v>3398</v>
      </c>
    </row>
    <row r="1743" spans="1:244" x14ac:dyDescent="0.45">
      <c r="A1743">
        <v>2314543</v>
      </c>
      <c r="B1743">
        <v>2781650</v>
      </c>
      <c r="C1743">
        <v>7778509</v>
      </c>
      <c r="D1743" t="s">
        <v>3280</v>
      </c>
      <c r="F1743" t="s">
        <v>245</v>
      </c>
      <c r="G1743" t="s">
        <v>557</v>
      </c>
      <c r="N1743" t="s">
        <v>630</v>
      </c>
      <c r="O1743" t="s">
        <v>631</v>
      </c>
      <c r="P1743" t="s">
        <v>249</v>
      </c>
      <c r="Q1743" t="s">
        <v>250</v>
      </c>
      <c r="R1743" t="s">
        <v>251</v>
      </c>
      <c r="T1743" t="s">
        <v>389</v>
      </c>
      <c r="U1743" t="s">
        <v>632</v>
      </c>
      <c r="V1743" t="s">
        <v>633</v>
      </c>
      <c r="W1743" t="s">
        <v>634</v>
      </c>
      <c r="X1743" t="s">
        <v>635</v>
      </c>
      <c r="Z1743" t="s">
        <v>315</v>
      </c>
      <c r="AD1743">
        <v>10</v>
      </c>
      <c r="AF1743">
        <v>12</v>
      </c>
      <c r="AG1743" t="s">
        <v>267</v>
      </c>
      <c r="AI1743">
        <v>6</v>
      </c>
      <c r="AJ1743" t="s">
        <v>354</v>
      </c>
      <c r="AM1743" t="s">
        <v>317</v>
      </c>
      <c r="AN1743" t="s">
        <v>259</v>
      </c>
      <c r="AO1743" t="s">
        <v>260</v>
      </c>
      <c r="AP1743" t="s">
        <v>3415</v>
      </c>
      <c r="AQ1743" t="s">
        <v>261</v>
      </c>
      <c r="AS1743">
        <v>18</v>
      </c>
      <c r="AU1743">
        <v>15</v>
      </c>
      <c r="AW1743">
        <v>23</v>
      </c>
      <c r="AX1743" t="s">
        <v>356</v>
      </c>
      <c r="BO1743" t="s">
        <v>261</v>
      </c>
      <c r="BQ1743">
        <v>18</v>
      </c>
      <c r="BS1743">
        <v>15</v>
      </c>
      <c r="BU1743">
        <v>23</v>
      </c>
      <c r="BV1743" t="s">
        <v>263</v>
      </c>
      <c r="CM1743" t="s">
        <v>264</v>
      </c>
      <c r="CN1743" t="s">
        <v>264</v>
      </c>
      <c r="CP1743" t="s">
        <v>265</v>
      </c>
      <c r="DB1743">
        <v>2</v>
      </c>
      <c r="DG1743" t="s">
        <v>267</v>
      </c>
      <c r="DI1743">
        <v>48</v>
      </c>
      <c r="DN1743" t="s">
        <v>268</v>
      </c>
      <c r="DP1743" t="s">
        <v>3281</v>
      </c>
      <c r="DR1743">
        <v>136180</v>
      </c>
      <c r="DS1743">
        <v>376</v>
      </c>
      <c r="DT1743" t="s">
        <v>3416</v>
      </c>
      <c r="DV1743">
        <v>48</v>
      </c>
      <c r="EA1743" t="s">
        <v>268</v>
      </c>
      <c r="EC1743">
        <v>2</v>
      </c>
      <c r="EH1743" t="s">
        <v>267</v>
      </c>
      <c r="EJ1743">
        <v>48</v>
      </c>
      <c r="EO1743" t="s">
        <v>268</v>
      </c>
      <c r="EQ1743">
        <v>2</v>
      </c>
      <c r="EV1743" t="s">
        <v>267</v>
      </c>
      <c r="EW1743" t="s">
        <v>1512</v>
      </c>
      <c r="EY1743" t="s">
        <v>377</v>
      </c>
      <c r="EZ1743">
        <v>5</v>
      </c>
      <c r="FA1743" t="s">
        <v>3432</v>
      </c>
      <c r="FM1743">
        <v>20</v>
      </c>
      <c r="FR1743" t="s">
        <v>295</v>
      </c>
      <c r="GU1743">
        <v>18</v>
      </c>
      <c r="GZ1743" t="s">
        <v>296</v>
      </c>
      <c r="HH1743" t="s">
        <v>272</v>
      </c>
      <c r="ID1743" t="s">
        <v>3433</v>
      </c>
      <c r="IE1743" t="s">
        <v>3419</v>
      </c>
      <c r="IF1743">
        <v>52818</v>
      </c>
      <c r="IG1743" t="s">
        <v>3420</v>
      </c>
      <c r="IH1743" t="s">
        <v>3421</v>
      </c>
      <c r="II1743">
        <v>1999</v>
      </c>
      <c r="IJ1743" t="s">
        <v>3422</v>
      </c>
    </row>
    <row r="1744" spans="1:244" x14ac:dyDescent="0.45">
      <c r="A1744">
        <v>1141924</v>
      </c>
      <c r="B1744">
        <v>107080</v>
      </c>
      <c r="C1744">
        <v>7778509</v>
      </c>
      <c r="D1744" t="s">
        <v>3280</v>
      </c>
      <c r="F1744" t="s">
        <v>245</v>
      </c>
      <c r="G1744" t="s">
        <v>246</v>
      </c>
      <c r="N1744" t="s">
        <v>2183</v>
      </c>
      <c r="O1744" t="s">
        <v>498</v>
      </c>
      <c r="P1744" t="s">
        <v>249</v>
      </c>
      <c r="Q1744" t="s">
        <v>250</v>
      </c>
      <c r="R1744" t="s">
        <v>251</v>
      </c>
      <c r="T1744" t="s">
        <v>252</v>
      </c>
      <c r="U1744" t="s">
        <v>499</v>
      </c>
      <c r="V1744" t="s">
        <v>1281</v>
      </c>
      <c r="W1744" t="s">
        <v>1282</v>
      </c>
      <c r="X1744" t="s">
        <v>2184</v>
      </c>
      <c r="AM1744" t="s">
        <v>317</v>
      </c>
      <c r="AN1744" t="s">
        <v>259</v>
      </c>
      <c r="AO1744" t="s">
        <v>260</v>
      </c>
      <c r="AQ1744" t="s">
        <v>261</v>
      </c>
      <c r="AS1744">
        <v>90000</v>
      </c>
      <c r="AX1744" t="s">
        <v>262</v>
      </c>
      <c r="BO1744" t="s">
        <v>261</v>
      </c>
      <c r="BQ1744">
        <v>90</v>
      </c>
      <c r="BV1744" t="s">
        <v>263</v>
      </c>
      <c r="CM1744" t="s">
        <v>264</v>
      </c>
      <c r="CN1744" t="s">
        <v>264</v>
      </c>
      <c r="CP1744" t="s">
        <v>265</v>
      </c>
      <c r="CQ1744" t="s">
        <v>538</v>
      </c>
      <c r="DB1744">
        <v>2</v>
      </c>
      <c r="DG1744" t="s">
        <v>267</v>
      </c>
      <c r="DI1744">
        <v>48</v>
      </c>
      <c r="DN1744" t="s">
        <v>268</v>
      </c>
      <c r="DP1744" t="s">
        <v>2185</v>
      </c>
      <c r="DR1744">
        <v>371472</v>
      </c>
      <c r="DS1744">
        <v>1342</v>
      </c>
      <c r="DT1744" t="s">
        <v>3394</v>
      </c>
      <c r="EW1744" t="s">
        <v>271</v>
      </c>
      <c r="FM1744">
        <v>10</v>
      </c>
      <c r="FR1744" t="s">
        <v>295</v>
      </c>
      <c r="GU1744">
        <v>35</v>
      </c>
      <c r="GZ1744" t="s">
        <v>296</v>
      </c>
      <c r="HH1744" t="s">
        <v>272</v>
      </c>
      <c r="IE1744" t="s">
        <v>3395</v>
      </c>
      <c r="IF1744">
        <v>11873</v>
      </c>
      <c r="IG1744" t="s">
        <v>3396</v>
      </c>
      <c r="IH1744" t="s">
        <v>3397</v>
      </c>
      <c r="II1744">
        <v>1984</v>
      </c>
      <c r="IJ1744" t="s">
        <v>3398</v>
      </c>
    </row>
    <row r="1745" spans="1:244" x14ac:dyDescent="0.45">
      <c r="A1745">
        <v>1141771</v>
      </c>
      <c r="B1745">
        <v>105368</v>
      </c>
      <c r="C1745">
        <v>7778509</v>
      </c>
      <c r="D1745" t="s">
        <v>3280</v>
      </c>
      <c r="F1745" t="s">
        <v>245</v>
      </c>
      <c r="G1745" t="s">
        <v>246</v>
      </c>
      <c r="N1745" t="s">
        <v>2183</v>
      </c>
      <c r="O1745" t="s">
        <v>498</v>
      </c>
      <c r="P1745" t="s">
        <v>249</v>
      </c>
      <c r="Q1745" t="s">
        <v>250</v>
      </c>
      <c r="R1745" t="s">
        <v>251</v>
      </c>
      <c r="T1745" t="s">
        <v>252</v>
      </c>
      <c r="U1745" t="s">
        <v>499</v>
      </c>
      <c r="V1745" t="s">
        <v>1281</v>
      </c>
      <c r="W1745" t="s">
        <v>1282</v>
      </c>
      <c r="X1745" t="s">
        <v>2184</v>
      </c>
      <c r="AM1745" t="s">
        <v>317</v>
      </c>
      <c r="AN1745" t="s">
        <v>259</v>
      </c>
      <c r="AO1745" t="s">
        <v>260</v>
      </c>
      <c r="AQ1745" t="s">
        <v>261</v>
      </c>
      <c r="AS1745">
        <v>120000</v>
      </c>
      <c r="AX1745" t="s">
        <v>262</v>
      </c>
      <c r="BO1745" t="s">
        <v>261</v>
      </c>
      <c r="BQ1745">
        <v>120</v>
      </c>
      <c r="BV1745" t="s">
        <v>263</v>
      </c>
      <c r="CM1745" t="s">
        <v>264</v>
      </c>
      <c r="CN1745" t="s">
        <v>264</v>
      </c>
      <c r="CP1745" t="s">
        <v>265</v>
      </c>
      <c r="CQ1745" t="s">
        <v>538</v>
      </c>
      <c r="DB1745">
        <v>2</v>
      </c>
      <c r="DG1745" t="s">
        <v>267</v>
      </c>
      <c r="DI1745">
        <v>48</v>
      </c>
      <c r="DN1745" t="s">
        <v>268</v>
      </c>
      <c r="DP1745" t="s">
        <v>2185</v>
      </c>
      <c r="DR1745">
        <v>371472</v>
      </c>
      <c r="DS1745">
        <v>1342</v>
      </c>
      <c r="DT1745" t="s">
        <v>3394</v>
      </c>
      <c r="EW1745" t="s">
        <v>271</v>
      </c>
      <c r="FM1745">
        <v>5</v>
      </c>
      <c r="FR1745" t="s">
        <v>295</v>
      </c>
      <c r="GU1745">
        <v>30</v>
      </c>
      <c r="GZ1745" t="s">
        <v>296</v>
      </c>
      <c r="HH1745" t="s">
        <v>272</v>
      </c>
      <c r="IE1745" t="s">
        <v>3395</v>
      </c>
      <c r="IF1745">
        <v>11873</v>
      </c>
      <c r="IG1745" t="s">
        <v>3396</v>
      </c>
      <c r="IH1745" t="s">
        <v>3397</v>
      </c>
      <c r="II1745">
        <v>1984</v>
      </c>
      <c r="IJ1745" t="s">
        <v>3398</v>
      </c>
    </row>
    <row r="1746" spans="1:244" x14ac:dyDescent="0.45">
      <c r="A1746">
        <v>1201108</v>
      </c>
      <c r="B1746">
        <v>160571</v>
      </c>
      <c r="C1746">
        <v>7778509</v>
      </c>
      <c r="D1746" t="s">
        <v>3280</v>
      </c>
      <c r="F1746" t="s">
        <v>245</v>
      </c>
      <c r="G1746" t="s">
        <v>246</v>
      </c>
      <c r="N1746" t="s">
        <v>566</v>
      </c>
      <c r="O1746" t="s">
        <v>388</v>
      </c>
      <c r="P1746" t="s">
        <v>249</v>
      </c>
      <c r="Q1746" t="s">
        <v>250</v>
      </c>
      <c r="R1746" t="s">
        <v>251</v>
      </c>
      <c r="T1746" t="s">
        <v>389</v>
      </c>
      <c r="U1746" t="s">
        <v>390</v>
      </c>
      <c r="V1746" t="s">
        <v>567</v>
      </c>
      <c r="W1746" t="s">
        <v>568</v>
      </c>
      <c r="X1746" t="s">
        <v>569</v>
      </c>
      <c r="Z1746" t="s">
        <v>649</v>
      </c>
      <c r="AM1746" t="s">
        <v>287</v>
      </c>
      <c r="AN1746" t="s">
        <v>259</v>
      </c>
      <c r="AO1746" t="s">
        <v>260</v>
      </c>
      <c r="AQ1746" t="s">
        <v>261</v>
      </c>
      <c r="AS1746">
        <v>14000</v>
      </c>
      <c r="AU1746">
        <v>11000</v>
      </c>
      <c r="AW1746">
        <v>18000</v>
      </c>
      <c r="AX1746" t="s">
        <v>262</v>
      </c>
      <c r="BO1746" t="s">
        <v>261</v>
      </c>
      <c r="BQ1746">
        <v>14</v>
      </c>
      <c r="BS1746">
        <v>11</v>
      </c>
      <c r="BU1746">
        <v>18</v>
      </c>
      <c r="BV1746" t="s">
        <v>263</v>
      </c>
      <c r="CM1746" t="s">
        <v>264</v>
      </c>
      <c r="CN1746" t="s">
        <v>264</v>
      </c>
      <c r="CP1746" t="s">
        <v>265</v>
      </c>
      <c r="DB1746">
        <v>4</v>
      </c>
      <c r="DG1746" t="s">
        <v>267</v>
      </c>
      <c r="DI1746">
        <v>96</v>
      </c>
      <c r="DN1746" t="s">
        <v>268</v>
      </c>
      <c r="DS1746">
        <v>212</v>
      </c>
      <c r="DT1746" t="s">
        <v>3399</v>
      </c>
      <c r="EW1746" t="s">
        <v>293</v>
      </c>
      <c r="FM1746">
        <v>20</v>
      </c>
      <c r="FR1746" t="s">
        <v>295</v>
      </c>
      <c r="GU1746">
        <v>6.8</v>
      </c>
      <c r="GZ1746" t="s">
        <v>296</v>
      </c>
      <c r="HH1746" t="s">
        <v>272</v>
      </c>
      <c r="IE1746" t="s">
        <v>3400</v>
      </c>
      <c r="IF1746">
        <v>18307</v>
      </c>
      <c r="IG1746" t="s">
        <v>3401</v>
      </c>
      <c r="IH1746" t="s">
        <v>3402</v>
      </c>
      <c r="II1746">
        <v>1993</v>
      </c>
      <c r="IJ1746" t="s">
        <v>3403</v>
      </c>
    </row>
    <row r="1747" spans="1:244" x14ac:dyDescent="0.45">
      <c r="A1747">
        <v>1141902</v>
      </c>
      <c r="B1747">
        <v>107058</v>
      </c>
      <c r="C1747">
        <v>7778509</v>
      </c>
      <c r="D1747" t="s">
        <v>3280</v>
      </c>
      <c r="F1747" t="s">
        <v>245</v>
      </c>
      <c r="G1747" t="s">
        <v>246</v>
      </c>
      <c r="N1747" t="s">
        <v>2183</v>
      </c>
      <c r="O1747" t="s">
        <v>498</v>
      </c>
      <c r="P1747" t="s">
        <v>249</v>
      </c>
      <c r="Q1747" t="s">
        <v>250</v>
      </c>
      <c r="R1747" t="s">
        <v>251</v>
      </c>
      <c r="T1747" t="s">
        <v>252</v>
      </c>
      <c r="U1747" t="s">
        <v>499</v>
      </c>
      <c r="V1747" t="s">
        <v>1281</v>
      </c>
      <c r="W1747" t="s">
        <v>1282</v>
      </c>
      <c r="X1747" t="s">
        <v>2184</v>
      </c>
      <c r="AM1747" t="s">
        <v>317</v>
      </c>
      <c r="AN1747" t="s">
        <v>259</v>
      </c>
      <c r="AO1747" t="s">
        <v>260</v>
      </c>
      <c r="AQ1747" t="s">
        <v>261</v>
      </c>
      <c r="AS1747">
        <v>36000</v>
      </c>
      <c r="AX1747" t="s">
        <v>262</v>
      </c>
      <c r="BO1747" t="s">
        <v>261</v>
      </c>
      <c r="BQ1747">
        <v>36</v>
      </c>
      <c r="BV1747" t="s">
        <v>263</v>
      </c>
      <c r="CM1747" t="s">
        <v>264</v>
      </c>
      <c r="CN1747" t="s">
        <v>264</v>
      </c>
      <c r="CP1747" t="s">
        <v>265</v>
      </c>
      <c r="CQ1747" t="s">
        <v>538</v>
      </c>
      <c r="DB1747">
        <v>4</v>
      </c>
      <c r="DG1747" t="s">
        <v>267</v>
      </c>
      <c r="DI1747">
        <v>96</v>
      </c>
      <c r="DN1747" t="s">
        <v>268</v>
      </c>
      <c r="DP1747" t="s">
        <v>2185</v>
      </c>
      <c r="DR1747">
        <v>371472</v>
      </c>
      <c r="DS1747">
        <v>1342</v>
      </c>
      <c r="DT1747" t="s">
        <v>3394</v>
      </c>
      <c r="EW1747" t="s">
        <v>271</v>
      </c>
      <c r="FM1747">
        <v>5</v>
      </c>
      <c r="FR1747" t="s">
        <v>295</v>
      </c>
      <c r="GU1747">
        <v>40</v>
      </c>
      <c r="GZ1747" t="s">
        <v>296</v>
      </c>
      <c r="HH1747" t="s">
        <v>272</v>
      </c>
      <c r="IE1747" t="s">
        <v>3395</v>
      </c>
      <c r="IF1747">
        <v>11873</v>
      </c>
      <c r="IG1747" t="s">
        <v>3396</v>
      </c>
      <c r="IH1747" t="s">
        <v>3397</v>
      </c>
      <c r="II1747">
        <v>1984</v>
      </c>
      <c r="IJ1747" t="s">
        <v>3398</v>
      </c>
    </row>
    <row r="1748" spans="1:244" x14ac:dyDescent="0.45">
      <c r="A1748">
        <v>1201122</v>
      </c>
      <c r="B1748">
        <v>160585</v>
      </c>
      <c r="C1748">
        <v>7778509</v>
      </c>
      <c r="D1748" t="s">
        <v>3280</v>
      </c>
      <c r="F1748" t="s">
        <v>245</v>
      </c>
      <c r="G1748" t="s">
        <v>246</v>
      </c>
      <c r="N1748" t="s">
        <v>566</v>
      </c>
      <c r="O1748" t="s">
        <v>388</v>
      </c>
      <c r="P1748" t="s">
        <v>249</v>
      </c>
      <c r="Q1748" t="s">
        <v>250</v>
      </c>
      <c r="R1748" t="s">
        <v>251</v>
      </c>
      <c r="T1748" t="s">
        <v>389</v>
      </c>
      <c r="U1748" t="s">
        <v>390</v>
      </c>
      <c r="V1748" t="s">
        <v>567</v>
      </c>
      <c r="W1748" t="s">
        <v>568</v>
      </c>
      <c r="X1748" t="s">
        <v>569</v>
      </c>
      <c r="Z1748" t="s">
        <v>649</v>
      </c>
      <c r="AM1748" t="s">
        <v>287</v>
      </c>
      <c r="AN1748" t="s">
        <v>259</v>
      </c>
      <c r="AO1748" t="s">
        <v>260</v>
      </c>
      <c r="AQ1748" t="s">
        <v>261</v>
      </c>
      <c r="AS1748">
        <v>11500</v>
      </c>
      <c r="AX1748" t="s">
        <v>262</v>
      </c>
      <c r="BO1748" t="s">
        <v>261</v>
      </c>
      <c r="BQ1748">
        <v>11.5</v>
      </c>
      <c r="BV1748" t="s">
        <v>263</v>
      </c>
      <c r="CM1748" t="s">
        <v>264</v>
      </c>
      <c r="CN1748" t="s">
        <v>264</v>
      </c>
      <c r="CP1748" t="s">
        <v>265</v>
      </c>
      <c r="DB1748">
        <v>4</v>
      </c>
      <c r="DG1748" t="s">
        <v>267</v>
      </c>
      <c r="DI1748">
        <v>96</v>
      </c>
      <c r="DN1748" t="s">
        <v>268</v>
      </c>
      <c r="DS1748">
        <v>212</v>
      </c>
      <c r="DT1748" t="s">
        <v>3399</v>
      </c>
      <c r="EW1748" t="s">
        <v>293</v>
      </c>
      <c r="FM1748">
        <v>20</v>
      </c>
      <c r="FR1748" t="s">
        <v>295</v>
      </c>
      <c r="GU1748">
        <v>9</v>
      </c>
      <c r="GZ1748" t="s">
        <v>296</v>
      </c>
      <c r="HH1748" t="s">
        <v>272</v>
      </c>
      <c r="IE1748" t="s">
        <v>3400</v>
      </c>
      <c r="IF1748">
        <v>18307</v>
      </c>
      <c r="IG1748" t="s">
        <v>3401</v>
      </c>
      <c r="IH1748" t="s">
        <v>3402</v>
      </c>
      <c r="II1748">
        <v>1993</v>
      </c>
      <c r="IJ1748" t="s">
        <v>3403</v>
      </c>
    </row>
    <row r="1749" spans="1:244" x14ac:dyDescent="0.45">
      <c r="A1749">
        <v>1141915</v>
      </c>
      <c r="B1749">
        <v>107071</v>
      </c>
      <c r="C1749">
        <v>7778509</v>
      </c>
      <c r="D1749" t="s">
        <v>3280</v>
      </c>
      <c r="F1749" t="s">
        <v>245</v>
      </c>
      <c r="G1749" t="s">
        <v>246</v>
      </c>
      <c r="N1749" t="s">
        <v>2183</v>
      </c>
      <c r="O1749" t="s">
        <v>498</v>
      </c>
      <c r="P1749" t="s">
        <v>249</v>
      </c>
      <c r="Q1749" t="s">
        <v>250</v>
      </c>
      <c r="R1749" t="s">
        <v>251</v>
      </c>
      <c r="T1749" t="s">
        <v>252</v>
      </c>
      <c r="U1749" t="s">
        <v>499</v>
      </c>
      <c r="V1749" t="s">
        <v>1281</v>
      </c>
      <c r="W1749" t="s">
        <v>1282</v>
      </c>
      <c r="X1749" t="s">
        <v>2184</v>
      </c>
      <c r="AM1749" t="s">
        <v>317</v>
      </c>
      <c r="AN1749" t="s">
        <v>259</v>
      </c>
      <c r="AO1749" t="s">
        <v>260</v>
      </c>
      <c r="AQ1749" t="s">
        <v>261</v>
      </c>
      <c r="AS1749">
        <v>29000</v>
      </c>
      <c r="AX1749" t="s">
        <v>262</v>
      </c>
      <c r="BO1749" t="s">
        <v>261</v>
      </c>
      <c r="BQ1749">
        <v>29</v>
      </c>
      <c r="BV1749" t="s">
        <v>263</v>
      </c>
      <c r="CM1749" t="s">
        <v>264</v>
      </c>
      <c r="CN1749" t="s">
        <v>264</v>
      </c>
      <c r="CP1749" t="s">
        <v>265</v>
      </c>
      <c r="CQ1749" t="s">
        <v>538</v>
      </c>
      <c r="DB1749">
        <v>1</v>
      </c>
      <c r="DG1749" t="s">
        <v>267</v>
      </c>
      <c r="DI1749">
        <v>24</v>
      </c>
      <c r="DN1749" t="s">
        <v>268</v>
      </c>
      <c r="DP1749" t="s">
        <v>2185</v>
      </c>
      <c r="DR1749">
        <v>371472</v>
      </c>
      <c r="DS1749">
        <v>1342</v>
      </c>
      <c r="DT1749" t="s">
        <v>3394</v>
      </c>
      <c r="EW1749" t="s">
        <v>271</v>
      </c>
      <c r="FM1749">
        <v>10</v>
      </c>
      <c r="FR1749" t="s">
        <v>295</v>
      </c>
      <c r="GU1749">
        <v>10</v>
      </c>
      <c r="GZ1749" t="s">
        <v>296</v>
      </c>
      <c r="HH1749" t="s">
        <v>272</v>
      </c>
      <c r="IE1749" t="s">
        <v>3395</v>
      </c>
      <c r="IF1749">
        <v>11873</v>
      </c>
      <c r="IG1749" t="s">
        <v>3396</v>
      </c>
      <c r="IH1749" t="s">
        <v>3397</v>
      </c>
      <c r="II1749">
        <v>1984</v>
      </c>
      <c r="IJ1749" t="s">
        <v>3398</v>
      </c>
    </row>
    <row r="1750" spans="1:244" x14ac:dyDescent="0.45">
      <c r="A1750">
        <v>1141763</v>
      </c>
      <c r="B1750">
        <v>105355</v>
      </c>
      <c r="C1750">
        <v>7778509</v>
      </c>
      <c r="D1750" t="s">
        <v>3280</v>
      </c>
      <c r="F1750" t="s">
        <v>245</v>
      </c>
      <c r="G1750" t="s">
        <v>246</v>
      </c>
      <c r="N1750" t="s">
        <v>2183</v>
      </c>
      <c r="O1750" t="s">
        <v>498</v>
      </c>
      <c r="P1750" t="s">
        <v>249</v>
      </c>
      <c r="Q1750" t="s">
        <v>250</v>
      </c>
      <c r="R1750" t="s">
        <v>251</v>
      </c>
      <c r="T1750" t="s">
        <v>252</v>
      </c>
      <c r="U1750" t="s">
        <v>499</v>
      </c>
      <c r="V1750" t="s">
        <v>1281</v>
      </c>
      <c r="W1750" t="s">
        <v>1282</v>
      </c>
      <c r="X1750" t="s">
        <v>2184</v>
      </c>
      <c r="AM1750" t="s">
        <v>317</v>
      </c>
      <c r="AN1750" t="s">
        <v>259</v>
      </c>
      <c r="AO1750" t="s">
        <v>260</v>
      </c>
      <c r="AQ1750" t="s">
        <v>261</v>
      </c>
      <c r="AS1750">
        <v>78000</v>
      </c>
      <c r="AX1750" t="s">
        <v>262</v>
      </c>
      <c r="BO1750" t="s">
        <v>261</v>
      </c>
      <c r="BQ1750">
        <v>78</v>
      </c>
      <c r="BV1750" t="s">
        <v>263</v>
      </c>
      <c r="CM1750" t="s">
        <v>264</v>
      </c>
      <c r="CN1750" t="s">
        <v>264</v>
      </c>
      <c r="CP1750" t="s">
        <v>265</v>
      </c>
      <c r="CQ1750" t="s">
        <v>538</v>
      </c>
      <c r="DB1750">
        <v>1</v>
      </c>
      <c r="DG1750" t="s">
        <v>267</v>
      </c>
      <c r="DI1750">
        <v>24</v>
      </c>
      <c r="DN1750" t="s">
        <v>268</v>
      </c>
      <c r="DP1750" t="s">
        <v>2185</v>
      </c>
      <c r="DR1750">
        <v>371472</v>
      </c>
      <c r="DS1750">
        <v>1342</v>
      </c>
      <c r="DT1750" t="s">
        <v>3394</v>
      </c>
      <c r="EW1750" t="s">
        <v>271</v>
      </c>
      <c r="FM1750">
        <v>5</v>
      </c>
      <c r="FR1750" t="s">
        <v>295</v>
      </c>
      <c r="GU1750">
        <v>15</v>
      </c>
      <c r="GZ1750" t="s">
        <v>296</v>
      </c>
      <c r="HH1750" t="s">
        <v>272</v>
      </c>
      <c r="IE1750" t="s">
        <v>3395</v>
      </c>
      <c r="IF1750">
        <v>11873</v>
      </c>
      <c r="IG1750" t="s">
        <v>3396</v>
      </c>
      <c r="IH1750" t="s">
        <v>3397</v>
      </c>
      <c r="II1750">
        <v>1984</v>
      </c>
      <c r="IJ1750" t="s">
        <v>3398</v>
      </c>
    </row>
    <row r="1751" spans="1:244" x14ac:dyDescent="0.45">
      <c r="A1751">
        <v>1141807</v>
      </c>
      <c r="B1751">
        <v>106963</v>
      </c>
      <c r="C1751">
        <v>7778509</v>
      </c>
      <c r="D1751" t="s">
        <v>3280</v>
      </c>
      <c r="F1751" t="s">
        <v>245</v>
      </c>
      <c r="G1751" t="s">
        <v>246</v>
      </c>
      <c r="N1751" t="s">
        <v>2183</v>
      </c>
      <c r="O1751" t="s">
        <v>498</v>
      </c>
      <c r="P1751" t="s">
        <v>249</v>
      </c>
      <c r="Q1751" t="s">
        <v>250</v>
      </c>
      <c r="R1751" t="s">
        <v>251</v>
      </c>
      <c r="T1751" t="s">
        <v>252</v>
      </c>
      <c r="U1751" t="s">
        <v>499</v>
      </c>
      <c r="V1751" t="s">
        <v>1281</v>
      </c>
      <c r="W1751" t="s">
        <v>1282</v>
      </c>
      <c r="X1751" t="s">
        <v>2184</v>
      </c>
      <c r="AM1751" t="s">
        <v>317</v>
      </c>
      <c r="AN1751" t="s">
        <v>259</v>
      </c>
      <c r="AO1751" t="s">
        <v>260</v>
      </c>
      <c r="AQ1751" t="s">
        <v>261</v>
      </c>
      <c r="AS1751">
        <v>44000</v>
      </c>
      <c r="AX1751" t="s">
        <v>262</v>
      </c>
      <c r="BO1751" t="s">
        <v>261</v>
      </c>
      <c r="BQ1751">
        <v>44</v>
      </c>
      <c r="BV1751" t="s">
        <v>263</v>
      </c>
      <c r="CM1751" t="s">
        <v>264</v>
      </c>
      <c r="CN1751" t="s">
        <v>264</v>
      </c>
      <c r="CP1751" t="s">
        <v>265</v>
      </c>
      <c r="CQ1751" t="s">
        <v>538</v>
      </c>
      <c r="DB1751">
        <v>1</v>
      </c>
      <c r="DG1751" t="s">
        <v>267</v>
      </c>
      <c r="DI1751">
        <v>24</v>
      </c>
      <c r="DN1751" t="s">
        <v>268</v>
      </c>
      <c r="DP1751" t="s">
        <v>2185</v>
      </c>
      <c r="DR1751">
        <v>371472</v>
      </c>
      <c r="DS1751">
        <v>1342</v>
      </c>
      <c r="DT1751" t="s">
        <v>3394</v>
      </c>
      <c r="EW1751" t="s">
        <v>271</v>
      </c>
      <c r="FM1751">
        <v>15</v>
      </c>
      <c r="FR1751" t="s">
        <v>295</v>
      </c>
      <c r="GU1751">
        <v>40</v>
      </c>
      <c r="GZ1751" t="s">
        <v>296</v>
      </c>
      <c r="HH1751" t="s">
        <v>272</v>
      </c>
      <c r="IE1751" t="s">
        <v>3395</v>
      </c>
      <c r="IF1751">
        <v>11873</v>
      </c>
      <c r="IG1751" t="s">
        <v>3396</v>
      </c>
      <c r="IH1751" t="s">
        <v>3397</v>
      </c>
      <c r="II1751">
        <v>1984</v>
      </c>
      <c r="IJ1751" t="s">
        <v>3398</v>
      </c>
    </row>
    <row r="1752" spans="1:244" x14ac:dyDescent="0.45">
      <c r="A1752">
        <v>1159874</v>
      </c>
      <c r="B1752">
        <v>142883</v>
      </c>
      <c r="C1752">
        <v>7778509</v>
      </c>
      <c r="D1752" t="s">
        <v>3280</v>
      </c>
      <c r="E1752" t="s">
        <v>622</v>
      </c>
      <c r="F1752" t="s">
        <v>327</v>
      </c>
      <c r="G1752" t="s">
        <v>246</v>
      </c>
      <c r="N1752" t="s">
        <v>623</v>
      </c>
      <c r="O1752" t="s">
        <v>388</v>
      </c>
      <c r="P1752" t="s">
        <v>249</v>
      </c>
      <c r="Q1752" t="s">
        <v>250</v>
      </c>
      <c r="R1752" t="s">
        <v>251</v>
      </c>
      <c r="T1752" t="s">
        <v>389</v>
      </c>
      <c r="U1752" t="s">
        <v>390</v>
      </c>
      <c r="V1752" t="s">
        <v>472</v>
      </c>
      <c r="W1752" t="s">
        <v>473</v>
      </c>
      <c r="X1752" t="s">
        <v>624</v>
      </c>
      <c r="Z1752" t="s">
        <v>525</v>
      </c>
      <c r="AM1752" t="s">
        <v>258</v>
      </c>
      <c r="AN1752" t="s">
        <v>259</v>
      </c>
      <c r="AO1752" t="s">
        <v>260</v>
      </c>
      <c r="AQ1752" t="s">
        <v>261</v>
      </c>
      <c r="AS1752">
        <v>1600</v>
      </c>
      <c r="AX1752" t="s">
        <v>262</v>
      </c>
      <c r="BO1752" t="s">
        <v>261</v>
      </c>
      <c r="BQ1752">
        <v>1.6</v>
      </c>
      <c r="BV1752" t="s">
        <v>263</v>
      </c>
      <c r="CM1752" t="s">
        <v>264</v>
      </c>
      <c r="CN1752" t="s">
        <v>264</v>
      </c>
      <c r="CP1752" t="s">
        <v>265</v>
      </c>
      <c r="CQ1752" t="s">
        <v>538</v>
      </c>
      <c r="DB1752">
        <v>4</v>
      </c>
      <c r="DG1752" t="s">
        <v>267</v>
      </c>
      <c r="DI1752">
        <v>96</v>
      </c>
      <c r="DN1752" t="s">
        <v>268</v>
      </c>
      <c r="DS1752">
        <v>4676</v>
      </c>
      <c r="DT1752" t="s">
        <v>625</v>
      </c>
      <c r="EW1752" t="s">
        <v>376</v>
      </c>
      <c r="FO1752">
        <v>20</v>
      </c>
      <c r="FQ1752">
        <v>21</v>
      </c>
      <c r="FR1752" t="s">
        <v>295</v>
      </c>
      <c r="GJ1752">
        <v>7</v>
      </c>
      <c r="GL1752">
        <v>7.9</v>
      </c>
      <c r="GM1752" t="s">
        <v>356</v>
      </c>
      <c r="GQ1752">
        <v>7.7</v>
      </c>
      <c r="GS1752">
        <v>8.14</v>
      </c>
      <c r="GW1752">
        <v>34.5</v>
      </c>
      <c r="GY1752">
        <v>35.01</v>
      </c>
      <c r="GZ1752" t="s">
        <v>296</v>
      </c>
      <c r="HH1752" t="s">
        <v>272</v>
      </c>
      <c r="IE1752" t="s">
        <v>626</v>
      </c>
      <c r="IF1752">
        <v>14137</v>
      </c>
      <c r="IG1752" t="s">
        <v>627</v>
      </c>
      <c r="IH1752" t="s">
        <v>628</v>
      </c>
      <c r="II1752">
        <v>1994</v>
      </c>
      <c r="IJ1752" t="s">
        <v>629</v>
      </c>
    </row>
    <row r="1753" spans="1:244" x14ac:dyDescent="0.45">
      <c r="A1753">
        <v>1141920</v>
      </c>
      <c r="B1753">
        <v>107076</v>
      </c>
      <c r="C1753">
        <v>7778509</v>
      </c>
      <c r="D1753" t="s">
        <v>3280</v>
      </c>
      <c r="F1753" t="s">
        <v>245</v>
      </c>
      <c r="G1753" t="s">
        <v>246</v>
      </c>
      <c r="N1753" t="s">
        <v>2183</v>
      </c>
      <c r="O1753" t="s">
        <v>498</v>
      </c>
      <c r="P1753" t="s">
        <v>249</v>
      </c>
      <c r="Q1753" t="s">
        <v>250</v>
      </c>
      <c r="R1753" t="s">
        <v>251</v>
      </c>
      <c r="T1753" t="s">
        <v>252</v>
      </c>
      <c r="U1753" t="s">
        <v>499</v>
      </c>
      <c r="V1753" t="s">
        <v>1281</v>
      </c>
      <c r="W1753" t="s">
        <v>1282</v>
      </c>
      <c r="X1753" t="s">
        <v>2184</v>
      </c>
      <c r="AM1753" t="s">
        <v>317</v>
      </c>
      <c r="AN1753" t="s">
        <v>259</v>
      </c>
      <c r="AO1753" t="s">
        <v>260</v>
      </c>
      <c r="AQ1753" t="s">
        <v>261</v>
      </c>
      <c r="AS1753">
        <v>27000</v>
      </c>
      <c r="AX1753" t="s">
        <v>262</v>
      </c>
      <c r="BO1753" t="s">
        <v>261</v>
      </c>
      <c r="BQ1753">
        <v>27</v>
      </c>
      <c r="BV1753" t="s">
        <v>263</v>
      </c>
      <c r="CM1753" t="s">
        <v>264</v>
      </c>
      <c r="CN1753" t="s">
        <v>264</v>
      </c>
      <c r="CP1753" t="s">
        <v>265</v>
      </c>
      <c r="CQ1753" t="s">
        <v>538</v>
      </c>
      <c r="DB1753">
        <v>2</v>
      </c>
      <c r="DG1753" t="s">
        <v>267</v>
      </c>
      <c r="DI1753">
        <v>48</v>
      </c>
      <c r="DN1753" t="s">
        <v>268</v>
      </c>
      <c r="DP1753" t="s">
        <v>2185</v>
      </c>
      <c r="DR1753">
        <v>371472</v>
      </c>
      <c r="DS1753">
        <v>1342</v>
      </c>
      <c r="DT1753" t="s">
        <v>3394</v>
      </c>
      <c r="EW1753" t="s">
        <v>271</v>
      </c>
      <c r="FM1753">
        <v>10</v>
      </c>
      <c r="FR1753" t="s">
        <v>295</v>
      </c>
      <c r="GU1753">
        <v>15</v>
      </c>
      <c r="GZ1753" t="s">
        <v>296</v>
      </c>
      <c r="HH1753" t="s">
        <v>272</v>
      </c>
      <c r="IE1753" t="s">
        <v>3395</v>
      </c>
      <c r="IF1753">
        <v>11873</v>
      </c>
      <c r="IG1753" t="s">
        <v>3396</v>
      </c>
      <c r="IH1753" t="s">
        <v>3397</v>
      </c>
      <c r="II1753">
        <v>1984</v>
      </c>
      <c r="IJ1753" t="s">
        <v>3398</v>
      </c>
    </row>
    <row r="1754" spans="1:244" x14ac:dyDescent="0.45">
      <c r="A1754">
        <v>1141821</v>
      </c>
      <c r="B1754">
        <v>106977</v>
      </c>
      <c r="C1754">
        <v>7778509</v>
      </c>
      <c r="D1754" t="s">
        <v>3280</v>
      </c>
      <c r="F1754" t="s">
        <v>245</v>
      </c>
      <c r="G1754" t="s">
        <v>246</v>
      </c>
      <c r="N1754" t="s">
        <v>2183</v>
      </c>
      <c r="O1754" t="s">
        <v>498</v>
      </c>
      <c r="P1754" t="s">
        <v>249</v>
      </c>
      <c r="Q1754" t="s">
        <v>250</v>
      </c>
      <c r="R1754" t="s">
        <v>251</v>
      </c>
      <c r="T1754" t="s">
        <v>252</v>
      </c>
      <c r="U1754" t="s">
        <v>499</v>
      </c>
      <c r="V1754" t="s">
        <v>1281</v>
      </c>
      <c r="W1754" t="s">
        <v>1282</v>
      </c>
      <c r="X1754" t="s">
        <v>2184</v>
      </c>
      <c r="AM1754" t="s">
        <v>317</v>
      </c>
      <c r="AN1754" t="s">
        <v>259</v>
      </c>
      <c r="AO1754" t="s">
        <v>260</v>
      </c>
      <c r="AQ1754" t="s">
        <v>261</v>
      </c>
      <c r="AS1754">
        <v>2200</v>
      </c>
      <c r="AX1754" t="s">
        <v>262</v>
      </c>
      <c r="BO1754" t="s">
        <v>261</v>
      </c>
      <c r="BQ1754">
        <v>2.2000000000000002</v>
      </c>
      <c r="BV1754" t="s">
        <v>263</v>
      </c>
      <c r="CM1754" t="s">
        <v>264</v>
      </c>
      <c r="CN1754" t="s">
        <v>264</v>
      </c>
      <c r="CP1754" t="s">
        <v>265</v>
      </c>
      <c r="CQ1754" t="s">
        <v>538</v>
      </c>
      <c r="DB1754">
        <v>4</v>
      </c>
      <c r="DG1754" t="s">
        <v>267</v>
      </c>
      <c r="DI1754">
        <v>96</v>
      </c>
      <c r="DN1754" t="s">
        <v>268</v>
      </c>
      <c r="DP1754" t="s">
        <v>2185</v>
      </c>
      <c r="DR1754">
        <v>371472</v>
      </c>
      <c r="DS1754">
        <v>1342</v>
      </c>
      <c r="DT1754" t="s">
        <v>3394</v>
      </c>
      <c r="EW1754" t="s">
        <v>271</v>
      </c>
      <c r="FM1754">
        <v>15</v>
      </c>
      <c r="FR1754" t="s">
        <v>295</v>
      </c>
      <c r="GU1754">
        <v>40</v>
      </c>
      <c r="GZ1754" t="s">
        <v>296</v>
      </c>
      <c r="HH1754" t="s">
        <v>272</v>
      </c>
      <c r="IE1754" t="s">
        <v>3395</v>
      </c>
      <c r="IF1754">
        <v>11873</v>
      </c>
      <c r="IG1754" t="s">
        <v>3396</v>
      </c>
      <c r="IH1754" t="s">
        <v>3397</v>
      </c>
      <c r="II1754">
        <v>1984</v>
      </c>
      <c r="IJ1754" t="s">
        <v>3398</v>
      </c>
    </row>
    <row r="1755" spans="1:244" x14ac:dyDescent="0.45">
      <c r="A1755">
        <v>1141773</v>
      </c>
      <c r="B1755">
        <v>105370</v>
      </c>
      <c r="C1755">
        <v>7778509</v>
      </c>
      <c r="D1755" t="s">
        <v>3280</v>
      </c>
      <c r="F1755" t="s">
        <v>245</v>
      </c>
      <c r="G1755" t="s">
        <v>246</v>
      </c>
      <c r="N1755" t="s">
        <v>2183</v>
      </c>
      <c r="O1755" t="s">
        <v>498</v>
      </c>
      <c r="P1755" t="s">
        <v>249</v>
      </c>
      <c r="Q1755" t="s">
        <v>250</v>
      </c>
      <c r="R1755" t="s">
        <v>251</v>
      </c>
      <c r="T1755" t="s">
        <v>252</v>
      </c>
      <c r="U1755" t="s">
        <v>499</v>
      </c>
      <c r="V1755" t="s">
        <v>1281</v>
      </c>
      <c r="W1755" t="s">
        <v>1282</v>
      </c>
      <c r="X1755" t="s">
        <v>2184</v>
      </c>
      <c r="AM1755" t="s">
        <v>317</v>
      </c>
      <c r="AN1755" t="s">
        <v>259</v>
      </c>
      <c r="AO1755" t="s">
        <v>260</v>
      </c>
      <c r="AQ1755" t="s">
        <v>261</v>
      </c>
      <c r="AS1755">
        <v>100000</v>
      </c>
      <c r="AX1755" t="s">
        <v>262</v>
      </c>
      <c r="BO1755" t="s">
        <v>261</v>
      </c>
      <c r="BQ1755">
        <v>100</v>
      </c>
      <c r="BV1755" t="s">
        <v>263</v>
      </c>
      <c r="CM1755" t="s">
        <v>264</v>
      </c>
      <c r="CN1755" t="s">
        <v>264</v>
      </c>
      <c r="CP1755" t="s">
        <v>265</v>
      </c>
      <c r="CQ1755" t="s">
        <v>538</v>
      </c>
      <c r="DB1755">
        <v>2</v>
      </c>
      <c r="DG1755" t="s">
        <v>267</v>
      </c>
      <c r="DI1755">
        <v>48</v>
      </c>
      <c r="DN1755" t="s">
        <v>268</v>
      </c>
      <c r="DP1755" t="s">
        <v>2185</v>
      </c>
      <c r="DR1755">
        <v>371472</v>
      </c>
      <c r="DS1755">
        <v>1342</v>
      </c>
      <c r="DT1755" t="s">
        <v>3394</v>
      </c>
      <c r="EW1755" t="s">
        <v>271</v>
      </c>
      <c r="FM1755">
        <v>5</v>
      </c>
      <c r="FR1755" t="s">
        <v>295</v>
      </c>
      <c r="GU1755">
        <v>40</v>
      </c>
      <c r="GZ1755" t="s">
        <v>296</v>
      </c>
      <c r="HH1755" t="s">
        <v>272</v>
      </c>
      <c r="IE1755" t="s">
        <v>3395</v>
      </c>
      <c r="IF1755">
        <v>11873</v>
      </c>
      <c r="IG1755" t="s">
        <v>3396</v>
      </c>
      <c r="IH1755" t="s">
        <v>3397</v>
      </c>
      <c r="II1755">
        <v>1984</v>
      </c>
      <c r="IJ1755" t="s">
        <v>3398</v>
      </c>
    </row>
    <row r="1756" spans="1:244" x14ac:dyDescent="0.45">
      <c r="A1756">
        <v>1068390</v>
      </c>
      <c r="B1756">
        <v>1653</v>
      </c>
      <c r="C1756">
        <v>7778509</v>
      </c>
      <c r="D1756" t="s">
        <v>3280</v>
      </c>
      <c r="F1756" t="s">
        <v>245</v>
      </c>
      <c r="G1756" t="s">
        <v>246</v>
      </c>
      <c r="N1756" t="s">
        <v>1564</v>
      </c>
      <c r="O1756" t="s">
        <v>1565</v>
      </c>
      <c r="P1756" t="s">
        <v>249</v>
      </c>
      <c r="Q1756" t="s">
        <v>250</v>
      </c>
      <c r="R1756" t="s">
        <v>251</v>
      </c>
      <c r="T1756" t="s">
        <v>252</v>
      </c>
      <c r="U1756" t="s">
        <v>253</v>
      </c>
      <c r="V1756" t="s">
        <v>254</v>
      </c>
      <c r="W1756" t="s">
        <v>1566</v>
      </c>
      <c r="X1756" t="s">
        <v>1567</v>
      </c>
      <c r="Z1756" t="s">
        <v>649</v>
      </c>
      <c r="AL1756" t="s">
        <v>3409</v>
      </c>
      <c r="AM1756" t="s">
        <v>317</v>
      </c>
      <c r="AN1756" t="s">
        <v>259</v>
      </c>
      <c r="AO1756" t="s">
        <v>260</v>
      </c>
      <c r="AQ1756" t="s">
        <v>261</v>
      </c>
      <c r="AS1756">
        <v>98000</v>
      </c>
      <c r="AU1756">
        <v>90000</v>
      </c>
      <c r="AW1756">
        <v>108000</v>
      </c>
      <c r="AX1756" t="s">
        <v>262</v>
      </c>
      <c r="BO1756" t="s">
        <v>261</v>
      </c>
      <c r="BQ1756">
        <v>98</v>
      </c>
      <c r="BS1756">
        <v>90</v>
      </c>
      <c r="BU1756">
        <v>108</v>
      </c>
      <c r="BV1756" t="s">
        <v>263</v>
      </c>
      <c r="CM1756" t="s">
        <v>264</v>
      </c>
      <c r="CN1756" t="s">
        <v>264</v>
      </c>
      <c r="CP1756" t="s">
        <v>265</v>
      </c>
      <c r="CQ1756" t="s">
        <v>538</v>
      </c>
      <c r="DB1756">
        <v>3</v>
      </c>
      <c r="DG1756" t="s">
        <v>267</v>
      </c>
      <c r="DI1756">
        <v>72</v>
      </c>
      <c r="DN1756" t="s">
        <v>268</v>
      </c>
      <c r="DP1756" t="s">
        <v>570</v>
      </c>
      <c r="DR1756">
        <v>6763</v>
      </c>
      <c r="DS1756">
        <v>76</v>
      </c>
      <c r="DT1756" t="s">
        <v>3410</v>
      </c>
      <c r="EW1756" t="s">
        <v>271</v>
      </c>
      <c r="FO1756">
        <v>20</v>
      </c>
      <c r="FQ1756">
        <v>22</v>
      </c>
      <c r="FR1756" t="s">
        <v>295</v>
      </c>
      <c r="GQ1756">
        <v>6.5</v>
      </c>
      <c r="GS1756">
        <v>7.9</v>
      </c>
      <c r="GU1756">
        <v>15</v>
      </c>
      <c r="GZ1756" t="s">
        <v>296</v>
      </c>
      <c r="HH1756" t="s">
        <v>272</v>
      </c>
      <c r="IE1756" t="s">
        <v>3411</v>
      </c>
      <c r="IF1756">
        <v>5384</v>
      </c>
      <c r="IG1756" t="s">
        <v>3412</v>
      </c>
      <c r="IH1756" t="s">
        <v>3413</v>
      </c>
      <c r="II1756">
        <v>1979</v>
      </c>
      <c r="IJ1756" t="s">
        <v>3414</v>
      </c>
    </row>
    <row r="1757" spans="1:244" x14ac:dyDescent="0.45">
      <c r="A1757">
        <v>1141800</v>
      </c>
      <c r="B1757">
        <v>106956</v>
      </c>
      <c r="C1757">
        <v>7778509</v>
      </c>
      <c r="D1757" t="s">
        <v>3280</v>
      </c>
      <c r="F1757" t="s">
        <v>245</v>
      </c>
      <c r="G1757" t="s">
        <v>246</v>
      </c>
      <c r="N1757" t="s">
        <v>2183</v>
      </c>
      <c r="O1757" t="s">
        <v>498</v>
      </c>
      <c r="P1757" t="s">
        <v>249</v>
      </c>
      <c r="Q1757" t="s">
        <v>250</v>
      </c>
      <c r="R1757" t="s">
        <v>251</v>
      </c>
      <c r="T1757" t="s">
        <v>252</v>
      </c>
      <c r="U1757" t="s">
        <v>499</v>
      </c>
      <c r="V1757" t="s">
        <v>1281</v>
      </c>
      <c r="W1757" t="s">
        <v>1282</v>
      </c>
      <c r="X1757" t="s">
        <v>2184</v>
      </c>
      <c r="AM1757" t="s">
        <v>317</v>
      </c>
      <c r="AN1757" t="s">
        <v>259</v>
      </c>
      <c r="AO1757" t="s">
        <v>260</v>
      </c>
      <c r="AQ1757" t="s">
        <v>261</v>
      </c>
      <c r="AS1757">
        <v>6000</v>
      </c>
      <c r="AX1757" t="s">
        <v>262</v>
      </c>
      <c r="BO1757" t="s">
        <v>261</v>
      </c>
      <c r="BQ1757">
        <v>6</v>
      </c>
      <c r="BV1757" t="s">
        <v>263</v>
      </c>
      <c r="CM1757" t="s">
        <v>264</v>
      </c>
      <c r="CN1757" t="s">
        <v>264</v>
      </c>
      <c r="CP1757" t="s">
        <v>265</v>
      </c>
      <c r="CQ1757" t="s">
        <v>538</v>
      </c>
      <c r="DB1757">
        <v>1</v>
      </c>
      <c r="DG1757" t="s">
        <v>267</v>
      </c>
      <c r="DI1757">
        <v>24</v>
      </c>
      <c r="DN1757" t="s">
        <v>268</v>
      </c>
      <c r="DP1757" t="s">
        <v>2185</v>
      </c>
      <c r="DR1757">
        <v>371472</v>
      </c>
      <c r="DS1757">
        <v>1342</v>
      </c>
      <c r="DT1757" t="s">
        <v>3394</v>
      </c>
      <c r="EW1757" t="s">
        <v>271</v>
      </c>
      <c r="FM1757">
        <v>15</v>
      </c>
      <c r="FR1757" t="s">
        <v>295</v>
      </c>
      <c r="GU1757">
        <v>5</v>
      </c>
      <c r="GZ1757" t="s">
        <v>296</v>
      </c>
      <c r="HH1757" t="s">
        <v>272</v>
      </c>
      <c r="IE1757" t="s">
        <v>3395</v>
      </c>
      <c r="IF1757">
        <v>11873</v>
      </c>
      <c r="IG1757" t="s">
        <v>3396</v>
      </c>
      <c r="IH1757" t="s">
        <v>3397</v>
      </c>
      <c r="II1757">
        <v>1984</v>
      </c>
      <c r="IJ1757" t="s">
        <v>3398</v>
      </c>
    </row>
    <row r="1758" spans="1:244" x14ac:dyDescent="0.45">
      <c r="A1758">
        <v>1141765</v>
      </c>
      <c r="B1758">
        <v>105357</v>
      </c>
      <c r="C1758">
        <v>7778509</v>
      </c>
      <c r="D1758" t="s">
        <v>3280</v>
      </c>
      <c r="F1758" t="s">
        <v>245</v>
      </c>
      <c r="G1758" t="s">
        <v>246</v>
      </c>
      <c r="N1758" t="s">
        <v>2183</v>
      </c>
      <c r="O1758" t="s">
        <v>498</v>
      </c>
      <c r="P1758" t="s">
        <v>249</v>
      </c>
      <c r="Q1758" t="s">
        <v>250</v>
      </c>
      <c r="R1758" t="s">
        <v>251</v>
      </c>
      <c r="T1758" t="s">
        <v>252</v>
      </c>
      <c r="U1758" t="s">
        <v>499</v>
      </c>
      <c r="V1758" t="s">
        <v>1281</v>
      </c>
      <c r="W1758" t="s">
        <v>1282</v>
      </c>
      <c r="X1758" t="s">
        <v>2184</v>
      </c>
      <c r="AM1758" t="s">
        <v>317</v>
      </c>
      <c r="AN1758" t="s">
        <v>259</v>
      </c>
      <c r="AO1758" t="s">
        <v>260</v>
      </c>
      <c r="AQ1758" t="s">
        <v>261</v>
      </c>
      <c r="AS1758">
        <v>190000</v>
      </c>
      <c r="AX1758" t="s">
        <v>262</v>
      </c>
      <c r="BO1758" t="s">
        <v>261</v>
      </c>
      <c r="BQ1758">
        <v>190</v>
      </c>
      <c r="BV1758" t="s">
        <v>263</v>
      </c>
      <c r="CM1758" t="s">
        <v>264</v>
      </c>
      <c r="CN1758" t="s">
        <v>264</v>
      </c>
      <c r="CP1758" t="s">
        <v>265</v>
      </c>
      <c r="CQ1758" t="s">
        <v>538</v>
      </c>
      <c r="DB1758">
        <v>1</v>
      </c>
      <c r="DG1758" t="s">
        <v>267</v>
      </c>
      <c r="DI1758">
        <v>24</v>
      </c>
      <c r="DN1758" t="s">
        <v>268</v>
      </c>
      <c r="DP1758" t="s">
        <v>2185</v>
      </c>
      <c r="DR1758">
        <v>371472</v>
      </c>
      <c r="DS1758">
        <v>1342</v>
      </c>
      <c r="DT1758" t="s">
        <v>3394</v>
      </c>
      <c r="EW1758" t="s">
        <v>271</v>
      </c>
      <c r="FM1758">
        <v>5</v>
      </c>
      <c r="FR1758" t="s">
        <v>295</v>
      </c>
      <c r="GU1758">
        <v>25</v>
      </c>
      <c r="GZ1758" t="s">
        <v>296</v>
      </c>
      <c r="HH1758" t="s">
        <v>272</v>
      </c>
      <c r="IE1758" t="s">
        <v>3395</v>
      </c>
      <c r="IF1758">
        <v>11873</v>
      </c>
      <c r="IG1758" t="s">
        <v>3396</v>
      </c>
      <c r="IH1758" t="s">
        <v>3397</v>
      </c>
      <c r="II1758">
        <v>1984</v>
      </c>
      <c r="IJ1758" t="s">
        <v>3398</v>
      </c>
    </row>
    <row r="1759" spans="1:244" x14ac:dyDescent="0.45">
      <c r="A1759">
        <v>1201106</v>
      </c>
      <c r="B1759">
        <v>160569</v>
      </c>
      <c r="C1759">
        <v>7778509</v>
      </c>
      <c r="D1759" t="s">
        <v>3280</v>
      </c>
      <c r="F1759" t="s">
        <v>245</v>
      </c>
      <c r="G1759" t="s">
        <v>246</v>
      </c>
      <c r="N1759" t="s">
        <v>566</v>
      </c>
      <c r="O1759" t="s">
        <v>388</v>
      </c>
      <c r="P1759" t="s">
        <v>249</v>
      </c>
      <c r="Q1759" t="s">
        <v>250</v>
      </c>
      <c r="R1759" t="s">
        <v>251</v>
      </c>
      <c r="T1759" t="s">
        <v>389</v>
      </c>
      <c r="U1759" t="s">
        <v>390</v>
      </c>
      <c r="V1759" t="s">
        <v>567</v>
      </c>
      <c r="W1759" t="s">
        <v>568</v>
      </c>
      <c r="X1759" t="s">
        <v>569</v>
      </c>
      <c r="Z1759" t="s">
        <v>649</v>
      </c>
      <c r="AM1759" t="s">
        <v>287</v>
      </c>
      <c r="AN1759" t="s">
        <v>259</v>
      </c>
      <c r="AO1759" t="s">
        <v>260</v>
      </c>
      <c r="AQ1759" t="s">
        <v>261</v>
      </c>
      <c r="AS1759">
        <v>21000</v>
      </c>
      <c r="AU1759">
        <v>14000</v>
      </c>
      <c r="AW1759">
        <v>31000</v>
      </c>
      <c r="AX1759" t="s">
        <v>262</v>
      </c>
      <c r="BO1759" t="s">
        <v>261</v>
      </c>
      <c r="BQ1759">
        <v>21</v>
      </c>
      <c r="BS1759">
        <v>14</v>
      </c>
      <c r="BU1759">
        <v>31</v>
      </c>
      <c r="BV1759" t="s">
        <v>263</v>
      </c>
      <c r="CM1759" t="s">
        <v>264</v>
      </c>
      <c r="CN1759" t="s">
        <v>264</v>
      </c>
      <c r="CP1759" t="s">
        <v>265</v>
      </c>
      <c r="DB1759">
        <v>2</v>
      </c>
      <c r="DG1759" t="s">
        <v>267</v>
      </c>
      <c r="DI1759">
        <v>48</v>
      </c>
      <c r="DN1759" t="s">
        <v>268</v>
      </c>
      <c r="DS1759">
        <v>212</v>
      </c>
      <c r="DT1759" t="s">
        <v>3399</v>
      </c>
      <c r="EW1759" t="s">
        <v>293</v>
      </c>
      <c r="FM1759">
        <v>20</v>
      </c>
      <c r="FR1759" t="s">
        <v>295</v>
      </c>
      <c r="GU1759">
        <v>6.8</v>
      </c>
      <c r="GZ1759" t="s">
        <v>296</v>
      </c>
      <c r="HH1759" t="s">
        <v>272</v>
      </c>
      <c r="IE1759" t="s">
        <v>3400</v>
      </c>
      <c r="IF1759">
        <v>18307</v>
      </c>
      <c r="IG1759" t="s">
        <v>3401</v>
      </c>
      <c r="IH1759" t="s">
        <v>3402</v>
      </c>
      <c r="II1759">
        <v>1993</v>
      </c>
      <c r="IJ1759" t="s">
        <v>3403</v>
      </c>
    </row>
    <row r="1760" spans="1:244" x14ac:dyDescent="0.45">
      <c r="A1760">
        <v>1141919</v>
      </c>
      <c r="B1760">
        <v>107075</v>
      </c>
      <c r="C1760">
        <v>7778509</v>
      </c>
      <c r="D1760" t="s">
        <v>3280</v>
      </c>
      <c r="F1760" t="s">
        <v>245</v>
      </c>
      <c r="G1760" t="s">
        <v>246</v>
      </c>
      <c r="N1760" t="s">
        <v>2183</v>
      </c>
      <c r="O1760" t="s">
        <v>498</v>
      </c>
      <c r="P1760" t="s">
        <v>249</v>
      </c>
      <c r="Q1760" t="s">
        <v>250</v>
      </c>
      <c r="R1760" t="s">
        <v>251</v>
      </c>
      <c r="T1760" t="s">
        <v>252</v>
      </c>
      <c r="U1760" t="s">
        <v>499</v>
      </c>
      <c r="V1760" t="s">
        <v>1281</v>
      </c>
      <c r="W1760" t="s">
        <v>1282</v>
      </c>
      <c r="X1760" t="s">
        <v>2184</v>
      </c>
      <c r="AM1760" t="s">
        <v>317</v>
      </c>
      <c r="AN1760" t="s">
        <v>259</v>
      </c>
      <c r="AO1760" t="s">
        <v>260</v>
      </c>
      <c r="AQ1760" t="s">
        <v>261</v>
      </c>
      <c r="AS1760">
        <v>13000</v>
      </c>
      <c r="AX1760" t="s">
        <v>262</v>
      </c>
      <c r="BO1760" t="s">
        <v>261</v>
      </c>
      <c r="BQ1760">
        <v>13</v>
      </c>
      <c r="BV1760" t="s">
        <v>263</v>
      </c>
      <c r="CM1760" t="s">
        <v>264</v>
      </c>
      <c r="CN1760" t="s">
        <v>264</v>
      </c>
      <c r="CP1760" t="s">
        <v>265</v>
      </c>
      <c r="CQ1760" t="s">
        <v>538</v>
      </c>
      <c r="DB1760">
        <v>2</v>
      </c>
      <c r="DG1760" t="s">
        <v>267</v>
      </c>
      <c r="DI1760">
        <v>48</v>
      </c>
      <c r="DN1760" t="s">
        <v>268</v>
      </c>
      <c r="DP1760" t="s">
        <v>2185</v>
      </c>
      <c r="DR1760">
        <v>371472</v>
      </c>
      <c r="DS1760">
        <v>1342</v>
      </c>
      <c r="DT1760" t="s">
        <v>3394</v>
      </c>
      <c r="EW1760" t="s">
        <v>271</v>
      </c>
      <c r="FM1760">
        <v>10</v>
      </c>
      <c r="FR1760" t="s">
        <v>295</v>
      </c>
      <c r="GU1760">
        <v>10</v>
      </c>
      <c r="GZ1760" t="s">
        <v>296</v>
      </c>
      <c r="HH1760" t="s">
        <v>272</v>
      </c>
      <c r="IE1760" t="s">
        <v>3395</v>
      </c>
      <c r="IF1760">
        <v>11873</v>
      </c>
      <c r="IG1760" t="s">
        <v>3396</v>
      </c>
      <c r="IH1760" t="s">
        <v>3397</v>
      </c>
      <c r="II1760">
        <v>1984</v>
      </c>
      <c r="IJ1760" t="s">
        <v>3398</v>
      </c>
    </row>
    <row r="1761" spans="1:244" x14ac:dyDescent="0.45">
      <c r="A1761">
        <v>1201112</v>
      </c>
      <c r="B1761">
        <v>160575</v>
      </c>
      <c r="C1761">
        <v>7778509</v>
      </c>
      <c r="D1761" t="s">
        <v>3280</v>
      </c>
      <c r="F1761" t="s">
        <v>245</v>
      </c>
      <c r="G1761" t="s">
        <v>246</v>
      </c>
      <c r="N1761" t="s">
        <v>566</v>
      </c>
      <c r="O1761" t="s">
        <v>388</v>
      </c>
      <c r="P1761" t="s">
        <v>249</v>
      </c>
      <c r="Q1761" t="s">
        <v>250</v>
      </c>
      <c r="R1761" t="s">
        <v>251</v>
      </c>
      <c r="T1761" t="s">
        <v>389</v>
      </c>
      <c r="U1761" t="s">
        <v>390</v>
      </c>
      <c r="V1761" t="s">
        <v>567</v>
      </c>
      <c r="W1761" t="s">
        <v>568</v>
      </c>
      <c r="X1761" t="s">
        <v>569</v>
      </c>
      <c r="Z1761" t="s">
        <v>649</v>
      </c>
      <c r="AM1761" t="s">
        <v>287</v>
      </c>
      <c r="AN1761" t="s">
        <v>259</v>
      </c>
      <c r="AO1761" t="s">
        <v>260</v>
      </c>
      <c r="AQ1761" t="s">
        <v>261</v>
      </c>
      <c r="AS1761">
        <v>29000</v>
      </c>
      <c r="AU1761">
        <v>22000</v>
      </c>
      <c r="AW1761">
        <v>41000</v>
      </c>
      <c r="AX1761" t="s">
        <v>262</v>
      </c>
      <c r="BO1761" t="s">
        <v>261</v>
      </c>
      <c r="BQ1761">
        <v>29</v>
      </c>
      <c r="BS1761">
        <v>22</v>
      </c>
      <c r="BU1761">
        <v>41</v>
      </c>
      <c r="BV1761" t="s">
        <v>263</v>
      </c>
      <c r="CM1761" t="s">
        <v>264</v>
      </c>
      <c r="CN1761" t="s">
        <v>264</v>
      </c>
      <c r="CP1761" t="s">
        <v>265</v>
      </c>
      <c r="DB1761">
        <v>4</v>
      </c>
      <c r="DG1761" t="s">
        <v>267</v>
      </c>
      <c r="DI1761">
        <v>96</v>
      </c>
      <c r="DN1761" t="s">
        <v>268</v>
      </c>
      <c r="DS1761">
        <v>212</v>
      </c>
      <c r="DT1761" t="s">
        <v>3399</v>
      </c>
      <c r="EW1761" t="s">
        <v>293</v>
      </c>
      <c r="FM1761">
        <v>20</v>
      </c>
      <c r="FR1761" t="s">
        <v>295</v>
      </c>
      <c r="GU1761">
        <v>13.5</v>
      </c>
      <c r="GZ1761" t="s">
        <v>296</v>
      </c>
      <c r="HH1761" t="s">
        <v>272</v>
      </c>
      <c r="IE1761" t="s">
        <v>3400</v>
      </c>
      <c r="IF1761">
        <v>18307</v>
      </c>
      <c r="IG1761" t="s">
        <v>3401</v>
      </c>
      <c r="IH1761" t="s">
        <v>3402</v>
      </c>
      <c r="II1761">
        <v>1993</v>
      </c>
      <c r="IJ1761" t="s">
        <v>3403</v>
      </c>
    </row>
    <row r="1762" spans="1:244" x14ac:dyDescent="0.45">
      <c r="A1762">
        <v>1141815</v>
      </c>
      <c r="B1762">
        <v>106971</v>
      </c>
      <c r="C1762">
        <v>7778509</v>
      </c>
      <c r="D1762" t="s">
        <v>3280</v>
      </c>
      <c r="F1762" t="s">
        <v>245</v>
      </c>
      <c r="G1762" t="s">
        <v>246</v>
      </c>
      <c r="N1762" t="s">
        <v>2183</v>
      </c>
      <c r="O1762" t="s">
        <v>498</v>
      </c>
      <c r="P1762" t="s">
        <v>249</v>
      </c>
      <c r="Q1762" t="s">
        <v>250</v>
      </c>
      <c r="R1762" t="s">
        <v>251</v>
      </c>
      <c r="T1762" t="s">
        <v>252</v>
      </c>
      <c r="U1762" t="s">
        <v>499</v>
      </c>
      <c r="V1762" t="s">
        <v>1281</v>
      </c>
      <c r="W1762" t="s">
        <v>1282</v>
      </c>
      <c r="X1762" t="s">
        <v>2184</v>
      </c>
      <c r="AM1762" t="s">
        <v>317</v>
      </c>
      <c r="AN1762" t="s">
        <v>259</v>
      </c>
      <c r="AO1762" t="s">
        <v>260</v>
      </c>
      <c r="AQ1762" t="s">
        <v>261</v>
      </c>
      <c r="AS1762">
        <v>9500</v>
      </c>
      <c r="AX1762" t="s">
        <v>262</v>
      </c>
      <c r="BO1762" t="s">
        <v>261</v>
      </c>
      <c r="BQ1762">
        <v>9.5</v>
      </c>
      <c r="BV1762" t="s">
        <v>263</v>
      </c>
      <c r="CM1762" t="s">
        <v>264</v>
      </c>
      <c r="CN1762" t="s">
        <v>264</v>
      </c>
      <c r="CP1762" t="s">
        <v>265</v>
      </c>
      <c r="CQ1762" t="s">
        <v>538</v>
      </c>
      <c r="DB1762">
        <v>2</v>
      </c>
      <c r="DG1762" t="s">
        <v>267</v>
      </c>
      <c r="DI1762">
        <v>48</v>
      </c>
      <c r="DN1762" t="s">
        <v>268</v>
      </c>
      <c r="DP1762" t="s">
        <v>2185</v>
      </c>
      <c r="DR1762">
        <v>371472</v>
      </c>
      <c r="DS1762">
        <v>1342</v>
      </c>
      <c r="DT1762" t="s">
        <v>3394</v>
      </c>
      <c r="EW1762" t="s">
        <v>271</v>
      </c>
      <c r="FM1762">
        <v>15</v>
      </c>
      <c r="FR1762" t="s">
        <v>295</v>
      </c>
      <c r="GU1762">
        <v>40</v>
      </c>
      <c r="GZ1762" t="s">
        <v>296</v>
      </c>
      <c r="HH1762" t="s">
        <v>272</v>
      </c>
      <c r="IE1762" t="s">
        <v>3395</v>
      </c>
      <c r="IF1762">
        <v>11873</v>
      </c>
      <c r="IG1762" t="s">
        <v>3396</v>
      </c>
      <c r="IH1762" t="s">
        <v>3397</v>
      </c>
      <c r="II1762">
        <v>1984</v>
      </c>
      <c r="IJ1762" t="s">
        <v>3398</v>
      </c>
    </row>
    <row r="1763" spans="1:244" x14ac:dyDescent="0.45">
      <c r="A1763">
        <v>1141809</v>
      </c>
      <c r="B1763">
        <v>106965</v>
      </c>
      <c r="C1763">
        <v>7778509</v>
      </c>
      <c r="D1763" t="s">
        <v>3280</v>
      </c>
      <c r="F1763" t="s">
        <v>245</v>
      </c>
      <c r="G1763" t="s">
        <v>246</v>
      </c>
      <c r="N1763" t="s">
        <v>2183</v>
      </c>
      <c r="O1763" t="s">
        <v>498</v>
      </c>
      <c r="P1763" t="s">
        <v>249</v>
      </c>
      <c r="Q1763" t="s">
        <v>250</v>
      </c>
      <c r="R1763" t="s">
        <v>251</v>
      </c>
      <c r="T1763" t="s">
        <v>252</v>
      </c>
      <c r="U1763" t="s">
        <v>499</v>
      </c>
      <c r="V1763" t="s">
        <v>1281</v>
      </c>
      <c r="W1763" t="s">
        <v>1282</v>
      </c>
      <c r="X1763" t="s">
        <v>2184</v>
      </c>
      <c r="AM1763" t="s">
        <v>317</v>
      </c>
      <c r="AN1763" t="s">
        <v>259</v>
      </c>
      <c r="AO1763" t="s">
        <v>260</v>
      </c>
      <c r="AQ1763" t="s">
        <v>261</v>
      </c>
      <c r="AS1763">
        <v>4200</v>
      </c>
      <c r="AX1763" t="s">
        <v>262</v>
      </c>
      <c r="BO1763" t="s">
        <v>261</v>
      </c>
      <c r="BQ1763">
        <v>4.2</v>
      </c>
      <c r="BV1763" t="s">
        <v>263</v>
      </c>
      <c r="CM1763" t="s">
        <v>264</v>
      </c>
      <c r="CN1763" t="s">
        <v>264</v>
      </c>
      <c r="CP1763" t="s">
        <v>265</v>
      </c>
      <c r="CQ1763" t="s">
        <v>538</v>
      </c>
      <c r="DB1763">
        <v>2</v>
      </c>
      <c r="DG1763" t="s">
        <v>267</v>
      </c>
      <c r="DI1763">
        <v>48</v>
      </c>
      <c r="DN1763" t="s">
        <v>268</v>
      </c>
      <c r="DP1763" t="s">
        <v>2185</v>
      </c>
      <c r="DR1763">
        <v>371472</v>
      </c>
      <c r="DS1763">
        <v>1342</v>
      </c>
      <c r="DT1763" t="s">
        <v>3394</v>
      </c>
      <c r="EW1763" t="s">
        <v>271</v>
      </c>
      <c r="FM1763">
        <v>15</v>
      </c>
      <c r="FR1763" t="s">
        <v>295</v>
      </c>
      <c r="GU1763">
        <v>10</v>
      </c>
      <c r="GZ1763" t="s">
        <v>296</v>
      </c>
      <c r="HH1763" t="s">
        <v>272</v>
      </c>
      <c r="IE1763" t="s">
        <v>3395</v>
      </c>
      <c r="IF1763">
        <v>11873</v>
      </c>
      <c r="IG1763" t="s">
        <v>3396</v>
      </c>
      <c r="IH1763" t="s">
        <v>3397</v>
      </c>
      <c r="II1763">
        <v>1984</v>
      </c>
      <c r="IJ1763" t="s">
        <v>3398</v>
      </c>
    </row>
    <row r="1764" spans="1:244" x14ac:dyDescent="0.45">
      <c r="A1764">
        <v>1141916</v>
      </c>
      <c r="B1764">
        <v>107072</v>
      </c>
      <c r="C1764">
        <v>7778509</v>
      </c>
      <c r="D1764" t="s">
        <v>3280</v>
      </c>
      <c r="F1764" t="s">
        <v>245</v>
      </c>
      <c r="G1764" t="s">
        <v>246</v>
      </c>
      <c r="N1764" t="s">
        <v>2183</v>
      </c>
      <c r="O1764" t="s">
        <v>498</v>
      </c>
      <c r="P1764" t="s">
        <v>249</v>
      </c>
      <c r="Q1764" t="s">
        <v>250</v>
      </c>
      <c r="R1764" t="s">
        <v>251</v>
      </c>
      <c r="T1764" t="s">
        <v>252</v>
      </c>
      <c r="U1764" t="s">
        <v>499</v>
      </c>
      <c r="V1764" t="s">
        <v>1281</v>
      </c>
      <c r="W1764" t="s">
        <v>1282</v>
      </c>
      <c r="X1764" t="s">
        <v>2184</v>
      </c>
      <c r="AM1764" t="s">
        <v>317</v>
      </c>
      <c r="AN1764" t="s">
        <v>259</v>
      </c>
      <c r="AO1764" t="s">
        <v>260</v>
      </c>
      <c r="AQ1764" t="s">
        <v>261</v>
      </c>
      <c r="AS1764">
        <v>64000</v>
      </c>
      <c r="AX1764" t="s">
        <v>262</v>
      </c>
      <c r="BO1764" t="s">
        <v>261</v>
      </c>
      <c r="BQ1764">
        <v>64</v>
      </c>
      <c r="BV1764" t="s">
        <v>263</v>
      </c>
      <c r="CM1764" t="s">
        <v>264</v>
      </c>
      <c r="CN1764" t="s">
        <v>264</v>
      </c>
      <c r="CP1764" t="s">
        <v>265</v>
      </c>
      <c r="CQ1764" t="s">
        <v>538</v>
      </c>
      <c r="DB1764">
        <v>1</v>
      </c>
      <c r="DG1764" t="s">
        <v>267</v>
      </c>
      <c r="DI1764">
        <v>24</v>
      </c>
      <c r="DN1764" t="s">
        <v>268</v>
      </c>
      <c r="DP1764" t="s">
        <v>2185</v>
      </c>
      <c r="DR1764">
        <v>371472</v>
      </c>
      <c r="DS1764">
        <v>1342</v>
      </c>
      <c r="DT1764" t="s">
        <v>3394</v>
      </c>
      <c r="EW1764" t="s">
        <v>271</v>
      </c>
      <c r="FM1764">
        <v>10</v>
      </c>
      <c r="FR1764" t="s">
        <v>295</v>
      </c>
      <c r="GU1764">
        <v>15</v>
      </c>
      <c r="GZ1764" t="s">
        <v>296</v>
      </c>
      <c r="HH1764" t="s">
        <v>272</v>
      </c>
      <c r="IE1764" t="s">
        <v>3395</v>
      </c>
      <c r="IF1764">
        <v>11873</v>
      </c>
      <c r="IG1764" t="s">
        <v>3396</v>
      </c>
      <c r="IH1764" t="s">
        <v>3397</v>
      </c>
      <c r="II1764">
        <v>1984</v>
      </c>
      <c r="IJ1764" t="s">
        <v>3398</v>
      </c>
    </row>
    <row r="1765" spans="1:244" x14ac:dyDescent="0.45">
      <c r="A1765">
        <v>1201113</v>
      </c>
      <c r="B1765">
        <v>160576</v>
      </c>
      <c r="C1765">
        <v>7778509</v>
      </c>
      <c r="D1765" t="s">
        <v>3280</v>
      </c>
      <c r="F1765" t="s">
        <v>245</v>
      </c>
      <c r="G1765" t="s">
        <v>246</v>
      </c>
      <c r="N1765" t="s">
        <v>566</v>
      </c>
      <c r="O1765" t="s">
        <v>388</v>
      </c>
      <c r="P1765" t="s">
        <v>249</v>
      </c>
      <c r="Q1765" t="s">
        <v>250</v>
      </c>
      <c r="R1765" t="s">
        <v>251</v>
      </c>
      <c r="T1765" t="s">
        <v>389</v>
      </c>
      <c r="U1765" t="s">
        <v>390</v>
      </c>
      <c r="V1765" t="s">
        <v>567</v>
      </c>
      <c r="W1765" t="s">
        <v>568</v>
      </c>
      <c r="X1765" t="s">
        <v>569</v>
      </c>
      <c r="Z1765" t="s">
        <v>649</v>
      </c>
      <c r="AM1765" t="s">
        <v>287</v>
      </c>
      <c r="AN1765" t="s">
        <v>259</v>
      </c>
      <c r="AO1765" t="s">
        <v>260</v>
      </c>
      <c r="AQ1765" t="s">
        <v>261</v>
      </c>
      <c r="AR1765" t="s">
        <v>288</v>
      </c>
      <c r="AS1765">
        <v>80000</v>
      </c>
      <c r="AX1765" t="s">
        <v>262</v>
      </c>
      <c r="BO1765" t="s">
        <v>261</v>
      </c>
      <c r="BP1765" t="s">
        <v>288</v>
      </c>
      <c r="BQ1765">
        <v>80</v>
      </c>
      <c r="BV1765" t="s">
        <v>263</v>
      </c>
      <c r="CM1765" t="s">
        <v>264</v>
      </c>
      <c r="CN1765" t="s">
        <v>264</v>
      </c>
      <c r="CP1765" t="s">
        <v>265</v>
      </c>
      <c r="DB1765">
        <v>1</v>
      </c>
      <c r="DG1765" t="s">
        <v>267</v>
      </c>
      <c r="DI1765">
        <v>24</v>
      </c>
      <c r="DN1765" t="s">
        <v>268</v>
      </c>
      <c r="DS1765">
        <v>212</v>
      </c>
      <c r="DT1765" t="s">
        <v>3399</v>
      </c>
      <c r="EW1765" t="s">
        <v>293</v>
      </c>
      <c r="FM1765">
        <v>20</v>
      </c>
      <c r="FR1765" t="s">
        <v>295</v>
      </c>
      <c r="GU1765">
        <v>27</v>
      </c>
      <c r="GZ1765" t="s">
        <v>296</v>
      </c>
      <c r="HH1765" t="s">
        <v>272</v>
      </c>
      <c r="IE1765" t="s">
        <v>3400</v>
      </c>
      <c r="IF1765">
        <v>18307</v>
      </c>
      <c r="IG1765" t="s">
        <v>3401</v>
      </c>
      <c r="IH1765" t="s">
        <v>3402</v>
      </c>
      <c r="II1765">
        <v>1993</v>
      </c>
      <c r="IJ1765" t="s">
        <v>3403</v>
      </c>
    </row>
    <row r="1766" spans="1:244" x14ac:dyDescent="0.45">
      <c r="A1766">
        <v>1141819</v>
      </c>
      <c r="B1766">
        <v>106975</v>
      </c>
      <c r="C1766">
        <v>7778509</v>
      </c>
      <c r="D1766" t="s">
        <v>3280</v>
      </c>
      <c r="F1766" t="s">
        <v>245</v>
      </c>
      <c r="G1766" t="s">
        <v>246</v>
      </c>
      <c r="N1766" t="s">
        <v>2183</v>
      </c>
      <c r="O1766" t="s">
        <v>498</v>
      </c>
      <c r="P1766" t="s">
        <v>249</v>
      </c>
      <c r="Q1766" t="s">
        <v>250</v>
      </c>
      <c r="R1766" t="s">
        <v>251</v>
      </c>
      <c r="T1766" t="s">
        <v>252</v>
      </c>
      <c r="U1766" t="s">
        <v>499</v>
      </c>
      <c r="V1766" t="s">
        <v>1281</v>
      </c>
      <c r="W1766" t="s">
        <v>1282</v>
      </c>
      <c r="X1766" t="s">
        <v>2184</v>
      </c>
      <c r="AM1766" t="s">
        <v>317</v>
      </c>
      <c r="AN1766" t="s">
        <v>259</v>
      </c>
      <c r="AO1766" t="s">
        <v>260</v>
      </c>
      <c r="AQ1766" t="s">
        <v>261</v>
      </c>
      <c r="AS1766">
        <v>9500</v>
      </c>
      <c r="AX1766" t="s">
        <v>262</v>
      </c>
      <c r="BO1766" t="s">
        <v>261</v>
      </c>
      <c r="BQ1766">
        <v>9.5</v>
      </c>
      <c r="BV1766" t="s">
        <v>263</v>
      </c>
      <c r="CM1766" t="s">
        <v>264</v>
      </c>
      <c r="CN1766" t="s">
        <v>264</v>
      </c>
      <c r="CP1766" t="s">
        <v>265</v>
      </c>
      <c r="CQ1766" t="s">
        <v>538</v>
      </c>
      <c r="DB1766">
        <v>4</v>
      </c>
      <c r="DG1766" t="s">
        <v>267</v>
      </c>
      <c r="DI1766">
        <v>96</v>
      </c>
      <c r="DN1766" t="s">
        <v>268</v>
      </c>
      <c r="DP1766" t="s">
        <v>2185</v>
      </c>
      <c r="DR1766">
        <v>371472</v>
      </c>
      <c r="DS1766">
        <v>1342</v>
      </c>
      <c r="DT1766" t="s">
        <v>3394</v>
      </c>
      <c r="EW1766" t="s">
        <v>271</v>
      </c>
      <c r="FM1766">
        <v>15</v>
      </c>
      <c r="FR1766" t="s">
        <v>295</v>
      </c>
      <c r="GU1766">
        <v>30</v>
      </c>
      <c r="GZ1766" t="s">
        <v>296</v>
      </c>
      <c r="HH1766" t="s">
        <v>272</v>
      </c>
      <c r="IE1766" t="s">
        <v>3395</v>
      </c>
      <c r="IF1766">
        <v>11873</v>
      </c>
      <c r="IG1766" t="s">
        <v>3396</v>
      </c>
      <c r="IH1766" t="s">
        <v>3397</v>
      </c>
      <c r="II1766">
        <v>1984</v>
      </c>
      <c r="IJ1766" t="s">
        <v>3398</v>
      </c>
    </row>
    <row r="1767" spans="1:244" x14ac:dyDescent="0.45">
      <c r="A1767">
        <v>1141761</v>
      </c>
      <c r="B1767">
        <v>105352</v>
      </c>
      <c r="C1767">
        <v>7778509</v>
      </c>
      <c r="D1767" t="s">
        <v>3280</v>
      </c>
      <c r="F1767" t="s">
        <v>245</v>
      </c>
      <c r="G1767" t="s">
        <v>246</v>
      </c>
      <c r="N1767" t="s">
        <v>2183</v>
      </c>
      <c r="O1767" t="s">
        <v>498</v>
      </c>
      <c r="P1767" t="s">
        <v>249</v>
      </c>
      <c r="Q1767" t="s">
        <v>250</v>
      </c>
      <c r="R1767" t="s">
        <v>251</v>
      </c>
      <c r="T1767" t="s">
        <v>252</v>
      </c>
      <c r="U1767" t="s">
        <v>499</v>
      </c>
      <c r="V1767" t="s">
        <v>1281</v>
      </c>
      <c r="W1767" t="s">
        <v>1282</v>
      </c>
      <c r="X1767" t="s">
        <v>2184</v>
      </c>
      <c r="AM1767" t="s">
        <v>317</v>
      </c>
      <c r="AN1767" t="s">
        <v>259</v>
      </c>
      <c r="AO1767" t="s">
        <v>260</v>
      </c>
      <c r="AQ1767" t="s">
        <v>261</v>
      </c>
      <c r="AS1767">
        <v>18000</v>
      </c>
      <c r="AX1767" t="s">
        <v>262</v>
      </c>
      <c r="BO1767" t="s">
        <v>261</v>
      </c>
      <c r="BQ1767">
        <v>18</v>
      </c>
      <c r="BV1767" t="s">
        <v>263</v>
      </c>
      <c r="CM1767" t="s">
        <v>264</v>
      </c>
      <c r="CN1767" t="s">
        <v>264</v>
      </c>
      <c r="CP1767" t="s">
        <v>265</v>
      </c>
      <c r="CQ1767" t="s">
        <v>538</v>
      </c>
      <c r="DB1767">
        <v>1</v>
      </c>
      <c r="DG1767" t="s">
        <v>267</v>
      </c>
      <c r="DI1767">
        <v>24</v>
      </c>
      <c r="DN1767" t="s">
        <v>268</v>
      </c>
      <c r="DP1767" t="s">
        <v>2185</v>
      </c>
      <c r="DR1767">
        <v>371472</v>
      </c>
      <c r="DS1767">
        <v>1342</v>
      </c>
      <c r="DT1767" t="s">
        <v>3394</v>
      </c>
      <c r="EW1767" t="s">
        <v>271</v>
      </c>
      <c r="FM1767">
        <v>5</v>
      </c>
      <c r="FR1767" t="s">
        <v>295</v>
      </c>
      <c r="GU1767">
        <v>5</v>
      </c>
      <c r="GZ1767" t="s">
        <v>296</v>
      </c>
      <c r="HH1767" t="s">
        <v>272</v>
      </c>
      <c r="IE1767" t="s">
        <v>3395</v>
      </c>
      <c r="IF1767">
        <v>11873</v>
      </c>
      <c r="IG1767" t="s">
        <v>3396</v>
      </c>
      <c r="IH1767" t="s">
        <v>3397</v>
      </c>
      <c r="II1767">
        <v>1984</v>
      </c>
      <c r="IJ1767" t="s">
        <v>3398</v>
      </c>
    </row>
    <row r="1768" spans="1:244" x14ac:dyDescent="0.45">
      <c r="A1768">
        <v>1141762</v>
      </c>
      <c r="B1768">
        <v>105354</v>
      </c>
      <c r="C1768">
        <v>7778509</v>
      </c>
      <c r="D1768" t="s">
        <v>3280</v>
      </c>
      <c r="F1768" t="s">
        <v>245</v>
      </c>
      <c r="G1768" t="s">
        <v>246</v>
      </c>
      <c r="N1768" t="s">
        <v>2183</v>
      </c>
      <c r="O1768" t="s">
        <v>498</v>
      </c>
      <c r="P1768" t="s">
        <v>249</v>
      </c>
      <c r="Q1768" t="s">
        <v>250</v>
      </c>
      <c r="R1768" t="s">
        <v>251</v>
      </c>
      <c r="T1768" t="s">
        <v>252</v>
      </c>
      <c r="U1768" t="s">
        <v>499</v>
      </c>
      <c r="V1768" t="s">
        <v>1281</v>
      </c>
      <c r="W1768" t="s">
        <v>1282</v>
      </c>
      <c r="X1768" t="s">
        <v>2184</v>
      </c>
      <c r="AM1768" t="s">
        <v>317</v>
      </c>
      <c r="AN1768" t="s">
        <v>259</v>
      </c>
      <c r="AO1768" t="s">
        <v>260</v>
      </c>
      <c r="AQ1768" t="s">
        <v>261</v>
      </c>
      <c r="AS1768">
        <v>38000</v>
      </c>
      <c r="AX1768" t="s">
        <v>262</v>
      </c>
      <c r="BO1768" t="s">
        <v>261</v>
      </c>
      <c r="BQ1768">
        <v>38</v>
      </c>
      <c r="BV1768" t="s">
        <v>263</v>
      </c>
      <c r="CM1768" t="s">
        <v>264</v>
      </c>
      <c r="CN1768" t="s">
        <v>264</v>
      </c>
      <c r="CP1768" t="s">
        <v>265</v>
      </c>
      <c r="CQ1768" t="s">
        <v>538</v>
      </c>
      <c r="DB1768">
        <v>1</v>
      </c>
      <c r="DG1768" t="s">
        <v>267</v>
      </c>
      <c r="DI1768">
        <v>24</v>
      </c>
      <c r="DN1768" t="s">
        <v>268</v>
      </c>
      <c r="DP1768" t="s">
        <v>2185</v>
      </c>
      <c r="DR1768">
        <v>371472</v>
      </c>
      <c r="DS1768">
        <v>1342</v>
      </c>
      <c r="DT1768" t="s">
        <v>3394</v>
      </c>
      <c r="EW1768" t="s">
        <v>271</v>
      </c>
      <c r="FM1768">
        <v>5</v>
      </c>
      <c r="FR1768" t="s">
        <v>295</v>
      </c>
      <c r="GU1768">
        <v>10</v>
      </c>
      <c r="GZ1768" t="s">
        <v>296</v>
      </c>
      <c r="HH1768" t="s">
        <v>272</v>
      </c>
      <c r="IE1768" t="s">
        <v>3395</v>
      </c>
      <c r="IF1768">
        <v>11873</v>
      </c>
      <c r="IG1768" t="s">
        <v>3396</v>
      </c>
      <c r="IH1768" t="s">
        <v>3397</v>
      </c>
      <c r="II1768">
        <v>1984</v>
      </c>
      <c r="IJ1768" t="s">
        <v>3398</v>
      </c>
    </row>
    <row r="1769" spans="1:244" x14ac:dyDescent="0.45">
      <c r="A1769">
        <v>2114271</v>
      </c>
      <c r="B1769">
        <v>2208824</v>
      </c>
      <c r="C1769">
        <v>7778509</v>
      </c>
      <c r="D1769" t="s">
        <v>3280</v>
      </c>
      <c r="F1769" t="s">
        <v>327</v>
      </c>
      <c r="G1769" t="s">
        <v>1550</v>
      </c>
      <c r="N1769" t="s">
        <v>630</v>
      </c>
      <c r="O1769" t="s">
        <v>631</v>
      </c>
      <c r="P1769" t="s">
        <v>249</v>
      </c>
      <c r="Q1769" t="s">
        <v>250</v>
      </c>
      <c r="R1769" t="s">
        <v>251</v>
      </c>
      <c r="T1769" t="s">
        <v>389</v>
      </c>
      <c r="U1769" t="s">
        <v>632</v>
      </c>
      <c r="V1769" t="s">
        <v>633</v>
      </c>
      <c r="W1769" t="s">
        <v>634</v>
      </c>
      <c r="X1769" t="s">
        <v>635</v>
      </c>
      <c r="Z1769" t="s">
        <v>1034</v>
      </c>
      <c r="AD1769">
        <v>14</v>
      </c>
      <c r="AF1769">
        <v>21</v>
      </c>
      <c r="AG1769" t="s">
        <v>267</v>
      </c>
      <c r="AJ1769" t="s">
        <v>354</v>
      </c>
      <c r="AL1769" t="s">
        <v>3425</v>
      </c>
      <c r="AM1769" t="s">
        <v>317</v>
      </c>
      <c r="AN1769" t="s">
        <v>259</v>
      </c>
      <c r="AO1769" t="s">
        <v>260</v>
      </c>
      <c r="AQ1769" t="s">
        <v>261</v>
      </c>
      <c r="AS1769">
        <v>11.9</v>
      </c>
      <c r="AU1769">
        <v>7.2</v>
      </c>
      <c r="AW1769">
        <v>26</v>
      </c>
      <c r="AX1769" t="s">
        <v>356</v>
      </c>
      <c r="BO1769" t="s">
        <v>261</v>
      </c>
      <c r="BQ1769">
        <v>11.9</v>
      </c>
      <c r="BS1769">
        <v>7.2</v>
      </c>
      <c r="BU1769">
        <v>26</v>
      </c>
      <c r="BV1769" t="s">
        <v>263</v>
      </c>
      <c r="CM1769" t="s">
        <v>264</v>
      </c>
      <c r="CN1769" t="s">
        <v>264</v>
      </c>
      <c r="CP1769" t="s">
        <v>265</v>
      </c>
      <c r="DB1769">
        <v>2</v>
      </c>
      <c r="DG1769" t="s">
        <v>267</v>
      </c>
      <c r="DI1769">
        <v>48</v>
      </c>
      <c r="DN1769" t="s">
        <v>268</v>
      </c>
      <c r="DP1769" t="s">
        <v>3281</v>
      </c>
      <c r="DR1769">
        <v>136180</v>
      </c>
      <c r="DS1769">
        <v>376</v>
      </c>
      <c r="DV1769">
        <v>48</v>
      </c>
      <c r="EA1769" t="s">
        <v>268</v>
      </c>
      <c r="EC1769">
        <v>2</v>
      </c>
      <c r="EH1769" t="s">
        <v>267</v>
      </c>
      <c r="EJ1769">
        <v>48</v>
      </c>
      <c r="EO1769" t="s">
        <v>268</v>
      </c>
      <c r="EQ1769">
        <v>2</v>
      </c>
      <c r="EV1769" t="s">
        <v>267</v>
      </c>
      <c r="EW1769" t="s">
        <v>293</v>
      </c>
      <c r="EY1769" t="s">
        <v>377</v>
      </c>
      <c r="FA1769" t="s">
        <v>3434</v>
      </c>
      <c r="FM1769">
        <v>25</v>
      </c>
      <c r="FR1769" t="s">
        <v>295</v>
      </c>
      <c r="GH1769">
        <v>7.8</v>
      </c>
      <c r="GJ1769">
        <v>7.2</v>
      </c>
      <c r="GL1769">
        <v>8.6</v>
      </c>
      <c r="GM1769" t="s">
        <v>356</v>
      </c>
      <c r="GO1769">
        <v>8.1</v>
      </c>
      <c r="GQ1769">
        <v>8</v>
      </c>
      <c r="GS1769">
        <v>8.3000000000000007</v>
      </c>
      <c r="GW1769">
        <v>30</v>
      </c>
      <c r="GY1769">
        <v>33</v>
      </c>
      <c r="GZ1769" t="s">
        <v>296</v>
      </c>
      <c r="HB1769">
        <v>4500</v>
      </c>
      <c r="HG1769" t="s">
        <v>952</v>
      </c>
      <c r="HH1769" t="s">
        <v>272</v>
      </c>
      <c r="ID1769" t="s">
        <v>1028</v>
      </c>
      <c r="IE1769" t="s">
        <v>3427</v>
      </c>
      <c r="IF1769">
        <v>167149</v>
      </c>
      <c r="IG1769" t="s">
        <v>3428</v>
      </c>
      <c r="IH1769" t="s">
        <v>3429</v>
      </c>
      <c r="II1769">
        <v>2006</v>
      </c>
      <c r="IJ1769" t="s">
        <v>3430</v>
      </c>
    </row>
    <row r="1770" spans="1:244" x14ac:dyDescent="0.45">
      <c r="A1770">
        <v>1141811</v>
      </c>
      <c r="B1770">
        <v>106967</v>
      </c>
      <c r="C1770">
        <v>7778509</v>
      </c>
      <c r="D1770" t="s">
        <v>3280</v>
      </c>
      <c r="F1770" t="s">
        <v>245</v>
      </c>
      <c r="G1770" t="s">
        <v>246</v>
      </c>
      <c r="N1770" t="s">
        <v>2183</v>
      </c>
      <c r="O1770" t="s">
        <v>498</v>
      </c>
      <c r="P1770" t="s">
        <v>249</v>
      </c>
      <c r="Q1770" t="s">
        <v>250</v>
      </c>
      <c r="R1770" t="s">
        <v>251</v>
      </c>
      <c r="T1770" t="s">
        <v>252</v>
      </c>
      <c r="U1770" t="s">
        <v>499</v>
      </c>
      <c r="V1770" t="s">
        <v>1281</v>
      </c>
      <c r="W1770" t="s">
        <v>1282</v>
      </c>
      <c r="X1770" t="s">
        <v>2184</v>
      </c>
      <c r="AM1770" t="s">
        <v>317</v>
      </c>
      <c r="AN1770" t="s">
        <v>259</v>
      </c>
      <c r="AO1770" t="s">
        <v>260</v>
      </c>
      <c r="AQ1770" t="s">
        <v>261</v>
      </c>
      <c r="AS1770">
        <v>15000</v>
      </c>
      <c r="AX1770" t="s">
        <v>262</v>
      </c>
      <c r="BO1770" t="s">
        <v>261</v>
      </c>
      <c r="BQ1770">
        <v>15</v>
      </c>
      <c r="BV1770" t="s">
        <v>263</v>
      </c>
      <c r="CM1770" t="s">
        <v>264</v>
      </c>
      <c r="CN1770" t="s">
        <v>264</v>
      </c>
      <c r="CP1770" t="s">
        <v>265</v>
      </c>
      <c r="CQ1770" t="s">
        <v>538</v>
      </c>
      <c r="DB1770">
        <v>2</v>
      </c>
      <c r="DG1770" t="s">
        <v>267</v>
      </c>
      <c r="DI1770">
        <v>48</v>
      </c>
      <c r="DN1770" t="s">
        <v>268</v>
      </c>
      <c r="DP1770" t="s">
        <v>2185</v>
      </c>
      <c r="DR1770">
        <v>371472</v>
      </c>
      <c r="DS1770">
        <v>1342</v>
      </c>
      <c r="DT1770" t="s">
        <v>3394</v>
      </c>
      <c r="EW1770" t="s">
        <v>271</v>
      </c>
      <c r="FM1770">
        <v>15</v>
      </c>
      <c r="FR1770" t="s">
        <v>295</v>
      </c>
      <c r="GU1770">
        <v>20</v>
      </c>
      <c r="GZ1770" t="s">
        <v>296</v>
      </c>
      <c r="HH1770" t="s">
        <v>272</v>
      </c>
      <c r="IE1770" t="s">
        <v>3395</v>
      </c>
      <c r="IF1770">
        <v>11873</v>
      </c>
      <c r="IG1770" t="s">
        <v>3396</v>
      </c>
      <c r="IH1770" t="s">
        <v>3397</v>
      </c>
      <c r="II1770">
        <v>1984</v>
      </c>
      <c r="IJ1770" t="s">
        <v>3398</v>
      </c>
    </row>
    <row r="1771" spans="1:244" x14ac:dyDescent="0.45">
      <c r="A1771">
        <v>2034090</v>
      </c>
      <c r="B1771">
        <v>2055215</v>
      </c>
      <c r="C1771">
        <v>7778509</v>
      </c>
      <c r="D1771" t="s">
        <v>3280</v>
      </c>
      <c r="F1771" t="s">
        <v>245</v>
      </c>
      <c r="G1771" t="s">
        <v>272</v>
      </c>
      <c r="N1771" t="s">
        <v>566</v>
      </c>
      <c r="O1771" t="s">
        <v>388</v>
      </c>
      <c r="P1771" t="s">
        <v>249</v>
      </c>
      <c r="Q1771" t="s">
        <v>250</v>
      </c>
      <c r="R1771" t="s">
        <v>251</v>
      </c>
      <c r="T1771" t="s">
        <v>389</v>
      </c>
      <c r="U1771" t="s">
        <v>390</v>
      </c>
      <c r="V1771" t="s">
        <v>567</v>
      </c>
      <c r="W1771" t="s">
        <v>568</v>
      </c>
      <c r="X1771" t="s">
        <v>569</v>
      </c>
      <c r="AD1771">
        <v>2</v>
      </c>
      <c r="AF1771">
        <v>4</v>
      </c>
      <c r="AG1771" t="s">
        <v>516</v>
      </c>
      <c r="AM1771" t="s">
        <v>317</v>
      </c>
      <c r="AN1771" t="s">
        <v>259</v>
      </c>
      <c r="AO1771" t="s">
        <v>260</v>
      </c>
      <c r="AQ1771" t="s">
        <v>261</v>
      </c>
      <c r="AS1771">
        <v>31</v>
      </c>
      <c r="AX1771" t="s">
        <v>356</v>
      </c>
      <c r="BO1771" t="s">
        <v>261</v>
      </c>
      <c r="BQ1771">
        <v>31</v>
      </c>
      <c r="BV1771" t="s">
        <v>263</v>
      </c>
      <c r="CM1771" t="s">
        <v>264</v>
      </c>
      <c r="CN1771" t="s">
        <v>264</v>
      </c>
      <c r="CP1771" t="s">
        <v>265</v>
      </c>
      <c r="DB1771">
        <v>4</v>
      </c>
      <c r="DG1771" t="s">
        <v>267</v>
      </c>
      <c r="DI1771">
        <v>96</v>
      </c>
      <c r="DN1771" t="s">
        <v>268</v>
      </c>
      <c r="DP1771" t="s">
        <v>3281</v>
      </c>
      <c r="DS1771">
        <v>212</v>
      </c>
      <c r="DT1771" t="s">
        <v>3435</v>
      </c>
      <c r="DV1771">
        <v>96</v>
      </c>
      <c r="EA1771" t="s">
        <v>268</v>
      </c>
      <c r="EC1771">
        <v>4</v>
      </c>
      <c r="EH1771" t="s">
        <v>267</v>
      </c>
      <c r="EJ1771">
        <v>96</v>
      </c>
      <c r="EO1771" t="s">
        <v>268</v>
      </c>
      <c r="EQ1771">
        <v>4</v>
      </c>
      <c r="EV1771" t="s">
        <v>267</v>
      </c>
      <c r="EW1771" t="s">
        <v>293</v>
      </c>
      <c r="EY1771" t="s">
        <v>377</v>
      </c>
      <c r="FA1771" t="s">
        <v>1381</v>
      </c>
      <c r="FM1771">
        <v>21</v>
      </c>
      <c r="FR1771" t="s">
        <v>295</v>
      </c>
      <c r="GW1771">
        <v>25</v>
      </c>
      <c r="GY1771">
        <v>30</v>
      </c>
      <c r="GZ1771" t="s">
        <v>296</v>
      </c>
      <c r="HH1771" t="s">
        <v>272</v>
      </c>
      <c r="IE1771" t="s">
        <v>3436</v>
      </c>
      <c r="IF1771">
        <v>97664</v>
      </c>
      <c r="IG1771" t="s">
        <v>3437</v>
      </c>
      <c r="IH1771" t="s">
        <v>3438</v>
      </c>
      <c r="II1771">
        <v>2007</v>
      </c>
      <c r="IJ1771" t="s">
        <v>3439</v>
      </c>
    </row>
    <row r="1772" spans="1:244" x14ac:dyDescent="0.45">
      <c r="A1772">
        <v>1201110</v>
      </c>
      <c r="B1772">
        <v>160573</v>
      </c>
      <c r="C1772">
        <v>7778509</v>
      </c>
      <c r="D1772" t="s">
        <v>3280</v>
      </c>
      <c r="F1772" t="s">
        <v>245</v>
      </c>
      <c r="G1772" t="s">
        <v>246</v>
      </c>
      <c r="N1772" t="s">
        <v>566</v>
      </c>
      <c r="O1772" t="s">
        <v>388</v>
      </c>
      <c r="P1772" t="s">
        <v>249</v>
      </c>
      <c r="Q1772" t="s">
        <v>250</v>
      </c>
      <c r="R1772" t="s">
        <v>251</v>
      </c>
      <c r="T1772" t="s">
        <v>389</v>
      </c>
      <c r="U1772" t="s">
        <v>390</v>
      </c>
      <c r="V1772" t="s">
        <v>567</v>
      </c>
      <c r="W1772" t="s">
        <v>568</v>
      </c>
      <c r="X1772" t="s">
        <v>569</v>
      </c>
      <c r="Z1772" t="s">
        <v>649</v>
      </c>
      <c r="AM1772" t="s">
        <v>287</v>
      </c>
      <c r="AN1772" t="s">
        <v>259</v>
      </c>
      <c r="AO1772" t="s">
        <v>260</v>
      </c>
      <c r="AQ1772" t="s">
        <v>261</v>
      </c>
      <c r="AS1772">
        <v>46000</v>
      </c>
      <c r="AU1772">
        <v>31000</v>
      </c>
      <c r="AW1772">
        <v>93000</v>
      </c>
      <c r="AX1772" t="s">
        <v>262</v>
      </c>
      <c r="BO1772" t="s">
        <v>261</v>
      </c>
      <c r="BQ1772">
        <v>46</v>
      </c>
      <c r="BS1772">
        <v>31</v>
      </c>
      <c r="BU1772">
        <v>93</v>
      </c>
      <c r="BV1772" t="s">
        <v>263</v>
      </c>
      <c r="CM1772" t="s">
        <v>264</v>
      </c>
      <c r="CN1772" t="s">
        <v>264</v>
      </c>
      <c r="CP1772" t="s">
        <v>265</v>
      </c>
      <c r="DB1772">
        <v>2</v>
      </c>
      <c r="DG1772" t="s">
        <v>267</v>
      </c>
      <c r="DI1772">
        <v>48</v>
      </c>
      <c r="DN1772" t="s">
        <v>268</v>
      </c>
      <c r="DS1772">
        <v>212</v>
      </c>
      <c r="DT1772" t="s">
        <v>3399</v>
      </c>
      <c r="EW1772" t="s">
        <v>293</v>
      </c>
      <c r="FM1772">
        <v>20</v>
      </c>
      <c r="FR1772" t="s">
        <v>295</v>
      </c>
      <c r="GU1772">
        <v>13.5</v>
      </c>
      <c r="GZ1772" t="s">
        <v>296</v>
      </c>
      <c r="HH1772" t="s">
        <v>272</v>
      </c>
      <c r="IE1772" t="s">
        <v>3400</v>
      </c>
      <c r="IF1772">
        <v>18307</v>
      </c>
      <c r="IG1772" t="s">
        <v>3401</v>
      </c>
      <c r="IH1772" t="s">
        <v>3402</v>
      </c>
      <c r="II1772">
        <v>1993</v>
      </c>
      <c r="IJ1772" t="s">
        <v>3403</v>
      </c>
    </row>
    <row r="1773" spans="1:244" x14ac:dyDescent="0.45">
      <c r="A1773">
        <v>1141784</v>
      </c>
      <c r="B1773">
        <v>106940</v>
      </c>
      <c r="C1773">
        <v>7778509</v>
      </c>
      <c r="D1773" t="s">
        <v>3280</v>
      </c>
      <c r="F1773" t="s">
        <v>245</v>
      </c>
      <c r="G1773" t="s">
        <v>246</v>
      </c>
      <c r="N1773" t="s">
        <v>2183</v>
      </c>
      <c r="O1773" t="s">
        <v>498</v>
      </c>
      <c r="P1773" t="s">
        <v>249</v>
      </c>
      <c r="Q1773" t="s">
        <v>250</v>
      </c>
      <c r="R1773" t="s">
        <v>251</v>
      </c>
      <c r="T1773" t="s">
        <v>252</v>
      </c>
      <c r="U1773" t="s">
        <v>499</v>
      </c>
      <c r="V1773" t="s">
        <v>1281</v>
      </c>
      <c r="W1773" t="s">
        <v>1282</v>
      </c>
      <c r="X1773" t="s">
        <v>2184</v>
      </c>
      <c r="AM1773" t="s">
        <v>317</v>
      </c>
      <c r="AN1773" t="s">
        <v>259</v>
      </c>
      <c r="AO1773" t="s">
        <v>260</v>
      </c>
      <c r="AQ1773" t="s">
        <v>261</v>
      </c>
      <c r="AS1773">
        <v>25000</v>
      </c>
      <c r="AX1773" t="s">
        <v>262</v>
      </c>
      <c r="BO1773" t="s">
        <v>261</v>
      </c>
      <c r="BQ1773">
        <v>25</v>
      </c>
      <c r="BV1773" t="s">
        <v>263</v>
      </c>
      <c r="CM1773" t="s">
        <v>264</v>
      </c>
      <c r="CN1773" t="s">
        <v>264</v>
      </c>
      <c r="CP1773" t="s">
        <v>265</v>
      </c>
      <c r="CQ1773" t="s">
        <v>538</v>
      </c>
      <c r="DB1773">
        <v>4</v>
      </c>
      <c r="DG1773" t="s">
        <v>267</v>
      </c>
      <c r="DI1773">
        <v>96</v>
      </c>
      <c r="DN1773" t="s">
        <v>268</v>
      </c>
      <c r="DP1773" t="s">
        <v>2185</v>
      </c>
      <c r="DR1773">
        <v>371472</v>
      </c>
      <c r="DS1773">
        <v>1342</v>
      </c>
      <c r="DT1773" t="s">
        <v>3394</v>
      </c>
      <c r="EW1773" t="s">
        <v>271</v>
      </c>
      <c r="FM1773">
        <v>10</v>
      </c>
      <c r="FR1773" t="s">
        <v>295</v>
      </c>
      <c r="GU1773">
        <v>25</v>
      </c>
      <c r="GZ1773" t="s">
        <v>296</v>
      </c>
      <c r="HH1773" t="s">
        <v>272</v>
      </c>
      <c r="IE1773" t="s">
        <v>3395</v>
      </c>
      <c r="IF1773">
        <v>11873</v>
      </c>
      <c r="IG1773" t="s">
        <v>3396</v>
      </c>
      <c r="IH1773" t="s">
        <v>3397</v>
      </c>
      <c r="II1773">
        <v>1984</v>
      </c>
      <c r="IJ1773" t="s">
        <v>3398</v>
      </c>
    </row>
    <row r="1774" spans="1:244" x14ac:dyDescent="0.45">
      <c r="A1774">
        <v>1201126</v>
      </c>
      <c r="B1774">
        <v>160589</v>
      </c>
      <c r="C1774">
        <v>7778509</v>
      </c>
      <c r="D1774" t="s">
        <v>3280</v>
      </c>
      <c r="F1774" t="s">
        <v>245</v>
      </c>
      <c r="G1774" t="s">
        <v>246</v>
      </c>
      <c r="N1774" t="s">
        <v>566</v>
      </c>
      <c r="O1774" t="s">
        <v>388</v>
      </c>
      <c r="P1774" t="s">
        <v>249</v>
      </c>
      <c r="Q1774" t="s">
        <v>250</v>
      </c>
      <c r="R1774" t="s">
        <v>251</v>
      </c>
      <c r="T1774" t="s">
        <v>389</v>
      </c>
      <c r="U1774" t="s">
        <v>390</v>
      </c>
      <c r="V1774" t="s">
        <v>567</v>
      </c>
      <c r="W1774" t="s">
        <v>568</v>
      </c>
      <c r="X1774" t="s">
        <v>569</v>
      </c>
      <c r="Z1774" t="s">
        <v>649</v>
      </c>
      <c r="AM1774" t="s">
        <v>287</v>
      </c>
      <c r="AN1774" t="s">
        <v>259</v>
      </c>
      <c r="AO1774" t="s">
        <v>260</v>
      </c>
      <c r="AQ1774" t="s">
        <v>261</v>
      </c>
      <c r="AS1774">
        <v>34800</v>
      </c>
      <c r="AX1774" t="s">
        <v>262</v>
      </c>
      <c r="BO1774" t="s">
        <v>261</v>
      </c>
      <c r="BQ1774">
        <v>34.799999999999997</v>
      </c>
      <c r="BV1774" t="s">
        <v>263</v>
      </c>
      <c r="CM1774" t="s">
        <v>264</v>
      </c>
      <c r="CN1774" t="s">
        <v>264</v>
      </c>
      <c r="CP1774" t="s">
        <v>265</v>
      </c>
      <c r="DB1774">
        <v>4</v>
      </c>
      <c r="DG1774" t="s">
        <v>267</v>
      </c>
      <c r="DI1774">
        <v>96</v>
      </c>
      <c r="DN1774" t="s">
        <v>268</v>
      </c>
      <c r="DS1774">
        <v>212</v>
      </c>
      <c r="DT1774" t="s">
        <v>3399</v>
      </c>
      <c r="EW1774" t="s">
        <v>293</v>
      </c>
      <c r="FM1774">
        <v>20</v>
      </c>
      <c r="FR1774" t="s">
        <v>295</v>
      </c>
      <c r="GU1774">
        <v>9</v>
      </c>
      <c r="GZ1774" t="s">
        <v>296</v>
      </c>
      <c r="HH1774" t="s">
        <v>272</v>
      </c>
      <c r="IE1774" t="s">
        <v>3400</v>
      </c>
      <c r="IF1774">
        <v>18307</v>
      </c>
      <c r="IG1774" t="s">
        <v>3401</v>
      </c>
      <c r="IH1774" t="s">
        <v>3402</v>
      </c>
      <c r="II1774">
        <v>1993</v>
      </c>
      <c r="IJ1774" t="s">
        <v>3403</v>
      </c>
    </row>
    <row r="1775" spans="1:244" x14ac:dyDescent="0.45">
      <c r="A1775">
        <v>1068386</v>
      </c>
      <c r="B1775">
        <v>276</v>
      </c>
      <c r="C1775">
        <v>7778509</v>
      </c>
      <c r="D1775" t="s">
        <v>3280</v>
      </c>
      <c r="F1775" t="s">
        <v>245</v>
      </c>
      <c r="G1775" t="s">
        <v>246</v>
      </c>
      <c r="N1775" t="s">
        <v>1564</v>
      </c>
      <c r="O1775" t="s">
        <v>1565</v>
      </c>
      <c r="P1775" t="s">
        <v>249</v>
      </c>
      <c r="Q1775" t="s">
        <v>250</v>
      </c>
      <c r="R1775" t="s">
        <v>251</v>
      </c>
      <c r="T1775" t="s">
        <v>252</v>
      </c>
      <c r="U1775" t="s">
        <v>253</v>
      </c>
      <c r="V1775" t="s">
        <v>254</v>
      </c>
      <c r="W1775" t="s">
        <v>1566</v>
      </c>
      <c r="X1775" t="s">
        <v>1567</v>
      </c>
      <c r="Z1775" t="s">
        <v>649</v>
      </c>
      <c r="AL1775" t="s">
        <v>3409</v>
      </c>
      <c r="AM1775" t="s">
        <v>317</v>
      </c>
      <c r="AN1775" t="s">
        <v>259</v>
      </c>
      <c r="AO1775" t="s">
        <v>260</v>
      </c>
      <c r="AQ1775" t="s">
        <v>261</v>
      </c>
      <c r="AS1775">
        <v>89000</v>
      </c>
      <c r="AU1775">
        <v>80000</v>
      </c>
      <c r="AW1775">
        <v>99000</v>
      </c>
      <c r="AX1775" t="s">
        <v>262</v>
      </c>
      <c r="BO1775" t="s">
        <v>261</v>
      </c>
      <c r="BQ1775">
        <v>89</v>
      </c>
      <c r="BS1775">
        <v>80</v>
      </c>
      <c r="BU1775">
        <v>99</v>
      </c>
      <c r="BV1775" t="s">
        <v>263</v>
      </c>
      <c r="CM1775" t="s">
        <v>264</v>
      </c>
      <c r="CN1775" t="s">
        <v>264</v>
      </c>
      <c r="CP1775" t="s">
        <v>265</v>
      </c>
      <c r="CQ1775" t="s">
        <v>538</v>
      </c>
      <c r="DB1775">
        <v>4</v>
      </c>
      <c r="DG1775" t="s">
        <v>267</v>
      </c>
      <c r="DI1775">
        <v>96</v>
      </c>
      <c r="DN1775" t="s">
        <v>268</v>
      </c>
      <c r="DP1775" t="s">
        <v>570</v>
      </c>
      <c r="DR1775">
        <v>6763</v>
      </c>
      <c r="DS1775">
        <v>76</v>
      </c>
      <c r="DT1775" t="s">
        <v>3410</v>
      </c>
      <c r="EW1775" t="s">
        <v>271</v>
      </c>
      <c r="FO1775">
        <v>20</v>
      </c>
      <c r="FQ1775">
        <v>22</v>
      </c>
      <c r="FR1775" t="s">
        <v>295</v>
      </c>
      <c r="GQ1775">
        <v>6.5</v>
      </c>
      <c r="GS1775">
        <v>7.9</v>
      </c>
      <c r="GU1775">
        <v>15</v>
      </c>
      <c r="GZ1775" t="s">
        <v>296</v>
      </c>
      <c r="HH1775" t="s">
        <v>272</v>
      </c>
      <c r="IE1775" t="s">
        <v>3411</v>
      </c>
      <c r="IF1775">
        <v>5384</v>
      </c>
      <c r="IG1775" t="s">
        <v>3412</v>
      </c>
      <c r="IH1775" t="s">
        <v>3413</v>
      </c>
      <c r="II1775">
        <v>1979</v>
      </c>
      <c r="IJ1775" t="s">
        <v>3414</v>
      </c>
    </row>
    <row r="1776" spans="1:244" x14ac:dyDescent="0.45">
      <c r="A1776">
        <v>1141781</v>
      </c>
      <c r="B1776">
        <v>106937</v>
      </c>
      <c r="C1776">
        <v>7778509</v>
      </c>
      <c r="D1776" t="s">
        <v>3280</v>
      </c>
      <c r="F1776" t="s">
        <v>245</v>
      </c>
      <c r="G1776" t="s">
        <v>246</v>
      </c>
      <c r="N1776" t="s">
        <v>2183</v>
      </c>
      <c r="O1776" t="s">
        <v>498</v>
      </c>
      <c r="P1776" t="s">
        <v>249</v>
      </c>
      <c r="Q1776" t="s">
        <v>250</v>
      </c>
      <c r="R1776" t="s">
        <v>251</v>
      </c>
      <c r="T1776" t="s">
        <v>252</v>
      </c>
      <c r="U1776" t="s">
        <v>499</v>
      </c>
      <c r="V1776" t="s">
        <v>1281</v>
      </c>
      <c r="W1776" t="s">
        <v>1282</v>
      </c>
      <c r="X1776" t="s">
        <v>2184</v>
      </c>
      <c r="AM1776" t="s">
        <v>317</v>
      </c>
      <c r="AN1776" t="s">
        <v>259</v>
      </c>
      <c r="AO1776" t="s">
        <v>260</v>
      </c>
      <c r="AQ1776" t="s">
        <v>261</v>
      </c>
      <c r="AS1776">
        <v>5800</v>
      </c>
      <c r="AX1776" t="s">
        <v>262</v>
      </c>
      <c r="BO1776" t="s">
        <v>261</v>
      </c>
      <c r="BQ1776">
        <v>5.8</v>
      </c>
      <c r="BV1776" t="s">
        <v>263</v>
      </c>
      <c r="CM1776" t="s">
        <v>264</v>
      </c>
      <c r="CN1776" t="s">
        <v>264</v>
      </c>
      <c r="CP1776" t="s">
        <v>265</v>
      </c>
      <c r="CQ1776" t="s">
        <v>538</v>
      </c>
      <c r="DB1776">
        <v>4</v>
      </c>
      <c r="DG1776" t="s">
        <v>267</v>
      </c>
      <c r="DI1776">
        <v>96</v>
      </c>
      <c r="DN1776" t="s">
        <v>268</v>
      </c>
      <c r="DP1776" t="s">
        <v>2185</v>
      </c>
      <c r="DR1776">
        <v>371472</v>
      </c>
      <c r="DS1776">
        <v>1342</v>
      </c>
      <c r="DT1776" t="s">
        <v>3394</v>
      </c>
      <c r="EW1776" t="s">
        <v>271</v>
      </c>
      <c r="FM1776">
        <v>10</v>
      </c>
      <c r="FR1776" t="s">
        <v>295</v>
      </c>
      <c r="GU1776">
        <v>10</v>
      </c>
      <c r="GZ1776" t="s">
        <v>296</v>
      </c>
      <c r="HH1776" t="s">
        <v>272</v>
      </c>
      <c r="IE1776" t="s">
        <v>3395</v>
      </c>
      <c r="IF1776">
        <v>11873</v>
      </c>
      <c r="IG1776" t="s">
        <v>3396</v>
      </c>
      <c r="IH1776" t="s">
        <v>3397</v>
      </c>
      <c r="II1776">
        <v>1984</v>
      </c>
      <c r="IJ1776" t="s">
        <v>3398</v>
      </c>
    </row>
    <row r="1777" spans="1:244" x14ac:dyDescent="0.45">
      <c r="A1777">
        <v>1141787</v>
      </c>
      <c r="B1777">
        <v>106943</v>
      </c>
      <c r="C1777">
        <v>7778509</v>
      </c>
      <c r="D1777" t="s">
        <v>3280</v>
      </c>
      <c r="F1777" t="s">
        <v>245</v>
      </c>
      <c r="G1777" t="s">
        <v>246</v>
      </c>
      <c r="N1777" t="s">
        <v>2183</v>
      </c>
      <c r="O1777" t="s">
        <v>498</v>
      </c>
      <c r="P1777" t="s">
        <v>249</v>
      </c>
      <c r="Q1777" t="s">
        <v>250</v>
      </c>
      <c r="R1777" t="s">
        <v>251</v>
      </c>
      <c r="T1777" t="s">
        <v>252</v>
      </c>
      <c r="U1777" t="s">
        <v>499</v>
      </c>
      <c r="V1777" t="s">
        <v>1281</v>
      </c>
      <c r="W1777" t="s">
        <v>1282</v>
      </c>
      <c r="X1777" t="s">
        <v>2184</v>
      </c>
      <c r="AM1777" t="s">
        <v>317</v>
      </c>
      <c r="AN1777" t="s">
        <v>259</v>
      </c>
      <c r="AO1777" t="s">
        <v>260</v>
      </c>
      <c r="AQ1777" t="s">
        <v>261</v>
      </c>
      <c r="AS1777">
        <v>38000</v>
      </c>
      <c r="AX1777" t="s">
        <v>262</v>
      </c>
      <c r="BO1777" t="s">
        <v>261</v>
      </c>
      <c r="BQ1777">
        <v>38</v>
      </c>
      <c r="BV1777" t="s">
        <v>263</v>
      </c>
      <c r="CM1777" t="s">
        <v>264</v>
      </c>
      <c r="CN1777" t="s">
        <v>264</v>
      </c>
      <c r="CP1777" t="s">
        <v>265</v>
      </c>
      <c r="CQ1777" t="s">
        <v>538</v>
      </c>
      <c r="DB1777">
        <v>4</v>
      </c>
      <c r="DG1777" t="s">
        <v>267</v>
      </c>
      <c r="DI1777">
        <v>96</v>
      </c>
      <c r="DN1777" t="s">
        <v>268</v>
      </c>
      <c r="DP1777" t="s">
        <v>2185</v>
      </c>
      <c r="DR1777">
        <v>371472</v>
      </c>
      <c r="DS1777">
        <v>1342</v>
      </c>
      <c r="DT1777" t="s">
        <v>3394</v>
      </c>
      <c r="EW1777" t="s">
        <v>271</v>
      </c>
      <c r="FM1777">
        <v>10</v>
      </c>
      <c r="FR1777" t="s">
        <v>295</v>
      </c>
      <c r="GU1777">
        <v>40</v>
      </c>
      <c r="GZ1777" t="s">
        <v>296</v>
      </c>
      <c r="HH1777" t="s">
        <v>272</v>
      </c>
      <c r="IE1777" t="s">
        <v>3395</v>
      </c>
      <c r="IF1777">
        <v>11873</v>
      </c>
      <c r="IG1777" t="s">
        <v>3396</v>
      </c>
      <c r="IH1777" t="s">
        <v>3397</v>
      </c>
      <c r="II1777">
        <v>1984</v>
      </c>
      <c r="IJ1777" t="s">
        <v>3398</v>
      </c>
    </row>
    <row r="1778" spans="1:244" x14ac:dyDescent="0.45">
      <c r="A1778">
        <v>1068387</v>
      </c>
      <c r="B1778">
        <v>377</v>
      </c>
      <c r="C1778">
        <v>7778509</v>
      </c>
      <c r="D1778" t="s">
        <v>3280</v>
      </c>
      <c r="F1778" t="s">
        <v>245</v>
      </c>
      <c r="G1778" t="s">
        <v>246</v>
      </c>
      <c r="N1778" t="s">
        <v>1564</v>
      </c>
      <c r="O1778" t="s">
        <v>1565</v>
      </c>
      <c r="P1778" t="s">
        <v>249</v>
      </c>
      <c r="Q1778" t="s">
        <v>250</v>
      </c>
      <c r="R1778" t="s">
        <v>251</v>
      </c>
      <c r="T1778" t="s">
        <v>252</v>
      </c>
      <c r="U1778" t="s">
        <v>253</v>
      </c>
      <c r="V1778" t="s">
        <v>254</v>
      </c>
      <c r="W1778" t="s">
        <v>1566</v>
      </c>
      <c r="X1778" t="s">
        <v>1567</v>
      </c>
      <c r="Z1778" t="s">
        <v>649</v>
      </c>
      <c r="AL1778" t="s">
        <v>3409</v>
      </c>
      <c r="AM1778" t="s">
        <v>317</v>
      </c>
      <c r="AN1778" t="s">
        <v>259</v>
      </c>
      <c r="AO1778" t="s">
        <v>260</v>
      </c>
      <c r="AQ1778" t="s">
        <v>261</v>
      </c>
      <c r="AS1778">
        <v>114000</v>
      </c>
      <c r="AU1778">
        <v>103000</v>
      </c>
      <c r="AW1778">
        <v>127000</v>
      </c>
      <c r="AX1778" t="s">
        <v>262</v>
      </c>
      <c r="BO1778" t="s">
        <v>261</v>
      </c>
      <c r="BQ1778">
        <v>114</v>
      </c>
      <c r="BS1778">
        <v>103</v>
      </c>
      <c r="BU1778">
        <v>127</v>
      </c>
      <c r="BV1778" t="s">
        <v>263</v>
      </c>
      <c r="CM1778" t="s">
        <v>264</v>
      </c>
      <c r="CN1778" t="s">
        <v>264</v>
      </c>
      <c r="CP1778" t="s">
        <v>265</v>
      </c>
      <c r="CQ1778" t="s">
        <v>538</v>
      </c>
      <c r="DB1778">
        <v>3</v>
      </c>
      <c r="DG1778" t="s">
        <v>267</v>
      </c>
      <c r="DI1778">
        <v>72</v>
      </c>
      <c r="DN1778" t="s">
        <v>268</v>
      </c>
      <c r="DP1778" t="s">
        <v>570</v>
      </c>
      <c r="DR1778">
        <v>6763</v>
      </c>
      <c r="DS1778">
        <v>76</v>
      </c>
      <c r="DT1778" t="s">
        <v>3410</v>
      </c>
      <c r="EW1778" t="s">
        <v>271</v>
      </c>
      <c r="FO1778">
        <v>20</v>
      </c>
      <c r="FQ1778">
        <v>22</v>
      </c>
      <c r="FR1778" t="s">
        <v>295</v>
      </c>
      <c r="GQ1778">
        <v>6.5</v>
      </c>
      <c r="GS1778">
        <v>7.9</v>
      </c>
      <c r="GU1778">
        <v>35</v>
      </c>
      <c r="GZ1778" t="s">
        <v>296</v>
      </c>
      <c r="HH1778" t="s">
        <v>272</v>
      </c>
      <c r="IE1778" t="s">
        <v>3411</v>
      </c>
      <c r="IF1778">
        <v>5384</v>
      </c>
      <c r="IG1778" t="s">
        <v>3412</v>
      </c>
      <c r="IH1778" t="s">
        <v>3413</v>
      </c>
      <c r="II1778">
        <v>1979</v>
      </c>
      <c r="IJ1778" t="s">
        <v>3414</v>
      </c>
    </row>
    <row r="1779" spans="1:244" x14ac:dyDescent="0.45">
      <c r="A1779">
        <v>1141813</v>
      </c>
      <c r="B1779">
        <v>106969</v>
      </c>
      <c r="C1779">
        <v>7778509</v>
      </c>
      <c r="D1779" t="s">
        <v>3280</v>
      </c>
      <c r="F1779" t="s">
        <v>245</v>
      </c>
      <c r="G1779" t="s">
        <v>246</v>
      </c>
      <c r="N1779" t="s">
        <v>2183</v>
      </c>
      <c r="O1779" t="s">
        <v>498</v>
      </c>
      <c r="P1779" t="s">
        <v>249</v>
      </c>
      <c r="Q1779" t="s">
        <v>250</v>
      </c>
      <c r="R1779" t="s">
        <v>251</v>
      </c>
      <c r="T1779" t="s">
        <v>252</v>
      </c>
      <c r="U1779" t="s">
        <v>499</v>
      </c>
      <c r="V1779" t="s">
        <v>1281</v>
      </c>
      <c r="W1779" t="s">
        <v>1282</v>
      </c>
      <c r="X1779" t="s">
        <v>2184</v>
      </c>
      <c r="AM1779" t="s">
        <v>317</v>
      </c>
      <c r="AN1779" t="s">
        <v>259</v>
      </c>
      <c r="AO1779" t="s">
        <v>260</v>
      </c>
      <c r="AQ1779" t="s">
        <v>261</v>
      </c>
      <c r="AS1779">
        <v>26000</v>
      </c>
      <c r="AX1779" t="s">
        <v>262</v>
      </c>
      <c r="BO1779" t="s">
        <v>261</v>
      </c>
      <c r="BQ1779">
        <v>26</v>
      </c>
      <c r="BV1779" t="s">
        <v>263</v>
      </c>
      <c r="CM1779" t="s">
        <v>264</v>
      </c>
      <c r="CN1779" t="s">
        <v>264</v>
      </c>
      <c r="CP1779" t="s">
        <v>265</v>
      </c>
      <c r="CQ1779" t="s">
        <v>538</v>
      </c>
      <c r="DB1779">
        <v>2</v>
      </c>
      <c r="DG1779" t="s">
        <v>267</v>
      </c>
      <c r="DI1779">
        <v>48</v>
      </c>
      <c r="DN1779" t="s">
        <v>268</v>
      </c>
      <c r="DP1779" t="s">
        <v>2185</v>
      </c>
      <c r="DR1779">
        <v>371472</v>
      </c>
      <c r="DS1779">
        <v>1342</v>
      </c>
      <c r="DT1779" t="s">
        <v>3394</v>
      </c>
      <c r="EW1779" t="s">
        <v>271</v>
      </c>
      <c r="FM1779">
        <v>15</v>
      </c>
      <c r="FR1779" t="s">
        <v>295</v>
      </c>
      <c r="GU1779">
        <v>30</v>
      </c>
      <c r="GZ1779" t="s">
        <v>296</v>
      </c>
      <c r="HH1779" t="s">
        <v>272</v>
      </c>
      <c r="IE1779" t="s">
        <v>3395</v>
      </c>
      <c r="IF1779">
        <v>11873</v>
      </c>
      <c r="IG1779" t="s">
        <v>3396</v>
      </c>
      <c r="IH1779" t="s">
        <v>3397</v>
      </c>
      <c r="II1779">
        <v>1984</v>
      </c>
      <c r="IJ1779" t="s">
        <v>3398</v>
      </c>
    </row>
    <row r="1780" spans="1:244" x14ac:dyDescent="0.45">
      <c r="A1780">
        <v>1201132</v>
      </c>
      <c r="B1780">
        <v>160596</v>
      </c>
      <c r="C1780">
        <v>7778509</v>
      </c>
      <c r="D1780" t="s">
        <v>3280</v>
      </c>
      <c r="F1780" t="s">
        <v>245</v>
      </c>
      <c r="G1780" t="s">
        <v>246</v>
      </c>
      <c r="N1780" t="s">
        <v>566</v>
      </c>
      <c r="O1780" t="s">
        <v>388</v>
      </c>
      <c r="P1780" t="s">
        <v>249</v>
      </c>
      <c r="Q1780" t="s">
        <v>250</v>
      </c>
      <c r="R1780" t="s">
        <v>251</v>
      </c>
      <c r="T1780" t="s">
        <v>389</v>
      </c>
      <c r="U1780" t="s">
        <v>390</v>
      </c>
      <c r="V1780" t="s">
        <v>567</v>
      </c>
      <c r="W1780" t="s">
        <v>568</v>
      </c>
      <c r="X1780" t="s">
        <v>569</v>
      </c>
      <c r="Z1780" t="s">
        <v>649</v>
      </c>
      <c r="AM1780" t="s">
        <v>287</v>
      </c>
      <c r="AN1780" t="s">
        <v>259</v>
      </c>
      <c r="AO1780" t="s">
        <v>260</v>
      </c>
      <c r="AQ1780" t="s">
        <v>261</v>
      </c>
      <c r="AS1780">
        <v>44600</v>
      </c>
      <c r="AX1780" t="s">
        <v>262</v>
      </c>
      <c r="BO1780" t="s">
        <v>261</v>
      </c>
      <c r="BQ1780">
        <v>44.6</v>
      </c>
      <c r="BV1780" t="s">
        <v>263</v>
      </c>
      <c r="CM1780" t="s">
        <v>264</v>
      </c>
      <c r="CN1780" t="s">
        <v>264</v>
      </c>
      <c r="CP1780" t="s">
        <v>265</v>
      </c>
      <c r="DB1780">
        <v>4</v>
      </c>
      <c r="DG1780" t="s">
        <v>267</v>
      </c>
      <c r="DI1780">
        <v>96</v>
      </c>
      <c r="DN1780" t="s">
        <v>268</v>
      </c>
      <c r="DS1780">
        <v>212</v>
      </c>
      <c r="DT1780" t="s">
        <v>3399</v>
      </c>
      <c r="EW1780" t="s">
        <v>293</v>
      </c>
      <c r="FM1780">
        <v>20</v>
      </c>
      <c r="FR1780" t="s">
        <v>295</v>
      </c>
      <c r="GU1780">
        <v>33</v>
      </c>
      <c r="GZ1780" t="s">
        <v>296</v>
      </c>
      <c r="HH1780" t="s">
        <v>272</v>
      </c>
      <c r="IE1780" t="s">
        <v>3400</v>
      </c>
      <c r="IF1780">
        <v>18307</v>
      </c>
      <c r="IG1780" t="s">
        <v>3401</v>
      </c>
      <c r="IH1780" t="s">
        <v>3402</v>
      </c>
      <c r="II1780">
        <v>1993</v>
      </c>
      <c r="IJ1780" t="s">
        <v>3403</v>
      </c>
    </row>
    <row r="1781" spans="1:244" x14ac:dyDescent="0.45">
      <c r="A1781">
        <v>1201123</v>
      </c>
      <c r="B1781">
        <v>160586</v>
      </c>
      <c r="C1781">
        <v>7778509</v>
      </c>
      <c r="D1781" t="s">
        <v>3280</v>
      </c>
      <c r="F1781" t="s">
        <v>245</v>
      </c>
      <c r="G1781" t="s">
        <v>246</v>
      </c>
      <c r="N1781" t="s">
        <v>566</v>
      </c>
      <c r="O1781" t="s">
        <v>388</v>
      </c>
      <c r="P1781" t="s">
        <v>249</v>
      </c>
      <c r="Q1781" t="s">
        <v>250</v>
      </c>
      <c r="R1781" t="s">
        <v>251</v>
      </c>
      <c r="T1781" t="s">
        <v>389</v>
      </c>
      <c r="U1781" t="s">
        <v>390</v>
      </c>
      <c r="V1781" t="s">
        <v>567</v>
      </c>
      <c r="W1781" t="s">
        <v>568</v>
      </c>
      <c r="X1781" t="s">
        <v>569</v>
      </c>
      <c r="Z1781" t="s">
        <v>649</v>
      </c>
      <c r="AM1781" t="s">
        <v>287</v>
      </c>
      <c r="AN1781" t="s">
        <v>259</v>
      </c>
      <c r="AO1781" t="s">
        <v>260</v>
      </c>
      <c r="AQ1781" t="s">
        <v>261</v>
      </c>
      <c r="AS1781">
        <v>8700</v>
      </c>
      <c r="AX1781" t="s">
        <v>262</v>
      </c>
      <c r="BO1781" t="s">
        <v>261</v>
      </c>
      <c r="BQ1781">
        <v>8.6999999999999993</v>
      </c>
      <c r="BV1781" t="s">
        <v>263</v>
      </c>
      <c r="CM1781" t="s">
        <v>264</v>
      </c>
      <c r="CN1781" t="s">
        <v>264</v>
      </c>
      <c r="CP1781" t="s">
        <v>265</v>
      </c>
      <c r="DB1781">
        <v>4</v>
      </c>
      <c r="DG1781" t="s">
        <v>267</v>
      </c>
      <c r="DI1781">
        <v>96</v>
      </c>
      <c r="DN1781" t="s">
        <v>268</v>
      </c>
      <c r="DS1781">
        <v>212</v>
      </c>
      <c r="DT1781" t="s">
        <v>3399</v>
      </c>
      <c r="EW1781" t="s">
        <v>293</v>
      </c>
      <c r="FM1781">
        <v>20</v>
      </c>
      <c r="FR1781" t="s">
        <v>295</v>
      </c>
      <c r="GU1781">
        <v>9</v>
      </c>
      <c r="GZ1781" t="s">
        <v>296</v>
      </c>
      <c r="HH1781" t="s">
        <v>272</v>
      </c>
      <c r="IE1781" t="s">
        <v>3400</v>
      </c>
      <c r="IF1781">
        <v>18307</v>
      </c>
      <c r="IG1781" t="s">
        <v>3401</v>
      </c>
      <c r="IH1781" t="s">
        <v>3402</v>
      </c>
      <c r="II1781">
        <v>1993</v>
      </c>
      <c r="IJ1781" t="s">
        <v>3403</v>
      </c>
    </row>
    <row r="1782" spans="1:244" x14ac:dyDescent="0.45">
      <c r="A1782">
        <v>1141769</v>
      </c>
      <c r="B1782">
        <v>105361</v>
      </c>
      <c r="C1782">
        <v>7778509</v>
      </c>
      <c r="D1782" t="s">
        <v>3280</v>
      </c>
      <c r="F1782" t="s">
        <v>245</v>
      </c>
      <c r="G1782" t="s">
        <v>246</v>
      </c>
      <c r="N1782" t="s">
        <v>2183</v>
      </c>
      <c r="O1782" t="s">
        <v>498</v>
      </c>
      <c r="P1782" t="s">
        <v>249</v>
      </c>
      <c r="Q1782" t="s">
        <v>250</v>
      </c>
      <c r="R1782" t="s">
        <v>251</v>
      </c>
      <c r="T1782" t="s">
        <v>252</v>
      </c>
      <c r="U1782" t="s">
        <v>499</v>
      </c>
      <c r="V1782" t="s">
        <v>1281</v>
      </c>
      <c r="W1782" t="s">
        <v>1282</v>
      </c>
      <c r="X1782" t="s">
        <v>2184</v>
      </c>
      <c r="AM1782" t="s">
        <v>317</v>
      </c>
      <c r="AN1782" t="s">
        <v>259</v>
      </c>
      <c r="AO1782" t="s">
        <v>260</v>
      </c>
      <c r="AQ1782" t="s">
        <v>261</v>
      </c>
      <c r="AS1782">
        <v>50000</v>
      </c>
      <c r="AX1782" t="s">
        <v>262</v>
      </c>
      <c r="BO1782" t="s">
        <v>261</v>
      </c>
      <c r="BQ1782">
        <v>50</v>
      </c>
      <c r="BV1782" t="s">
        <v>263</v>
      </c>
      <c r="CM1782" t="s">
        <v>264</v>
      </c>
      <c r="CN1782" t="s">
        <v>264</v>
      </c>
      <c r="CP1782" t="s">
        <v>265</v>
      </c>
      <c r="CQ1782" t="s">
        <v>538</v>
      </c>
      <c r="DB1782">
        <v>2</v>
      </c>
      <c r="DG1782" t="s">
        <v>267</v>
      </c>
      <c r="DI1782">
        <v>48</v>
      </c>
      <c r="DN1782" t="s">
        <v>268</v>
      </c>
      <c r="DP1782" t="s">
        <v>2185</v>
      </c>
      <c r="DR1782">
        <v>371472</v>
      </c>
      <c r="DS1782">
        <v>1342</v>
      </c>
      <c r="DT1782" t="s">
        <v>3394</v>
      </c>
      <c r="EW1782" t="s">
        <v>271</v>
      </c>
      <c r="FM1782">
        <v>5</v>
      </c>
      <c r="FR1782" t="s">
        <v>295</v>
      </c>
      <c r="GU1782">
        <v>20</v>
      </c>
      <c r="GZ1782" t="s">
        <v>296</v>
      </c>
      <c r="HH1782" t="s">
        <v>272</v>
      </c>
      <c r="IE1782" t="s">
        <v>3395</v>
      </c>
      <c r="IF1782">
        <v>11873</v>
      </c>
      <c r="IG1782" t="s">
        <v>3396</v>
      </c>
      <c r="IH1782" t="s">
        <v>3397</v>
      </c>
      <c r="II1782">
        <v>1984</v>
      </c>
      <c r="IJ1782" t="s">
        <v>3398</v>
      </c>
    </row>
    <row r="1783" spans="1:244" x14ac:dyDescent="0.45">
      <c r="A1783">
        <v>1141901</v>
      </c>
      <c r="B1783">
        <v>107057</v>
      </c>
      <c r="C1783">
        <v>7778509</v>
      </c>
      <c r="D1783" t="s">
        <v>3280</v>
      </c>
      <c r="F1783" t="s">
        <v>245</v>
      </c>
      <c r="G1783" t="s">
        <v>246</v>
      </c>
      <c r="N1783" t="s">
        <v>2183</v>
      </c>
      <c r="O1783" t="s">
        <v>498</v>
      </c>
      <c r="P1783" t="s">
        <v>249</v>
      </c>
      <c r="Q1783" t="s">
        <v>250</v>
      </c>
      <c r="R1783" t="s">
        <v>251</v>
      </c>
      <c r="T1783" t="s">
        <v>252</v>
      </c>
      <c r="U1783" t="s">
        <v>499</v>
      </c>
      <c r="V1783" t="s">
        <v>1281</v>
      </c>
      <c r="W1783" t="s">
        <v>1282</v>
      </c>
      <c r="X1783" t="s">
        <v>2184</v>
      </c>
      <c r="AM1783" t="s">
        <v>317</v>
      </c>
      <c r="AN1783" t="s">
        <v>259</v>
      </c>
      <c r="AO1783" t="s">
        <v>260</v>
      </c>
      <c r="AQ1783" t="s">
        <v>261</v>
      </c>
      <c r="AS1783">
        <v>40000</v>
      </c>
      <c r="AX1783" t="s">
        <v>262</v>
      </c>
      <c r="BO1783" t="s">
        <v>261</v>
      </c>
      <c r="BQ1783">
        <v>40</v>
      </c>
      <c r="BV1783" t="s">
        <v>263</v>
      </c>
      <c r="CM1783" t="s">
        <v>264</v>
      </c>
      <c r="CN1783" t="s">
        <v>264</v>
      </c>
      <c r="CP1783" t="s">
        <v>265</v>
      </c>
      <c r="CQ1783" t="s">
        <v>538</v>
      </c>
      <c r="DB1783">
        <v>4</v>
      </c>
      <c r="DG1783" t="s">
        <v>267</v>
      </c>
      <c r="DI1783">
        <v>96</v>
      </c>
      <c r="DN1783" t="s">
        <v>268</v>
      </c>
      <c r="DP1783" t="s">
        <v>2185</v>
      </c>
      <c r="DR1783">
        <v>371472</v>
      </c>
      <c r="DS1783">
        <v>1342</v>
      </c>
      <c r="DT1783" t="s">
        <v>3394</v>
      </c>
      <c r="EW1783" t="s">
        <v>271</v>
      </c>
      <c r="FM1783">
        <v>5</v>
      </c>
      <c r="FR1783" t="s">
        <v>295</v>
      </c>
      <c r="GU1783">
        <v>35</v>
      </c>
      <c r="GZ1783" t="s">
        <v>296</v>
      </c>
      <c r="HH1783" t="s">
        <v>272</v>
      </c>
      <c r="IE1783" t="s">
        <v>3395</v>
      </c>
      <c r="IF1783">
        <v>11873</v>
      </c>
      <c r="IG1783" t="s">
        <v>3396</v>
      </c>
      <c r="IH1783" t="s">
        <v>3397</v>
      </c>
      <c r="II1783">
        <v>1984</v>
      </c>
      <c r="IJ1783" t="s">
        <v>3398</v>
      </c>
    </row>
    <row r="1784" spans="1:244" x14ac:dyDescent="0.45">
      <c r="A1784">
        <v>1201117</v>
      </c>
      <c r="B1784">
        <v>160580</v>
      </c>
      <c r="C1784">
        <v>7778509</v>
      </c>
      <c r="D1784" t="s">
        <v>3280</v>
      </c>
      <c r="F1784" t="s">
        <v>245</v>
      </c>
      <c r="G1784" t="s">
        <v>246</v>
      </c>
      <c r="N1784" t="s">
        <v>566</v>
      </c>
      <c r="O1784" t="s">
        <v>388</v>
      </c>
      <c r="P1784" t="s">
        <v>249</v>
      </c>
      <c r="Q1784" t="s">
        <v>250</v>
      </c>
      <c r="R1784" t="s">
        <v>251</v>
      </c>
      <c r="T1784" t="s">
        <v>389</v>
      </c>
      <c r="U1784" t="s">
        <v>390</v>
      </c>
      <c r="V1784" t="s">
        <v>567</v>
      </c>
      <c r="W1784" t="s">
        <v>568</v>
      </c>
      <c r="X1784" t="s">
        <v>569</v>
      </c>
      <c r="Z1784" t="s">
        <v>649</v>
      </c>
      <c r="AM1784" t="s">
        <v>287</v>
      </c>
      <c r="AN1784" t="s">
        <v>259</v>
      </c>
      <c r="AO1784" t="s">
        <v>260</v>
      </c>
      <c r="AQ1784" t="s">
        <v>261</v>
      </c>
      <c r="AS1784">
        <v>24200</v>
      </c>
      <c r="AX1784" t="s">
        <v>262</v>
      </c>
      <c r="BO1784" t="s">
        <v>261</v>
      </c>
      <c r="BQ1784">
        <v>24.2</v>
      </c>
      <c r="BV1784" t="s">
        <v>263</v>
      </c>
      <c r="CM1784" t="s">
        <v>264</v>
      </c>
      <c r="CN1784" t="s">
        <v>264</v>
      </c>
      <c r="CP1784" t="s">
        <v>265</v>
      </c>
      <c r="DB1784">
        <v>4</v>
      </c>
      <c r="DG1784" t="s">
        <v>267</v>
      </c>
      <c r="DI1784">
        <v>96</v>
      </c>
      <c r="DN1784" t="s">
        <v>268</v>
      </c>
      <c r="DS1784">
        <v>212</v>
      </c>
      <c r="DT1784" t="s">
        <v>3399</v>
      </c>
      <c r="EW1784" t="s">
        <v>293</v>
      </c>
      <c r="FM1784">
        <v>20</v>
      </c>
      <c r="FR1784" t="s">
        <v>295</v>
      </c>
      <c r="GU1784">
        <v>7</v>
      </c>
      <c r="GZ1784" t="s">
        <v>296</v>
      </c>
      <c r="HH1784" t="s">
        <v>272</v>
      </c>
      <c r="IE1784" t="s">
        <v>3400</v>
      </c>
      <c r="IF1784">
        <v>18307</v>
      </c>
      <c r="IG1784" t="s">
        <v>3401</v>
      </c>
      <c r="IH1784" t="s">
        <v>3402</v>
      </c>
      <c r="II1784">
        <v>1993</v>
      </c>
      <c r="IJ1784" t="s">
        <v>3403</v>
      </c>
    </row>
    <row r="1785" spans="1:244" x14ac:dyDescent="0.45">
      <c r="A1785">
        <v>1201128</v>
      </c>
      <c r="B1785">
        <v>160591</v>
      </c>
      <c r="C1785">
        <v>7778509</v>
      </c>
      <c r="D1785" t="s">
        <v>3280</v>
      </c>
      <c r="F1785" t="s">
        <v>245</v>
      </c>
      <c r="G1785" t="s">
        <v>246</v>
      </c>
      <c r="N1785" t="s">
        <v>566</v>
      </c>
      <c r="O1785" t="s">
        <v>388</v>
      </c>
      <c r="P1785" t="s">
        <v>249</v>
      </c>
      <c r="Q1785" t="s">
        <v>250</v>
      </c>
      <c r="R1785" t="s">
        <v>251</v>
      </c>
      <c r="T1785" t="s">
        <v>389</v>
      </c>
      <c r="U1785" t="s">
        <v>390</v>
      </c>
      <c r="V1785" t="s">
        <v>567</v>
      </c>
      <c r="W1785" t="s">
        <v>568</v>
      </c>
      <c r="X1785" t="s">
        <v>569</v>
      </c>
      <c r="Z1785" t="s">
        <v>649</v>
      </c>
      <c r="AM1785" t="s">
        <v>287</v>
      </c>
      <c r="AN1785" t="s">
        <v>259</v>
      </c>
      <c r="AO1785" t="s">
        <v>260</v>
      </c>
      <c r="AQ1785" t="s">
        <v>261</v>
      </c>
      <c r="AS1785">
        <v>34800</v>
      </c>
      <c r="AX1785" t="s">
        <v>262</v>
      </c>
      <c r="BO1785" t="s">
        <v>261</v>
      </c>
      <c r="BQ1785">
        <v>34.799999999999997</v>
      </c>
      <c r="BV1785" t="s">
        <v>263</v>
      </c>
      <c r="CM1785" t="s">
        <v>264</v>
      </c>
      <c r="CN1785" t="s">
        <v>264</v>
      </c>
      <c r="CP1785" t="s">
        <v>265</v>
      </c>
      <c r="DB1785">
        <v>4</v>
      </c>
      <c r="DG1785" t="s">
        <v>267</v>
      </c>
      <c r="DI1785">
        <v>96</v>
      </c>
      <c r="DN1785" t="s">
        <v>268</v>
      </c>
      <c r="DS1785">
        <v>212</v>
      </c>
      <c r="DT1785" t="s">
        <v>3399</v>
      </c>
      <c r="EW1785" t="s">
        <v>293</v>
      </c>
      <c r="FM1785">
        <v>20</v>
      </c>
      <c r="FR1785" t="s">
        <v>295</v>
      </c>
      <c r="GU1785">
        <v>15</v>
      </c>
      <c r="GZ1785" t="s">
        <v>296</v>
      </c>
      <c r="HH1785" t="s">
        <v>272</v>
      </c>
      <c r="IE1785" t="s">
        <v>3400</v>
      </c>
      <c r="IF1785">
        <v>18307</v>
      </c>
      <c r="IG1785" t="s">
        <v>3401</v>
      </c>
      <c r="IH1785" t="s">
        <v>3402</v>
      </c>
      <c r="II1785">
        <v>1993</v>
      </c>
      <c r="IJ1785" t="s">
        <v>3403</v>
      </c>
    </row>
    <row r="1786" spans="1:244" x14ac:dyDescent="0.45">
      <c r="A1786">
        <v>1149451</v>
      </c>
      <c r="B1786">
        <v>102112</v>
      </c>
      <c r="C1786">
        <v>7778509</v>
      </c>
      <c r="D1786" t="s">
        <v>3280</v>
      </c>
      <c r="F1786" t="s">
        <v>327</v>
      </c>
      <c r="G1786" t="s">
        <v>246</v>
      </c>
      <c r="N1786" t="s">
        <v>369</v>
      </c>
      <c r="O1786" t="s">
        <v>370</v>
      </c>
      <c r="P1786" t="s">
        <v>249</v>
      </c>
      <c r="Q1786" t="s">
        <v>250</v>
      </c>
      <c r="R1786" t="s">
        <v>251</v>
      </c>
      <c r="T1786" t="s">
        <v>252</v>
      </c>
      <c r="U1786" t="s">
        <v>371</v>
      </c>
      <c r="V1786" t="s">
        <v>372</v>
      </c>
      <c r="W1786" t="s">
        <v>373</v>
      </c>
      <c r="X1786" t="s">
        <v>374</v>
      </c>
      <c r="AM1786" t="s">
        <v>317</v>
      </c>
      <c r="AN1786" t="s">
        <v>259</v>
      </c>
      <c r="AO1786" t="s">
        <v>260</v>
      </c>
      <c r="AQ1786" t="s">
        <v>261</v>
      </c>
      <c r="AS1786">
        <v>7230</v>
      </c>
      <c r="AU1786">
        <v>6790</v>
      </c>
      <c r="AW1786">
        <v>8040</v>
      </c>
      <c r="AX1786" t="s">
        <v>262</v>
      </c>
      <c r="BO1786" t="s">
        <v>261</v>
      </c>
      <c r="BQ1786">
        <v>7.23</v>
      </c>
      <c r="BS1786">
        <v>6.79</v>
      </c>
      <c r="BU1786">
        <v>8.0399999999999991</v>
      </c>
      <c r="BV1786" t="s">
        <v>263</v>
      </c>
      <c r="CM1786" t="s">
        <v>264</v>
      </c>
      <c r="CN1786" t="s">
        <v>264</v>
      </c>
      <c r="CP1786" t="s">
        <v>265</v>
      </c>
      <c r="CQ1786" t="s">
        <v>538</v>
      </c>
      <c r="DB1786">
        <v>2</v>
      </c>
      <c r="DG1786" t="s">
        <v>267</v>
      </c>
      <c r="DI1786">
        <v>48</v>
      </c>
      <c r="DN1786" t="s">
        <v>268</v>
      </c>
      <c r="DR1786">
        <v>110441</v>
      </c>
      <c r="DS1786">
        <v>142</v>
      </c>
      <c r="DT1786" t="s">
        <v>3404</v>
      </c>
      <c r="EW1786" t="s">
        <v>333</v>
      </c>
      <c r="HH1786" t="s">
        <v>272</v>
      </c>
      <c r="IE1786" t="s">
        <v>3405</v>
      </c>
      <c r="IF1786">
        <v>12660</v>
      </c>
      <c r="IG1786" t="s">
        <v>3406</v>
      </c>
      <c r="IH1786" t="s">
        <v>3407</v>
      </c>
      <c r="II1786">
        <v>1987</v>
      </c>
      <c r="IJ1786" t="s">
        <v>3408</v>
      </c>
    </row>
    <row r="1787" spans="1:244" x14ac:dyDescent="0.45">
      <c r="A1787">
        <v>1236962</v>
      </c>
      <c r="B1787">
        <v>215847</v>
      </c>
      <c r="C1787">
        <v>7778509</v>
      </c>
      <c r="D1787" t="s">
        <v>3280</v>
      </c>
      <c r="E1787" t="s">
        <v>439</v>
      </c>
      <c r="F1787" t="s">
        <v>245</v>
      </c>
      <c r="G1787" t="s">
        <v>246</v>
      </c>
      <c r="H1787" t="s">
        <v>288</v>
      </c>
      <c r="I1787">
        <v>99.5</v>
      </c>
      <c r="N1787" t="s">
        <v>630</v>
      </c>
      <c r="O1787" t="s">
        <v>631</v>
      </c>
      <c r="P1787" t="s">
        <v>249</v>
      </c>
      <c r="Q1787" t="s">
        <v>250</v>
      </c>
      <c r="R1787" t="s">
        <v>251</v>
      </c>
      <c r="T1787" t="s">
        <v>389</v>
      </c>
      <c r="U1787" t="s">
        <v>632</v>
      </c>
      <c r="V1787" t="s">
        <v>633</v>
      </c>
      <c r="W1787" t="s">
        <v>634</v>
      </c>
      <c r="X1787" t="s">
        <v>635</v>
      </c>
      <c r="Z1787" t="s">
        <v>315</v>
      </c>
      <c r="AD1787">
        <v>10</v>
      </c>
      <c r="AF1787">
        <v>12</v>
      </c>
      <c r="AG1787" t="s">
        <v>267</v>
      </c>
      <c r="AM1787" t="s">
        <v>317</v>
      </c>
      <c r="AN1787" t="s">
        <v>259</v>
      </c>
      <c r="AO1787" t="s">
        <v>260</v>
      </c>
      <c r="AQ1787" t="s">
        <v>261</v>
      </c>
      <c r="AS1787">
        <v>10</v>
      </c>
      <c r="AU1787">
        <v>8.6999999999999993</v>
      </c>
      <c r="AW1787">
        <v>12</v>
      </c>
      <c r="AX1787" t="s">
        <v>356</v>
      </c>
      <c r="BO1787" t="s">
        <v>261</v>
      </c>
      <c r="BQ1787">
        <v>10</v>
      </c>
      <c r="BS1787">
        <v>8.6999999999999993</v>
      </c>
      <c r="BU1787">
        <v>12</v>
      </c>
      <c r="BV1787" t="s">
        <v>263</v>
      </c>
      <c r="CM1787" t="s">
        <v>264</v>
      </c>
      <c r="CN1787" t="s">
        <v>264</v>
      </c>
      <c r="CP1787" t="s">
        <v>265</v>
      </c>
      <c r="DB1787">
        <v>2</v>
      </c>
      <c r="DG1787" t="s">
        <v>267</v>
      </c>
      <c r="DI1787">
        <v>48</v>
      </c>
      <c r="DN1787" t="s">
        <v>268</v>
      </c>
      <c r="DO1787" t="s">
        <v>1587</v>
      </c>
      <c r="DQ1787" t="s">
        <v>3440</v>
      </c>
      <c r="DR1787">
        <v>136180</v>
      </c>
      <c r="DS1787">
        <v>376</v>
      </c>
      <c r="DT1787" t="s">
        <v>3441</v>
      </c>
      <c r="EW1787" t="s">
        <v>360</v>
      </c>
      <c r="FA1787" t="s">
        <v>3442</v>
      </c>
      <c r="FM1787">
        <v>20</v>
      </c>
      <c r="FR1787" t="s">
        <v>295</v>
      </c>
      <c r="GU1787">
        <v>18</v>
      </c>
      <c r="GZ1787" t="s">
        <v>296</v>
      </c>
      <c r="HH1787" t="s">
        <v>272</v>
      </c>
      <c r="IE1787" t="s">
        <v>3443</v>
      </c>
      <c r="IF1787">
        <v>66691</v>
      </c>
      <c r="IG1787" t="s">
        <v>3444</v>
      </c>
      <c r="IH1787" t="s">
        <v>3445</v>
      </c>
      <c r="II1787">
        <v>2001</v>
      </c>
      <c r="IJ1787" t="s">
        <v>3446</v>
      </c>
    </row>
    <row r="1788" spans="1:244" x14ac:dyDescent="0.45">
      <c r="A1788">
        <v>1201109</v>
      </c>
      <c r="B1788">
        <v>160572</v>
      </c>
      <c r="C1788">
        <v>7778509</v>
      </c>
      <c r="D1788" t="s">
        <v>3280</v>
      </c>
      <c r="F1788" t="s">
        <v>245</v>
      </c>
      <c r="G1788" t="s">
        <v>246</v>
      </c>
      <c r="N1788" t="s">
        <v>566</v>
      </c>
      <c r="O1788" t="s">
        <v>388</v>
      </c>
      <c r="P1788" t="s">
        <v>249</v>
      </c>
      <c r="Q1788" t="s">
        <v>250</v>
      </c>
      <c r="R1788" t="s">
        <v>251</v>
      </c>
      <c r="T1788" t="s">
        <v>389</v>
      </c>
      <c r="U1788" t="s">
        <v>390</v>
      </c>
      <c r="V1788" t="s">
        <v>567</v>
      </c>
      <c r="W1788" t="s">
        <v>568</v>
      </c>
      <c r="X1788" t="s">
        <v>569</v>
      </c>
      <c r="Z1788" t="s">
        <v>649</v>
      </c>
      <c r="AM1788" t="s">
        <v>287</v>
      </c>
      <c r="AN1788" t="s">
        <v>259</v>
      </c>
      <c r="AO1788" t="s">
        <v>260</v>
      </c>
      <c r="AQ1788" t="s">
        <v>261</v>
      </c>
      <c r="AR1788" t="s">
        <v>288</v>
      </c>
      <c r="AS1788">
        <v>80000</v>
      </c>
      <c r="AX1788" t="s">
        <v>262</v>
      </c>
      <c r="BO1788" t="s">
        <v>261</v>
      </c>
      <c r="BP1788" t="s">
        <v>288</v>
      </c>
      <c r="BQ1788">
        <v>80</v>
      </c>
      <c r="BV1788" t="s">
        <v>263</v>
      </c>
      <c r="CM1788" t="s">
        <v>264</v>
      </c>
      <c r="CN1788" t="s">
        <v>264</v>
      </c>
      <c r="CP1788" t="s">
        <v>265</v>
      </c>
      <c r="DB1788">
        <v>1</v>
      </c>
      <c r="DG1788" t="s">
        <v>267</v>
      </c>
      <c r="DI1788">
        <v>24</v>
      </c>
      <c r="DN1788" t="s">
        <v>268</v>
      </c>
      <c r="DS1788">
        <v>212</v>
      </c>
      <c r="DT1788" t="s">
        <v>3399</v>
      </c>
      <c r="EW1788" t="s">
        <v>293</v>
      </c>
      <c r="FM1788">
        <v>20</v>
      </c>
      <c r="FR1788" t="s">
        <v>295</v>
      </c>
      <c r="GU1788">
        <v>13.5</v>
      </c>
      <c r="GZ1788" t="s">
        <v>296</v>
      </c>
      <c r="HH1788" t="s">
        <v>272</v>
      </c>
      <c r="IE1788" t="s">
        <v>3400</v>
      </c>
      <c r="IF1788">
        <v>18307</v>
      </c>
      <c r="IG1788" t="s">
        <v>3401</v>
      </c>
      <c r="IH1788" t="s">
        <v>3402</v>
      </c>
      <c r="II1788">
        <v>1993</v>
      </c>
      <c r="IJ1788" t="s">
        <v>3403</v>
      </c>
    </row>
    <row r="1789" spans="1:244" x14ac:dyDescent="0.45">
      <c r="A1789">
        <v>1201127</v>
      </c>
      <c r="B1789">
        <v>160590</v>
      </c>
      <c r="C1789">
        <v>7778509</v>
      </c>
      <c r="D1789" t="s">
        <v>3280</v>
      </c>
      <c r="F1789" t="s">
        <v>245</v>
      </c>
      <c r="G1789" t="s">
        <v>246</v>
      </c>
      <c r="N1789" t="s">
        <v>566</v>
      </c>
      <c r="O1789" t="s">
        <v>388</v>
      </c>
      <c r="P1789" t="s">
        <v>249</v>
      </c>
      <c r="Q1789" t="s">
        <v>250</v>
      </c>
      <c r="R1789" t="s">
        <v>251</v>
      </c>
      <c r="T1789" t="s">
        <v>389</v>
      </c>
      <c r="U1789" t="s">
        <v>390</v>
      </c>
      <c r="V1789" t="s">
        <v>567</v>
      </c>
      <c r="W1789" t="s">
        <v>568</v>
      </c>
      <c r="X1789" t="s">
        <v>569</v>
      </c>
      <c r="Z1789" t="s">
        <v>649</v>
      </c>
      <c r="AM1789" t="s">
        <v>287</v>
      </c>
      <c r="AN1789" t="s">
        <v>259</v>
      </c>
      <c r="AO1789" t="s">
        <v>260</v>
      </c>
      <c r="AQ1789" t="s">
        <v>261</v>
      </c>
      <c r="AS1789">
        <v>7500</v>
      </c>
      <c r="AX1789" t="s">
        <v>262</v>
      </c>
      <c r="BO1789" t="s">
        <v>261</v>
      </c>
      <c r="BQ1789">
        <v>7.5</v>
      </c>
      <c r="BV1789" t="s">
        <v>263</v>
      </c>
      <c r="CM1789" t="s">
        <v>264</v>
      </c>
      <c r="CN1789" t="s">
        <v>264</v>
      </c>
      <c r="CP1789" t="s">
        <v>265</v>
      </c>
      <c r="DB1789">
        <v>4</v>
      </c>
      <c r="DG1789" t="s">
        <v>267</v>
      </c>
      <c r="DI1789">
        <v>96</v>
      </c>
      <c r="DN1789" t="s">
        <v>268</v>
      </c>
      <c r="DS1789">
        <v>212</v>
      </c>
      <c r="DT1789" t="s">
        <v>3399</v>
      </c>
      <c r="EW1789" t="s">
        <v>293</v>
      </c>
      <c r="FM1789">
        <v>20</v>
      </c>
      <c r="FR1789" t="s">
        <v>295</v>
      </c>
      <c r="GU1789">
        <v>9</v>
      </c>
      <c r="GZ1789" t="s">
        <v>296</v>
      </c>
      <c r="HH1789" t="s">
        <v>272</v>
      </c>
      <c r="IE1789" t="s">
        <v>3400</v>
      </c>
      <c r="IF1789">
        <v>18307</v>
      </c>
      <c r="IG1789" t="s">
        <v>3401</v>
      </c>
      <c r="IH1789" t="s">
        <v>3402</v>
      </c>
      <c r="II1789">
        <v>1993</v>
      </c>
      <c r="IJ1789" t="s">
        <v>3403</v>
      </c>
    </row>
    <row r="1790" spans="1:244" x14ac:dyDescent="0.45">
      <c r="A1790">
        <v>1149450</v>
      </c>
      <c r="B1790">
        <v>102111</v>
      </c>
      <c r="C1790">
        <v>7778509</v>
      </c>
      <c r="D1790" t="s">
        <v>3280</v>
      </c>
      <c r="F1790" t="s">
        <v>327</v>
      </c>
      <c r="G1790" t="s">
        <v>246</v>
      </c>
      <c r="N1790" t="s">
        <v>369</v>
      </c>
      <c r="O1790" t="s">
        <v>370</v>
      </c>
      <c r="P1790" t="s">
        <v>249</v>
      </c>
      <c r="Q1790" t="s">
        <v>250</v>
      </c>
      <c r="R1790" t="s">
        <v>251</v>
      </c>
      <c r="T1790" t="s">
        <v>252</v>
      </c>
      <c r="U1790" t="s">
        <v>371</v>
      </c>
      <c r="V1790" t="s">
        <v>372</v>
      </c>
      <c r="W1790" t="s">
        <v>373</v>
      </c>
      <c r="X1790" t="s">
        <v>374</v>
      </c>
      <c r="AM1790" t="s">
        <v>317</v>
      </c>
      <c r="AN1790" t="s">
        <v>259</v>
      </c>
      <c r="AO1790" t="s">
        <v>260</v>
      </c>
      <c r="AQ1790" t="s">
        <v>261</v>
      </c>
      <c r="AS1790">
        <v>6720</v>
      </c>
      <c r="AU1790">
        <v>6340</v>
      </c>
      <c r="AW1790">
        <v>7230</v>
      </c>
      <c r="AX1790" t="s">
        <v>262</v>
      </c>
      <c r="BO1790" t="s">
        <v>261</v>
      </c>
      <c r="BQ1790">
        <v>6.72</v>
      </c>
      <c r="BS1790">
        <v>6.34</v>
      </c>
      <c r="BU1790">
        <v>7.23</v>
      </c>
      <c r="BV1790" t="s">
        <v>263</v>
      </c>
      <c r="CM1790" t="s">
        <v>264</v>
      </c>
      <c r="CN1790" t="s">
        <v>264</v>
      </c>
      <c r="CP1790" t="s">
        <v>265</v>
      </c>
      <c r="CQ1790" t="s">
        <v>538</v>
      </c>
      <c r="DB1790">
        <v>2</v>
      </c>
      <c r="DG1790" t="s">
        <v>267</v>
      </c>
      <c r="DI1790">
        <v>48</v>
      </c>
      <c r="DN1790" t="s">
        <v>268</v>
      </c>
      <c r="DR1790">
        <v>110441</v>
      </c>
      <c r="DS1790">
        <v>142</v>
      </c>
      <c r="DT1790" t="s">
        <v>3404</v>
      </c>
      <c r="EW1790" t="s">
        <v>333</v>
      </c>
      <c r="HH1790" t="s">
        <v>272</v>
      </c>
      <c r="IE1790" t="s">
        <v>3405</v>
      </c>
      <c r="IF1790">
        <v>12660</v>
      </c>
      <c r="IG1790" t="s">
        <v>3406</v>
      </c>
      <c r="IH1790" t="s">
        <v>3407</v>
      </c>
      <c r="II1790">
        <v>1987</v>
      </c>
      <c r="IJ1790" t="s">
        <v>3408</v>
      </c>
    </row>
    <row r="1791" spans="1:244" x14ac:dyDescent="0.45">
      <c r="A1791">
        <v>2036685</v>
      </c>
      <c r="B1791">
        <v>2060799</v>
      </c>
      <c r="C1791">
        <v>7778509</v>
      </c>
      <c r="D1791" t="s">
        <v>3280</v>
      </c>
      <c r="F1791" t="s">
        <v>245</v>
      </c>
      <c r="G1791" t="s">
        <v>2303</v>
      </c>
      <c r="N1791" t="s">
        <v>566</v>
      </c>
      <c r="O1791" t="s">
        <v>388</v>
      </c>
      <c r="P1791" t="s">
        <v>249</v>
      </c>
      <c r="Q1791" t="s">
        <v>250</v>
      </c>
      <c r="R1791" t="s">
        <v>251</v>
      </c>
      <c r="T1791" t="s">
        <v>389</v>
      </c>
      <c r="U1791" t="s">
        <v>390</v>
      </c>
      <c r="V1791" t="s">
        <v>567</v>
      </c>
      <c r="W1791" t="s">
        <v>568</v>
      </c>
      <c r="X1791" t="s">
        <v>569</v>
      </c>
      <c r="Z1791" t="s">
        <v>315</v>
      </c>
      <c r="AC1791" t="s">
        <v>515</v>
      </c>
      <c r="AD1791">
        <v>2</v>
      </c>
      <c r="AE1791" t="s">
        <v>515</v>
      </c>
      <c r="AF1791">
        <v>4</v>
      </c>
      <c r="AG1791" t="s">
        <v>516</v>
      </c>
      <c r="AM1791" t="s">
        <v>317</v>
      </c>
      <c r="AN1791" t="s">
        <v>259</v>
      </c>
      <c r="AO1791" t="s">
        <v>260</v>
      </c>
      <c r="AQ1791" t="s">
        <v>261</v>
      </c>
      <c r="AU1791">
        <v>13</v>
      </c>
      <c r="AW1791">
        <v>25</v>
      </c>
      <c r="AX1791" t="s">
        <v>356</v>
      </c>
      <c r="BO1791" t="s">
        <v>261</v>
      </c>
      <c r="BS1791">
        <v>13</v>
      </c>
      <c r="BU1791">
        <v>25</v>
      </c>
      <c r="BV1791" t="s">
        <v>263</v>
      </c>
      <c r="CM1791" t="s">
        <v>264</v>
      </c>
      <c r="CN1791" t="s">
        <v>264</v>
      </c>
      <c r="CP1791" t="s">
        <v>265</v>
      </c>
      <c r="DB1791">
        <v>4</v>
      </c>
      <c r="DG1791" t="s">
        <v>267</v>
      </c>
      <c r="DI1791">
        <v>96</v>
      </c>
      <c r="DN1791" t="s">
        <v>268</v>
      </c>
      <c r="DP1791" t="s">
        <v>3281</v>
      </c>
      <c r="DS1791">
        <v>212</v>
      </c>
      <c r="DT1791" t="s">
        <v>3447</v>
      </c>
      <c r="DV1791">
        <v>96</v>
      </c>
      <c r="EA1791" t="s">
        <v>268</v>
      </c>
      <c r="EC1791">
        <v>4</v>
      </c>
      <c r="EH1791" t="s">
        <v>267</v>
      </c>
      <c r="EJ1791">
        <v>96</v>
      </c>
      <c r="EO1791" t="s">
        <v>268</v>
      </c>
      <c r="EQ1791">
        <v>4</v>
      </c>
      <c r="EV1791" t="s">
        <v>267</v>
      </c>
      <c r="EW1791" t="s">
        <v>293</v>
      </c>
      <c r="EY1791" t="s">
        <v>377</v>
      </c>
      <c r="FM1791">
        <v>20</v>
      </c>
      <c r="FR1791" t="s">
        <v>295</v>
      </c>
      <c r="GU1791">
        <v>7</v>
      </c>
      <c r="GZ1791" t="s">
        <v>296</v>
      </c>
      <c r="HH1791" t="s">
        <v>272</v>
      </c>
      <c r="IE1791" t="s">
        <v>3448</v>
      </c>
      <c r="IF1791">
        <v>157913</v>
      </c>
      <c r="IG1791" t="s">
        <v>3449</v>
      </c>
      <c r="IH1791" t="s">
        <v>3450</v>
      </c>
      <c r="II1791">
        <v>2000</v>
      </c>
      <c r="IJ1791" t="s">
        <v>3451</v>
      </c>
    </row>
    <row r="1792" spans="1:244" x14ac:dyDescent="0.45">
      <c r="A1792">
        <v>1201125</v>
      </c>
      <c r="B1792">
        <v>160588</v>
      </c>
      <c r="C1792">
        <v>7778509</v>
      </c>
      <c r="D1792" t="s">
        <v>3280</v>
      </c>
      <c r="F1792" t="s">
        <v>245</v>
      </c>
      <c r="G1792" t="s">
        <v>246</v>
      </c>
      <c r="N1792" t="s">
        <v>566</v>
      </c>
      <c r="O1792" t="s">
        <v>388</v>
      </c>
      <c r="P1792" t="s">
        <v>249</v>
      </c>
      <c r="Q1792" t="s">
        <v>250</v>
      </c>
      <c r="R1792" t="s">
        <v>251</v>
      </c>
      <c r="T1792" t="s">
        <v>389</v>
      </c>
      <c r="U1792" t="s">
        <v>390</v>
      </c>
      <c r="V1792" t="s">
        <v>567</v>
      </c>
      <c r="W1792" t="s">
        <v>568</v>
      </c>
      <c r="X1792" t="s">
        <v>569</v>
      </c>
      <c r="Z1792" t="s">
        <v>649</v>
      </c>
      <c r="AM1792" t="s">
        <v>287</v>
      </c>
      <c r="AN1792" t="s">
        <v>259</v>
      </c>
      <c r="AO1792" t="s">
        <v>260</v>
      </c>
      <c r="AQ1792" t="s">
        <v>261</v>
      </c>
      <c r="AS1792">
        <v>17000</v>
      </c>
      <c r="AX1792" t="s">
        <v>262</v>
      </c>
      <c r="BO1792" t="s">
        <v>261</v>
      </c>
      <c r="BQ1792">
        <v>17</v>
      </c>
      <c r="BV1792" t="s">
        <v>263</v>
      </c>
      <c r="CM1792" t="s">
        <v>264</v>
      </c>
      <c r="CN1792" t="s">
        <v>264</v>
      </c>
      <c r="CP1792" t="s">
        <v>265</v>
      </c>
      <c r="DB1792">
        <v>4</v>
      </c>
      <c r="DG1792" t="s">
        <v>267</v>
      </c>
      <c r="DI1792">
        <v>96</v>
      </c>
      <c r="DN1792" t="s">
        <v>268</v>
      </c>
      <c r="DS1792">
        <v>212</v>
      </c>
      <c r="DT1792" t="s">
        <v>3399</v>
      </c>
      <c r="EW1792" t="s">
        <v>293</v>
      </c>
      <c r="FM1792">
        <v>20</v>
      </c>
      <c r="FR1792" t="s">
        <v>295</v>
      </c>
      <c r="GU1792">
        <v>9</v>
      </c>
      <c r="GZ1792" t="s">
        <v>296</v>
      </c>
      <c r="HH1792" t="s">
        <v>272</v>
      </c>
      <c r="IE1792" t="s">
        <v>3400</v>
      </c>
      <c r="IF1792">
        <v>18307</v>
      </c>
      <c r="IG1792" t="s">
        <v>3401</v>
      </c>
      <c r="IH1792" t="s">
        <v>3402</v>
      </c>
      <c r="II1792">
        <v>1993</v>
      </c>
      <c r="IJ1792" t="s">
        <v>3403</v>
      </c>
    </row>
    <row r="1793" spans="1:244" x14ac:dyDescent="0.45">
      <c r="A1793">
        <v>1141802</v>
      </c>
      <c r="B1793">
        <v>106958</v>
      </c>
      <c r="C1793">
        <v>7778509</v>
      </c>
      <c r="D1793" t="s">
        <v>3280</v>
      </c>
      <c r="F1793" t="s">
        <v>245</v>
      </c>
      <c r="G1793" t="s">
        <v>246</v>
      </c>
      <c r="N1793" t="s">
        <v>2183</v>
      </c>
      <c r="O1793" t="s">
        <v>498</v>
      </c>
      <c r="P1793" t="s">
        <v>249</v>
      </c>
      <c r="Q1793" t="s">
        <v>250</v>
      </c>
      <c r="R1793" t="s">
        <v>251</v>
      </c>
      <c r="T1793" t="s">
        <v>252</v>
      </c>
      <c r="U1793" t="s">
        <v>499</v>
      </c>
      <c r="V1793" t="s">
        <v>1281</v>
      </c>
      <c r="W1793" t="s">
        <v>1282</v>
      </c>
      <c r="X1793" t="s">
        <v>2184</v>
      </c>
      <c r="AM1793" t="s">
        <v>317</v>
      </c>
      <c r="AN1793" t="s">
        <v>259</v>
      </c>
      <c r="AO1793" t="s">
        <v>260</v>
      </c>
      <c r="AQ1793" t="s">
        <v>261</v>
      </c>
      <c r="AS1793">
        <v>30000</v>
      </c>
      <c r="AX1793" t="s">
        <v>262</v>
      </c>
      <c r="BO1793" t="s">
        <v>261</v>
      </c>
      <c r="BQ1793">
        <v>30</v>
      </c>
      <c r="BV1793" t="s">
        <v>263</v>
      </c>
      <c r="CM1793" t="s">
        <v>264</v>
      </c>
      <c r="CN1793" t="s">
        <v>264</v>
      </c>
      <c r="CP1793" t="s">
        <v>265</v>
      </c>
      <c r="CQ1793" t="s">
        <v>538</v>
      </c>
      <c r="DB1793">
        <v>1</v>
      </c>
      <c r="DG1793" t="s">
        <v>267</v>
      </c>
      <c r="DI1793">
        <v>24</v>
      </c>
      <c r="DN1793" t="s">
        <v>268</v>
      </c>
      <c r="DP1793" t="s">
        <v>2185</v>
      </c>
      <c r="DR1793">
        <v>371472</v>
      </c>
      <c r="DS1793">
        <v>1342</v>
      </c>
      <c r="DT1793" t="s">
        <v>3394</v>
      </c>
      <c r="EW1793" t="s">
        <v>271</v>
      </c>
      <c r="FM1793">
        <v>15</v>
      </c>
      <c r="FR1793" t="s">
        <v>295</v>
      </c>
      <c r="GU1793">
        <v>15</v>
      </c>
      <c r="GZ1793" t="s">
        <v>296</v>
      </c>
      <c r="HH1793" t="s">
        <v>272</v>
      </c>
      <c r="IE1793" t="s">
        <v>3395</v>
      </c>
      <c r="IF1793">
        <v>11873</v>
      </c>
      <c r="IG1793" t="s">
        <v>3396</v>
      </c>
      <c r="IH1793" t="s">
        <v>3397</v>
      </c>
      <c r="II1793">
        <v>1984</v>
      </c>
      <c r="IJ1793" t="s">
        <v>3398</v>
      </c>
    </row>
    <row r="1794" spans="1:244" x14ac:dyDescent="0.45">
      <c r="A1794">
        <v>1141918</v>
      </c>
      <c r="B1794">
        <v>107074</v>
      </c>
      <c r="C1794">
        <v>7778509</v>
      </c>
      <c r="D1794" t="s">
        <v>3280</v>
      </c>
      <c r="F1794" t="s">
        <v>245</v>
      </c>
      <c r="G1794" t="s">
        <v>246</v>
      </c>
      <c r="N1794" t="s">
        <v>2183</v>
      </c>
      <c r="O1794" t="s">
        <v>498</v>
      </c>
      <c r="P1794" t="s">
        <v>249</v>
      </c>
      <c r="Q1794" t="s">
        <v>250</v>
      </c>
      <c r="R1794" t="s">
        <v>251</v>
      </c>
      <c r="T1794" t="s">
        <v>252</v>
      </c>
      <c r="U1794" t="s">
        <v>499</v>
      </c>
      <c r="V1794" t="s">
        <v>1281</v>
      </c>
      <c r="W1794" t="s">
        <v>1282</v>
      </c>
      <c r="X1794" t="s">
        <v>2184</v>
      </c>
      <c r="AM1794" t="s">
        <v>317</v>
      </c>
      <c r="AN1794" t="s">
        <v>259</v>
      </c>
      <c r="AO1794" t="s">
        <v>260</v>
      </c>
      <c r="AQ1794" t="s">
        <v>261</v>
      </c>
      <c r="AS1794">
        <v>5400</v>
      </c>
      <c r="AX1794" t="s">
        <v>262</v>
      </c>
      <c r="BO1794" t="s">
        <v>261</v>
      </c>
      <c r="BQ1794">
        <v>5.4</v>
      </c>
      <c r="BV1794" t="s">
        <v>263</v>
      </c>
      <c r="CM1794" t="s">
        <v>264</v>
      </c>
      <c r="CN1794" t="s">
        <v>264</v>
      </c>
      <c r="CP1794" t="s">
        <v>265</v>
      </c>
      <c r="CQ1794" t="s">
        <v>538</v>
      </c>
      <c r="DB1794">
        <v>2</v>
      </c>
      <c r="DG1794" t="s">
        <v>267</v>
      </c>
      <c r="DI1794">
        <v>48</v>
      </c>
      <c r="DN1794" t="s">
        <v>268</v>
      </c>
      <c r="DP1794" t="s">
        <v>2185</v>
      </c>
      <c r="DR1794">
        <v>371472</v>
      </c>
      <c r="DS1794">
        <v>1342</v>
      </c>
      <c r="DT1794" t="s">
        <v>3394</v>
      </c>
      <c r="EW1794" t="s">
        <v>271</v>
      </c>
      <c r="FM1794">
        <v>10</v>
      </c>
      <c r="FR1794" t="s">
        <v>295</v>
      </c>
      <c r="GU1794">
        <v>5</v>
      </c>
      <c r="GZ1794" t="s">
        <v>296</v>
      </c>
      <c r="HH1794" t="s">
        <v>272</v>
      </c>
      <c r="IE1794" t="s">
        <v>3395</v>
      </c>
      <c r="IF1794">
        <v>11873</v>
      </c>
      <c r="IG1794" t="s">
        <v>3396</v>
      </c>
      <c r="IH1794" t="s">
        <v>3397</v>
      </c>
      <c r="II1794">
        <v>1984</v>
      </c>
      <c r="IJ1794" t="s">
        <v>3398</v>
      </c>
    </row>
    <row r="1795" spans="1:244" x14ac:dyDescent="0.45">
      <c r="A1795">
        <v>1141820</v>
      </c>
      <c r="B1795">
        <v>106976</v>
      </c>
      <c r="C1795">
        <v>7778509</v>
      </c>
      <c r="D1795" t="s">
        <v>3280</v>
      </c>
      <c r="F1795" t="s">
        <v>245</v>
      </c>
      <c r="G1795" t="s">
        <v>246</v>
      </c>
      <c r="N1795" t="s">
        <v>2183</v>
      </c>
      <c r="O1795" t="s">
        <v>498</v>
      </c>
      <c r="P1795" t="s">
        <v>249</v>
      </c>
      <c r="Q1795" t="s">
        <v>250</v>
      </c>
      <c r="R1795" t="s">
        <v>251</v>
      </c>
      <c r="T1795" t="s">
        <v>252</v>
      </c>
      <c r="U1795" t="s">
        <v>499</v>
      </c>
      <c r="V1795" t="s">
        <v>1281</v>
      </c>
      <c r="W1795" t="s">
        <v>1282</v>
      </c>
      <c r="X1795" t="s">
        <v>2184</v>
      </c>
      <c r="AM1795" t="s">
        <v>317</v>
      </c>
      <c r="AN1795" t="s">
        <v>259</v>
      </c>
      <c r="AO1795" t="s">
        <v>260</v>
      </c>
      <c r="AQ1795" t="s">
        <v>261</v>
      </c>
      <c r="AS1795">
        <v>5800</v>
      </c>
      <c r="AX1795" t="s">
        <v>262</v>
      </c>
      <c r="BO1795" t="s">
        <v>261</v>
      </c>
      <c r="BQ1795">
        <v>5.8</v>
      </c>
      <c r="BV1795" t="s">
        <v>263</v>
      </c>
      <c r="CM1795" t="s">
        <v>264</v>
      </c>
      <c r="CN1795" t="s">
        <v>264</v>
      </c>
      <c r="CP1795" t="s">
        <v>265</v>
      </c>
      <c r="CQ1795" t="s">
        <v>538</v>
      </c>
      <c r="DB1795">
        <v>4</v>
      </c>
      <c r="DG1795" t="s">
        <v>267</v>
      </c>
      <c r="DI1795">
        <v>96</v>
      </c>
      <c r="DN1795" t="s">
        <v>268</v>
      </c>
      <c r="DP1795" t="s">
        <v>2185</v>
      </c>
      <c r="DR1795">
        <v>371472</v>
      </c>
      <c r="DS1795">
        <v>1342</v>
      </c>
      <c r="DT1795" t="s">
        <v>3394</v>
      </c>
      <c r="EW1795" t="s">
        <v>271</v>
      </c>
      <c r="FM1795">
        <v>15</v>
      </c>
      <c r="FR1795" t="s">
        <v>295</v>
      </c>
      <c r="GU1795">
        <v>35</v>
      </c>
      <c r="GZ1795" t="s">
        <v>296</v>
      </c>
      <c r="HH1795" t="s">
        <v>272</v>
      </c>
      <c r="IE1795" t="s">
        <v>3395</v>
      </c>
      <c r="IF1795">
        <v>11873</v>
      </c>
      <c r="IG1795" t="s">
        <v>3396</v>
      </c>
      <c r="IH1795" t="s">
        <v>3397</v>
      </c>
      <c r="II1795">
        <v>1984</v>
      </c>
      <c r="IJ1795" t="s">
        <v>3398</v>
      </c>
    </row>
    <row r="1796" spans="1:244" x14ac:dyDescent="0.45">
      <c r="A1796">
        <v>1068388</v>
      </c>
      <c r="B1796">
        <v>439</v>
      </c>
      <c r="C1796">
        <v>7778509</v>
      </c>
      <c r="D1796" t="s">
        <v>3280</v>
      </c>
      <c r="F1796" t="s">
        <v>245</v>
      </c>
      <c r="G1796" t="s">
        <v>246</v>
      </c>
      <c r="N1796" t="s">
        <v>1564</v>
      </c>
      <c r="O1796" t="s">
        <v>1565</v>
      </c>
      <c r="P1796" t="s">
        <v>249</v>
      </c>
      <c r="Q1796" t="s">
        <v>250</v>
      </c>
      <c r="R1796" t="s">
        <v>251</v>
      </c>
      <c r="T1796" t="s">
        <v>252</v>
      </c>
      <c r="U1796" t="s">
        <v>253</v>
      </c>
      <c r="V1796" t="s">
        <v>254</v>
      </c>
      <c r="W1796" t="s">
        <v>1566</v>
      </c>
      <c r="X1796" t="s">
        <v>1567</v>
      </c>
      <c r="Z1796" t="s">
        <v>649</v>
      </c>
      <c r="AL1796" t="s">
        <v>3409</v>
      </c>
      <c r="AM1796" t="s">
        <v>317</v>
      </c>
      <c r="AN1796" t="s">
        <v>259</v>
      </c>
      <c r="AO1796" t="s">
        <v>260</v>
      </c>
      <c r="AQ1796" t="s">
        <v>261</v>
      </c>
      <c r="AS1796">
        <v>171000</v>
      </c>
      <c r="AU1796">
        <v>162000</v>
      </c>
      <c r="AW1796">
        <v>181000</v>
      </c>
      <c r="AX1796" t="s">
        <v>262</v>
      </c>
      <c r="BO1796" t="s">
        <v>261</v>
      </c>
      <c r="BQ1796">
        <v>171</v>
      </c>
      <c r="BS1796">
        <v>162</v>
      </c>
      <c r="BU1796">
        <v>181</v>
      </c>
      <c r="BV1796" t="s">
        <v>263</v>
      </c>
      <c r="CM1796" t="s">
        <v>264</v>
      </c>
      <c r="CN1796" t="s">
        <v>264</v>
      </c>
      <c r="CP1796" t="s">
        <v>265</v>
      </c>
      <c r="CQ1796" t="s">
        <v>538</v>
      </c>
      <c r="DB1796">
        <v>1</v>
      </c>
      <c r="DG1796" t="s">
        <v>267</v>
      </c>
      <c r="DI1796">
        <v>24</v>
      </c>
      <c r="DN1796" t="s">
        <v>268</v>
      </c>
      <c r="DP1796" t="s">
        <v>570</v>
      </c>
      <c r="DR1796">
        <v>6763</v>
      </c>
      <c r="DS1796">
        <v>76</v>
      </c>
      <c r="DT1796" t="s">
        <v>3410</v>
      </c>
      <c r="EW1796" t="s">
        <v>271</v>
      </c>
      <c r="FO1796">
        <v>20</v>
      </c>
      <c r="FQ1796">
        <v>22</v>
      </c>
      <c r="FR1796" t="s">
        <v>295</v>
      </c>
      <c r="GQ1796">
        <v>6.5</v>
      </c>
      <c r="GS1796">
        <v>7.9</v>
      </c>
      <c r="GU1796">
        <v>35</v>
      </c>
      <c r="GZ1796" t="s">
        <v>296</v>
      </c>
      <c r="HH1796" t="s">
        <v>272</v>
      </c>
      <c r="IE1796" t="s">
        <v>3411</v>
      </c>
      <c r="IF1796">
        <v>5384</v>
      </c>
      <c r="IG1796" t="s">
        <v>3412</v>
      </c>
      <c r="IH1796" t="s">
        <v>3413</v>
      </c>
      <c r="II1796">
        <v>1979</v>
      </c>
      <c r="IJ1796" t="s">
        <v>3414</v>
      </c>
    </row>
    <row r="1797" spans="1:244" x14ac:dyDescent="0.45">
      <c r="A1797">
        <v>1201111</v>
      </c>
      <c r="B1797">
        <v>160574</v>
      </c>
      <c r="C1797">
        <v>7778509</v>
      </c>
      <c r="D1797" t="s">
        <v>3280</v>
      </c>
      <c r="F1797" t="s">
        <v>245</v>
      </c>
      <c r="G1797" t="s">
        <v>246</v>
      </c>
      <c r="N1797" t="s">
        <v>566</v>
      </c>
      <c r="O1797" t="s">
        <v>388</v>
      </c>
      <c r="P1797" t="s">
        <v>249</v>
      </c>
      <c r="Q1797" t="s">
        <v>250</v>
      </c>
      <c r="R1797" t="s">
        <v>251</v>
      </c>
      <c r="T1797" t="s">
        <v>389</v>
      </c>
      <c r="U1797" t="s">
        <v>390</v>
      </c>
      <c r="V1797" t="s">
        <v>567</v>
      </c>
      <c r="W1797" t="s">
        <v>568</v>
      </c>
      <c r="X1797" t="s">
        <v>569</v>
      </c>
      <c r="Z1797" t="s">
        <v>649</v>
      </c>
      <c r="AM1797" t="s">
        <v>287</v>
      </c>
      <c r="AN1797" t="s">
        <v>259</v>
      </c>
      <c r="AO1797" t="s">
        <v>260</v>
      </c>
      <c r="AQ1797" t="s">
        <v>261</v>
      </c>
      <c r="AS1797">
        <v>37000</v>
      </c>
      <c r="AU1797">
        <v>27000</v>
      </c>
      <c r="AW1797">
        <v>55000</v>
      </c>
      <c r="AX1797" t="s">
        <v>262</v>
      </c>
      <c r="BO1797" t="s">
        <v>261</v>
      </c>
      <c r="BQ1797">
        <v>37</v>
      </c>
      <c r="BS1797">
        <v>27</v>
      </c>
      <c r="BU1797">
        <v>55</v>
      </c>
      <c r="BV1797" t="s">
        <v>263</v>
      </c>
      <c r="CM1797" t="s">
        <v>264</v>
      </c>
      <c r="CN1797" t="s">
        <v>264</v>
      </c>
      <c r="CP1797" t="s">
        <v>265</v>
      </c>
      <c r="DB1797">
        <v>3</v>
      </c>
      <c r="DG1797" t="s">
        <v>267</v>
      </c>
      <c r="DI1797">
        <v>72</v>
      </c>
      <c r="DN1797" t="s">
        <v>268</v>
      </c>
      <c r="DS1797">
        <v>212</v>
      </c>
      <c r="DT1797" t="s">
        <v>3399</v>
      </c>
      <c r="EW1797" t="s">
        <v>293</v>
      </c>
      <c r="FM1797">
        <v>20</v>
      </c>
      <c r="FR1797" t="s">
        <v>295</v>
      </c>
      <c r="GU1797">
        <v>13.5</v>
      </c>
      <c r="GZ1797" t="s">
        <v>296</v>
      </c>
      <c r="HH1797" t="s">
        <v>272</v>
      </c>
      <c r="IE1797" t="s">
        <v>3400</v>
      </c>
      <c r="IF1797">
        <v>18307</v>
      </c>
      <c r="IG1797" t="s">
        <v>3401</v>
      </c>
      <c r="IH1797" t="s">
        <v>3402</v>
      </c>
      <c r="II1797">
        <v>1993</v>
      </c>
      <c r="IJ1797" t="s">
        <v>3403</v>
      </c>
    </row>
    <row r="1798" spans="1:244" x14ac:dyDescent="0.45">
      <c r="A1798">
        <v>1141914</v>
      </c>
      <c r="B1798">
        <v>107070</v>
      </c>
      <c r="C1798">
        <v>7778509</v>
      </c>
      <c r="D1798" t="s">
        <v>3280</v>
      </c>
      <c r="F1798" t="s">
        <v>245</v>
      </c>
      <c r="G1798" t="s">
        <v>246</v>
      </c>
      <c r="N1798" t="s">
        <v>2183</v>
      </c>
      <c r="O1798" t="s">
        <v>498</v>
      </c>
      <c r="P1798" t="s">
        <v>249</v>
      </c>
      <c r="Q1798" t="s">
        <v>250</v>
      </c>
      <c r="R1798" t="s">
        <v>251</v>
      </c>
      <c r="T1798" t="s">
        <v>252</v>
      </c>
      <c r="U1798" t="s">
        <v>499</v>
      </c>
      <c r="V1798" t="s">
        <v>1281</v>
      </c>
      <c r="W1798" t="s">
        <v>1282</v>
      </c>
      <c r="X1798" t="s">
        <v>2184</v>
      </c>
      <c r="AM1798" t="s">
        <v>317</v>
      </c>
      <c r="AN1798" t="s">
        <v>259</v>
      </c>
      <c r="AO1798" t="s">
        <v>260</v>
      </c>
      <c r="AQ1798" t="s">
        <v>261</v>
      </c>
      <c r="AS1798">
        <v>12000</v>
      </c>
      <c r="AX1798" t="s">
        <v>262</v>
      </c>
      <c r="BO1798" t="s">
        <v>261</v>
      </c>
      <c r="BQ1798">
        <v>12</v>
      </c>
      <c r="BV1798" t="s">
        <v>263</v>
      </c>
      <c r="CM1798" t="s">
        <v>264</v>
      </c>
      <c r="CN1798" t="s">
        <v>264</v>
      </c>
      <c r="CP1798" t="s">
        <v>265</v>
      </c>
      <c r="CQ1798" t="s">
        <v>538</v>
      </c>
      <c r="DB1798">
        <v>1</v>
      </c>
      <c r="DG1798" t="s">
        <v>267</v>
      </c>
      <c r="DI1798">
        <v>24</v>
      </c>
      <c r="DN1798" t="s">
        <v>268</v>
      </c>
      <c r="DP1798" t="s">
        <v>2185</v>
      </c>
      <c r="DR1798">
        <v>371472</v>
      </c>
      <c r="DS1798">
        <v>1342</v>
      </c>
      <c r="DT1798" t="s">
        <v>3394</v>
      </c>
      <c r="EW1798" t="s">
        <v>271</v>
      </c>
      <c r="FM1798">
        <v>10</v>
      </c>
      <c r="FR1798" t="s">
        <v>295</v>
      </c>
      <c r="GU1798">
        <v>5</v>
      </c>
      <c r="GZ1798" t="s">
        <v>296</v>
      </c>
      <c r="HH1798" t="s">
        <v>272</v>
      </c>
      <c r="IE1798" t="s">
        <v>3395</v>
      </c>
      <c r="IF1798">
        <v>11873</v>
      </c>
      <c r="IG1798" t="s">
        <v>3396</v>
      </c>
      <c r="IH1798" t="s">
        <v>3397</v>
      </c>
      <c r="II1798">
        <v>1984</v>
      </c>
      <c r="IJ1798" t="s">
        <v>3398</v>
      </c>
    </row>
    <row r="1799" spans="1:244" x14ac:dyDescent="0.45">
      <c r="A1799">
        <v>1141804</v>
      </c>
      <c r="B1799">
        <v>106960</v>
      </c>
      <c r="C1799">
        <v>7778509</v>
      </c>
      <c r="D1799" t="s">
        <v>3280</v>
      </c>
      <c r="F1799" t="s">
        <v>245</v>
      </c>
      <c r="G1799" t="s">
        <v>246</v>
      </c>
      <c r="N1799" t="s">
        <v>2183</v>
      </c>
      <c r="O1799" t="s">
        <v>498</v>
      </c>
      <c r="P1799" t="s">
        <v>249</v>
      </c>
      <c r="Q1799" t="s">
        <v>250</v>
      </c>
      <c r="R1799" t="s">
        <v>251</v>
      </c>
      <c r="T1799" t="s">
        <v>252</v>
      </c>
      <c r="U1799" t="s">
        <v>499</v>
      </c>
      <c r="V1799" t="s">
        <v>1281</v>
      </c>
      <c r="W1799" t="s">
        <v>1282</v>
      </c>
      <c r="X1799" t="s">
        <v>2184</v>
      </c>
      <c r="AM1799" t="s">
        <v>317</v>
      </c>
      <c r="AN1799" t="s">
        <v>259</v>
      </c>
      <c r="AO1799" t="s">
        <v>260</v>
      </c>
      <c r="AQ1799" t="s">
        <v>261</v>
      </c>
      <c r="AS1799">
        <v>65000</v>
      </c>
      <c r="AX1799" t="s">
        <v>262</v>
      </c>
      <c r="BO1799" t="s">
        <v>261</v>
      </c>
      <c r="BQ1799">
        <v>65</v>
      </c>
      <c r="BV1799" t="s">
        <v>263</v>
      </c>
      <c r="CM1799" t="s">
        <v>264</v>
      </c>
      <c r="CN1799" t="s">
        <v>264</v>
      </c>
      <c r="CP1799" t="s">
        <v>265</v>
      </c>
      <c r="CQ1799" t="s">
        <v>538</v>
      </c>
      <c r="DB1799">
        <v>1</v>
      </c>
      <c r="DG1799" t="s">
        <v>267</v>
      </c>
      <c r="DI1799">
        <v>24</v>
      </c>
      <c r="DN1799" t="s">
        <v>268</v>
      </c>
      <c r="DP1799" t="s">
        <v>2185</v>
      </c>
      <c r="DR1799">
        <v>371472</v>
      </c>
      <c r="DS1799">
        <v>1342</v>
      </c>
      <c r="DT1799" t="s">
        <v>3394</v>
      </c>
      <c r="EW1799" t="s">
        <v>271</v>
      </c>
      <c r="FM1799">
        <v>15</v>
      </c>
      <c r="FR1799" t="s">
        <v>295</v>
      </c>
      <c r="GU1799">
        <v>25</v>
      </c>
      <c r="GZ1799" t="s">
        <v>296</v>
      </c>
      <c r="HH1799" t="s">
        <v>272</v>
      </c>
      <c r="IE1799" t="s">
        <v>3395</v>
      </c>
      <c r="IF1799">
        <v>11873</v>
      </c>
      <c r="IG1799" t="s">
        <v>3396</v>
      </c>
      <c r="IH1799" t="s">
        <v>3397</v>
      </c>
      <c r="II1799">
        <v>1984</v>
      </c>
      <c r="IJ1799" t="s">
        <v>3398</v>
      </c>
    </row>
    <row r="1800" spans="1:244" x14ac:dyDescent="0.45">
      <c r="A1800">
        <v>1141817</v>
      </c>
      <c r="B1800">
        <v>106973</v>
      </c>
      <c r="C1800">
        <v>7778509</v>
      </c>
      <c r="D1800" t="s">
        <v>3280</v>
      </c>
      <c r="F1800" t="s">
        <v>245</v>
      </c>
      <c r="G1800" t="s">
        <v>246</v>
      </c>
      <c r="N1800" t="s">
        <v>2183</v>
      </c>
      <c r="O1800" t="s">
        <v>498</v>
      </c>
      <c r="P1800" t="s">
        <v>249</v>
      </c>
      <c r="Q1800" t="s">
        <v>250</v>
      </c>
      <c r="R1800" t="s">
        <v>251</v>
      </c>
      <c r="T1800" t="s">
        <v>252</v>
      </c>
      <c r="U1800" t="s">
        <v>499</v>
      </c>
      <c r="V1800" t="s">
        <v>1281</v>
      </c>
      <c r="W1800" t="s">
        <v>1282</v>
      </c>
      <c r="X1800" t="s">
        <v>2184</v>
      </c>
      <c r="AM1800" t="s">
        <v>317</v>
      </c>
      <c r="AN1800" t="s">
        <v>259</v>
      </c>
      <c r="AO1800" t="s">
        <v>260</v>
      </c>
      <c r="AQ1800" t="s">
        <v>261</v>
      </c>
      <c r="AS1800">
        <v>6000</v>
      </c>
      <c r="AX1800" t="s">
        <v>262</v>
      </c>
      <c r="BO1800" t="s">
        <v>261</v>
      </c>
      <c r="BQ1800">
        <v>6</v>
      </c>
      <c r="BV1800" t="s">
        <v>263</v>
      </c>
      <c r="CM1800" t="s">
        <v>264</v>
      </c>
      <c r="CN1800" t="s">
        <v>264</v>
      </c>
      <c r="CP1800" t="s">
        <v>265</v>
      </c>
      <c r="CQ1800" t="s">
        <v>538</v>
      </c>
      <c r="DB1800">
        <v>4</v>
      </c>
      <c r="DG1800" t="s">
        <v>267</v>
      </c>
      <c r="DI1800">
        <v>96</v>
      </c>
      <c r="DN1800" t="s">
        <v>268</v>
      </c>
      <c r="DP1800" t="s">
        <v>2185</v>
      </c>
      <c r="DR1800">
        <v>371472</v>
      </c>
      <c r="DS1800">
        <v>1342</v>
      </c>
      <c r="DT1800" t="s">
        <v>3394</v>
      </c>
      <c r="EW1800" t="s">
        <v>271</v>
      </c>
      <c r="FM1800">
        <v>15</v>
      </c>
      <c r="FR1800" t="s">
        <v>295</v>
      </c>
      <c r="GU1800">
        <v>20</v>
      </c>
      <c r="GZ1800" t="s">
        <v>296</v>
      </c>
      <c r="HH1800" t="s">
        <v>272</v>
      </c>
      <c r="IE1800" t="s">
        <v>3395</v>
      </c>
      <c r="IF1800">
        <v>11873</v>
      </c>
      <c r="IG1800" t="s">
        <v>3396</v>
      </c>
      <c r="IH1800" t="s">
        <v>3397</v>
      </c>
      <c r="II1800">
        <v>1984</v>
      </c>
      <c r="IJ1800" t="s">
        <v>3398</v>
      </c>
    </row>
    <row r="1801" spans="1:244" x14ac:dyDescent="0.45">
      <c r="A1801">
        <v>2114273</v>
      </c>
      <c r="B1801">
        <v>2208826</v>
      </c>
      <c r="C1801">
        <v>7778509</v>
      </c>
      <c r="D1801" t="s">
        <v>3280</v>
      </c>
      <c r="F1801" t="s">
        <v>327</v>
      </c>
      <c r="G1801" t="s">
        <v>1550</v>
      </c>
      <c r="N1801" t="s">
        <v>630</v>
      </c>
      <c r="O1801" t="s">
        <v>631</v>
      </c>
      <c r="P1801" t="s">
        <v>249</v>
      </c>
      <c r="Q1801" t="s">
        <v>250</v>
      </c>
      <c r="R1801" t="s">
        <v>251</v>
      </c>
      <c r="T1801" t="s">
        <v>389</v>
      </c>
      <c r="U1801" t="s">
        <v>632</v>
      </c>
      <c r="V1801" t="s">
        <v>633</v>
      </c>
      <c r="W1801" t="s">
        <v>634</v>
      </c>
      <c r="X1801" t="s">
        <v>635</v>
      </c>
      <c r="Z1801" t="s">
        <v>1034</v>
      </c>
      <c r="AD1801">
        <v>14</v>
      </c>
      <c r="AF1801">
        <v>21</v>
      </c>
      <c r="AG1801" t="s">
        <v>267</v>
      </c>
      <c r="AJ1801" t="s">
        <v>354</v>
      </c>
      <c r="AL1801" t="s">
        <v>3425</v>
      </c>
      <c r="AM1801" t="s">
        <v>317</v>
      </c>
      <c r="AN1801" t="s">
        <v>259</v>
      </c>
      <c r="AO1801" t="s">
        <v>260</v>
      </c>
      <c r="AQ1801" t="s">
        <v>261</v>
      </c>
      <c r="AS1801">
        <v>10.6</v>
      </c>
      <c r="AU1801">
        <v>7.2</v>
      </c>
      <c r="AW1801">
        <v>26</v>
      </c>
      <c r="AX1801" t="s">
        <v>356</v>
      </c>
      <c r="BO1801" t="s">
        <v>261</v>
      </c>
      <c r="BQ1801">
        <v>10.6</v>
      </c>
      <c r="BS1801">
        <v>7.2</v>
      </c>
      <c r="BU1801">
        <v>26</v>
      </c>
      <c r="BV1801" t="s">
        <v>263</v>
      </c>
      <c r="CM1801" t="s">
        <v>264</v>
      </c>
      <c r="CN1801" t="s">
        <v>264</v>
      </c>
      <c r="CP1801" t="s">
        <v>265</v>
      </c>
      <c r="DB1801">
        <v>2</v>
      </c>
      <c r="DG1801" t="s">
        <v>267</v>
      </c>
      <c r="DI1801">
        <v>48</v>
      </c>
      <c r="DN1801" t="s">
        <v>268</v>
      </c>
      <c r="DP1801" t="s">
        <v>3281</v>
      </c>
      <c r="DR1801">
        <v>136180</v>
      </c>
      <c r="DS1801">
        <v>376</v>
      </c>
      <c r="DV1801">
        <v>48</v>
      </c>
      <c r="EA1801" t="s">
        <v>268</v>
      </c>
      <c r="EC1801">
        <v>2</v>
      </c>
      <c r="EH1801" t="s">
        <v>267</v>
      </c>
      <c r="EJ1801">
        <v>48</v>
      </c>
      <c r="EO1801" t="s">
        <v>268</v>
      </c>
      <c r="EQ1801">
        <v>2</v>
      </c>
      <c r="EV1801" t="s">
        <v>267</v>
      </c>
      <c r="EW1801" t="s">
        <v>293</v>
      </c>
      <c r="EY1801" t="s">
        <v>377</v>
      </c>
      <c r="FA1801" t="s">
        <v>3452</v>
      </c>
      <c r="FM1801">
        <v>25</v>
      </c>
      <c r="FR1801" t="s">
        <v>295</v>
      </c>
      <c r="GH1801">
        <v>7.6</v>
      </c>
      <c r="GJ1801">
        <v>7</v>
      </c>
      <c r="GL1801">
        <v>8.6999999999999993</v>
      </c>
      <c r="GM1801" t="s">
        <v>356</v>
      </c>
      <c r="GO1801">
        <v>8.1</v>
      </c>
      <c r="GQ1801">
        <v>8</v>
      </c>
      <c r="GS1801">
        <v>8.4</v>
      </c>
      <c r="GW1801">
        <v>30.4</v>
      </c>
      <c r="GY1801">
        <v>36</v>
      </c>
      <c r="GZ1801" t="s">
        <v>296</v>
      </c>
      <c r="HH1801" t="s">
        <v>272</v>
      </c>
      <c r="ID1801" t="s">
        <v>1028</v>
      </c>
      <c r="IE1801" t="s">
        <v>3427</v>
      </c>
      <c r="IF1801">
        <v>167149</v>
      </c>
      <c r="IG1801" t="s">
        <v>3428</v>
      </c>
      <c r="IH1801" t="s">
        <v>3429</v>
      </c>
      <c r="II1801">
        <v>2006</v>
      </c>
      <c r="IJ1801" t="s">
        <v>3430</v>
      </c>
    </row>
    <row r="1802" spans="1:244" x14ac:dyDescent="0.45">
      <c r="A1802">
        <v>1141780</v>
      </c>
      <c r="B1802">
        <v>106936</v>
      </c>
      <c r="C1802">
        <v>7778509</v>
      </c>
      <c r="D1802" t="s">
        <v>3280</v>
      </c>
      <c r="F1802" t="s">
        <v>245</v>
      </c>
      <c r="G1802" t="s">
        <v>246</v>
      </c>
      <c r="N1802" t="s">
        <v>2183</v>
      </c>
      <c r="O1802" t="s">
        <v>498</v>
      </c>
      <c r="P1802" t="s">
        <v>249</v>
      </c>
      <c r="Q1802" t="s">
        <v>250</v>
      </c>
      <c r="R1802" t="s">
        <v>251</v>
      </c>
      <c r="T1802" t="s">
        <v>252</v>
      </c>
      <c r="U1802" t="s">
        <v>499</v>
      </c>
      <c r="V1802" t="s">
        <v>1281</v>
      </c>
      <c r="W1802" t="s">
        <v>1282</v>
      </c>
      <c r="X1802" t="s">
        <v>2184</v>
      </c>
      <c r="AM1802" t="s">
        <v>317</v>
      </c>
      <c r="AN1802" t="s">
        <v>259</v>
      </c>
      <c r="AO1802" t="s">
        <v>260</v>
      </c>
      <c r="AQ1802" t="s">
        <v>261</v>
      </c>
      <c r="AS1802">
        <v>2300</v>
      </c>
      <c r="AX1802" t="s">
        <v>262</v>
      </c>
      <c r="BO1802" t="s">
        <v>261</v>
      </c>
      <c r="BQ1802">
        <v>2.2999999999999998</v>
      </c>
      <c r="BV1802" t="s">
        <v>263</v>
      </c>
      <c r="CM1802" t="s">
        <v>264</v>
      </c>
      <c r="CN1802" t="s">
        <v>264</v>
      </c>
      <c r="CP1802" t="s">
        <v>265</v>
      </c>
      <c r="CQ1802" t="s">
        <v>538</v>
      </c>
      <c r="DB1802">
        <v>4</v>
      </c>
      <c r="DG1802" t="s">
        <v>267</v>
      </c>
      <c r="DI1802">
        <v>96</v>
      </c>
      <c r="DN1802" t="s">
        <v>268</v>
      </c>
      <c r="DP1802" t="s">
        <v>2185</v>
      </c>
      <c r="DR1802">
        <v>371472</v>
      </c>
      <c r="DS1802">
        <v>1342</v>
      </c>
      <c r="DT1802" t="s">
        <v>3394</v>
      </c>
      <c r="EW1802" t="s">
        <v>271</v>
      </c>
      <c r="FM1802">
        <v>10</v>
      </c>
      <c r="FR1802" t="s">
        <v>295</v>
      </c>
      <c r="GU1802">
        <v>5</v>
      </c>
      <c r="GZ1802" t="s">
        <v>296</v>
      </c>
      <c r="HH1802" t="s">
        <v>272</v>
      </c>
      <c r="IE1802" t="s">
        <v>3395</v>
      </c>
      <c r="IF1802">
        <v>11873</v>
      </c>
      <c r="IG1802" t="s">
        <v>3396</v>
      </c>
      <c r="IH1802" t="s">
        <v>3397</v>
      </c>
      <c r="II1802">
        <v>1984</v>
      </c>
      <c r="IJ1802" t="s">
        <v>3398</v>
      </c>
    </row>
    <row r="1803" spans="1:244" x14ac:dyDescent="0.45">
      <c r="A1803">
        <v>1026061</v>
      </c>
      <c r="B1803">
        <v>123807</v>
      </c>
      <c r="C1803">
        <v>7786814</v>
      </c>
      <c r="D1803" t="s">
        <v>3453</v>
      </c>
      <c r="F1803" t="s">
        <v>245</v>
      </c>
      <c r="G1803" t="s">
        <v>246</v>
      </c>
      <c r="N1803" t="s">
        <v>1845</v>
      </c>
      <c r="O1803" t="s">
        <v>1846</v>
      </c>
      <c r="P1803" t="s">
        <v>249</v>
      </c>
      <c r="Q1803" t="s">
        <v>250</v>
      </c>
      <c r="R1803" t="s">
        <v>251</v>
      </c>
      <c r="T1803" t="s">
        <v>252</v>
      </c>
      <c r="U1803" t="s">
        <v>253</v>
      </c>
      <c r="V1803" t="s">
        <v>1847</v>
      </c>
      <c r="W1803" t="s">
        <v>1848</v>
      </c>
      <c r="X1803" t="s">
        <v>1849</v>
      </c>
      <c r="Z1803" t="s">
        <v>315</v>
      </c>
      <c r="AM1803" t="s">
        <v>258</v>
      </c>
      <c r="AN1803" t="s">
        <v>259</v>
      </c>
      <c r="AO1803" t="s">
        <v>260</v>
      </c>
      <c r="AQ1803" t="s">
        <v>261</v>
      </c>
      <c r="AS1803">
        <v>139000</v>
      </c>
      <c r="AX1803" t="s">
        <v>262</v>
      </c>
      <c r="BO1803" t="s">
        <v>261</v>
      </c>
      <c r="BQ1803">
        <v>139</v>
      </c>
      <c r="BV1803" t="s">
        <v>263</v>
      </c>
      <c r="CM1803" t="s">
        <v>264</v>
      </c>
      <c r="CN1803" t="s">
        <v>264</v>
      </c>
      <c r="CP1803" t="s">
        <v>265</v>
      </c>
      <c r="DB1803">
        <v>2</v>
      </c>
      <c r="DG1803" t="s">
        <v>267</v>
      </c>
      <c r="DI1803">
        <v>48</v>
      </c>
      <c r="DN1803" t="s">
        <v>268</v>
      </c>
      <c r="DR1803">
        <v>397978</v>
      </c>
      <c r="DS1803">
        <v>37</v>
      </c>
      <c r="EW1803" t="s">
        <v>360</v>
      </c>
      <c r="FK1803" t="s">
        <v>478</v>
      </c>
      <c r="FM1803">
        <v>15</v>
      </c>
      <c r="FR1803" t="s">
        <v>295</v>
      </c>
      <c r="HH1803" t="s">
        <v>272</v>
      </c>
      <c r="ID1803" t="s">
        <v>479</v>
      </c>
      <c r="IE1803" t="s">
        <v>552</v>
      </c>
      <c r="IF1803">
        <v>906</v>
      </c>
      <c r="IG1803" t="s">
        <v>553</v>
      </c>
      <c r="IH1803" t="s">
        <v>554</v>
      </c>
      <c r="II1803">
        <v>1971</v>
      </c>
      <c r="IJ1803" t="s">
        <v>555</v>
      </c>
    </row>
    <row r="1804" spans="1:244" x14ac:dyDescent="0.45">
      <c r="A1804">
        <v>1026062</v>
      </c>
      <c r="B1804">
        <v>123808</v>
      </c>
      <c r="C1804">
        <v>7786814</v>
      </c>
      <c r="D1804" t="s">
        <v>3453</v>
      </c>
      <c r="F1804" t="s">
        <v>245</v>
      </c>
      <c r="G1804" t="s">
        <v>246</v>
      </c>
      <c r="N1804" t="s">
        <v>546</v>
      </c>
      <c r="O1804" t="s">
        <v>547</v>
      </c>
      <c r="P1804" t="s">
        <v>249</v>
      </c>
      <c r="Q1804" t="s">
        <v>250</v>
      </c>
      <c r="R1804" t="s">
        <v>251</v>
      </c>
      <c r="T1804" t="s">
        <v>252</v>
      </c>
      <c r="U1804" t="s">
        <v>253</v>
      </c>
      <c r="V1804" t="s">
        <v>548</v>
      </c>
      <c r="W1804" t="s">
        <v>549</v>
      </c>
      <c r="X1804" t="s">
        <v>550</v>
      </c>
      <c r="Z1804" t="s">
        <v>315</v>
      </c>
      <c r="AM1804" t="s">
        <v>258</v>
      </c>
      <c r="AN1804" t="s">
        <v>259</v>
      </c>
      <c r="AO1804" t="s">
        <v>260</v>
      </c>
      <c r="AQ1804" t="s">
        <v>261</v>
      </c>
      <c r="AS1804">
        <v>125000</v>
      </c>
      <c r="AX1804" t="s">
        <v>262</v>
      </c>
      <c r="BO1804" t="s">
        <v>261</v>
      </c>
      <c r="BQ1804">
        <v>125</v>
      </c>
      <c r="BV1804" t="s">
        <v>263</v>
      </c>
      <c r="CM1804" t="s">
        <v>264</v>
      </c>
      <c r="CN1804" t="s">
        <v>264</v>
      </c>
      <c r="CP1804" t="s">
        <v>265</v>
      </c>
      <c r="DB1804">
        <v>2</v>
      </c>
      <c r="DG1804" t="s">
        <v>267</v>
      </c>
      <c r="DI1804">
        <v>48</v>
      </c>
      <c r="DN1804" t="s">
        <v>268</v>
      </c>
      <c r="DR1804">
        <v>491138</v>
      </c>
      <c r="DS1804">
        <v>11</v>
      </c>
      <c r="EW1804" t="s">
        <v>360</v>
      </c>
      <c r="FK1804" t="s">
        <v>478</v>
      </c>
      <c r="FM1804">
        <v>15</v>
      </c>
      <c r="FR1804" t="s">
        <v>295</v>
      </c>
      <c r="HH1804" t="s">
        <v>272</v>
      </c>
      <c r="ID1804" t="s">
        <v>479</v>
      </c>
      <c r="IE1804" t="s">
        <v>552</v>
      </c>
      <c r="IF1804">
        <v>906</v>
      </c>
      <c r="IG1804" t="s">
        <v>553</v>
      </c>
      <c r="IH1804" t="s">
        <v>554</v>
      </c>
      <c r="II1804">
        <v>1971</v>
      </c>
      <c r="IJ1804" t="s">
        <v>555</v>
      </c>
    </row>
    <row r="1805" spans="1:244" x14ac:dyDescent="0.45">
      <c r="A1805">
        <v>1299788</v>
      </c>
      <c r="B1805">
        <v>755387</v>
      </c>
      <c r="C1805">
        <v>7786814</v>
      </c>
      <c r="D1805" t="s">
        <v>3453</v>
      </c>
      <c r="F1805" t="s">
        <v>245</v>
      </c>
      <c r="G1805" t="s">
        <v>246</v>
      </c>
      <c r="N1805" t="s">
        <v>3012</v>
      </c>
      <c r="O1805" t="s">
        <v>3013</v>
      </c>
      <c r="P1805" t="s">
        <v>249</v>
      </c>
      <c r="Q1805" t="s">
        <v>250</v>
      </c>
      <c r="R1805" t="s">
        <v>251</v>
      </c>
      <c r="T1805" t="s">
        <v>252</v>
      </c>
      <c r="U1805" t="s">
        <v>253</v>
      </c>
      <c r="V1805" t="s">
        <v>3014</v>
      </c>
      <c r="W1805" t="s">
        <v>3015</v>
      </c>
      <c r="X1805" t="s">
        <v>351</v>
      </c>
      <c r="AM1805" t="s">
        <v>317</v>
      </c>
      <c r="AN1805" t="s">
        <v>259</v>
      </c>
      <c r="AO1805" t="s">
        <v>260</v>
      </c>
      <c r="AQ1805" t="s">
        <v>261</v>
      </c>
      <c r="AS1805">
        <v>3.4</v>
      </c>
      <c r="AX1805" t="s">
        <v>356</v>
      </c>
      <c r="BO1805" t="s">
        <v>261</v>
      </c>
      <c r="BQ1805">
        <v>3.4</v>
      </c>
      <c r="BV1805" t="s">
        <v>263</v>
      </c>
      <c r="CM1805" t="s">
        <v>264</v>
      </c>
      <c r="CN1805" t="s">
        <v>264</v>
      </c>
      <c r="CP1805" t="s">
        <v>265</v>
      </c>
      <c r="DB1805">
        <v>1</v>
      </c>
      <c r="DG1805" t="s">
        <v>267</v>
      </c>
      <c r="DI1805">
        <v>24</v>
      </c>
      <c r="DN1805" t="s">
        <v>268</v>
      </c>
      <c r="DP1805" t="s">
        <v>3454</v>
      </c>
      <c r="DR1805">
        <v>117980</v>
      </c>
      <c r="DS1805">
        <v>2901</v>
      </c>
      <c r="EW1805" t="s">
        <v>293</v>
      </c>
      <c r="FK1805" t="s">
        <v>3455</v>
      </c>
      <c r="GJ1805">
        <v>6.5</v>
      </c>
      <c r="GL1805">
        <v>7</v>
      </c>
      <c r="GM1805" t="s">
        <v>356</v>
      </c>
      <c r="GQ1805">
        <v>8</v>
      </c>
      <c r="GS1805">
        <v>8.1999999999999993</v>
      </c>
      <c r="HH1805" t="s">
        <v>272</v>
      </c>
      <c r="ID1805" t="s">
        <v>3456</v>
      </c>
      <c r="IE1805" t="s">
        <v>2583</v>
      </c>
      <c r="IF1805">
        <v>12327</v>
      </c>
      <c r="IG1805" t="s">
        <v>2584</v>
      </c>
      <c r="IH1805" t="s">
        <v>2585</v>
      </c>
      <c r="II1805">
        <v>1985</v>
      </c>
      <c r="IJ1805" t="s">
        <v>2586</v>
      </c>
    </row>
    <row r="1806" spans="1:244" x14ac:dyDescent="0.45">
      <c r="A1806">
        <v>1299808</v>
      </c>
      <c r="B1806">
        <v>755407</v>
      </c>
      <c r="C1806">
        <v>7786814</v>
      </c>
      <c r="D1806" t="s">
        <v>3453</v>
      </c>
      <c r="F1806" t="s">
        <v>245</v>
      </c>
      <c r="G1806" t="s">
        <v>246</v>
      </c>
      <c r="N1806" t="s">
        <v>389</v>
      </c>
      <c r="O1806" t="s">
        <v>2578</v>
      </c>
      <c r="P1806" t="s">
        <v>249</v>
      </c>
      <c r="Q1806" t="s">
        <v>250</v>
      </c>
      <c r="R1806" t="s">
        <v>251</v>
      </c>
      <c r="T1806" t="s">
        <v>389</v>
      </c>
      <c r="AL1806" t="s">
        <v>2579</v>
      </c>
      <c r="AM1806" t="s">
        <v>317</v>
      </c>
      <c r="AN1806" t="s">
        <v>259</v>
      </c>
      <c r="AO1806" t="s">
        <v>260</v>
      </c>
      <c r="AQ1806" t="s">
        <v>261</v>
      </c>
      <c r="AS1806">
        <v>6</v>
      </c>
      <c r="AX1806" t="s">
        <v>356</v>
      </c>
      <c r="BO1806" t="s">
        <v>261</v>
      </c>
      <c r="BQ1806">
        <v>6</v>
      </c>
      <c r="BV1806" t="s">
        <v>263</v>
      </c>
      <c r="CM1806" t="s">
        <v>264</v>
      </c>
      <c r="CN1806" t="s">
        <v>264</v>
      </c>
      <c r="CP1806" t="s">
        <v>265</v>
      </c>
      <c r="DB1806">
        <v>1</v>
      </c>
      <c r="DG1806" t="s">
        <v>267</v>
      </c>
      <c r="DI1806">
        <v>24</v>
      </c>
      <c r="DN1806" t="s">
        <v>268</v>
      </c>
      <c r="DP1806" t="s">
        <v>3454</v>
      </c>
      <c r="DR1806">
        <v>72037</v>
      </c>
      <c r="DS1806">
        <v>11855</v>
      </c>
      <c r="EW1806" t="s">
        <v>293</v>
      </c>
      <c r="FK1806" t="s">
        <v>3457</v>
      </c>
      <c r="GJ1806">
        <v>6.5</v>
      </c>
      <c r="GL1806">
        <v>7</v>
      </c>
      <c r="GM1806" t="s">
        <v>356</v>
      </c>
      <c r="GQ1806">
        <v>8</v>
      </c>
      <c r="GS1806">
        <v>8.1999999999999993</v>
      </c>
      <c r="HH1806" t="s">
        <v>272</v>
      </c>
      <c r="ID1806" t="s">
        <v>3458</v>
      </c>
      <c r="IE1806" t="s">
        <v>2583</v>
      </c>
      <c r="IF1806">
        <v>12327</v>
      </c>
      <c r="IG1806" t="s">
        <v>2584</v>
      </c>
      <c r="IH1806" t="s">
        <v>2585</v>
      </c>
      <c r="II1806">
        <v>1985</v>
      </c>
      <c r="IJ1806" t="s">
        <v>2586</v>
      </c>
    </row>
    <row r="1807" spans="1:244" x14ac:dyDescent="0.45">
      <c r="A1807">
        <v>2317095</v>
      </c>
      <c r="B1807">
        <v>2796458</v>
      </c>
      <c r="C1807">
        <v>7786814</v>
      </c>
      <c r="D1807" t="s">
        <v>3453</v>
      </c>
      <c r="E1807" t="s">
        <v>439</v>
      </c>
      <c r="F1807" t="s">
        <v>245</v>
      </c>
      <c r="G1807" t="s">
        <v>272</v>
      </c>
      <c r="N1807" t="s">
        <v>1492</v>
      </c>
      <c r="O1807" t="s">
        <v>1493</v>
      </c>
      <c r="P1807" t="s">
        <v>249</v>
      </c>
      <c r="Q1807" t="s">
        <v>250</v>
      </c>
      <c r="R1807" t="s">
        <v>251</v>
      </c>
      <c r="T1807" t="s">
        <v>252</v>
      </c>
      <c r="U1807" t="s">
        <v>253</v>
      </c>
      <c r="V1807" t="s">
        <v>281</v>
      </c>
      <c r="W1807" t="s">
        <v>282</v>
      </c>
      <c r="X1807" t="s">
        <v>1494</v>
      </c>
      <c r="Z1807" t="s">
        <v>1046</v>
      </c>
      <c r="AB1807">
        <v>1</v>
      </c>
      <c r="AG1807" t="s">
        <v>598</v>
      </c>
      <c r="AJ1807" t="s">
        <v>354</v>
      </c>
      <c r="AM1807" t="s">
        <v>287</v>
      </c>
      <c r="AN1807" t="s">
        <v>259</v>
      </c>
      <c r="AO1807" t="s">
        <v>260</v>
      </c>
      <c r="AQ1807" t="s">
        <v>261</v>
      </c>
      <c r="AS1807">
        <v>4360</v>
      </c>
      <c r="AX1807" t="s">
        <v>262</v>
      </c>
      <c r="BO1807" t="s">
        <v>261</v>
      </c>
      <c r="BQ1807">
        <v>4.3600000000000003</v>
      </c>
      <c r="BV1807" t="s">
        <v>263</v>
      </c>
      <c r="CM1807" t="s">
        <v>264</v>
      </c>
      <c r="CN1807" t="s">
        <v>264</v>
      </c>
      <c r="CP1807" t="s">
        <v>265</v>
      </c>
      <c r="CQ1807" t="s">
        <v>837</v>
      </c>
      <c r="DB1807">
        <v>4</v>
      </c>
      <c r="DG1807" t="s">
        <v>267</v>
      </c>
      <c r="DI1807">
        <v>96</v>
      </c>
      <c r="DN1807" t="s">
        <v>268</v>
      </c>
      <c r="DP1807" t="s">
        <v>3459</v>
      </c>
      <c r="DR1807">
        <v>29965</v>
      </c>
      <c r="DS1807">
        <v>339</v>
      </c>
      <c r="DT1807" t="s">
        <v>1771</v>
      </c>
      <c r="DV1807">
        <v>96</v>
      </c>
      <c r="EA1807" t="s">
        <v>268</v>
      </c>
      <c r="EC1807">
        <v>4</v>
      </c>
      <c r="EH1807" t="s">
        <v>267</v>
      </c>
      <c r="EJ1807">
        <v>96</v>
      </c>
      <c r="EO1807" t="s">
        <v>268</v>
      </c>
      <c r="EQ1807">
        <v>4</v>
      </c>
      <c r="EV1807" t="s">
        <v>267</v>
      </c>
      <c r="EW1807" t="s">
        <v>293</v>
      </c>
      <c r="EZ1807">
        <v>20</v>
      </c>
      <c r="FM1807">
        <v>15</v>
      </c>
      <c r="FR1807" t="s">
        <v>295</v>
      </c>
      <c r="GJ1807">
        <v>6.5</v>
      </c>
      <c r="GL1807">
        <v>8</v>
      </c>
      <c r="GM1807" t="s">
        <v>356</v>
      </c>
      <c r="GO1807">
        <v>8.1</v>
      </c>
      <c r="GU1807">
        <v>33.79</v>
      </c>
      <c r="GZ1807" t="s">
        <v>296</v>
      </c>
      <c r="HH1807" t="s">
        <v>272</v>
      </c>
      <c r="ID1807" t="s">
        <v>1772</v>
      </c>
      <c r="IE1807" t="s">
        <v>1773</v>
      </c>
      <c r="IF1807">
        <v>15497</v>
      </c>
      <c r="IG1807" t="s">
        <v>1774</v>
      </c>
      <c r="IH1807" t="s">
        <v>1775</v>
      </c>
      <c r="II1807">
        <v>1981</v>
      </c>
      <c r="IJ1807" t="s">
        <v>1776</v>
      </c>
    </row>
    <row r="1808" spans="1:244" x14ac:dyDescent="0.45">
      <c r="A1808">
        <v>1000004</v>
      </c>
      <c r="B1808">
        <v>29395</v>
      </c>
      <c r="C1808">
        <v>7786814</v>
      </c>
      <c r="D1808" t="s">
        <v>3453</v>
      </c>
      <c r="F1808" t="s">
        <v>245</v>
      </c>
      <c r="G1808" t="s">
        <v>246</v>
      </c>
      <c r="N1808" t="s">
        <v>838</v>
      </c>
      <c r="O1808" t="s">
        <v>839</v>
      </c>
      <c r="P1808" t="s">
        <v>249</v>
      </c>
      <c r="Q1808" t="s">
        <v>250</v>
      </c>
      <c r="R1808" t="s">
        <v>251</v>
      </c>
      <c r="T1808" t="s">
        <v>347</v>
      </c>
      <c r="U1808" t="s">
        <v>348</v>
      </c>
      <c r="V1808" t="s">
        <v>349</v>
      </c>
      <c r="W1808" t="s">
        <v>350</v>
      </c>
      <c r="X1808" t="s">
        <v>840</v>
      </c>
      <c r="Z1808" t="s">
        <v>558</v>
      </c>
      <c r="AM1808" t="s">
        <v>317</v>
      </c>
      <c r="AN1808" t="s">
        <v>259</v>
      </c>
      <c r="AO1808" t="s">
        <v>260</v>
      </c>
      <c r="AQ1808" t="s">
        <v>261</v>
      </c>
      <c r="AR1808" t="s">
        <v>288</v>
      </c>
      <c r="AS1808">
        <v>587</v>
      </c>
      <c r="AX1808" t="s">
        <v>262</v>
      </c>
      <c r="BO1808" t="s">
        <v>261</v>
      </c>
      <c r="BP1808" t="s">
        <v>288</v>
      </c>
      <c r="BQ1808">
        <v>0.58699999999999997</v>
      </c>
      <c r="BV1808" t="s">
        <v>263</v>
      </c>
      <c r="CM1808" t="s">
        <v>264</v>
      </c>
      <c r="CN1808" t="s">
        <v>264</v>
      </c>
      <c r="CP1808" t="s">
        <v>265</v>
      </c>
      <c r="DB1808">
        <v>3</v>
      </c>
      <c r="DG1808" t="s">
        <v>267</v>
      </c>
      <c r="DI1808">
        <v>72</v>
      </c>
      <c r="DN1808" t="s">
        <v>268</v>
      </c>
      <c r="DR1808">
        <v>6661</v>
      </c>
      <c r="DS1808">
        <v>3004</v>
      </c>
      <c r="DT1808" t="s">
        <v>2229</v>
      </c>
      <c r="EW1808" t="s">
        <v>333</v>
      </c>
      <c r="FK1808" t="s">
        <v>478</v>
      </c>
      <c r="FM1808">
        <v>28</v>
      </c>
      <c r="FR1808" t="s">
        <v>295</v>
      </c>
      <c r="HH1808" t="s">
        <v>272</v>
      </c>
      <c r="ID1808" t="s">
        <v>479</v>
      </c>
      <c r="IE1808" t="s">
        <v>2230</v>
      </c>
      <c r="IF1808">
        <v>4</v>
      </c>
      <c r="IG1808" t="s">
        <v>2231</v>
      </c>
      <c r="IH1808" t="s">
        <v>2232</v>
      </c>
      <c r="II1808">
        <v>1991</v>
      </c>
      <c r="IJ1808" t="s">
        <v>2233</v>
      </c>
    </row>
    <row r="1809" spans="1:244" x14ac:dyDescent="0.45">
      <c r="A1809">
        <v>1026063</v>
      </c>
      <c r="B1809">
        <v>123809</v>
      </c>
      <c r="C1809">
        <v>7786814</v>
      </c>
      <c r="D1809" t="s">
        <v>3453</v>
      </c>
      <c r="F1809" t="s">
        <v>245</v>
      </c>
      <c r="G1809" t="s">
        <v>246</v>
      </c>
      <c r="N1809" t="s">
        <v>1895</v>
      </c>
      <c r="O1809" t="s">
        <v>1896</v>
      </c>
      <c r="P1809" t="s">
        <v>249</v>
      </c>
      <c r="Q1809" t="s">
        <v>250</v>
      </c>
      <c r="R1809" t="s">
        <v>251</v>
      </c>
      <c r="T1809" t="s">
        <v>252</v>
      </c>
      <c r="U1809" t="s">
        <v>253</v>
      </c>
      <c r="V1809" t="s">
        <v>254</v>
      </c>
      <c r="W1809" t="s">
        <v>1897</v>
      </c>
      <c r="X1809" t="s">
        <v>1898</v>
      </c>
      <c r="Z1809" t="s">
        <v>315</v>
      </c>
      <c r="AM1809" t="s">
        <v>258</v>
      </c>
      <c r="AN1809" t="s">
        <v>259</v>
      </c>
      <c r="AO1809" t="s">
        <v>260</v>
      </c>
      <c r="AQ1809" t="s">
        <v>261</v>
      </c>
      <c r="AS1809">
        <v>255000</v>
      </c>
      <c r="AX1809" t="s">
        <v>262</v>
      </c>
      <c r="BO1809" t="s">
        <v>261</v>
      </c>
      <c r="BQ1809">
        <v>255</v>
      </c>
      <c r="BV1809" t="s">
        <v>263</v>
      </c>
      <c r="CM1809" t="s">
        <v>264</v>
      </c>
      <c r="CN1809" t="s">
        <v>264</v>
      </c>
      <c r="CP1809" t="s">
        <v>265</v>
      </c>
      <c r="DB1809">
        <v>2</v>
      </c>
      <c r="DG1809" t="s">
        <v>267</v>
      </c>
      <c r="DI1809">
        <v>48</v>
      </c>
      <c r="DN1809" t="s">
        <v>268</v>
      </c>
      <c r="DR1809">
        <v>6759</v>
      </c>
      <c r="DS1809">
        <v>10</v>
      </c>
      <c r="EW1809" t="s">
        <v>360</v>
      </c>
      <c r="FK1809" t="s">
        <v>478</v>
      </c>
      <c r="FM1809">
        <v>15</v>
      </c>
      <c r="FR1809" t="s">
        <v>295</v>
      </c>
      <c r="HH1809" t="s">
        <v>272</v>
      </c>
      <c r="ID1809" t="s">
        <v>479</v>
      </c>
      <c r="IE1809" t="s">
        <v>552</v>
      </c>
      <c r="IF1809">
        <v>906</v>
      </c>
      <c r="IG1809" t="s">
        <v>553</v>
      </c>
      <c r="IH1809" t="s">
        <v>554</v>
      </c>
      <c r="II1809">
        <v>1971</v>
      </c>
      <c r="IJ1809" t="s">
        <v>555</v>
      </c>
    </row>
    <row r="1810" spans="1:244" x14ac:dyDescent="0.45">
      <c r="A1810">
        <v>1304354</v>
      </c>
      <c r="B1810">
        <v>760925</v>
      </c>
      <c r="C1810">
        <v>7789006</v>
      </c>
      <c r="D1810" t="s">
        <v>3460</v>
      </c>
      <c r="F1810" t="s">
        <v>245</v>
      </c>
      <c r="G1810" t="s">
        <v>246</v>
      </c>
      <c r="N1810" t="s">
        <v>2444</v>
      </c>
      <c r="O1810" t="s">
        <v>2445</v>
      </c>
      <c r="P1810" t="s">
        <v>249</v>
      </c>
      <c r="Q1810" t="s">
        <v>250</v>
      </c>
      <c r="R1810" t="s">
        <v>251</v>
      </c>
      <c r="T1810" t="s">
        <v>252</v>
      </c>
      <c r="U1810" t="s">
        <v>253</v>
      </c>
      <c r="V1810" t="s">
        <v>418</v>
      </c>
      <c r="W1810" t="s">
        <v>847</v>
      </c>
      <c r="X1810" t="s">
        <v>351</v>
      </c>
      <c r="AL1810" t="s">
        <v>2749</v>
      </c>
      <c r="AM1810" t="s">
        <v>258</v>
      </c>
      <c r="AN1810" t="s">
        <v>259</v>
      </c>
      <c r="AO1810" t="s">
        <v>260</v>
      </c>
      <c r="AP1810" t="s">
        <v>2368</v>
      </c>
      <c r="AQ1810" t="s">
        <v>261</v>
      </c>
      <c r="AS1810">
        <v>2.71</v>
      </c>
      <c r="AX1810" t="s">
        <v>356</v>
      </c>
      <c r="BO1810" t="s">
        <v>261</v>
      </c>
      <c r="BQ1810">
        <v>2.71</v>
      </c>
      <c r="BV1810" t="s">
        <v>263</v>
      </c>
      <c r="CM1810" t="s">
        <v>264</v>
      </c>
      <c r="CN1810" t="s">
        <v>264</v>
      </c>
      <c r="CP1810" t="s">
        <v>265</v>
      </c>
      <c r="CQ1810" t="s">
        <v>538</v>
      </c>
      <c r="DB1810">
        <v>4</v>
      </c>
      <c r="DG1810" t="s">
        <v>267</v>
      </c>
      <c r="DI1810">
        <v>96</v>
      </c>
      <c r="DN1810" t="s">
        <v>268</v>
      </c>
      <c r="DP1810" t="s">
        <v>3461</v>
      </c>
      <c r="DR1810">
        <v>32277</v>
      </c>
      <c r="DS1810">
        <v>18738</v>
      </c>
      <c r="EW1810" t="s">
        <v>293</v>
      </c>
      <c r="FK1810" t="s">
        <v>3462</v>
      </c>
      <c r="FM1810">
        <v>26</v>
      </c>
      <c r="FR1810" t="s">
        <v>295</v>
      </c>
      <c r="GO1810">
        <v>7.99</v>
      </c>
      <c r="GU1810">
        <v>37.33</v>
      </c>
      <c r="GZ1810" t="s">
        <v>296</v>
      </c>
      <c r="HH1810" t="s">
        <v>272</v>
      </c>
      <c r="ID1810" t="s">
        <v>3463</v>
      </c>
      <c r="IE1810" t="s">
        <v>2372</v>
      </c>
      <c r="IF1810">
        <v>62226</v>
      </c>
      <c r="IG1810" t="s">
        <v>2373</v>
      </c>
      <c r="IH1810" t="s">
        <v>2374</v>
      </c>
      <c r="II1810">
        <v>1999</v>
      </c>
      <c r="IJ1810" t="s">
        <v>2375</v>
      </c>
    </row>
    <row r="1811" spans="1:244" x14ac:dyDescent="0.45">
      <c r="A1811">
        <v>1304355</v>
      </c>
      <c r="B1811">
        <v>760926</v>
      </c>
      <c r="C1811">
        <v>7789006</v>
      </c>
      <c r="D1811" t="s">
        <v>3460</v>
      </c>
      <c r="F1811" t="s">
        <v>245</v>
      </c>
      <c r="G1811" t="s">
        <v>246</v>
      </c>
      <c r="N1811" t="s">
        <v>2362</v>
      </c>
      <c r="O1811" t="s">
        <v>2363</v>
      </c>
      <c r="P1811" t="s">
        <v>249</v>
      </c>
      <c r="Q1811" t="s">
        <v>250</v>
      </c>
      <c r="R1811" t="s">
        <v>251</v>
      </c>
      <c r="T1811" t="s">
        <v>252</v>
      </c>
      <c r="U1811" t="s">
        <v>253</v>
      </c>
      <c r="V1811" t="s">
        <v>2364</v>
      </c>
      <c r="W1811" t="s">
        <v>2365</v>
      </c>
      <c r="X1811" t="s">
        <v>2366</v>
      </c>
      <c r="AL1811" t="s">
        <v>2885</v>
      </c>
      <c r="AM1811" t="s">
        <v>258</v>
      </c>
      <c r="AN1811" t="s">
        <v>259</v>
      </c>
      <c r="AO1811" t="s">
        <v>260</v>
      </c>
      <c r="AP1811" t="s">
        <v>2368</v>
      </c>
      <c r="AQ1811" t="s">
        <v>261</v>
      </c>
      <c r="AS1811">
        <v>44.6</v>
      </c>
      <c r="AX1811" t="s">
        <v>356</v>
      </c>
      <c r="BO1811" t="s">
        <v>261</v>
      </c>
      <c r="BQ1811">
        <v>44.6</v>
      </c>
      <c r="BV1811" t="s">
        <v>263</v>
      </c>
      <c r="CM1811" t="s">
        <v>264</v>
      </c>
      <c r="CN1811" t="s">
        <v>264</v>
      </c>
      <c r="CP1811" t="s">
        <v>265</v>
      </c>
      <c r="CQ1811" t="s">
        <v>538</v>
      </c>
      <c r="DB1811">
        <v>2</v>
      </c>
      <c r="DG1811" t="s">
        <v>267</v>
      </c>
      <c r="DI1811">
        <v>48</v>
      </c>
      <c r="DN1811" t="s">
        <v>268</v>
      </c>
      <c r="DP1811" t="s">
        <v>3461</v>
      </c>
      <c r="DR1811">
        <v>373433</v>
      </c>
      <c r="DS1811">
        <v>18732</v>
      </c>
      <c r="EW1811" t="s">
        <v>293</v>
      </c>
      <c r="FK1811" t="s">
        <v>3464</v>
      </c>
      <c r="FM1811">
        <v>30</v>
      </c>
      <c r="FR1811" t="s">
        <v>295</v>
      </c>
      <c r="GH1811">
        <v>2.42</v>
      </c>
      <c r="GM1811" t="s">
        <v>356</v>
      </c>
      <c r="GO1811">
        <v>7.37</v>
      </c>
      <c r="GU1811">
        <v>36.229999999999997</v>
      </c>
      <c r="GZ1811" t="s">
        <v>296</v>
      </c>
      <c r="HH1811" t="s">
        <v>272</v>
      </c>
      <c r="ID1811" t="s">
        <v>3465</v>
      </c>
      <c r="IE1811" t="s">
        <v>2372</v>
      </c>
      <c r="IF1811">
        <v>62226</v>
      </c>
      <c r="IG1811" t="s">
        <v>2373</v>
      </c>
      <c r="IH1811" t="s">
        <v>2374</v>
      </c>
      <c r="II1811">
        <v>1999</v>
      </c>
      <c r="IJ1811" t="s">
        <v>2375</v>
      </c>
    </row>
    <row r="1812" spans="1:244" x14ac:dyDescent="0.45">
      <c r="A1812">
        <v>1036936</v>
      </c>
      <c r="B1812">
        <v>112346</v>
      </c>
      <c r="C1812">
        <v>7789006</v>
      </c>
      <c r="D1812" t="s">
        <v>3460</v>
      </c>
      <c r="F1812" t="s">
        <v>245</v>
      </c>
      <c r="G1812" t="s">
        <v>246</v>
      </c>
      <c r="N1812" t="s">
        <v>1724</v>
      </c>
      <c r="O1812" t="s">
        <v>1725</v>
      </c>
      <c r="P1812" t="s">
        <v>249</v>
      </c>
      <c r="Q1812" t="s">
        <v>250</v>
      </c>
      <c r="R1812" t="s">
        <v>251</v>
      </c>
      <c r="T1812" t="s">
        <v>252</v>
      </c>
      <c r="U1812" t="s">
        <v>253</v>
      </c>
      <c r="V1812" t="s">
        <v>1726</v>
      </c>
      <c r="W1812" t="s">
        <v>1727</v>
      </c>
      <c r="X1812" t="s">
        <v>1728</v>
      </c>
      <c r="Z1812" t="s">
        <v>315</v>
      </c>
      <c r="AM1812" t="s">
        <v>317</v>
      </c>
      <c r="AN1812" t="s">
        <v>259</v>
      </c>
      <c r="AO1812" t="s">
        <v>260</v>
      </c>
      <c r="AQ1812" t="s">
        <v>261</v>
      </c>
      <c r="AS1812">
        <v>5000</v>
      </c>
      <c r="AX1812" t="s">
        <v>262</v>
      </c>
      <c r="BO1812" t="s">
        <v>261</v>
      </c>
      <c r="BQ1812">
        <v>5</v>
      </c>
      <c r="BV1812" t="s">
        <v>263</v>
      </c>
      <c r="CM1812" t="s">
        <v>264</v>
      </c>
      <c r="CN1812" t="s">
        <v>264</v>
      </c>
      <c r="CP1812" t="s">
        <v>265</v>
      </c>
      <c r="CQ1812" t="s">
        <v>538</v>
      </c>
      <c r="DB1812">
        <v>4</v>
      </c>
      <c r="DG1812" t="s">
        <v>267</v>
      </c>
      <c r="DI1812">
        <v>96</v>
      </c>
      <c r="DN1812" t="s">
        <v>268</v>
      </c>
      <c r="DP1812" t="s">
        <v>570</v>
      </c>
      <c r="DR1812">
        <v>111067</v>
      </c>
      <c r="DS1812">
        <v>490</v>
      </c>
      <c r="DT1812" t="s">
        <v>1729</v>
      </c>
      <c r="EW1812" t="s">
        <v>333</v>
      </c>
      <c r="FM1812">
        <v>20</v>
      </c>
      <c r="FR1812" t="s">
        <v>295</v>
      </c>
      <c r="GG1812" t="s">
        <v>288</v>
      </c>
      <c r="GH1812">
        <v>4</v>
      </c>
      <c r="GM1812" t="s">
        <v>356</v>
      </c>
      <c r="GU1812">
        <v>20</v>
      </c>
      <c r="GZ1812" t="s">
        <v>296</v>
      </c>
      <c r="HH1812" t="s">
        <v>272</v>
      </c>
      <c r="IE1812" t="s">
        <v>1730</v>
      </c>
      <c r="IF1812">
        <v>2253</v>
      </c>
      <c r="IG1812" t="s">
        <v>1731</v>
      </c>
      <c r="IH1812" t="s">
        <v>1732</v>
      </c>
      <c r="II1812">
        <v>1977</v>
      </c>
      <c r="IJ1812" t="s">
        <v>1733</v>
      </c>
    </row>
    <row r="1813" spans="1:244" x14ac:dyDescent="0.45">
      <c r="A1813">
        <v>1036935</v>
      </c>
      <c r="B1813">
        <v>112345</v>
      </c>
      <c r="C1813">
        <v>7789006</v>
      </c>
      <c r="D1813" t="s">
        <v>3460</v>
      </c>
      <c r="F1813" t="s">
        <v>245</v>
      </c>
      <c r="G1813" t="s">
        <v>246</v>
      </c>
      <c r="N1813" t="s">
        <v>1724</v>
      </c>
      <c r="O1813" t="s">
        <v>1725</v>
      </c>
      <c r="P1813" t="s">
        <v>249</v>
      </c>
      <c r="Q1813" t="s">
        <v>250</v>
      </c>
      <c r="R1813" t="s">
        <v>251</v>
      </c>
      <c r="T1813" t="s">
        <v>252</v>
      </c>
      <c r="U1813" t="s">
        <v>253</v>
      </c>
      <c r="V1813" t="s">
        <v>1726</v>
      </c>
      <c r="W1813" t="s">
        <v>1727</v>
      </c>
      <c r="X1813" t="s">
        <v>1728</v>
      </c>
      <c r="Z1813" t="s">
        <v>315</v>
      </c>
      <c r="AM1813" t="s">
        <v>317</v>
      </c>
      <c r="AN1813" t="s">
        <v>259</v>
      </c>
      <c r="AO1813" t="s">
        <v>260</v>
      </c>
      <c r="AQ1813" t="s">
        <v>261</v>
      </c>
      <c r="AS1813">
        <v>20000</v>
      </c>
      <c r="AX1813" t="s">
        <v>262</v>
      </c>
      <c r="BO1813" t="s">
        <v>261</v>
      </c>
      <c r="BQ1813">
        <v>20</v>
      </c>
      <c r="BV1813" t="s">
        <v>263</v>
      </c>
      <c r="CM1813" t="s">
        <v>264</v>
      </c>
      <c r="CN1813" t="s">
        <v>264</v>
      </c>
      <c r="CP1813" t="s">
        <v>265</v>
      </c>
      <c r="CQ1813" t="s">
        <v>538</v>
      </c>
      <c r="DB1813">
        <v>1</v>
      </c>
      <c r="DG1813" t="s">
        <v>267</v>
      </c>
      <c r="DI1813">
        <v>24</v>
      </c>
      <c r="DN1813" t="s">
        <v>268</v>
      </c>
      <c r="DP1813" t="s">
        <v>570</v>
      </c>
      <c r="DR1813">
        <v>111067</v>
      </c>
      <c r="DS1813">
        <v>490</v>
      </c>
      <c r="DT1813" t="s">
        <v>1729</v>
      </c>
      <c r="EW1813" t="s">
        <v>333</v>
      </c>
      <c r="FM1813">
        <v>20</v>
      </c>
      <c r="FR1813" t="s">
        <v>295</v>
      </c>
      <c r="GG1813" t="s">
        <v>288</v>
      </c>
      <c r="GH1813">
        <v>4</v>
      </c>
      <c r="GM1813" t="s">
        <v>356</v>
      </c>
      <c r="GU1813">
        <v>20</v>
      </c>
      <c r="GZ1813" t="s">
        <v>296</v>
      </c>
      <c r="HH1813" t="s">
        <v>272</v>
      </c>
      <c r="IE1813" t="s">
        <v>1730</v>
      </c>
      <c r="IF1813">
        <v>2253</v>
      </c>
      <c r="IG1813" t="s">
        <v>1731</v>
      </c>
      <c r="IH1813" t="s">
        <v>1732</v>
      </c>
      <c r="II1813">
        <v>1977</v>
      </c>
      <c r="IJ1813" t="s">
        <v>1733</v>
      </c>
    </row>
    <row r="1814" spans="1:244" x14ac:dyDescent="0.45">
      <c r="A1814">
        <v>1304353</v>
      </c>
      <c r="B1814">
        <v>760924</v>
      </c>
      <c r="C1814">
        <v>7789006</v>
      </c>
      <c r="D1814" t="s">
        <v>3460</v>
      </c>
      <c r="F1814" t="s">
        <v>245</v>
      </c>
      <c r="G1814" t="s">
        <v>246</v>
      </c>
      <c r="N1814" t="s">
        <v>2444</v>
      </c>
      <c r="O1814" t="s">
        <v>2445</v>
      </c>
      <c r="P1814" t="s">
        <v>249</v>
      </c>
      <c r="Q1814" t="s">
        <v>250</v>
      </c>
      <c r="R1814" t="s">
        <v>251</v>
      </c>
      <c r="T1814" t="s">
        <v>252</v>
      </c>
      <c r="U1814" t="s">
        <v>253</v>
      </c>
      <c r="V1814" t="s">
        <v>418</v>
      </c>
      <c r="W1814" t="s">
        <v>847</v>
      </c>
      <c r="X1814" t="s">
        <v>351</v>
      </c>
      <c r="AL1814" t="s">
        <v>2749</v>
      </c>
      <c r="AM1814" t="s">
        <v>258</v>
      </c>
      <c r="AN1814" t="s">
        <v>259</v>
      </c>
      <c r="AO1814" t="s">
        <v>260</v>
      </c>
      <c r="AP1814" t="s">
        <v>2368</v>
      </c>
      <c r="AQ1814" t="s">
        <v>261</v>
      </c>
      <c r="AS1814">
        <v>7.07</v>
      </c>
      <c r="AX1814" t="s">
        <v>356</v>
      </c>
      <c r="BO1814" t="s">
        <v>261</v>
      </c>
      <c r="BQ1814">
        <v>7.07</v>
      </c>
      <c r="BV1814" t="s">
        <v>263</v>
      </c>
      <c r="CM1814" t="s">
        <v>264</v>
      </c>
      <c r="CN1814" t="s">
        <v>264</v>
      </c>
      <c r="CP1814" t="s">
        <v>265</v>
      </c>
      <c r="CQ1814" t="s">
        <v>538</v>
      </c>
      <c r="DB1814">
        <v>2</v>
      </c>
      <c r="DG1814" t="s">
        <v>267</v>
      </c>
      <c r="DI1814">
        <v>48</v>
      </c>
      <c r="DN1814" t="s">
        <v>268</v>
      </c>
      <c r="DP1814" t="s">
        <v>3461</v>
      </c>
      <c r="DR1814">
        <v>32277</v>
      </c>
      <c r="DS1814">
        <v>18738</v>
      </c>
      <c r="EW1814" t="s">
        <v>293</v>
      </c>
      <c r="FK1814" t="s">
        <v>3462</v>
      </c>
      <c r="FM1814">
        <v>26</v>
      </c>
      <c r="FR1814" t="s">
        <v>295</v>
      </c>
      <c r="GO1814">
        <v>7.99</v>
      </c>
      <c r="GU1814">
        <v>37.33</v>
      </c>
      <c r="GZ1814" t="s">
        <v>296</v>
      </c>
      <c r="HH1814" t="s">
        <v>272</v>
      </c>
      <c r="ID1814" t="s">
        <v>3463</v>
      </c>
      <c r="IE1814" t="s">
        <v>2372</v>
      </c>
      <c r="IF1814">
        <v>62226</v>
      </c>
      <c r="IG1814" t="s">
        <v>2373</v>
      </c>
      <c r="IH1814" t="s">
        <v>2374</v>
      </c>
      <c r="II1814">
        <v>1999</v>
      </c>
      <c r="IJ1814" t="s">
        <v>2375</v>
      </c>
    </row>
    <row r="1815" spans="1:244" x14ac:dyDescent="0.45">
      <c r="A1815">
        <v>1304356</v>
      </c>
      <c r="B1815">
        <v>760927</v>
      </c>
      <c r="C1815">
        <v>7789006</v>
      </c>
      <c r="D1815" t="s">
        <v>3460</v>
      </c>
      <c r="F1815" t="s">
        <v>245</v>
      </c>
      <c r="G1815" t="s">
        <v>246</v>
      </c>
      <c r="N1815" t="s">
        <v>2362</v>
      </c>
      <c r="O1815" t="s">
        <v>2363</v>
      </c>
      <c r="P1815" t="s">
        <v>249</v>
      </c>
      <c r="Q1815" t="s">
        <v>250</v>
      </c>
      <c r="R1815" t="s">
        <v>251</v>
      </c>
      <c r="T1815" t="s">
        <v>252</v>
      </c>
      <c r="U1815" t="s">
        <v>253</v>
      </c>
      <c r="V1815" t="s">
        <v>2364</v>
      </c>
      <c r="W1815" t="s">
        <v>2365</v>
      </c>
      <c r="X1815" t="s">
        <v>2366</v>
      </c>
      <c r="AL1815" t="s">
        <v>2885</v>
      </c>
      <c r="AM1815" t="s">
        <v>258</v>
      </c>
      <c r="AN1815" t="s">
        <v>259</v>
      </c>
      <c r="AO1815" t="s">
        <v>260</v>
      </c>
      <c r="AP1815" t="s">
        <v>2368</v>
      </c>
      <c r="AQ1815" t="s">
        <v>261</v>
      </c>
      <c r="AS1815">
        <v>34.07</v>
      </c>
      <c r="AX1815" t="s">
        <v>356</v>
      </c>
      <c r="BO1815" t="s">
        <v>261</v>
      </c>
      <c r="BQ1815">
        <v>34.07</v>
      </c>
      <c r="BV1815" t="s">
        <v>263</v>
      </c>
      <c r="CM1815" t="s">
        <v>264</v>
      </c>
      <c r="CN1815" t="s">
        <v>264</v>
      </c>
      <c r="CP1815" t="s">
        <v>265</v>
      </c>
      <c r="CQ1815" t="s">
        <v>538</v>
      </c>
      <c r="DB1815">
        <v>4</v>
      </c>
      <c r="DG1815" t="s">
        <v>267</v>
      </c>
      <c r="DI1815">
        <v>96</v>
      </c>
      <c r="DN1815" t="s">
        <v>268</v>
      </c>
      <c r="DP1815" t="s">
        <v>3461</v>
      </c>
      <c r="DR1815">
        <v>373433</v>
      </c>
      <c r="DS1815">
        <v>18732</v>
      </c>
      <c r="EW1815" t="s">
        <v>293</v>
      </c>
      <c r="FK1815" t="s">
        <v>3464</v>
      </c>
      <c r="FM1815">
        <v>30</v>
      </c>
      <c r="FR1815" t="s">
        <v>295</v>
      </c>
      <c r="GH1815">
        <v>2.42</v>
      </c>
      <c r="GM1815" t="s">
        <v>356</v>
      </c>
      <c r="GO1815">
        <v>7.37</v>
      </c>
      <c r="GU1815">
        <v>36.229999999999997</v>
      </c>
      <c r="GZ1815" t="s">
        <v>296</v>
      </c>
      <c r="HH1815" t="s">
        <v>272</v>
      </c>
      <c r="ID1815" t="s">
        <v>3465</v>
      </c>
      <c r="IE1815" t="s">
        <v>2372</v>
      </c>
      <c r="IF1815">
        <v>62226</v>
      </c>
      <c r="IG1815" t="s">
        <v>2373</v>
      </c>
      <c r="IH1815" t="s">
        <v>2374</v>
      </c>
      <c r="II1815">
        <v>1999</v>
      </c>
      <c r="IJ1815" t="s">
        <v>2375</v>
      </c>
    </row>
    <row r="1816" spans="1:244" x14ac:dyDescent="0.45">
      <c r="A1816">
        <v>1078829</v>
      </c>
      <c r="B1816">
        <v>10373</v>
      </c>
      <c r="C1816">
        <v>7789006</v>
      </c>
      <c r="D1816" t="s">
        <v>3460</v>
      </c>
      <c r="F1816" t="s">
        <v>245</v>
      </c>
      <c r="G1816" t="s">
        <v>246</v>
      </c>
      <c r="N1816" t="s">
        <v>312</v>
      </c>
      <c r="O1816" t="s">
        <v>313</v>
      </c>
      <c r="P1816" t="s">
        <v>249</v>
      </c>
      <c r="Q1816" t="s">
        <v>250</v>
      </c>
      <c r="R1816" t="s">
        <v>251</v>
      </c>
      <c r="T1816" t="s">
        <v>252</v>
      </c>
      <c r="U1816" t="s">
        <v>253</v>
      </c>
      <c r="V1816" t="s">
        <v>304</v>
      </c>
      <c r="W1816" t="s">
        <v>305</v>
      </c>
      <c r="X1816" t="s">
        <v>314</v>
      </c>
      <c r="AL1816" t="s">
        <v>3466</v>
      </c>
      <c r="AM1816" t="s">
        <v>317</v>
      </c>
      <c r="AN1816" t="s">
        <v>259</v>
      </c>
      <c r="AO1816" t="s">
        <v>260</v>
      </c>
      <c r="AQ1816" t="s">
        <v>261</v>
      </c>
      <c r="AS1816">
        <v>78000</v>
      </c>
      <c r="AU1816">
        <v>63000</v>
      </c>
      <c r="AW1816">
        <v>93000</v>
      </c>
      <c r="AX1816" t="s">
        <v>262</v>
      </c>
      <c r="BO1816" t="s">
        <v>261</v>
      </c>
      <c r="BQ1816">
        <v>78</v>
      </c>
      <c r="BS1816">
        <v>63</v>
      </c>
      <c r="BU1816">
        <v>93</v>
      </c>
      <c r="BV1816" t="s">
        <v>263</v>
      </c>
      <c r="CM1816" t="s">
        <v>264</v>
      </c>
      <c r="CN1816" t="s">
        <v>264</v>
      </c>
      <c r="CP1816" t="s">
        <v>265</v>
      </c>
      <c r="CQ1816" t="s">
        <v>538</v>
      </c>
      <c r="DB1816">
        <v>2</v>
      </c>
      <c r="DG1816" t="s">
        <v>267</v>
      </c>
      <c r="DI1816">
        <v>48</v>
      </c>
      <c r="DN1816" t="s">
        <v>268</v>
      </c>
      <c r="DP1816" t="s">
        <v>570</v>
      </c>
      <c r="DR1816">
        <v>221654</v>
      </c>
      <c r="DS1816">
        <v>65263</v>
      </c>
      <c r="DT1816" t="s">
        <v>3467</v>
      </c>
      <c r="EW1816" t="s">
        <v>271</v>
      </c>
      <c r="FM1816">
        <v>20</v>
      </c>
      <c r="FR1816" t="s">
        <v>295</v>
      </c>
      <c r="GU1816">
        <v>20</v>
      </c>
      <c r="GZ1816" t="s">
        <v>296</v>
      </c>
      <c r="HH1816" t="s">
        <v>272</v>
      </c>
      <c r="IE1816" t="s">
        <v>3468</v>
      </c>
      <c r="IF1816">
        <v>6082</v>
      </c>
      <c r="IG1816" t="s">
        <v>3469</v>
      </c>
      <c r="IH1816" t="s">
        <v>3470</v>
      </c>
      <c r="II1816">
        <v>1978</v>
      </c>
      <c r="IJ1816" t="s">
        <v>3471</v>
      </c>
    </row>
    <row r="1817" spans="1:244" x14ac:dyDescent="0.45">
      <c r="A1817">
        <v>1078830</v>
      </c>
      <c r="B1817">
        <v>10374</v>
      </c>
      <c r="C1817">
        <v>7789006</v>
      </c>
      <c r="D1817" t="s">
        <v>3460</v>
      </c>
      <c r="F1817" t="s">
        <v>245</v>
      </c>
      <c r="G1817" t="s">
        <v>246</v>
      </c>
      <c r="N1817" t="s">
        <v>312</v>
      </c>
      <c r="O1817" t="s">
        <v>313</v>
      </c>
      <c r="P1817" t="s">
        <v>249</v>
      </c>
      <c r="Q1817" t="s">
        <v>250</v>
      </c>
      <c r="R1817" t="s">
        <v>251</v>
      </c>
      <c r="T1817" t="s">
        <v>252</v>
      </c>
      <c r="U1817" t="s">
        <v>253</v>
      </c>
      <c r="V1817" t="s">
        <v>304</v>
      </c>
      <c r="W1817" t="s">
        <v>305</v>
      </c>
      <c r="X1817" t="s">
        <v>314</v>
      </c>
      <c r="AL1817" t="s">
        <v>3466</v>
      </c>
      <c r="AM1817" t="s">
        <v>317</v>
      </c>
      <c r="AN1817" t="s">
        <v>259</v>
      </c>
      <c r="AO1817" t="s">
        <v>260</v>
      </c>
      <c r="AQ1817" t="s">
        <v>261</v>
      </c>
      <c r="AS1817">
        <v>77000</v>
      </c>
      <c r="AU1817">
        <v>71000</v>
      </c>
      <c r="AW1817">
        <v>83000</v>
      </c>
      <c r="AX1817" t="s">
        <v>262</v>
      </c>
      <c r="BO1817" t="s">
        <v>261</v>
      </c>
      <c r="BQ1817">
        <v>77</v>
      </c>
      <c r="BS1817">
        <v>71</v>
      </c>
      <c r="BU1817">
        <v>83</v>
      </c>
      <c r="BV1817" t="s">
        <v>263</v>
      </c>
      <c r="CM1817" t="s">
        <v>264</v>
      </c>
      <c r="CN1817" t="s">
        <v>264</v>
      </c>
      <c r="CP1817" t="s">
        <v>265</v>
      </c>
      <c r="CQ1817" t="s">
        <v>538</v>
      </c>
      <c r="DB1817">
        <v>2</v>
      </c>
      <c r="DG1817" t="s">
        <v>267</v>
      </c>
      <c r="DI1817">
        <v>48</v>
      </c>
      <c r="DN1817" t="s">
        <v>268</v>
      </c>
      <c r="DP1817" t="s">
        <v>570</v>
      </c>
      <c r="DR1817">
        <v>221654</v>
      </c>
      <c r="DS1817">
        <v>65263</v>
      </c>
      <c r="DT1817" t="s">
        <v>3467</v>
      </c>
      <c r="EW1817" t="s">
        <v>271</v>
      </c>
      <c r="FM1817">
        <v>25</v>
      </c>
      <c r="FR1817" t="s">
        <v>295</v>
      </c>
      <c r="GU1817">
        <v>20</v>
      </c>
      <c r="GZ1817" t="s">
        <v>296</v>
      </c>
      <c r="HH1817" t="s">
        <v>272</v>
      </c>
      <c r="IE1817" t="s">
        <v>3468</v>
      </c>
      <c r="IF1817">
        <v>6082</v>
      </c>
      <c r="IG1817" t="s">
        <v>3469</v>
      </c>
      <c r="IH1817" t="s">
        <v>3470</v>
      </c>
      <c r="II1817">
        <v>1978</v>
      </c>
      <c r="IJ1817" t="s">
        <v>3471</v>
      </c>
    </row>
    <row r="1818" spans="1:244" x14ac:dyDescent="0.45">
      <c r="A1818">
        <v>1078831</v>
      </c>
      <c r="B1818">
        <v>10375</v>
      </c>
      <c r="C1818">
        <v>7789006</v>
      </c>
      <c r="D1818" t="s">
        <v>3460</v>
      </c>
      <c r="F1818" t="s">
        <v>245</v>
      </c>
      <c r="G1818" t="s">
        <v>246</v>
      </c>
      <c r="N1818" t="s">
        <v>312</v>
      </c>
      <c r="O1818" t="s">
        <v>313</v>
      </c>
      <c r="P1818" t="s">
        <v>249</v>
      </c>
      <c r="Q1818" t="s">
        <v>250</v>
      </c>
      <c r="R1818" t="s">
        <v>251</v>
      </c>
      <c r="T1818" t="s">
        <v>252</v>
      </c>
      <c r="U1818" t="s">
        <v>253</v>
      </c>
      <c r="V1818" t="s">
        <v>304</v>
      </c>
      <c r="W1818" t="s">
        <v>305</v>
      </c>
      <c r="X1818" t="s">
        <v>314</v>
      </c>
      <c r="AL1818" t="s">
        <v>3466</v>
      </c>
      <c r="AM1818" t="s">
        <v>317</v>
      </c>
      <c r="AN1818" t="s">
        <v>259</v>
      </c>
      <c r="AO1818" t="s">
        <v>260</v>
      </c>
      <c r="AQ1818" t="s">
        <v>261</v>
      </c>
      <c r="AS1818">
        <v>81000</v>
      </c>
      <c r="AU1818">
        <v>69000</v>
      </c>
      <c r="AW1818">
        <v>93000</v>
      </c>
      <c r="AX1818" t="s">
        <v>262</v>
      </c>
      <c r="BO1818" t="s">
        <v>261</v>
      </c>
      <c r="BQ1818">
        <v>81</v>
      </c>
      <c r="BS1818">
        <v>69</v>
      </c>
      <c r="BU1818">
        <v>93</v>
      </c>
      <c r="BV1818" t="s">
        <v>263</v>
      </c>
      <c r="CM1818" t="s">
        <v>264</v>
      </c>
      <c r="CN1818" t="s">
        <v>264</v>
      </c>
      <c r="CP1818" t="s">
        <v>265</v>
      </c>
      <c r="CQ1818" t="s">
        <v>538</v>
      </c>
      <c r="DB1818">
        <v>2</v>
      </c>
      <c r="DG1818" t="s">
        <v>267</v>
      </c>
      <c r="DI1818">
        <v>48</v>
      </c>
      <c r="DN1818" t="s">
        <v>268</v>
      </c>
      <c r="DP1818" t="s">
        <v>570</v>
      </c>
      <c r="DR1818">
        <v>221654</v>
      </c>
      <c r="DS1818">
        <v>65263</v>
      </c>
      <c r="DT1818" t="s">
        <v>3467</v>
      </c>
      <c r="EW1818" t="s">
        <v>271</v>
      </c>
      <c r="FM1818">
        <v>10</v>
      </c>
      <c r="FR1818" t="s">
        <v>295</v>
      </c>
      <c r="GU1818">
        <v>10</v>
      </c>
      <c r="GZ1818" t="s">
        <v>296</v>
      </c>
      <c r="HH1818" t="s">
        <v>272</v>
      </c>
      <c r="IE1818" t="s">
        <v>3468</v>
      </c>
      <c r="IF1818">
        <v>6082</v>
      </c>
      <c r="IG1818" t="s">
        <v>3469</v>
      </c>
      <c r="IH1818" t="s">
        <v>3470</v>
      </c>
      <c r="II1818">
        <v>1978</v>
      </c>
      <c r="IJ1818" t="s">
        <v>3471</v>
      </c>
    </row>
    <row r="1819" spans="1:244" x14ac:dyDescent="0.45">
      <c r="A1819">
        <v>1001383</v>
      </c>
      <c r="B1819">
        <v>116574</v>
      </c>
      <c r="C1819">
        <v>7789006</v>
      </c>
      <c r="D1819" t="s">
        <v>3460</v>
      </c>
      <c r="F1819" t="s">
        <v>327</v>
      </c>
      <c r="G1819" t="s">
        <v>246</v>
      </c>
      <c r="N1819" t="s">
        <v>369</v>
      </c>
      <c r="O1819" t="s">
        <v>370</v>
      </c>
      <c r="P1819" t="s">
        <v>249</v>
      </c>
      <c r="Q1819" t="s">
        <v>250</v>
      </c>
      <c r="R1819" t="s">
        <v>251</v>
      </c>
      <c r="T1819" t="s">
        <v>252</v>
      </c>
      <c r="U1819" t="s">
        <v>371</v>
      </c>
      <c r="V1819" t="s">
        <v>372</v>
      </c>
      <c r="W1819" t="s">
        <v>373</v>
      </c>
      <c r="X1819" t="s">
        <v>374</v>
      </c>
      <c r="Z1819" t="s">
        <v>649</v>
      </c>
      <c r="AA1819" t="s">
        <v>289</v>
      </c>
      <c r="AB1819">
        <v>24</v>
      </c>
      <c r="AG1819" t="s">
        <v>268</v>
      </c>
      <c r="AM1819" t="s">
        <v>317</v>
      </c>
      <c r="AN1819" t="s">
        <v>259</v>
      </c>
      <c r="AO1819" t="s">
        <v>260</v>
      </c>
      <c r="AQ1819" t="s">
        <v>261</v>
      </c>
      <c r="AS1819">
        <v>3600</v>
      </c>
      <c r="AX1819" t="s">
        <v>262</v>
      </c>
      <c r="BO1819" t="s">
        <v>261</v>
      </c>
      <c r="BQ1819">
        <v>3.6</v>
      </c>
      <c r="BV1819" t="s">
        <v>263</v>
      </c>
      <c r="CM1819" t="s">
        <v>264</v>
      </c>
      <c r="CN1819" t="s">
        <v>264</v>
      </c>
      <c r="CP1819" t="s">
        <v>265</v>
      </c>
      <c r="CQ1819" t="s">
        <v>538</v>
      </c>
      <c r="DB1819">
        <v>2</v>
      </c>
      <c r="DG1819" t="s">
        <v>267</v>
      </c>
      <c r="DI1819">
        <v>48</v>
      </c>
      <c r="DN1819" t="s">
        <v>268</v>
      </c>
      <c r="DP1819" t="s">
        <v>570</v>
      </c>
      <c r="DR1819">
        <v>110441</v>
      </c>
      <c r="DS1819">
        <v>142</v>
      </c>
      <c r="EW1819" t="s">
        <v>333</v>
      </c>
      <c r="FM1819">
        <v>20</v>
      </c>
      <c r="FR1819" t="s">
        <v>295</v>
      </c>
      <c r="GG1819" t="s">
        <v>288</v>
      </c>
      <c r="GH1819">
        <v>6.2</v>
      </c>
      <c r="GM1819" t="s">
        <v>356</v>
      </c>
      <c r="GQ1819">
        <v>7.7</v>
      </c>
      <c r="GS1819">
        <v>8.1999999999999993</v>
      </c>
      <c r="GW1819">
        <v>27</v>
      </c>
      <c r="GY1819">
        <v>31</v>
      </c>
      <c r="GZ1819" t="s">
        <v>296</v>
      </c>
      <c r="HH1819" t="s">
        <v>272</v>
      </c>
      <c r="IE1819" t="s">
        <v>3472</v>
      </c>
      <c r="IF1819">
        <v>198</v>
      </c>
      <c r="IG1819" t="s">
        <v>3473</v>
      </c>
      <c r="IH1819" t="s">
        <v>3474</v>
      </c>
      <c r="II1819">
        <v>1989</v>
      </c>
      <c r="IJ1819" t="s">
        <v>3475</v>
      </c>
    </row>
    <row r="1820" spans="1:244" x14ac:dyDescent="0.45">
      <c r="A1820">
        <v>1078828</v>
      </c>
      <c r="B1820">
        <v>10372</v>
      </c>
      <c r="C1820">
        <v>7789006</v>
      </c>
      <c r="D1820" t="s">
        <v>3460</v>
      </c>
      <c r="F1820" t="s">
        <v>245</v>
      </c>
      <c r="G1820" t="s">
        <v>246</v>
      </c>
      <c r="N1820" t="s">
        <v>312</v>
      </c>
      <c r="O1820" t="s">
        <v>313</v>
      </c>
      <c r="P1820" t="s">
        <v>249</v>
      </c>
      <c r="Q1820" t="s">
        <v>250</v>
      </c>
      <c r="R1820" t="s">
        <v>251</v>
      </c>
      <c r="T1820" t="s">
        <v>252</v>
      </c>
      <c r="U1820" t="s">
        <v>253</v>
      </c>
      <c r="V1820" t="s">
        <v>304</v>
      </c>
      <c r="W1820" t="s">
        <v>305</v>
      </c>
      <c r="X1820" t="s">
        <v>314</v>
      </c>
      <c r="AL1820" t="s">
        <v>3466</v>
      </c>
      <c r="AM1820" t="s">
        <v>317</v>
      </c>
      <c r="AN1820" t="s">
        <v>259</v>
      </c>
      <c r="AO1820" t="s">
        <v>260</v>
      </c>
      <c r="AQ1820" t="s">
        <v>261</v>
      </c>
      <c r="AS1820">
        <v>107000</v>
      </c>
      <c r="AU1820">
        <v>97000</v>
      </c>
      <c r="AW1820">
        <v>117000</v>
      </c>
      <c r="AX1820" t="s">
        <v>262</v>
      </c>
      <c r="BO1820" t="s">
        <v>261</v>
      </c>
      <c r="BQ1820">
        <v>107</v>
      </c>
      <c r="BS1820">
        <v>97</v>
      </c>
      <c r="BU1820">
        <v>117</v>
      </c>
      <c r="BV1820" t="s">
        <v>263</v>
      </c>
      <c r="CM1820" t="s">
        <v>264</v>
      </c>
      <c r="CN1820" t="s">
        <v>264</v>
      </c>
      <c r="CP1820" t="s">
        <v>265</v>
      </c>
      <c r="CQ1820" t="s">
        <v>538</v>
      </c>
      <c r="DB1820">
        <v>2</v>
      </c>
      <c r="DG1820" t="s">
        <v>267</v>
      </c>
      <c r="DI1820">
        <v>48</v>
      </c>
      <c r="DN1820" t="s">
        <v>268</v>
      </c>
      <c r="DP1820" t="s">
        <v>570</v>
      </c>
      <c r="DR1820">
        <v>221654</v>
      </c>
      <c r="DS1820">
        <v>65263</v>
      </c>
      <c r="DT1820" t="s">
        <v>3467</v>
      </c>
      <c r="EW1820" t="s">
        <v>271</v>
      </c>
      <c r="FM1820">
        <v>15</v>
      </c>
      <c r="FR1820" t="s">
        <v>295</v>
      </c>
      <c r="GU1820">
        <v>20</v>
      </c>
      <c r="GZ1820" t="s">
        <v>296</v>
      </c>
      <c r="HH1820" t="s">
        <v>272</v>
      </c>
      <c r="IE1820" t="s">
        <v>3468</v>
      </c>
      <c r="IF1820">
        <v>6082</v>
      </c>
      <c r="IG1820" t="s">
        <v>3469</v>
      </c>
      <c r="IH1820" t="s">
        <v>3470</v>
      </c>
      <c r="II1820">
        <v>1978</v>
      </c>
      <c r="IJ1820" t="s">
        <v>3471</v>
      </c>
    </row>
    <row r="1821" spans="1:244" x14ac:dyDescent="0.45">
      <c r="A1821">
        <v>1078832</v>
      </c>
      <c r="B1821">
        <v>10376</v>
      </c>
      <c r="C1821">
        <v>7789006</v>
      </c>
      <c r="D1821" t="s">
        <v>3460</v>
      </c>
      <c r="F1821" t="s">
        <v>245</v>
      </c>
      <c r="G1821" t="s">
        <v>246</v>
      </c>
      <c r="N1821" t="s">
        <v>312</v>
      </c>
      <c r="O1821" t="s">
        <v>313</v>
      </c>
      <c r="P1821" t="s">
        <v>249</v>
      </c>
      <c r="Q1821" t="s">
        <v>250</v>
      </c>
      <c r="R1821" t="s">
        <v>251</v>
      </c>
      <c r="T1821" t="s">
        <v>252</v>
      </c>
      <c r="U1821" t="s">
        <v>253</v>
      </c>
      <c r="V1821" t="s">
        <v>304</v>
      </c>
      <c r="W1821" t="s">
        <v>305</v>
      </c>
      <c r="X1821" t="s">
        <v>314</v>
      </c>
      <c r="AL1821" t="s">
        <v>3466</v>
      </c>
      <c r="AM1821" t="s">
        <v>317</v>
      </c>
      <c r="AN1821" t="s">
        <v>259</v>
      </c>
      <c r="AO1821" t="s">
        <v>260</v>
      </c>
      <c r="AQ1821" t="s">
        <v>261</v>
      </c>
      <c r="AS1821">
        <v>39000</v>
      </c>
      <c r="AU1821">
        <v>33000</v>
      </c>
      <c r="AW1821">
        <v>45000</v>
      </c>
      <c r="AX1821" t="s">
        <v>262</v>
      </c>
      <c r="BO1821" t="s">
        <v>261</v>
      </c>
      <c r="BQ1821">
        <v>39</v>
      </c>
      <c r="BS1821">
        <v>33</v>
      </c>
      <c r="BU1821">
        <v>45</v>
      </c>
      <c r="BV1821" t="s">
        <v>263</v>
      </c>
      <c r="CM1821" t="s">
        <v>264</v>
      </c>
      <c r="CN1821" t="s">
        <v>264</v>
      </c>
      <c r="CP1821" t="s">
        <v>265</v>
      </c>
      <c r="CQ1821" t="s">
        <v>538</v>
      </c>
      <c r="DB1821">
        <v>2</v>
      </c>
      <c r="DG1821" t="s">
        <v>267</v>
      </c>
      <c r="DI1821">
        <v>48</v>
      </c>
      <c r="DN1821" t="s">
        <v>268</v>
      </c>
      <c r="DP1821" t="s">
        <v>570</v>
      </c>
      <c r="DR1821">
        <v>221654</v>
      </c>
      <c r="DS1821">
        <v>65263</v>
      </c>
      <c r="DT1821" t="s">
        <v>3467</v>
      </c>
      <c r="EW1821" t="s">
        <v>271</v>
      </c>
      <c r="FM1821">
        <v>15</v>
      </c>
      <c r="FR1821" t="s">
        <v>295</v>
      </c>
      <c r="GU1821">
        <v>10</v>
      </c>
      <c r="GZ1821" t="s">
        <v>296</v>
      </c>
      <c r="HH1821" t="s">
        <v>272</v>
      </c>
      <c r="IE1821" t="s">
        <v>3468</v>
      </c>
      <c r="IF1821">
        <v>6082</v>
      </c>
      <c r="IG1821" t="s">
        <v>3469</v>
      </c>
      <c r="IH1821" t="s">
        <v>3470</v>
      </c>
      <c r="II1821">
        <v>1978</v>
      </c>
      <c r="IJ1821" t="s">
        <v>3471</v>
      </c>
    </row>
    <row r="1822" spans="1:244" x14ac:dyDescent="0.45">
      <c r="A1822">
        <v>1078834</v>
      </c>
      <c r="B1822">
        <v>10378</v>
      </c>
      <c r="C1822">
        <v>7789006</v>
      </c>
      <c r="D1822" t="s">
        <v>3460</v>
      </c>
      <c r="F1822" t="s">
        <v>245</v>
      </c>
      <c r="G1822" t="s">
        <v>246</v>
      </c>
      <c r="N1822" t="s">
        <v>312</v>
      </c>
      <c r="O1822" t="s">
        <v>313</v>
      </c>
      <c r="P1822" t="s">
        <v>249</v>
      </c>
      <c r="Q1822" t="s">
        <v>250</v>
      </c>
      <c r="R1822" t="s">
        <v>251</v>
      </c>
      <c r="T1822" t="s">
        <v>252</v>
      </c>
      <c r="U1822" t="s">
        <v>253</v>
      </c>
      <c r="V1822" t="s">
        <v>304</v>
      </c>
      <c r="W1822" t="s">
        <v>305</v>
      </c>
      <c r="X1822" t="s">
        <v>314</v>
      </c>
      <c r="AL1822" t="s">
        <v>3466</v>
      </c>
      <c r="AM1822" t="s">
        <v>317</v>
      </c>
      <c r="AN1822" t="s">
        <v>259</v>
      </c>
      <c r="AO1822" t="s">
        <v>260</v>
      </c>
      <c r="AQ1822" t="s">
        <v>261</v>
      </c>
      <c r="AS1822">
        <v>21000</v>
      </c>
      <c r="AU1822">
        <v>17000</v>
      </c>
      <c r="AW1822">
        <v>25000</v>
      </c>
      <c r="AX1822" t="s">
        <v>262</v>
      </c>
      <c r="BO1822" t="s">
        <v>261</v>
      </c>
      <c r="BQ1822">
        <v>21</v>
      </c>
      <c r="BS1822">
        <v>17</v>
      </c>
      <c r="BU1822">
        <v>25</v>
      </c>
      <c r="BV1822" t="s">
        <v>263</v>
      </c>
      <c r="CM1822" t="s">
        <v>264</v>
      </c>
      <c r="CN1822" t="s">
        <v>264</v>
      </c>
      <c r="CP1822" t="s">
        <v>265</v>
      </c>
      <c r="CQ1822" t="s">
        <v>538</v>
      </c>
      <c r="DB1822">
        <v>2</v>
      </c>
      <c r="DG1822" t="s">
        <v>267</v>
      </c>
      <c r="DI1822">
        <v>48</v>
      </c>
      <c r="DN1822" t="s">
        <v>268</v>
      </c>
      <c r="DP1822" t="s">
        <v>570</v>
      </c>
      <c r="DR1822">
        <v>221654</v>
      </c>
      <c r="DS1822">
        <v>65263</v>
      </c>
      <c r="DT1822" t="s">
        <v>3467</v>
      </c>
      <c r="EW1822" t="s">
        <v>271</v>
      </c>
      <c r="FM1822">
        <v>25</v>
      </c>
      <c r="FR1822" t="s">
        <v>295</v>
      </c>
      <c r="GU1822">
        <v>10</v>
      </c>
      <c r="GZ1822" t="s">
        <v>296</v>
      </c>
      <c r="HH1822" t="s">
        <v>272</v>
      </c>
      <c r="IE1822" t="s">
        <v>3468</v>
      </c>
      <c r="IF1822">
        <v>6082</v>
      </c>
      <c r="IG1822" t="s">
        <v>3469</v>
      </c>
      <c r="IH1822" t="s">
        <v>3470</v>
      </c>
      <c r="II1822">
        <v>1978</v>
      </c>
      <c r="IJ1822" t="s">
        <v>3471</v>
      </c>
    </row>
    <row r="1823" spans="1:244" x14ac:dyDescent="0.45">
      <c r="A1823">
        <v>1001385</v>
      </c>
      <c r="B1823">
        <v>116576</v>
      </c>
      <c r="C1823">
        <v>7789006</v>
      </c>
      <c r="D1823" t="s">
        <v>3460</v>
      </c>
      <c r="F1823" t="s">
        <v>327</v>
      </c>
      <c r="G1823" t="s">
        <v>246</v>
      </c>
      <c r="N1823" t="s">
        <v>369</v>
      </c>
      <c r="O1823" t="s">
        <v>370</v>
      </c>
      <c r="P1823" t="s">
        <v>249</v>
      </c>
      <c r="Q1823" t="s">
        <v>250</v>
      </c>
      <c r="R1823" t="s">
        <v>251</v>
      </c>
      <c r="T1823" t="s">
        <v>252</v>
      </c>
      <c r="U1823" t="s">
        <v>371</v>
      </c>
      <c r="V1823" t="s">
        <v>372</v>
      </c>
      <c r="W1823" t="s">
        <v>373</v>
      </c>
      <c r="X1823" t="s">
        <v>374</v>
      </c>
      <c r="Z1823" t="s">
        <v>649</v>
      </c>
      <c r="AA1823" t="s">
        <v>289</v>
      </c>
      <c r="AB1823">
        <v>24</v>
      </c>
      <c r="AG1823" t="s">
        <v>268</v>
      </c>
      <c r="AM1823" t="s">
        <v>317</v>
      </c>
      <c r="AN1823" t="s">
        <v>259</v>
      </c>
      <c r="AO1823" t="s">
        <v>260</v>
      </c>
      <c r="AQ1823" t="s">
        <v>261</v>
      </c>
      <c r="AS1823">
        <v>2500</v>
      </c>
      <c r="AX1823" t="s">
        <v>262</v>
      </c>
      <c r="BO1823" t="s">
        <v>261</v>
      </c>
      <c r="BQ1823">
        <v>2.5</v>
      </c>
      <c r="BV1823" t="s">
        <v>263</v>
      </c>
      <c r="CM1823" t="s">
        <v>264</v>
      </c>
      <c r="CN1823" t="s">
        <v>264</v>
      </c>
      <c r="CP1823" t="s">
        <v>265</v>
      </c>
      <c r="CQ1823" t="s">
        <v>538</v>
      </c>
      <c r="DB1823">
        <v>4</v>
      </c>
      <c r="DG1823" t="s">
        <v>267</v>
      </c>
      <c r="DI1823">
        <v>96</v>
      </c>
      <c r="DN1823" t="s">
        <v>268</v>
      </c>
      <c r="DP1823" t="s">
        <v>570</v>
      </c>
      <c r="DR1823">
        <v>110441</v>
      </c>
      <c r="DS1823">
        <v>142</v>
      </c>
      <c r="EW1823" t="s">
        <v>333</v>
      </c>
      <c r="FM1823">
        <v>20</v>
      </c>
      <c r="FR1823" t="s">
        <v>295</v>
      </c>
      <c r="GG1823" t="s">
        <v>288</v>
      </c>
      <c r="GH1823">
        <v>6.2</v>
      </c>
      <c r="GM1823" t="s">
        <v>356</v>
      </c>
      <c r="GQ1823">
        <v>7.7</v>
      </c>
      <c r="GS1823">
        <v>8.1999999999999993</v>
      </c>
      <c r="GW1823">
        <v>27</v>
      </c>
      <c r="GY1823">
        <v>31</v>
      </c>
      <c r="GZ1823" t="s">
        <v>296</v>
      </c>
      <c r="HH1823" t="s">
        <v>272</v>
      </c>
      <c r="IE1823" t="s">
        <v>3472</v>
      </c>
      <c r="IF1823">
        <v>198</v>
      </c>
      <c r="IG1823" t="s">
        <v>3473</v>
      </c>
      <c r="IH1823" t="s">
        <v>3474</v>
      </c>
      <c r="II1823">
        <v>1989</v>
      </c>
      <c r="IJ1823" t="s">
        <v>3475</v>
      </c>
    </row>
    <row r="1824" spans="1:244" x14ac:dyDescent="0.45">
      <c r="A1824">
        <v>1160725</v>
      </c>
      <c r="B1824">
        <v>168238</v>
      </c>
      <c r="C1824">
        <v>7789006</v>
      </c>
      <c r="D1824" t="s">
        <v>3460</v>
      </c>
      <c r="F1824" t="s">
        <v>245</v>
      </c>
      <c r="G1824" t="s">
        <v>246</v>
      </c>
      <c r="N1824" t="s">
        <v>369</v>
      </c>
      <c r="O1824" t="s">
        <v>370</v>
      </c>
      <c r="P1824" t="s">
        <v>249</v>
      </c>
      <c r="Q1824" t="s">
        <v>250</v>
      </c>
      <c r="R1824" t="s">
        <v>251</v>
      </c>
      <c r="T1824" t="s">
        <v>252</v>
      </c>
      <c r="U1824" t="s">
        <v>371</v>
      </c>
      <c r="V1824" t="s">
        <v>372</v>
      </c>
      <c r="W1824" t="s">
        <v>373</v>
      </c>
      <c r="X1824" t="s">
        <v>374</v>
      </c>
      <c r="AA1824" t="s">
        <v>352</v>
      </c>
      <c r="AB1824">
        <v>48</v>
      </c>
      <c r="AG1824" t="s">
        <v>268</v>
      </c>
      <c r="AM1824" t="s">
        <v>317</v>
      </c>
      <c r="AN1824" t="s">
        <v>259</v>
      </c>
      <c r="AO1824" t="s">
        <v>260</v>
      </c>
      <c r="AQ1824" t="s">
        <v>261</v>
      </c>
      <c r="AS1824">
        <v>6590</v>
      </c>
      <c r="AX1824" t="s">
        <v>262</v>
      </c>
      <c r="BO1824" t="s">
        <v>261</v>
      </c>
      <c r="BQ1824">
        <v>6.59</v>
      </c>
      <c r="BV1824" t="s">
        <v>263</v>
      </c>
      <c r="CM1824" t="s">
        <v>264</v>
      </c>
      <c r="CN1824" t="s">
        <v>264</v>
      </c>
      <c r="CP1824" t="s">
        <v>265</v>
      </c>
      <c r="CQ1824" t="s">
        <v>3231</v>
      </c>
      <c r="DB1824">
        <v>4</v>
      </c>
      <c r="DG1824" t="s">
        <v>267</v>
      </c>
      <c r="DI1824">
        <v>96</v>
      </c>
      <c r="DN1824" t="s">
        <v>268</v>
      </c>
      <c r="DR1824">
        <v>110441</v>
      </c>
      <c r="DS1824">
        <v>142</v>
      </c>
      <c r="DT1824" t="s">
        <v>3476</v>
      </c>
      <c r="EW1824" t="s">
        <v>293</v>
      </c>
      <c r="FM1824">
        <v>25</v>
      </c>
      <c r="FR1824" t="s">
        <v>295</v>
      </c>
      <c r="GG1824" t="s">
        <v>278</v>
      </c>
      <c r="GH1824">
        <v>70</v>
      </c>
      <c r="GM1824" t="s">
        <v>900</v>
      </c>
      <c r="GU1824">
        <v>25</v>
      </c>
      <c r="GZ1824" t="s">
        <v>296</v>
      </c>
      <c r="HH1824" t="s">
        <v>272</v>
      </c>
      <c r="IE1824" t="s">
        <v>3477</v>
      </c>
      <c r="IF1824">
        <v>14256</v>
      </c>
      <c r="IG1824" t="s">
        <v>3478</v>
      </c>
      <c r="IH1824" t="s">
        <v>3479</v>
      </c>
      <c r="II1824">
        <v>1981</v>
      </c>
      <c r="IJ1824" t="s">
        <v>3480</v>
      </c>
    </row>
    <row r="1825" spans="1:244" x14ac:dyDescent="0.45">
      <c r="A1825">
        <v>1078833</v>
      </c>
      <c r="B1825">
        <v>10377</v>
      </c>
      <c r="C1825">
        <v>7789006</v>
      </c>
      <c r="D1825" t="s">
        <v>3460</v>
      </c>
      <c r="F1825" t="s">
        <v>245</v>
      </c>
      <c r="G1825" t="s">
        <v>246</v>
      </c>
      <c r="N1825" t="s">
        <v>312</v>
      </c>
      <c r="O1825" t="s">
        <v>313</v>
      </c>
      <c r="P1825" t="s">
        <v>249</v>
      </c>
      <c r="Q1825" t="s">
        <v>250</v>
      </c>
      <c r="R1825" t="s">
        <v>251</v>
      </c>
      <c r="T1825" t="s">
        <v>252</v>
      </c>
      <c r="U1825" t="s">
        <v>253</v>
      </c>
      <c r="V1825" t="s">
        <v>304</v>
      </c>
      <c r="W1825" t="s">
        <v>305</v>
      </c>
      <c r="X1825" t="s">
        <v>314</v>
      </c>
      <c r="AL1825" t="s">
        <v>3466</v>
      </c>
      <c r="AM1825" t="s">
        <v>317</v>
      </c>
      <c r="AN1825" t="s">
        <v>259</v>
      </c>
      <c r="AO1825" t="s">
        <v>260</v>
      </c>
      <c r="AQ1825" t="s">
        <v>261</v>
      </c>
      <c r="AS1825">
        <v>37000</v>
      </c>
      <c r="AU1825">
        <v>31000</v>
      </c>
      <c r="AW1825">
        <v>43000</v>
      </c>
      <c r="AX1825" t="s">
        <v>262</v>
      </c>
      <c r="BO1825" t="s">
        <v>261</v>
      </c>
      <c r="BQ1825">
        <v>37</v>
      </c>
      <c r="BS1825">
        <v>31</v>
      </c>
      <c r="BU1825">
        <v>43</v>
      </c>
      <c r="BV1825" t="s">
        <v>263</v>
      </c>
      <c r="CM1825" t="s">
        <v>264</v>
      </c>
      <c r="CN1825" t="s">
        <v>264</v>
      </c>
      <c r="CP1825" t="s">
        <v>265</v>
      </c>
      <c r="CQ1825" t="s">
        <v>538</v>
      </c>
      <c r="DB1825">
        <v>2</v>
      </c>
      <c r="DG1825" t="s">
        <v>267</v>
      </c>
      <c r="DI1825">
        <v>48</v>
      </c>
      <c r="DN1825" t="s">
        <v>268</v>
      </c>
      <c r="DP1825" t="s">
        <v>570</v>
      </c>
      <c r="DR1825">
        <v>221654</v>
      </c>
      <c r="DS1825">
        <v>65263</v>
      </c>
      <c r="DT1825" t="s">
        <v>3467</v>
      </c>
      <c r="EW1825" t="s">
        <v>271</v>
      </c>
      <c r="FM1825">
        <v>20</v>
      </c>
      <c r="FR1825" t="s">
        <v>295</v>
      </c>
      <c r="GU1825">
        <v>10</v>
      </c>
      <c r="GZ1825" t="s">
        <v>296</v>
      </c>
      <c r="HH1825" t="s">
        <v>272</v>
      </c>
      <c r="IE1825" t="s">
        <v>3468</v>
      </c>
      <c r="IF1825">
        <v>6082</v>
      </c>
      <c r="IG1825" t="s">
        <v>3469</v>
      </c>
      <c r="IH1825" t="s">
        <v>3470</v>
      </c>
      <c r="II1825">
        <v>1978</v>
      </c>
      <c r="IJ1825" t="s">
        <v>3471</v>
      </c>
    </row>
    <row r="1826" spans="1:244" x14ac:dyDescent="0.45">
      <c r="A1826">
        <v>1160724</v>
      </c>
      <c r="B1826">
        <v>168237</v>
      </c>
      <c r="C1826">
        <v>7789006</v>
      </c>
      <c r="D1826" t="s">
        <v>3460</v>
      </c>
      <c r="F1826" t="s">
        <v>245</v>
      </c>
      <c r="G1826" t="s">
        <v>246</v>
      </c>
      <c r="N1826" t="s">
        <v>369</v>
      </c>
      <c r="O1826" t="s">
        <v>370</v>
      </c>
      <c r="P1826" t="s">
        <v>249</v>
      </c>
      <c r="Q1826" t="s">
        <v>250</v>
      </c>
      <c r="R1826" t="s">
        <v>251</v>
      </c>
      <c r="T1826" t="s">
        <v>252</v>
      </c>
      <c r="U1826" t="s">
        <v>371</v>
      </c>
      <c r="V1826" t="s">
        <v>372</v>
      </c>
      <c r="W1826" t="s">
        <v>373</v>
      </c>
      <c r="X1826" t="s">
        <v>374</v>
      </c>
      <c r="AA1826" t="s">
        <v>352</v>
      </c>
      <c r="AB1826">
        <v>48</v>
      </c>
      <c r="AG1826" t="s">
        <v>268</v>
      </c>
      <c r="AM1826" t="s">
        <v>317</v>
      </c>
      <c r="AN1826" t="s">
        <v>259</v>
      </c>
      <c r="AO1826" t="s">
        <v>260</v>
      </c>
      <c r="AQ1826" t="s">
        <v>261</v>
      </c>
      <c r="AS1826">
        <v>8880</v>
      </c>
      <c r="AX1826" t="s">
        <v>262</v>
      </c>
      <c r="BO1826" t="s">
        <v>261</v>
      </c>
      <c r="BQ1826">
        <v>8.8800000000000008</v>
      </c>
      <c r="BV1826" t="s">
        <v>263</v>
      </c>
      <c r="CM1826" t="s">
        <v>264</v>
      </c>
      <c r="CN1826" t="s">
        <v>264</v>
      </c>
      <c r="CP1826" t="s">
        <v>265</v>
      </c>
      <c r="CQ1826" t="s">
        <v>3231</v>
      </c>
      <c r="DB1826">
        <v>2</v>
      </c>
      <c r="DG1826" t="s">
        <v>267</v>
      </c>
      <c r="DI1826">
        <v>48</v>
      </c>
      <c r="DN1826" t="s">
        <v>268</v>
      </c>
      <c r="DR1826">
        <v>110441</v>
      </c>
      <c r="DS1826">
        <v>142</v>
      </c>
      <c r="DT1826" t="s">
        <v>3476</v>
      </c>
      <c r="EW1826" t="s">
        <v>293</v>
      </c>
      <c r="FM1826">
        <v>25</v>
      </c>
      <c r="FR1826" t="s">
        <v>295</v>
      </c>
      <c r="GG1826" t="s">
        <v>278</v>
      </c>
      <c r="GH1826">
        <v>70</v>
      </c>
      <c r="GM1826" t="s">
        <v>900</v>
      </c>
      <c r="GU1826">
        <v>25</v>
      </c>
      <c r="GZ1826" t="s">
        <v>296</v>
      </c>
      <c r="HH1826" t="s">
        <v>272</v>
      </c>
      <c r="IE1826" t="s">
        <v>3477</v>
      </c>
      <c r="IF1826">
        <v>14256</v>
      </c>
      <c r="IG1826" t="s">
        <v>3478</v>
      </c>
      <c r="IH1826" t="s">
        <v>3479</v>
      </c>
      <c r="II1826">
        <v>1981</v>
      </c>
      <c r="IJ1826" t="s">
        <v>3480</v>
      </c>
    </row>
    <row r="1827" spans="1:244" x14ac:dyDescent="0.45">
      <c r="A1827">
        <v>1001382</v>
      </c>
      <c r="B1827">
        <v>116573</v>
      </c>
      <c r="C1827">
        <v>7789006</v>
      </c>
      <c r="D1827" t="s">
        <v>3460</v>
      </c>
      <c r="F1827" t="s">
        <v>327</v>
      </c>
      <c r="G1827" t="s">
        <v>246</v>
      </c>
      <c r="N1827" t="s">
        <v>369</v>
      </c>
      <c r="O1827" t="s">
        <v>370</v>
      </c>
      <c r="P1827" t="s">
        <v>249</v>
      </c>
      <c r="Q1827" t="s">
        <v>250</v>
      </c>
      <c r="R1827" t="s">
        <v>251</v>
      </c>
      <c r="T1827" t="s">
        <v>252</v>
      </c>
      <c r="U1827" t="s">
        <v>371</v>
      </c>
      <c r="V1827" t="s">
        <v>372</v>
      </c>
      <c r="W1827" t="s">
        <v>373</v>
      </c>
      <c r="X1827" t="s">
        <v>374</v>
      </c>
      <c r="Z1827" t="s">
        <v>649</v>
      </c>
      <c r="AA1827" t="s">
        <v>289</v>
      </c>
      <c r="AB1827">
        <v>24</v>
      </c>
      <c r="AG1827" t="s">
        <v>268</v>
      </c>
      <c r="AM1827" t="s">
        <v>317</v>
      </c>
      <c r="AN1827" t="s">
        <v>259</v>
      </c>
      <c r="AO1827" t="s">
        <v>260</v>
      </c>
      <c r="AQ1827" t="s">
        <v>261</v>
      </c>
      <c r="AS1827">
        <v>4300</v>
      </c>
      <c r="AX1827" t="s">
        <v>262</v>
      </c>
      <c r="BO1827" t="s">
        <v>261</v>
      </c>
      <c r="BQ1827">
        <v>4.3</v>
      </c>
      <c r="BV1827" t="s">
        <v>263</v>
      </c>
      <c r="CM1827" t="s">
        <v>264</v>
      </c>
      <c r="CN1827" t="s">
        <v>264</v>
      </c>
      <c r="CP1827" t="s">
        <v>265</v>
      </c>
      <c r="CQ1827" t="s">
        <v>538</v>
      </c>
      <c r="DB1827">
        <v>2</v>
      </c>
      <c r="DG1827" t="s">
        <v>267</v>
      </c>
      <c r="DI1827">
        <v>48</v>
      </c>
      <c r="DN1827" t="s">
        <v>268</v>
      </c>
      <c r="DP1827" t="s">
        <v>570</v>
      </c>
      <c r="DR1827">
        <v>110441</v>
      </c>
      <c r="DS1827">
        <v>142</v>
      </c>
      <c r="EW1827" t="s">
        <v>333</v>
      </c>
      <c r="FM1827">
        <v>20</v>
      </c>
      <c r="FR1827" t="s">
        <v>295</v>
      </c>
      <c r="GG1827" t="s">
        <v>288</v>
      </c>
      <c r="GH1827">
        <v>6.2</v>
      </c>
      <c r="GM1827" t="s">
        <v>356</v>
      </c>
      <c r="GQ1827">
        <v>7.7</v>
      </c>
      <c r="GS1827">
        <v>8.1999999999999993</v>
      </c>
      <c r="GW1827">
        <v>27</v>
      </c>
      <c r="GY1827">
        <v>31</v>
      </c>
      <c r="GZ1827" t="s">
        <v>296</v>
      </c>
      <c r="HH1827" t="s">
        <v>272</v>
      </c>
      <c r="IE1827" t="s">
        <v>3472</v>
      </c>
      <c r="IF1827">
        <v>198</v>
      </c>
      <c r="IG1827" t="s">
        <v>3473</v>
      </c>
      <c r="IH1827" t="s">
        <v>3474</v>
      </c>
      <c r="II1827">
        <v>1989</v>
      </c>
      <c r="IJ1827" t="s">
        <v>3475</v>
      </c>
    </row>
    <row r="1828" spans="1:244" x14ac:dyDescent="0.45">
      <c r="A1828">
        <v>1001386</v>
      </c>
      <c r="B1828">
        <v>116577</v>
      </c>
      <c r="C1828">
        <v>7789006</v>
      </c>
      <c r="D1828" t="s">
        <v>3460</v>
      </c>
      <c r="F1828" t="s">
        <v>327</v>
      </c>
      <c r="G1828" t="s">
        <v>246</v>
      </c>
      <c r="N1828" t="s">
        <v>369</v>
      </c>
      <c r="O1828" t="s">
        <v>370</v>
      </c>
      <c r="P1828" t="s">
        <v>249</v>
      </c>
      <c r="Q1828" t="s">
        <v>250</v>
      </c>
      <c r="R1828" t="s">
        <v>251</v>
      </c>
      <c r="T1828" t="s">
        <v>252</v>
      </c>
      <c r="U1828" t="s">
        <v>371</v>
      </c>
      <c r="V1828" t="s">
        <v>372</v>
      </c>
      <c r="W1828" t="s">
        <v>373</v>
      </c>
      <c r="X1828" t="s">
        <v>374</v>
      </c>
      <c r="Z1828" t="s">
        <v>649</v>
      </c>
      <c r="AA1828" t="s">
        <v>289</v>
      </c>
      <c r="AB1828">
        <v>24</v>
      </c>
      <c r="AG1828" t="s">
        <v>268</v>
      </c>
      <c r="AM1828" t="s">
        <v>317</v>
      </c>
      <c r="AN1828" t="s">
        <v>259</v>
      </c>
      <c r="AO1828" t="s">
        <v>260</v>
      </c>
      <c r="AQ1828" t="s">
        <v>261</v>
      </c>
      <c r="AS1828">
        <v>2700</v>
      </c>
      <c r="AX1828" t="s">
        <v>262</v>
      </c>
      <c r="BO1828" t="s">
        <v>261</v>
      </c>
      <c r="BQ1828">
        <v>2.7</v>
      </c>
      <c r="BV1828" t="s">
        <v>263</v>
      </c>
      <c r="CM1828" t="s">
        <v>264</v>
      </c>
      <c r="CN1828" t="s">
        <v>264</v>
      </c>
      <c r="CP1828" t="s">
        <v>265</v>
      </c>
      <c r="CQ1828" t="s">
        <v>538</v>
      </c>
      <c r="DB1828">
        <v>4</v>
      </c>
      <c r="DG1828" t="s">
        <v>267</v>
      </c>
      <c r="DI1828">
        <v>96</v>
      </c>
      <c r="DN1828" t="s">
        <v>268</v>
      </c>
      <c r="DP1828" t="s">
        <v>570</v>
      </c>
      <c r="DR1828">
        <v>110441</v>
      </c>
      <c r="DS1828">
        <v>142</v>
      </c>
      <c r="EW1828" t="s">
        <v>333</v>
      </c>
      <c r="FM1828">
        <v>20</v>
      </c>
      <c r="FR1828" t="s">
        <v>295</v>
      </c>
      <c r="GG1828" t="s">
        <v>288</v>
      </c>
      <c r="GH1828">
        <v>6.2</v>
      </c>
      <c r="GM1828" t="s">
        <v>356</v>
      </c>
      <c r="GQ1828">
        <v>7.7</v>
      </c>
      <c r="GS1828">
        <v>8.1999999999999993</v>
      </c>
      <c r="GW1828">
        <v>27</v>
      </c>
      <c r="GY1828">
        <v>31</v>
      </c>
      <c r="GZ1828" t="s">
        <v>296</v>
      </c>
      <c r="HH1828" t="s">
        <v>272</v>
      </c>
      <c r="IE1828" t="s">
        <v>3472</v>
      </c>
      <c r="IF1828">
        <v>198</v>
      </c>
      <c r="IG1828" t="s">
        <v>3473</v>
      </c>
      <c r="IH1828" t="s">
        <v>3474</v>
      </c>
      <c r="II1828">
        <v>1989</v>
      </c>
      <c r="IJ1828" t="s">
        <v>3475</v>
      </c>
    </row>
    <row r="1829" spans="1:244" x14ac:dyDescent="0.45">
      <c r="A1829">
        <v>1160723</v>
      </c>
      <c r="B1829">
        <v>168236</v>
      </c>
      <c r="C1829">
        <v>7789006</v>
      </c>
      <c r="D1829" t="s">
        <v>3460</v>
      </c>
      <c r="F1829" t="s">
        <v>245</v>
      </c>
      <c r="G1829" t="s">
        <v>246</v>
      </c>
      <c r="N1829" t="s">
        <v>369</v>
      </c>
      <c r="O1829" t="s">
        <v>370</v>
      </c>
      <c r="P1829" t="s">
        <v>249</v>
      </c>
      <c r="Q1829" t="s">
        <v>250</v>
      </c>
      <c r="R1829" t="s">
        <v>251</v>
      </c>
      <c r="T1829" t="s">
        <v>252</v>
      </c>
      <c r="U1829" t="s">
        <v>371</v>
      </c>
      <c r="V1829" t="s">
        <v>372</v>
      </c>
      <c r="W1829" t="s">
        <v>373</v>
      </c>
      <c r="X1829" t="s">
        <v>374</v>
      </c>
      <c r="AA1829" t="s">
        <v>352</v>
      </c>
      <c r="AB1829">
        <v>48</v>
      </c>
      <c r="AG1829" t="s">
        <v>268</v>
      </c>
      <c r="AM1829" t="s">
        <v>317</v>
      </c>
      <c r="AN1829" t="s">
        <v>259</v>
      </c>
      <c r="AO1829" t="s">
        <v>260</v>
      </c>
      <c r="AQ1829" t="s">
        <v>261</v>
      </c>
      <c r="AR1829" t="s">
        <v>288</v>
      </c>
      <c r="AS1829">
        <v>10000</v>
      </c>
      <c r="AX1829" t="s">
        <v>262</v>
      </c>
      <c r="BO1829" t="s">
        <v>261</v>
      </c>
      <c r="BP1829" t="s">
        <v>288</v>
      </c>
      <c r="BQ1829">
        <v>10</v>
      </c>
      <c r="BV1829" t="s">
        <v>263</v>
      </c>
      <c r="CM1829" t="s">
        <v>264</v>
      </c>
      <c r="CN1829" t="s">
        <v>264</v>
      </c>
      <c r="CP1829" t="s">
        <v>265</v>
      </c>
      <c r="CQ1829" t="s">
        <v>3231</v>
      </c>
      <c r="DB1829">
        <v>1</v>
      </c>
      <c r="DG1829" t="s">
        <v>267</v>
      </c>
      <c r="DI1829">
        <v>24</v>
      </c>
      <c r="DN1829" t="s">
        <v>268</v>
      </c>
      <c r="DR1829">
        <v>110441</v>
      </c>
      <c r="DS1829">
        <v>142</v>
      </c>
      <c r="DT1829" t="s">
        <v>3476</v>
      </c>
      <c r="EW1829" t="s">
        <v>293</v>
      </c>
      <c r="FM1829">
        <v>25</v>
      </c>
      <c r="FR1829" t="s">
        <v>295</v>
      </c>
      <c r="GG1829" t="s">
        <v>278</v>
      </c>
      <c r="GH1829">
        <v>70</v>
      </c>
      <c r="GM1829" t="s">
        <v>900</v>
      </c>
      <c r="GU1829">
        <v>25</v>
      </c>
      <c r="GZ1829" t="s">
        <v>296</v>
      </c>
      <c r="HH1829" t="s">
        <v>272</v>
      </c>
      <c r="IE1829" t="s">
        <v>3477</v>
      </c>
      <c r="IF1829">
        <v>14256</v>
      </c>
      <c r="IG1829" t="s">
        <v>3478</v>
      </c>
      <c r="IH1829" t="s">
        <v>3479</v>
      </c>
      <c r="II1829">
        <v>1981</v>
      </c>
      <c r="IJ1829" t="s">
        <v>3480</v>
      </c>
    </row>
    <row r="1830" spans="1:244" x14ac:dyDescent="0.45">
      <c r="A1830">
        <v>1078827</v>
      </c>
      <c r="B1830">
        <v>10371</v>
      </c>
      <c r="C1830">
        <v>7789006</v>
      </c>
      <c r="D1830" t="s">
        <v>3460</v>
      </c>
      <c r="F1830" t="s">
        <v>245</v>
      </c>
      <c r="G1830" t="s">
        <v>246</v>
      </c>
      <c r="N1830" t="s">
        <v>312</v>
      </c>
      <c r="O1830" t="s">
        <v>313</v>
      </c>
      <c r="P1830" t="s">
        <v>249</v>
      </c>
      <c r="Q1830" t="s">
        <v>250</v>
      </c>
      <c r="R1830" t="s">
        <v>251</v>
      </c>
      <c r="T1830" t="s">
        <v>252</v>
      </c>
      <c r="U1830" t="s">
        <v>253</v>
      </c>
      <c r="V1830" t="s">
        <v>304</v>
      </c>
      <c r="W1830" t="s">
        <v>305</v>
      </c>
      <c r="X1830" t="s">
        <v>314</v>
      </c>
      <c r="AL1830" t="s">
        <v>3466</v>
      </c>
      <c r="AM1830" t="s">
        <v>317</v>
      </c>
      <c r="AN1830" t="s">
        <v>259</v>
      </c>
      <c r="AO1830" t="s">
        <v>260</v>
      </c>
      <c r="AQ1830" t="s">
        <v>261</v>
      </c>
      <c r="AS1830">
        <v>147000</v>
      </c>
      <c r="AU1830">
        <v>131000</v>
      </c>
      <c r="AW1830">
        <v>163000</v>
      </c>
      <c r="AX1830" t="s">
        <v>262</v>
      </c>
      <c r="BO1830" t="s">
        <v>261</v>
      </c>
      <c r="BQ1830">
        <v>147</v>
      </c>
      <c r="BS1830">
        <v>131</v>
      </c>
      <c r="BU1830">
        <v>163</v>
      </c>
      <c r="BV1830" t="s">
        <v>263</v>
      </c>
      <c r="CM1830" t="s">
        <v>264</v>
      </c>
      <c r="CN1830" t="s">
        <v>264</v>
      </c>
      <c r="CP1830" t="s">
        <v>265</v>
      </c>
      <c r="CQ1830" t="s">
        <v>538</v>
      </c>
      <c r="DB1830">
        <v>2</v>
      </c>
      <c r="DG1830" t="s">
        <v>267</v>
      </c>
      <c r="DI1830">
        <v>48</v>
      </c>
      <c r="DN1830" t="s">
        <v>268</v>
      </c>
      <c r="DP1830" t="s">
        <v>570</v>
      </c>
      <c r="DR1830">
        <v>221654</v>
      </c>
      <c r="DS1830">
        <v>65263</v>
      </c>
      <c r="DT1830" t="s">
        <v>3467</v>
      </c>
      <c r="EW1830" t="s">
        <v>271</v>
      </c>
      <c r="FM1830">
        <v>10</v>
      </c>
      <c r="FR1830" t="s">
        <v>295</v>
      </c>
      <c r="GU1830">
        <v>20</v>
      </c>
      <c r="GZ1830" t="s">
        <v>296</v>
      </c>
      <c r="HH1830" t="s">
        <v>272</v>
      </c>
      <c r="IE1830" t="s">
        <v>3468</v>
      </c>
      <c r="IF1830">
        <v>6082</v>
      </c>
      <c r="IG1830" t="s">
        <v>3469</v>
      </c>
      <c r="IH1830" t="s">
        <v>3470</v>
      </c>
      <c r="II1830">
        <v>1978</v>
      </c>
      <c r="IJ1830" t="s">
        <v>3471</v>
      </c>
    </row>
    <row r="1831" spans="1:244" x14ac:dyDescent="0.45">
      <c r="A1831">
        <v>1001384</v>
      </c>
      <c r="B1831">
        <v>116575</v>
      </c>
      <c r="C1831">
        <v>7789006</v>
      </c>
      <c r="D1831" t="s">
        <v>3460</v>
      </c>
      <c r="F1831" t="s">
        <v>327</v>
      </c>
      <c r="G1831" t="s">
        <v>246</v>
      </c>
      <c r="N1831" t="s">
        <v>369</v>
      </c>
      <c r="O1831" t="s">
        <v>370</v>
      </c>
      <c r="P1831" t="s">
        <v>249</v>
      </c>
      <c r="Q1831" t="s">
        <v>250</v>
      </c>
      <c r="R1831" t="s">
        <v>251</v>
      </c>
      <c r="T1831" t="s">
        <v>252</v>
      </c>
      <c r="U1831" t="s">
        <v>371</v>
      </c>
      <c r="V1831" t="s">
        <v>372</v>
      </c>
      <c r="W1831" t="s">
        <v>373</v>
      </c>
      <c r="X1831" t="s">
        <v>374</v>
      </c>
      <c r="Z1831" t="s">
        <v>649</v>
      </c>
      <c r="AA1831" t="s">
        <v>289</v>
      </c>
      <c r="AB1831">
        <v>24</v>
      </c>
      <c r="AG1831" t="s">
        <v>268</v>
      </c>
      <c r="AM1831" t="s">
        <v>317</v>
      </c>
      <c r="AN1831" t="s">
        <v>259</v>
      </c>
      <c r="AO1831" t="s">
        <v>260</v>
      </c>
      <c r="AQ1831" t="s">
        <v>261</v>
      </c>
      <c r="AS1831">
        <v>4900</v>
      </c>
      <c r="AX1831" t="s">
        <v>262</v>
      </c>
      <c r="BO1831" t="s">
        <v>261</v>
      </c>
      <c r="BQ1831">
        <v>4.9000000000000004</v>
      </c>
      <c r="BV1831" t="s">
        <v>263</v>
      </c>
      <c r="CM1831" t="s">
        <v>264</v>
      </c>
      <c r="CN1831" t="s">
        <v>264</v>
      </c>
      <c r="CP1831" t="s">
        <v>265</v>
      </c>
      <c r="CQ1831" t="s">
        <v>538</v>
      </c>
      <c r="DB1831">
        <v>2</v>
      </c>
      <c r="DG1831" t="s">
        <v>267</v>
      </c>
      <c r="DI1831">
        <v>48</v>
      </c>
      <c r="DN1831" t="s">
        <v>268</v>
      </c>
      <c r="DP1831" t="s">
        <v>570</v>
      </c>
      <c r="DR1831">
        <v>110441</v>
      </c>
      <c r="DS1831">
        <v>142</v>
      </c>
      <c r="EW1831" t="s">
        <v>333</v>
      </c>
      <c r="FM1831">
        <v>20</v>
      </c>
      <c r="FR1831" t="s">
        <v>295</v>
      </c>
      <c r="GG1831" t="s">
        <v>288</v>
      </c>
      <c r="GH1831">
        <v>6.2</v>
      </c>
      <c r="GM1831" t="s">
        <v>356</v>
      </c>
      <c r="GQ1831">
        <v>7.7</v>
      </c>
      <c r="GS1831">
        <v>8.1999999999999993</v>
      </c>
      <c r="GW1831">
        <v>27</v>
      </c>
      <c r="GY1831">
        <v>31</v>
      </c>
      <c r="GZ1831" t="s">
        <v>296</v>
      </c>
      <c r="HH1831" t="s">
        <v>272</v>
      </c>
      <c r="IE1831" t="s">
        <v>3472</v>
      </c>
      <c r="IF1831">
        <v>198</v>
      </c>
      <c r="IG1831" t="s">
        <v>3473</v>
      </c>
      <c r="IH1831" t="s">
        <v>3474</v>
      </c>
      <c r="II1831">
        <v>1989</v>
      </c>
      <c r="IJ1831" t="s">
        <v>3475</v>
      </c>
    </row>
    <row r="1832" spans="1:244" x14ac:dyDescent="0.45">
      <c r="A1832">
        <v>2061108</v>
      </c>
      <c r="B1832">
        <v>2107384</v>
      </c>
      <c r="C1832">
        <v>8018017</v>
      </c>
      <c r="D1832" t="s">
        <v>3481</v>
      </c>
      <c r="F1832" t="s">
        <v>246</v>
      </c>
      <c r="G1832" t="s">
        <v>368</v>
      </c>
      <c r="I1832">
        <v>82.4</v>
      </c>
      <c r="N1832" t="s">
        <v>369</v>
      </c>
      <c r="O1832" t="s">
        <v>370</v>
      </c>
      <c r="P1832" t="s">
        <v>249</v>
      </c>
      <c r="Q1832" t="s">
        <v>250</v>
      </c>
      <c r="R1832" t="s">
        <v>251</v>
      </c>
      <c r="T1832" t="s">
        <v>252</v>
      </c>
      <c r="U1832" t="s">
        <v>371</v>
      </c>
      <c r="V1832" t="s">
        <v>372</v>
      </c>
      <c r="W1832" t="s">
        <v>373</v>
      </c>
      <c r="X1832" t="s">
        <v>374</v>
      </c>
      <c r="AL1832" t="s">
        <v>3137</v>
      </c>
      <c r="AM1832" t="s">
        <v>317</v>
      </c>
      <c r="AN1832" t="s">
        <v>259</v>
      </c>
      <c r="AO1832" t="s">
        <v>260</v>
      </c>
      <c r="AQ1832" t="s">
        <v>2247</v>
      </c>
      <c r="AS1832">
        <v>6.7000000000000004E-2</v>
      </c>
      <c r="AU1832">
        <v>5.8000000000000003E-2</v>
      </c>
      <c r="AW1832">
        <v>7.9000000000000001E-2</v>
      </c>
      <c r="AX1832" t="s">
        <v>422</v>
      </c>
      <c r="BO1832" t="s">
        <v>2247</v>
      </c>
      <c r="BQ1832">
        <v>6.7000000000000004E-2</v>
      </c>
      <c r="BS1832">
        <v>5.8000000000000003E-2</v>
      </c>
      <c r="BU1832">
        <v>7.9000000000000001E-2</v>
      </c>
      <c r="BV1832" t="s">
        <v>263</v>
      </c>
      <c r="CM1832" t="s">
        <v>264</v>
      </c>
      <c r="CN1832" t="s">
        <v>264</v>
      </c>
      <c r="CP1832" t="s">
        <v>265</v>
      </c>
      <c r="DB1832">
        <v>1</v>
      </c>
      <c r="DG1832" t="s">
        <v>267</v>
      </c>
      <c r="DI1832">
        <v>24</v>
      </c>
      <c r="DN1832" t="s">
        <v>268</v>
      </c>
      <c r="DP1832">
        <v>82.4</v>
      </c>
      <c r="DR1832">
        <v>110441</v>
      </c>
      <c r="DS1832">
        <v>142</v>
      </c>
      <c r="EJ1832">
        <v>24</v>
      </c>
      <c r="EO1832" t="s">
        <v>268</v>
      </c>
      <c r="EQ1832">
        <v>1</v>
      </c>
      <c r="EV1832" t="s">
        <v>267</v>
      </c>
      <c r="EW1832" t="s">
        <v>376</v>
      </c>
      <c r="EY1832" t="s">
        <v>377</v>
      </c>
      <c r="FR1832" t="s">
        <v>378</v>
      </c>
      <c r="FY1832" t="s">
        <v>378</v>
      </c>
      <c r="GF1832" t="s">
        <v>378</v>
      </c>
      <c r="GM1832" t="s">
        <v>378</v>
      </c>
      <c r="GZ1832" t="s">
        <v>378</v>
      </c>
      <c r="HG1832" t="s">
        <v>378</v>
      </c>
      <c r="HH1832" t="s">
        <v>379</v>
      </c>
      <c r="HO1832" t="s">
        <v>378</v>
      </c>
      <c r="HV1832" t="s">
        <v>378</v>
      </c>
      <c r="IC1832" t="s">
        <v>378</v>
      </c>
      <c r="ID1832" t="s">
        <v>380</v>
      </c>
      <c r="IE1832" t="s">
        <v>381</v>
      </c>
      <c r="IF1832">
        <v>344</v>
      </c>
      <c r="IG1832" t="s">
        <v>382</v>
      </c>
      <c r="IH1832" t="s">
        <v>383</v>
      </c>
      <c r="II1832">
        <v>1992</v>
      </c>
      <c r="IJ1832" t="s">
        <v>384</v>
      </c>
    </row>
    <row r="1833" spans="1:244" x14ac:dyDescent="0.45">
      <c r="A1833">
        <v>2068287</v>
      </c>
      <c r="B1833">
        <v>2101952</v>
      </c>
      <c r="C1833">
        <v>8018017</v>
      </c>
      <c r="D1833" t="s">
        <v>3481</v>
      </c>
      <c r="F1833" t="s">
        <v>246</v>
      </c>
      <c r="G1833" t="s">
        <v>368</v>
      </c>
      <c r="I1833">
        <v>82.4</v>
      </c>
      <c r="N1833" t="s">
        <v>369</v>
      </c>
      <c r="O1833" t="s">
        <v>370</v>
      </c>
      <c r="P1833" t="s">
        <v>249</v>
      </c>
      <c r="Q1833" t="s">
        <v>250</v>
      </c>
      <c r="R1833" t="s">
        <v>251</v>
      </c>
      <c r="T1833" t="s">
        <v>252</v>
      </c>
      <c r="U1833" t="s">
        <v>371</v>
      </c>
      <c r="V1833" t="s">
        <v>372</v>
      </c>
      <c r="W1833" t="s">
        <v>373</v>
      </c>
      <c r="X1833" t="s">
        <v>374</v>
      </c>
      <c r="AB1833">
        <v>3</v>
      </c>
      <c r="AG1833" t="s">
        <v>267</v>
      </c>
      <c r="AL1833" t="s">
        <v>3482</v>
      </c>
      <c r="AM1833" t="s">
        <v>307</v>
      </c>
      <c r="AN1833" t="s">
        <v>259</v>
      </c>
      <c r="AO1833" t="s">
        <v>260</v>
      </c>
      <c r="AQ1833" t="s">
        <v>2247</v>
      </c>
      <c r="AS1833">
        <v>10.5</v>
      </c>
      <c r="AU1833">
        <v>8.6</v>
      </c>
      <c r="AW1833">
        <v>14</v>
      </c>
      <c r="AX1833" t="s">
        <v>290</v>
      </c>
      <c r="BO1833" t="s">
        <v>2247</v>
      </c>
      <c r="BQ1833">
        <v>1.0500000000000001E-2</v>
      </c>
      <c r="BS1833">
        <v>8.6E-3</v>
      </c>
      <c r="BU1833">
        <v>1.4E-2</v>
      </c>
      <c r="BV1833" t="s">
        <v>263</v>
      </c>
      <c r="CM1833" t="s">
        <v>264</v>
      </c>
      <c r="CN1833" t="s">
        <v>264</v>
      </c>
      <c r="CP1833" t="s">
        <v>265</v>
      </c>
      <c r="DB1833">
        <v>4</v>
      </c>
      <c r="DG1833" t="s">
        <v>267</v>
      </c>
      <c r="DI1833">
        <v>96</v>
      </c>
      <c r="DN1833" t="s">
        <v>268</v>
      </c>
      <c r="DP1833">
        <v>82.4</v>
      </c>
      <c r="DR1833">
        <v>110441</v>
      </c>
      <c r="DS1833">
        <v>142</v>
      </c>
      <c r="EJ1833">
        <v>96</v>
      </c>
      <c r="EO1833" t="s">
        <v>268</v>
      </c>
      <c r="EQ1833">
        <v>4</v>
      </c>
      <c r="EV1833" t="s">
        <v>267</v>
      </c>
      <c r="EW1833" t="s">
        <v>376</v>
      </c>
      <c r="EY1833" t="s">
        <v>377</v>
      </c>
      <c r="FR1833" t="s">
        <v>378</v>
      </c>
      <c r="FY1833" t="s">
        <v>378</v>
      </c>
      <c r="GF1833" t="s">
        <v>378</v>
      </c>
      <c r="GM1833" t="s">
        <v>378</v>
      </c>
      <c r="GZ1833" t="s">
        <v>378</v>
      </c>
      <c r="HG1833" t="s">
        <v>378</v>
      </c>
      <c r="HH1833" t="s">
        <v>379</v>
      </c>
      <c r="HO1833" t="s">
        <v>378</v>
      </c>
      <c r="HV1833" t="s">
        <v>378</v>
      </c>
      <c r="IC1833" t="s">
        <v>378</v>
      </c>
      <c r="ID1833" t="s">
        <v>380</v>
      </c>
      <c r="IE1833" t="s">
        <v>381</v>
      </c>
      <c r="IF1833">
        <v>344</v>
      </c>
      <c r="IG1833" t="s">
        <v>382</v>
      </c>
      <c r="IH1833" t="s">
        <v>383</v>
      </c>
      <c r="II1833">
        <v>1992</v>
      </c>
      <c r="IJ1833" t="s">
        <v>384</v>
      </c>
    </row>
    <row r="1834" spans="1:244" x14ac:dyDescent="0.45">
      <c r="A1834">
        <v>2061113</v>
      </c>
      <c r="B1834">
        <v>2115480</v>
      </c>
      <c r="C1834">
        <v>8018017</v>
      </c>
      <c r="D1834" t="s">
        <v>3481</v>
      </c>
      <c r="F1834" t="s">
        <v>246</v>
      </c>
      <c r="G1834" t="s">
        <v>368</v>
      </c>
      <c r="I1834">
        <v>37</v>
      </c>
      <c r="N1834" t="s">
        <v>369</v>
      </c>
      <c r="O1834" t="s">
        <v>370</v>
      </c>
      <c r="P1834" t="s">
        <v>249</v>
      </c>
      <c r="Q1834" t="s">
        <v>250</v>
      </c>
      <c r="R1834" t="s">
        <v>251</v>
      </c>
      <c r="T1834" t="s">
        <v>252</v>
      </c>
      <c r="U1834" t="s">
        <v>371</v>
      </c>
      <c r="V1834" t="s">
        <v>372</v>
      </c>
      <c r="W1834" t="s">
        <v>373</v>
      </c>
      <c r="X1834" t="s">
        <v>374</v>
      </c>
      <c r="AL1834" t="s">
        <v>3137</v>
      </c>
      <c r="AM1834" t="s">
        <v>317</v>
      </c>
      <c r="AN1834" t="s">
        <v>259</v>
      </c>
      <c r="AO1834" t="s">
        <v>260</v>
      </c>
      <c r="AQ1834" t="s">
        <v>2247</v>
      </c>
      <c r="AS1834">
        <v>0.218</v>
      </c>
      <c r="AU1834">
        <v>0.185</v>
      </c>
      <c r="AW1834">
        <v>0.26500000000000001</v>
      </c>
      <c r="AX1834" t="s">
        <v>422</v>
      </c>
      <c r="BO1834" t="s">
        <v>2247</v>
      </c>
      <c r="BQ1834">
        <v>0.218</v>
      </c>
      <c r="BS1834">
        <v>0.185</v>
      </c>
      <c r="BU1834">
        <v>0.26500000000000001</v>
      </c>
      <c r="BV1834" t="s">
        <v>263</v>
      </c>
      <c r="CM1834" t="s">
        <v>264</v>
      </c>
      <c r="CN1834" t="s">
        <v>264</v>
      </c>
      <c r="CP1834" t="s">
        <v>265</v>
      </c>
      <c r="DB1834">
        <v>1</v>
      </c>
      <c r="DG1834" t="s">
        <v>267</v>
      </c>
      <c r="DI1834">
        <v>24</v>
      </c>
      <c r="DN1834" t="s">
        <v>268</v>
      </c>
      <c r="DP1834">
        <v>37</v>
      </c>
      <c r="DR1834">
        <v>110441</v>
      </c>
      <c r="DS1834">
        <v>142</v>
      </c>
      <c r="EJ1834">
        <v>24</v>
      </c>
      <c r="EO1834" t="s">
        <v>268</v>
      </c>
      <c r="EQ1834">
        <v>1</v>
      </c>
      <c r="EV1834" t="s">
        <v>267</v>
      </c>
      <c r="EW1834" t="s">
        <v>376</v>
      </c>
      <c r="EY1834" t="s">
        <v>377</v>
      </c>
      <c r="FR1834" t="s">
        <v>378</v>
      </c>
      <c r="FY1834" t="s">
        <v>378</v>
      </c>
      <c r="GF1834" t="s">
        <v>378</v>
      </c>
      <c r="GM1834" t="s">
        <v>378</v>
      </c>
      <c r="GZ1834" t="s">
        <v>378</v>
      </c>
      <c r="HG1834" t="s">
        <v>378</v>
      </c>
      <c r="HH1834" t="s">
        <v>379</v>
      </c>
      <c r="HO1834" t="s">
        <v>378</v>
      </c>
      <c r="HV1834" t="s">
        <v>378</v>
      </c>
      <c r="IC1834" t="s">
        <v>378</v>
      </c>
      <c r="ID1834" t="s">
        <v>380</v>
      </c>
      <c r="IE1834" t="s">
        <v>381</v>
      </c>
      <c r="IF1834">
        <v>344</v>
      </c>
      <c r="IG1834" t="s">
        <v>382</v>
      </c>
      <c r="IH1834" t="s">
        <v>383</v>
      </c>
      <c r="II1834">
        <v>1992</v>
      </c>
      <c r="IJ1834" t="s">
        <v>384</v>
      </c>
    </row>
    <row r="1835" spans="1:244" x14ac:dyDescent="0.45">
      <c r="A1835">
        <v>2066801</v>
      </c>
      <c r="B1835">
        <v>2106526</v>
      </c>
      <c r="C1835">
        <v>8018017</v>
      </c>
      <c r="D1835" t="s">
        <v>3481</v>
      </c>
      <c r="F1835" t="s">
        <v>246</v>
      </c>
      <c r="G1835" t="s">
        <v>368</v>
      </c>
      <c r="I1835">
        <v>37</v>
      </c>
      <c r="N1835" t="s">
        <v>369</v>
      </c>
      <c r="O1835" t="s">
        <v>370</v>
      </c>
      <c r="P1835" t="s">
        <v>249</v>
      </c>
      <c r="Q1835" t="s">
        <v>250</v>
      </c>
      <c r="R1835" t="s">
        <v>251</v>
      </c>
      <c r="T1835" t="s">
        <v>252</v>
      </c>
      <c r="U1835" t="s">
        <v>371</v>
      </c>
      <c r="V1835" t="s">
        <v>372</v>
      </c>
      <c r="W1835" t="s">
        <v>373</v>
      </c>
      <c r="X1835" t="s">
        <v>374</v>
      </c>
      <c r="AB1835">
        <v>3</v>
      </c>
      <c r="AG1835" t="s">
        <v>267</v>
      </c>
      <c r="AL1835" t="s">
        <v>3482</v>
      </c>
      <c r="AM1835" t="s">
        <v>307</v>
      </c>
      <c r="AN1835" t="s">
        <v>259</v>
      </c>
      <c r="AO1835" t="s">
        <v>260</v>
      </c>
      <c r="AQ1835" t="s">
        <v>2247</v>
      </c>
      <c r="AS1835">
        <v>9.5</v>
      </c>
      <c r="AU1835">
        <v>8.3000000000000007</v>
      </c>
      <c r="AW1835">
        <v>11.4</v>
      </c>
      <c r="AX1835" t="s">
        <v>290</v>
      </c>
      <c r="BO1835" t="s">
        <v>2247</v>
      </c>
      <c r="BQ1835">
        <v>9.4999999999999998E-3</v>
      </c>
      <c r="BS1835">
        <v>8.3000000000000001E-3</v>
      </c>
      <c r="BU1835">
        <v>1.14E-2</v>
      </c>
      <c r="BV1835" t="s">
        <v>263</v>
      </c>
      <c r="CM1835" t="s">
        <v>264</v>
      </c>
      <c r="CN1835" t="s">
        <v>264</v>
      </c>
      <c r="CP1835" t="s">
        <v>265</v>
      </c>
      <c r="DB1835">
        <v>4</v>
      </c>
      <c r="DG1835" t="s">
        <v>267</v>
      </c>
      <c r="DI1835">
        <v>96</v>
      </c>
      <c r="DN1835" t="s">
        <v>268</v>
      </c>
      <c r="DP1835">
        <v>37</v>
      </c>
      <c r="DR1835">
        <v>110441</v>
      </c>
      <c r="DS1835">
        <v>142</v>
      </c>
      <c r="EJ1835">
        <v>96</v>
      </c>
      <c r="EO1835" t="s">
        <v>268</v>
      </c>
      <c r="EQ1835">
        <v>4</v>
      </c>
      <c r="EV1835" t="s">
        <v>267</v>
      </c>
      <c r="EW1835" t="s">
        <v>376</v>
      </c>
      <c r="EY1835" t="s">
        <v>377</v>
      </c>
      <c r="FR1835" t="s">
        <v>378</v>
      </c>
      <c r="FY1835" t="s">
        <v>378</v>
      </c>
      <c r="GF1835" t="s">
        <v>378</v>
      </c>
      <c r="GM1835" t="s">
        <v>378</v>
      </c>
      <c r="GZ1835" t="s">
        <v>378</v>
      </c>
      <c r="HG1835" t="s">
        <v>378</v>
      </c>
      <c r="HH1835" t="s">
        <v>379</v>
      </c>
      <c r="HO1835" t="s">
        <v>378</v>
      </c>
      <c r="HV1835" t="s">
        <v>378</v>
      </c>
      <c r="IC1835" t="s">
        <v>378</v>
      </c>
      <c r="ID1835" t="s">
        <v>380</v>
      </c>
      <c r="IE1835" t="s">
        <v>381</v>
      </c>
      <c r="IF1835">
        <v>344</v>
      </c>
      <c r="IG1835" t="s">
        <v>382</v>
      </c>
      <c r="IH1835" t="s">
        <v>383</v>
      </c>
      <c r="II1835">
        <v>1992</v>
      </c>
      <c r="IJ1835" t="s">
        <v>384</v>
      </c>
    </row>
    <row r="1836" spans="1:244" x14ac:dyDescent="0.45">
      <c r="A1836">
        <v>1245234</v>
      </c>
      <c r="B1836">
        <v>236629</v>
      </c>
      <c r="C1836">
        <v>10099748</v>
      </c>
      <c r="D1836" t="s">
        <v>3483</v>
      </c>
      <c r="F1836" t="s">
        <v>245</v>
      </c>
      <c r="G1836" t="s">
        <v>246</v>
      </c>
      <c r="N1836" t="s">
        <v>1312</v>
      </c>
      <c r="O1836" t="s">
        <v>1313</v>
      </c>
      <c r="P1836" t="s">
        <v>249</v>
      </c>
      <c r="Q1836" t="s">
        <v>250</v>
      </c>
      <c r="R1836" t="s">
        <v>251</v>
      </c>
      <c r="T1836" t="s">
        <v>252</v>
      </c>
      <c r="U1836" t="s">
        <v>1244</v>
      </c>
      <c r="V1836" t="s">
        <v>1314</v>
      </c>
      <c r="W1836" t="s">
        <v>1315</v>
      </c>
      <c r="X1836" t="s">
        <v>1316</v>
      </c>
      <c r="AJ1836" t="s">
        <v>285</v>
      </c>
      <c r="AM1836" t="s">
        <v>317</v>
      </c>
      <c r="AN1836" t="s">
        <v>259</v>
      </c>
      <c r="AO1836" t="s">
        <v>260</v>
      </c>
      <c r="AP1836">
        <v>6</v>
      </c>
      <c r="AQ1836" t="s">
        <v>261</v>
      </c>
      <c r="AS1836">
        <v>4.6100000000000003</v>
      </c>
      <c r="AU1836">
        <v>3.81</v>
      </c>
      <c r="AW1836">
        <v>5.22</v>
      </c>
      <c r="AX1836" t="s">
        <v>356</v>
      </c>
      <c r="BO1836" t="s">
        <v>261</v>
      </c>
      <c r="BQ1836">
        <v>4.6100000000000003</v>
      </c>
      <c r="BS1836">
        <v>3.81</v>
      </c>
      <c r="BU1836">
        <v>5.22</v>
      </c>
      <c r="BV1836" t="s">
        <v>263</v>
      </c>
      <c r="CM1836" t="s">
        <v>264</v>
      </c>
      <c r="CN1836" t="s">
        <v>264</v>
      </c>
      <c r="CP1836" t="s">
        <v>265</v>
      </c>
      <c r="CQ1836" t="s">
        <v>423</v>
      </c>
      <c r="DB1836">
        <v>4</v>
      </c>
      <c r="DG1836" t="s">
        <v>267</v>
      </c>
      <c r="DI1836">
        <v>96</v>
      </c>
      <c r="DN1836" t="s">
        <v>268</v>
      </c>
      <c r="DR1836">
        <v>96875</v>
      </c>
      <c r="DS1836">
        <v>1666</v>
      </c>
      <c r="EW1836" t="s">
        <v>293</v>
      </c>
      <c r="FK1836" t="s">
        <v>3484</v>
      </c>
      <c r="FM1836">
        <v>15</v>
      </c>
      <c r="FR1836" t="s">
        <v>295</v>
      </c>
      <c r="GH1836">
        <v>85</v>
      </c>
      <c r="GM1836" t="s">
        <v>900</v>
      </c>
      <c r="GO1836">
        <v>8.1</v>
      </c>
      <c r="GU1836">
        <v>17</v>
      </c>
      <c r="GZ1836" t="s">
        <v>900</v>
      </c>
      <c r="HH1836" t="s">
        <v>272</v>
      </c>
      <c r="ID1836" t="s">
        <v>3485</v>
      </c>
      <c r="IE1836" t="s">
        <v>1907</v>
      </c>
      <c r="IF1836">
        <v>82993</v>
      </c>
      <c r="IG1836" t="s">
        <v>1908</v>
      </c>
      <c r="IH1836" t="s">
        <v>1909</v>
      </c>
      <c r="II1836">
        <v>1999</v>
      </c>
      <c r="IJ1836" t="s">
        <v>1910</v>
      </c>
    </row>
    <row r="1837" spans="1:244" x14ac:dyDescent="0.45">
      <c r="A1837">
        <v>1048994</v>
      </c>
      <c r="B1837">
        <v>25177</v>
      </c>
      <c r="C1837">
        <v>10099748</v>
      </c>
      <c r="D1837" t="s">
        <v>3483</v>
      </c>
      <c r="F1837" t="s">
        <v>245</v>
      </c>
      <c r="G1837" t="s">
        <v>246</v>
      </c>
      <c r="N1837" t="s">
        <v>690</v>
      </c>
      <c r="O1837" t="s">
        <v>691</v>
      </c>
      <c r="P1837" t="s">
        <v>249</v>
      </c>
      <c r="Q1837" t="s">
        <v>250</v>
      </c>
      <c r="R1837" t="s">
        <v>251</v>
      </c>
      <c r="T1837" t="s">
        <v>252</v>
      </c>
      <c r="U1837" t="s">
        <v>253</v>
      </c>
      <c r="V1837" t="s">
        <v>418</v>
      </c>
      <c r="W1837" t="s">
        <v>419</v>
      </c>
      <c r="X1837" t="s">
        <v>692</v>
      </c>
      <c r="Z1837" t="s">
        <v>284</v>
      </c>
      <c r="AM1837" t="s">
        <v>317</v>
      </c>
      <c r="AN1837" t="s">
        <v>259</v>
      </c>
      <c r="AO1837" t="s">
        <v>260</v>
      </c>
      <c r="AQ1837" t="s">
        <v>261</v>
      </c>
      <c r="AS1837">
        <v>6800</v>
      </c>
      <c r="AX1837" t="s">
        <v>262</v>
      </c>
      <c r="BO1837" t="s">
        <v>261</v>
      </c>
      <c r="BQ1837">
        <v>6.8</v>
      </c>
      <c r="BV1837" t="s">
        <v>263</v>
      </c>
      <c r="CM1837" t="s">
        <v>264</v>
      </c>
      <c r="CN1837" t="s">
        <v>264</v>
      </c>
      <c r="CP1837" t="s">
        <v>265</v>
      </c>
      <c r="CQ1837" t="s">
        <v>423</v>
      </c>
      <c r="DB1837">
        <v>2</v>
      </c>
      <c r="DG1837" t="s">
        <v>267</v>
      </c>
      <c r="DI1837">
        <v>48</v>
      </c>
      <c r="DN1837" t="s">
        <v>268</v>
      </c>
      <c r="DR1837">
        <v>139456</v>
      </c>
      <c r="DS1837">
        <v>3044</v>
      </c>
      <c r="EW1837" t="s">
        <v>271</v>
      </c>
      <c r="HH1837" t="s">
        <v>272</v>
      </c>
      <c r="IE1837" t="s">
        <v>1743</v>
      </c>
      <c r="IF1837">
        <v>3232</v>
      </c>
      <c r="IG1837" t="s">
        <v>1744</v>
      </c>
      <c r="IH1837" t="s">
        <v>1745</v>
      </c>
      <c r="II1837">
        <v>1988</v>
      </c>
      <c r="IJ1837" t="s">
        <v>1746</v>
      </c>
    </row>
    <row r="1838" spans="1:244" x14ac:dyDescent="0.45">
      <c r="A1838">
        <v>1000006</v>
      </c>
      <c r="B1838">
        <v>29397</v>
      </c>
      <c r="C1838">
        <v>10099748</v>
      </c>
      <c r="D1838" t="s">
        <v>3483</v>
      </c>
      <c r="F1838" t="s">
        <v>245</v>
      </c>
      <c r="G1838" t="s">
        <v>246</v>
      </c>
      <c r="N1838" t="s">
        <v>838</v>
      </c>
      <c r="O1838" t="s">
        <v>839</v>
      </c>
      <c r="P1838" t="s">
        <v>249</v>
      </c>
      <c r="Q1838" t="s">
        <v>250</v>
      </c>
      <c r="R1838" t="s">
        <v>251</v>
      </c>
      <c r="T1838" t="s">
        <v>347</v>
      </c>
      <c r="U1838" t="s">
        <v>348</v>
      </c>
      <c r="V1838" t="s">
        <v>349</v>
      </c>
      <c r="W1838" t="s">
        <v>350</v>
      </c>
      <c r="X1838" t="s">
        <v>840</v>
      </c>
      <c r="Z1838" t="s">
        <v>558</v>
      </c>
      <c r="AM1838" t="s">
        <v>317</v>
      </c>
      <c r="AN1838" t="s">
        <v>259</v>
      </c>
      <c r="AO1838" t="s">
        <v>260</v>
      </c>
      <c r="AQ1838" t="s">
        <v>261</v>
      </c>
      <c r="AR1838" t="s">
        <v>289</v>
      </c>
      <c r="AS1838">
        <v>20.7</v>
      </c>
      <c r="AX1838" t="s">
        <v>262</v>
      </c>
      <c r="BO1838" t="s">
        <v>261</v>
      </c>
      <c r="BP1838" t="s">
        <v>289</v>
      </c>
      <c r="BQ1838">
        <v>2.07E-2</v>
      </c>
      <c r="BV1838" t="s">
        <v>263</v>
      </c>
      <c r="CM1838" t="s">
        <v>264</v>
      </c>
      <c r="CN1838" t="s">
        <v>264</v>
      </c>
      <c r="CP1838" t="s">
        <v>265</v>
      </c>
      <c r="CQ1838" t="s">
        <v>423</v>
      </c>
      <c r="DB1838">
        <v>3</v>
      </c>
      <c r="DG1838" t="s">
        <v>267</v>
      </c>
      <c r="DI1838">
        <v>72</v>
      </c>
      <c r="DN1838" t="s">
        <v>268</v>
      </c>
      <c r="DR1838">
        <v>6661</v>
      </c>
      <c r="DS1838">
        <v>3004</v>
      </c>
      <c r="DT1838" t="s">
        <v>2229</v>
      </c>
      <c r="EW1838" t="s">
        <v>333</v>
      </c>
      <c r="FM1838">
        <v>28</v>
      </c>
      <c r="FR1838" t="s">
        <v>295</v>
      </c>
      <c r="HH1838" t="s">
        <v>272</v>
      </c>
      <c r="IE1838" t="s">
        <v>2230</v>
      </c>
      <c r="IF1838">
        <v>4</v>
      </c>
      <c r="IG1838" t="s">
        <v>2231</v>
      </c>
      <c r="IH1838" t="s">
        <v>2232</v>
      </c>
      <c r="II1838">
        <v>1991</v>
      </c>
      <c r="IJ1838" t="s">
        <v>2233</v>
      </c>
    </row>
    <row r="1839" spans="1:244" x14ac:dyDescent="0.45">
      <c r="A1839">
        <v>1277782</v>
      </c>
      <c r="B1839">
        <v>731012</v>
      </c>
      <c r="C1839">
        <v>10099748</v>
      </c>
      <c r="D1839" t="s">
        <v>3483</v>
      </c>
      <c r="E1839" t="s">
        <v>439</v>
      </c>
      <c r="F1839" t="s">
        <v>245</v>
      </c>
      <c r="G1839" t="s">
        <v>246</v>
      </c>
      <c r="N1839" t="s">
        <v>968</v>
      </c>
      <c r="O1839" t="s">
        <v>969</v>
      </c>
      <c r="P1839" t="s">
        <v>249</v>
      </c>
      <c r="Q1839" t="s">
        <v>250</v>
      </c>
      <c r="R1839" t="s">
        <v>251</v>
      </c>
      <c r="T1839" t="s">
        <v>252</v>
      </c>
      <c r="U1839" t="s">
        <v>253</v>
      </c>
      <c r="V1839" t="s">
        <v>418</v>
      </c>
      <c r="W1839" t="s">
        <v>419</v>
      </c>
      <c r="X1839" t="s">
        <v>970</v>
      </c>
      <c r="Z1839" t="s">
        <v>649</v>
      </c>
      <c r="AL1839" t="s">
        <v>1174</v>
      </c>
      <c r="AM1839" t="s">
        <v>258</v>
      </c>
      <c r="AN1839" t="s">
        <v>259</v>
      </c>
      <c r="AO1839" t="s">
        <v>260</v>
      </c>
      <c r="AQ1839" t="s">
        <v>261</v>
      </c>
      <c r="AS1839">
        <v>195</v>
      </c>
      <c r="AU1839">
        <v>135</v>
      </c>
      <c r="AW1839">
        <v>280</v>
      </c>
      <c r="AX1839" t="s">
        <v>356</v>
      </c>
      <c r="BO1839" t="s">
        <v>261</v>
      </c>
      <c r="BQ1839">
        <v>195</v>
      </c>
      <c r="BS1839">
        <v>135</v>
      </c>
      <c r="BU1839">
        <v>280</v>
      </c>
      <c r="BV1839" t="s">
        <v>263</v>
      </c>
      <c r="CM1839" t="s">
        <v>264</v>
      </c>
      <c r="CN1839" t="s">
        <v>264</v>
      </c>
      <c r="CP1839" t="s">
        <v>265</v>
      </c>
      <c r="CQ1839" t="s">
        <v>423</v>
      </c>
      <c r="DB1839">
        <v>4</v>
      </c>
      <c r="DG1839" t="s">
        <v>267</v>
      </c>
      <c r="DI1839">
        <v>96</v>
      </c>
      <c r="DN1839" t="s">
        <v>268</v>
      </c>
      <c r="DP1839" t="s">
        <v>3486</v>
      </c>
      <c r="DS1839">
        <v>1010</v>
      </c>
      <c r="DT1839" t="s">
        <v>1176</v>
      </c>
      <c r="EW1839" t="s">
        <v>293</v>
      </c>
      <c r="FK1839" t="s">
        <v>3487</v>
      </c>
      <c r="FM1839">
        <v>20</v>
      </c>
      <c r="FR1839" t="s">
        <v>295</v>
      </c>
      <c r="GG1839" t="s">
        <v>288</v>
      </c>
      <c r="GH1839">
        <v>90</v>
      </c>
      <c r="GM1839" t="s">
        <v>900</v>
      </c>
      <c r="GO1839">
        <v>8</v>
      </c>
      <c r="GU1839">
        <v>36</v>
      </c>
      <c r="GZ1839" t="s">
        <v>296</v>
      </c>
      <c r="HH1839" t="s">
        <v>272</v>
      </c>
      <c r="ID1839" t="s">
        <v>3488</v>
      </c>
      <c r="IE1839" t="s">
        <v>1179</v>
      </c>
      <c r="IF1839">
        <v>4973</v>
      </c>
      <c r="IG1839" t="s">
        <v>1180</v>
      </c>
      <c r="IH1839" t="s">
        <v>1181</v>
      </c>
      <c r="II1839">
        <v>1982</v>
      </c>
      <c r="IJ1839" t="s">
        <v>1182</v>
      </c>
    </row>
    <row r="1840" spans="1:244" x14ac:dyDescent="0.45">
      <c r="A1840">
        <v>1226432</v>
      </c>
      <c r="B1840">
        <v>219608</v>
      </c>
      <c r="C1840">
        <v>10099748</v>
      </c>
      <c r="D1840" t="s">
        <v>3483</v>
      </c>
      <c r="E1840" t="s">
        <v>386</v>
      </c>
      <c r="F1840" t="s">
        <v>245</v>
      </c>
      <c r="G1840" t="s">
        <v>246</v>
      </c>
      <c r="N1840" t="s">
        <v>302</v>
      </c>
      <c r="O1840" t="s">
        <v>303</v>
      </c>
      <c r="P1840" t="s">
        <v>249</v>
      </c>
      <c r="Q1840" t="s">
        <v>250</v>
      </c>
      <c r="R1840" t="s">
        <v>251</v>
      </c>
      <c r="T1840" t="s">
        <v>252</v>
      </c>
      <c r="U1840" t="s">
        <v>253</v>
      </c>
      <c r="V1840" t="s">
        <v>304</v>
      </c>
      <c r="W1840" t="s">
        <v>305</v>
      </c>
      <c r="X1840" t="s">
        <v>306</v>
      </c>
      <c r="Z1840" t="s">
        <v>1057</v>
      </c>
      <c r="AL1840" t="s">
        <v>1324</v>
      </c>
      <c r="AM1840" t="s">
        <v>317</v>
      </c>
      <c r="AN1840" t="s">
        <v>259</v>
      </c>
      <c r="AO1840" t="s">
        <v>260</v>
      </c>
      <c r="AQ1840" t="s">
        <v>261</v>
      </c>
      <c r="AS1840">
        <v>167</v>
      </c>
      <c r="AX1840" t="s">
        <v>356</v>
      </c>
      <c r="BO1840" t="s">
        <v>261</v>
      </c>
      <c r="BQ1840">
        <v>167</v>
      </c>
      <c r="BV1840" t="s">
        <v>263</v>
      </c>
      <c r="CM1840" t="s">
        <v>264</v>
      </c>
      <c r="CN1840" t="s">
        <v>264</v>
      </c>
      <c r="CP1840" t="s">
        <v>265</v>
      </c>
      <c r="CQ1840" t="s">
        <v>423</v>
      </c>
      <c r="DB1840">
        <v>4</v>
      </c>
      <c r="DG1840" t="s">
        <v>267</v>
      </c>
      <c r="DI1840">
        <v>96</v>
      </c>
      <c r="DN1840" t="s">
        <v>268</v>
      </c>
      <c r="DR1840">
        <v>338212</v>
      </c>
      <c r="DS1840">
        <v>732</v>
      </c>
      <c r="DT1840" t="s">
        <v>1211</v>
      </c>
      <c r="EW1840" t="s">
        <v>293</v>
      </c>
      <c r="GU1840">
        <v>36</v>
      </c>
      <c r="GZ1840" t="s">
        <v>900</v>
      </c>
      <c r="HH1840" t="s">
        <v>272</v>
      </c>
      <c r="IE1840" t="s">
        <v>1212</v>
      </c>
      <c r="IF1840">
        <v>51641</v>
      </c>
      <c r="IG1840" t="s">
        <v>1213</v>
      </c>
      <c r="IH1840" t="s">
        <v>1214</v>
      </c>
      <c r="II1840">
        <v>2000</v>
      </c>
      <c r="IJ1840" t="s">
        <v>1215</v>
      </c>
    </row>
    <row r="1841" spans="1:244" x14ac:dyDescent="0.45">
      <c r="A1841">
        <v>1278111</v>
      </c>
      <c r="B1841">
        <v>731358</v>
      </c>
      <c r="C1841">
        <v>10099748</v>
      </c>
      <c r="D1841" t="s">
        <v>3483</v>
      </c>
      <c r="E1841" t="s">
        <v>439</v>
      </c>
      <c r="F1841" t="s">
        <v>245</v>
      </c>
      <c r="G1841" t="s">
        <v>246</v>
      </c>
      <c r="N1841" t="s">
        <v>968</v>
      </c>
      <c r="O1841" t="s">
        <v>969</v>
      </c>
      <c r="P1841" t="s">
        <v>249</v>
      </c>
      <c r="Q1841" t="s">
        <v>250</v>
      </c>
      <c r="R1841" t="s">
        <v>251</v>
      </c>
      <c r="T1841" t="s">
        <v>252</v>
      </c>
      <c r="U1841" t="s">
        <v>253</v>
      </c>
      <c r="V1841" t="s">
        <v>418</v>
      </c>
      <c r="W1841" t="s">
        <v>419</v>
      </c>
      <c r="X1841" t="s">
        <v>970</v>
      </c>
      <c r="Z1841" t="s">
        <v>649</v>
      </c>
      <c r="AL1841" t="s">
        <v>1174</v>
      </c>
      <c r="AM1841" t="s">
        <v>258</v>
      </c>
      <c r="AN1841" t="s">
        <v>259</v>
      </c>
      <c r="AO1841" t="s">
        <v>260</v>
      </c>
      <c r="AQ1841" t="s">
        <v>261</v>
      </c>
      <c r="AS1841">
        <v>36.5</v>
      </c>
      <c r="AU1841">
        <v>19.2</v>
      </c>
      <c r="AW1841">
        <v>69.400000000000006</v>
      </c>
      <c r="AX1841" t="s">
        <v>356</v>
      </c>
      <c r="BO1841" t="s">
        <v>261</v>
      </c>
      <c r="BQ1841">
        <v>36.5</v>
      </c>
      <c r="BS1841">
        <v>19.2</v>
      </c>
      <c r="BU1841">
        <v>69.400000000000006</v>
      </c>
      <c r="BV1841" t="s">
        <v>263</v>
      </c>
      <c r="CM1841" t="s">
        <v>264</v>
      </c>
      <c r="CN1841" t="s">
        <v>264</v>
      </c>
      <c r="CP1841" t="s">
        <v>265</v>
      </c>
      <c r="CQ1841" t="s">
        <v>423</v>
      </c>
      <c r="DB1841">
        <v>4</v>
      </c>
      <c r="DG1841" t="s">
        <v>267</v>
      </c>
      <c r="DI1841">
        <v>96</v>
      </c>
      <c r="DN1841" t="s">
        <v>268</v>
      </c>
      <c r="DP1841" t="s">
        <v>3486</v>
      </c>
      <c r="DS1841">
        <v>1010</v>
      </c>
      <c r="DT1841" t="s">
        <v>1176</v>
      </c>
      <c r="EW1841" t="s">
        <v>293</v>
      </c>
      <c r="FK1841" t="s">
        <v>3489</v>
      </c>
      <c r="FM1841">
        <v>30</v>
      </c>
      <c r="FR1841" t="s">
        <v>295</v>
      </c>
      <c r="GG1841" t="s">
        <v>288</v>
      </c>
      <c r="GH1841">
        <v>90</v>
      </c>
      <c r="GM1841" t="s">
        <v>900</v>
      </c>
      <c r="GO1841">
        <v>8</v>
      </c>
      <c r="GU1841">
        <v>20</v>
      </c>
      <c r="GZ1841" t="s">
        <v>296</v>
      </c>
      <c r="HH1841" t="s">
        <v>272</v>
      </c>
      <c r="ID1841" t="s">
        <v>3490</v>
      </c>
      <c r="IE1841" t="s">
        <v>1179</v>
      </c>
      <c r="IF1841">
        <v>4973</v>
      </c>
      <c r="IG1841" t="s">
        <v>1180</v>
      </c>
      <c r="IH1841" t="s">
        <v>1181</v>
      </c>
      <c r="II1841">
        <v>1982</v>
      </c>
      <c r="IJ1841" t="s">
        <v>1182</v>
      </c>
    </row>
    <row r="1842" spans="1:244" x14ac:dyDescent="0.45">
      <c r="A1842">
        <v>1210381</v>
      </c>
      <c r="B1842">
        <v>194517</v>
      </c>
      <c r="C1842">
        <v>10099748</v>
      </c>
      <c r="D1842" t="s">
        <v>3483</v>
      </c>
      <c r="F1842" t="s">
        <v>272</v>
      </c>
      <c r="G1842" t="s">
        <v>246</v>
      </c>
      <c r="N1842" t="s">
        <v>789</v>
      </c>
      <c r="O1842" t="s">
        <v>790</v>
      </c>
      <c r="P1842" t="s">
        <v>249</v>
      </c>
      <c r="Q1842" t="s">
        <v>250</v>
      </c>
      <c r="R1842" t="s">
        <v>251</v>
      </c>
      <c r="T1842" t="s">
        <v>252</v>
      </c>
      <c r="U1842" t="s">
        <v>253</v>
      </c>
      <c r="V1842" t="s">
        <v>418</v>
      </c>
      <c r="W1842" t="s">
        <v>791</v>
      </c>
      <c r="X1842" t="s">
        <v>792</v>
      </c>
      <c r="Z1842" t="s">
        <v>284</v>
      </c>
      <c r="AM1842" t="s">
        <v>287</v>
      </c>
      <c r="AN1842" t="s">
        <v>259</v>
      </c>
      <c r="AO1842" t="s">
        <v>260</v>
      </c>
      <c r="AQ1842" t="s">
        <v>261</v>
      </c>
      <c r="AS1842">
        <v>2</v>
      </c>
      <c r="AU1842">
        <v>0.6</v>
      </c>
      <c r="AW1842">
        <v>6.65</v>
      </c>
      <c r="AX1842" t="s">
        <v>762</v>
      </c>
      <c r="BO1842" t="s">
        <v>261</v>
      </c>
      <c r="BQ1842">
        <v>2</v>
      </c>
      <c r="BS1842">
        <v>0.6</v>
      </c>
      <c r="BU1842">
        <v>6.65</v>
      </c>
      <c r="BV1842" t="s">
        <v>263</v>
      </c>
      <c r="CM1842" t="s">
        <v>264</v>
      </c>
      <c r="CN1842" t="s">
        <v>264</v>
      </c>
      <c r="CP1842" t="s">
        <v>265</v>
      </c>
      <c r="DB1842">
        <v>2</v>
      </c>
      <c r="DG1842" t="s">
        <v>267</v>
      </c>
      <c r="DI1842">
        <v>48</v>
      </c>
      <c r="DN1842" t="s">
        <v>268</v>
      </c>
      <c r="DR1842">
        <v>161924</v>
      </c>
      <c r="DS1842">
        <v>3045</v>
      </c>
      <c r="EW1842" t="s">
        <v>272</v>
      </c>
      <c r="FM1842">
        <v>24</v>
      </c>
      <c r="FR1842" t="s">
        <v>295</v>
      </c>
      <c r="GO1842">
        <v>8.1</v>
      </c>
      <c r="HH1842" t="s">
        <v>272</v>
      </c>
      <c r="IE1842" t="s">
        <v>763</v>
      </c>
      <c r="IF1842">
        <v>19318</v>
      </c>
      <c r="IG1842" t="s">
        <v>764</v>
      </c>
      <c r="IH1842" t="s">
        <v>765</v>
      </c>
      <c r="II1842">
        <v>1994</v>
      </c>
      <c r="IJ1842" t="s">
        <v>766</v>
      </c>
    </row>
    <row r="1843" spans="1:244" x14ac:dyDescent="0.45">
      <c r="A1843">
        <v>1245233</v>
      </c>
      <c r="B1843">
        <v>236627</v>
      </c>
      <c r="C1843">
        <v>10099748</v>
      </c>
      <c r="D1843" t="s">
        <v>3483</v>
      </c>
      <c r="F1843" t="s">
        <v>245</v>
      </c>
      <c r="G1843" t="s">
        <v>246</v>
      </c>
      <c r="N1843" t="s">
        <v>1902</v>
      </c>
      <c r="O1843" t="s">
        <v>498</v>
      </c>
      <c r="P1843" t="s">
        <v>249</v>
      </c>
      <c r="Q1843" t="s">
        <v>250</v>
      </c>
      <c r="R1843" t="s">
        <v>251</v>
      </c>
      <c r="T1843" t="s">
        <v>252</v>
      </c>
      <c r="U1843" t="s">
        <v>499</v>
      </c>
      <c r="V1843" t="s">
        <v>500</v>
      </c>
      <c r="W1843" t="s">
        <v>1903</v>
      </c>
      <c r="X1843" t="s">
        <v>1904</v>
      </c>
      <c r="AJ1843" t="s">
        <v>285</v>
      </c>
      <c r="AM1843" t="s">
        <v>317</v>
      </c>
      <c r="AN1843" t="s">
        <v>259</v>
      </c>
      <c r="AO1843" t="s">
        <v>260</v>
      </c>
      <c r="AP1843">
        <v>6</v>
      </c>
      <c r="AQ1843" t="s">
        <v>261</v>
      </c>
      <c r="AS1843">
        <v>0.62</v>
      </c>
      <c r="AU1843">
        <v>0.57999999999999996</v>
      </c>
      <c r="AW1843">
        <v>0.67</v>
      </c>
      <c r="AX1843" t="s">
        <v>356</v>
      </c>
      <c r="BO1843" t="s">
        <v>261</v>
      </c>
      <c r="BQ1843">
        <v>0.62</v>
      </c>
      <c r="BS1843">
        <v>0.57999999999999996</v>
      </c>
      <c r="BU1843">
        <v>0.67</v>
      </c>
      <c r="BV1843" t="s">
        <v>263</v>
      </c>
      <c r="CM1843" t="s">
        <v>264</v>
      </c>
      <c r="CN1843" t="s">
        <v>264</v>
      </c>
      <c r="CP1843" t="s">
        <v>265</v>
      </c>
      <c r="CQ1843" t="s">
        <v>423</v>
      </c>
      <c r="DB1843">
        <v>4</v>
      </c>
      <c r="DG1843" t="s">
        <v>267</v>
      </c>
      <c r="DI1843">
        <v>96</v>
      </c>
      <c r="DN1843" t="s">
        <v>268</v>
      </c>
      <c r="DS1843">
        <v>1667</v>
      </c>
      <c r="EW1843" t="s">
        <v>293</v>
      </c>
      <c r="FK1843" t="s">
        <v>3491</v>
      </c>
      <c r="FM1843">
        <v>15</v>
      </c>
      <c r="FR1843" t="s">
        <v>295</v>
      </c>
      <c r="GH1843">
        <v>85</v>
      </c>
      <c r="GM1843" t="s">
        <v>900</v>
      </c>
      <c r="GO1843">
        <v>8.1</v>
      </c>
      <c r="GU1843">
        <v>17</v>
      </c>
      <c r="GZ1843" t="s">
        <v>900</v>
      </c>
      <c r="HH1843" t="s">
        <v>272</v>
      </c>
      <c r="ID1843" t="s">
        <v>3492</v>
      </c>
      <c r="IE1843" t="s">
        <v>1907</v>
      </c>
      <c r="IF1843">
        <v>82993</v>
      </c>
      <c r="IG1843" t="s">
        <v>1908</v>
      </c>
      <c r="IH1843" t="s">
        <v>1909</v>
      </c>
      <c r="II1843">
        <v>1999</v>
      </c>
      <c r="IJ1843" t="s">
        <v>1910</v>
      </c>
    </row>
    <row r="1844" spans="1:244" x14ac:dyDescent="0.45">
      <c r="A1844">
        <v>1278969</v>
      </c>
      <c r="B1844">
        <v>732266</v>
      </c>
      <c r="C1844">
        <v>10099748</v>
      </c>
      <c r="D1844" t="s">
        <v>3483</v>
      </c>
      <c r="E1844" t="s">
        <v>439</v>
      </c>
      <c r="F1844" t="s">
        <v>327</v>
      </c>
      <c r="G1844" t="s">
        <v>246</v>
      </c>
      <c r="N1844" t="s">
        <v>1426</v>
      </c>
      <c r="O1844" t="s">
        <v>370</v>
      </c>
      <c r="P1844" t="s">
        <v>249</v>
      </c>
      <c r="Q1844" t="s">
        <v>250</v>
      </c>
      <c r="R1844" t="s">
        <v>251</v>
      </c>
      <c r="T1844" t="s">
        <v>252</v>
      </c>
      <c r="U1844" t="s">
        <v>371</v>
      </c>
      <c r="V1844" t="s">
        <v>372</v>
      </c>
      <c r="W1844" t="s">
        <v>1427</v>
      </c>
      <c r="X1844" t="s">
        <v>1428</v>
      </c>
      <c r="Z1844" t="s">
        <v>649</v>
      </c>
      <c r="AD1844">
        <v>1</v>
      </c>
      <c r="AF1844">
        <v>5</v>
      </c>
      <c r="AG1844" t="s">
        <v>267</v>
      </c>
      <c r="AM1844" t="s">
        <v>258</v>
      </c>
      <c r="AN1844" t="s">
        <v>259</v>
      </c>
      <c r="AO1844" t="s">
        <v>260</v>
      </c>
      <c r="AP1844">
        <v>6</v>
      </c>
      <c r="AQ1844" t="s">
        <v>261</v>
      </c>
      <c r="AS1844">
        <v>4274</v>
      </c>
      <c r="AU1844">
        <v>3540</v>
      </c>
      <c r="AW1844">
        <v>5710</v>
      </c>
      <c r="AX1844" t="s">
        <v>262</v>
      </c>
      <c r="BO1844" t="s">
        <v>261</v>
      </c>
      <c r="BQ1844">
        <v>4.274</v>
      </c>
      <c r="BS1844">
        <v>3.54</v>
      </c>
      <c r="BU1844">
        <v>5.71</v>
      </c>
      <c r="BV1844" t="s">
        <v>263</v>
      </c>
      <c r="CM1844" t="s">
        <v>264</v>
      </c>
      <c r="CN1844" t="s">
        <v>264</v>
      </c>
      <c r="CP1844" t="s">
        <v>265</v>
      </c>
      <c r="CQ1844" t="s">
        <v>423</v>
      </c>
      <c r="DB1844">
        <v>4</v>
      </c>
      <c r="DG1844" t="s">
        <v>267</v>
      </c>
      <c r="DI1844">
        <v>96</v>
      </c>
      <c r="DN1844" t="s">
        <v>268</v>
      </c>
      <c r="DP1844" t="s">
        <v>3486</v>
      </c>
      <c r="DR1844">
        <v>223650</v>
      </c>
      <c r="DS1844">
        <v>1577</v>
      </c>
      <c r="DT1844" t="s">
        <v>1430</v>
      </c>
      <c r="EW1844" t="s">
        <v>293</v>
      </c>
      <c r="FA1844" t="s">
        <v>1692</v>
      </c>
      <c r="FK1844" t="s">
        <v>3493</v>
      </c>
      <c r="FM1844">
        <v>20</v>
      </c>
      <c r="FR1844" t="s">
        <v>295</v>
      </c>
      <c r="GU1844">
        <v>25</v>
      </c>
      <c r="GZ1844" t="s">
        <v>296</v>
      </c>
      <c r="HH1844" t="s">
        <v>272</v>
      </c>
      <c r="ID1844" t="s">
        <v>3494</v>
      </c>
      <c r="IE1844" t="s">
        <v>1433</v>
      </c>
      <c r="IF1844">
        <v>75445</v>
      </c>
      <c r="IG1844" t="s">
        <v>1434</v>
      </c>
      <c r="IH1844" t="s">
        <v>1435</v>
      </c>
      <c r="II1844">
        <v>2003</v>
      </c>
      <c r="IJ1844" t="s">
        <v>1436</v>
      </c>
    </row>
    <row r="1845" spans="1:244" x14ac:dyDescent="0.45">
      <c r="A1845">
        <v>1282557</v>
      </c>
      <c r="B1845">
        <v>736238</v>
      </c>
      <c r="C1845">
        <v>10099748</v>
      </c>
      <c r="D1845" t="s">
        <v>3483</v>
      </c>
      <c r="E1845" t="s">
        <v>439</v>
      </c>
      <c r="F1845" t="s">
        <v>327</v>
      </c>
      <c r="G1845" t="s">
        <v>246</v>
      </c>
      <c r="N1845" t="s">
        <v>1426</v>
      </c>
      <c r="O1845" t="s">
        <v>370</v>
      </c>
      <c r="P1845" t="s">
        <v>249</v>
      </c>
      <c r="Q1845" t="s">
        <v>250</v>
      </c>
      <c r="R1845" t="s">
        <v>251</v>
      </c>
      <c r="T1845" t="s">
        <v>252</v>
      </c>
      <c r="U1845" t="s">
        <v>371</v>
      </c>
      <c r="V1845" t="s">
        <v>372</v>
      </c>
      <c r="W1845" t="s">
        <v>1427</v>
      </c>
      <c r="X1845" t="s">
        <v>1428</v>
      </c>
      <c r="Z1845" t="s">
        <v>649</v>
      </c>
      <c r="AD1845">
        <v>1</v>
      </c>
      <c r="AF1845">
        <v>5</v>
      </c>
      <c r="AG1845" t="s">
        <v>267</v>
      </c>
      <c r="AM1845" t="s">
        <v>258</v>
      </c>
      <c r="AN1845" t="s">
        <v>259</v>
      </c>
      <c r="AO1845" t="s">
        <v>260</v>
      </c>
      <c r="AP1845">
        <v>6</v>
      </c>
      <c r="AQ1845" t="s">
        <v>261</v>
      </c>
      <c r="AS1845">
        <v>1140</v>
      </c>
      <c r="AU1845">
        <v>840</v>
      </c>
      <c r="AW1845">
        <v>1440</v>
      </c>
      <c r="AX1845" t="s">
        <v>262</v>
      </c>
      <c r="BO1845" t="s">
        <v>261</v>
      </c>
      <c r="BQ1845">
        <v>1.1399999999999999</v>
      </c>
      <c r="BS1845">
        <v>0.84</v>
      </c>
      <c r="BU1845">
        <v>1.44</v>
      </c>
      <c r="BV1845" t="s">
        <v>263</v>
      </c>
      <c r="CM1845" t="s">
        <v>264</v>
      </c>
      <c r="CN1845" t="s">
        <v>264</v>
      </c>
      <c r="CP1845" t="s">
        <v>265</v>
      </c>
      <c r="CQ1845" t="s">
        <v>423</v>
      </c>
      <c r="DB1845">
        <v>4</v>
      </c>
      <c r="DG1845" t="s">
        <v>267</v>
      </c>
      <c r="DI1845">
        <v>96</v>
      </c>
      <c r="DN1845" t="s">
        <v>268</v>
      </c>
      <c r="DP1845" t="s">
        <v>3486</v>
      </c>
      <c r="DR1845">
        <v>223650</v>
      </c>
      <c r="DS1845">
        <v>1577</v>
      </c>
      <c r="DT1845" t="s">
        <v>1430</v>
      </c>
      <c r="EW1845" t="s">
        <v>293</v>
      </c>
      <c r="FA1845" t="s">
        <v>1867</v>
      </c>
      <c r="FK1845" t="s">
        <v>3495</v>
      </c>
      <c r="FM1845">
        <v>20</v>
      </c>
      <c r="FR1845" t="s">
        <v>295</v>
      </c>
      <c r="GU1845">
        <v>5</v>
      </c>
      <c r="GZ1845" t="s">
        <v>296</v>
      </c>
      <c r="HH1845" t="s">
        <v>272</v>
      </c>
      <c r="ID1845" t="s">
        <v>3496</v>
      </c>
      <c r="IE1845" t="s">
        <v>1433</v>
      </c>
      <c r="IF1845">
        <v>75445</v>
      </c>
      <c r="IG1845" t="s">
        <v>1434</v>
      </c>
      <c r="IH1845" t="s">
        <v>1435</v>
      </c>
      <c r="II1845">
        <v>2003</v>
      </c>
      <c r="IJ1845" t="s">
        <v>1436</v>
      </c>
    </row>
    <row r="1846" spans="1:244" x14ac:dyDescent="0.45">
      <c r="A1846">
        <v>2317097</v>
      </c>
      <c r="B1846">
        <v>2796460</v>
      </c>
      <c r="C1846">
        <v>10099748</v>
      </c>
      <c r="D1846" t="s">
        <v>3483</v>
      </c>
      <c r="E1846" t="s">
        <v>439</v>
      </c>
      <c r="F1846" t="s">
        <v>245</v>
      </c>
      <c r="G1846" t="s">
        <v>272</v>
      </c>
      <c r="N1846" t="s">
        <v>1492</v>
      </c>
      <c r="O1846" t="s">
        <v>1493</v>
      </c>
      <c r="P1846" t="s">
        <v>249</v>
      </c>
      <c r="Q1846" t="s">
        <v>250</v>
      </c>
      <c r="R1846" t="s">
        <v>251</v>
      </c>
      <c r="T1846" t="s">
        <v>252</v>
      </c>
      <c r="U1846" t="s">
        <v>253</v>
      </c>
      <c r="V1846" t="s">
        <v>281</v>
      </c>
      <c r="W1846" t="s">
        <v>282</v>
      </c>
      <c r="X1846" t="s">
        <v>1494</v>
      </c>
      <c r="Z1846" t="s">
        <v>1046</v>
      </c>
      <c r="AB1846">
        <v>1</v>
      </c>
      <c r="AG1846" t="s">
        <v>598</v>
      </c>
      <c r="AJ1846" t="s">
        <v>354</v>
      </c>
      <c r="AM1846" t="s">
        <v>287</v>
      </c>
      <c r="AN1846" t="s">
        <v>259</v>
      </c>
      <c r="AO1846" t="s">
        <v>260</v>
      </c>
      <c r="AQ1846" t="s">
        <v>261</v>
      </c>
      <c r="AS1846">
        <v>575</v>
      </c>
      <c r="AX1846" t="s">
        <v>262</v>
      </c>
      <c r="BO1846" t="s">
        <v>261</v>
      </c>
      <c r="BQ1846">
        <v>0.57499999999999996</v>
      </c>
      <c r="BV1846" t="s">
        <v>263</v>
      </c>
      <c r="CM1846" t="s">
        <v>264</v>
      </c>
      <c r="CN1846" t="s">
        <v>264</v>
      </c>
      <c r="CP1846" t="s">
        <v>265</v>
      </c>
      <c r="CQ1846" t="s">
        <v>423</v>
      </c>
      <c r="DB1846">
        <v>4</v>
      </c>
      <c r="DG1846" t="s">
        <v>267</v>
      </c>
      <c r="DI1846">
        <v>96</v>
      </c>
      <c r="DN1846" t="s">
        <v>268</v>
      </c>
      <c r="DP1846" t="s">
        <v>3497</v>
      </c>
      <c r="DR1846">
        <v>29965</v>
      </c>
      <c r="DS1846">
        <v>339</v>
      </c>
      <c r="DT1846" t="s">
        <v>1771</v>
      </c>
      <c r="DV1846">
        <v>96</v>
      </c>
      <c r="EA1846" t="s">
        <v>268</v>
      </c>
      <c r="EC1846">
        <v>4</v>
      </c>
      <c r="EH1846" t="s">
        <v>267</v>
      </c>
      <c r="EJ1846">
        <v>96</v>
      </c>
      <c r="EO1846" t="s">
        <v>268</v>
      </c>
      <c r="EQ1846">
        <v>4</v>
      </c>
      <c r="EV1846" t="s">
        <v>267</v>
      </c>
      <c r="EW1846" t="s">
        <v>293</v>
      </c>
      <c r="EZ1846">
        <v>20</v>
      </c>
      <c r="FM1846">
        <v>15</v>
      </c>
      <c r="FR1846" t="s">
        <v>295</v>
      </c>
      <c r="GJ1846">
        <v>6.5</v>
      </c>
      <c r="GL1846">
        <v>8</v>
      </c>
      <c r="GM1846" t="s">
        <v>356</v>
      </c>
      <c r="GO1846">
        <v>8.1</v>
      </c>
      <c r="GU1846">
        <v>33.79</v>
      </c>
      <c r="GZ1846" t="s">
        <v>296</v>
      </c>
      <c r="HH1846" t="s">
        <v>272</v>
      </c>
      <c r="ID1846" t="s">
        <v>1772</v>
      </c>
      <c r="IE1846" t="s">
        <v>1773</v>
      </c>
      <c r="IF1846">
        <v>15497</v>
      </c>
      <c r="IG1846" t="s">
        <v>1774</v>
      </c>
      <c r="IH1846" t="s">
        <v>1775</v>
      </c>
      <c r="II1846">
        <v>1981</v>
      </c>
      <c r="IJ1846" t="s">
        <v>1776</v>
      </c>
    </row>
    <row r="1847" spans="1:244" x14ac:dyDescent="0.45">
      <c r="A1847">
        <v>1226430</v>
      </c>
      <c r="B1847">
        <v>219606</v>
      </c>
      <c r="C1847">
        <v>10099748</v>
      </c>
      <c r="D1847" t="s">
        <v>3483</v>
      </c>
      <c r="E1847" t="s">
        <v>386</v>
      </c>
      <c r="F1847" t="s">
        <v>245</v>
      </c>
      <c r="G1847" t="s">
        <v>246</v>
      </c>
      <c r="N1847" t="s">
        <v>302</v>
      </c>
      <c r="O1847" t="s">
        <v>303</v>
      </c>
      <c r="P1847" t="s">
        <v>249</v>
      </c>
      <c r="Q1847" t="s">
        <v>250</v>
      </c>
      <c r="R1847" t="s">
        <v>251</v>
      </c>
      <c r="T1847" t="s">
        <v>252</v>
      </c>
      <c r="U1847" t="s">
        <v>253</v>
      </c>
      <c r="V1847" t="s">
        <v>304</v>
      </c>
      <c r="W1847" t="s">
        <v>305</v>
      </c>
      <c r="X1847" t="s">
        <v>306</v>
      </c>
      <c r="Z1847" t="s">
        <v>1057</v>
      </c>
      <c r="AL1847" t="s">
        <v>1324</v>
      </c>
      <c r="AM1847" t="s">
        <v>317</v>
      </c>
      <c r="AN1847" t="s">
        <v>259</v>
      </c>
      <c r="AO1847" t="s">
        <v>260</v>
      </c>
      <c r="AQ1847" t="s">
        <v>261</v>
      </c>
      <c r="AS1847">
        <v>5623.4</v>
      </c>
      <c r="AX1847" t="s">
        <v>356</v>
      </c>
      <c r="BO1847" t="s">
        <v>261</v>
      </c>
      <c r="BQ1847">
        <v>5623.4</v>
      </c>
      <c r="BV1847" t="s">
        <v>263</v>
      </c>
      <c r="CM1847" t="s">
        <v>264</v>
      </c>
      <c r="CN1847" t="s">
        <v>264</v>
      </c>
      <c r="CP1847" t="s">
        <v>265</v>
      </c>
      <c r="CQ1847" t="s">
        <v>423</v>
      </c>
      <c r="DB1847">
        <v>1</v>
      </c>
      <c r="DG1847" t="s">
        <v>267</v>
      </c>
      <c r="DI1847">
        <v>24</v>
      </c>
      <c r="DN1847" t="s">
        <v>268</v>
      </c>
      <c r="DR1847">
        <v>338212</v>
      </c>
      <c r="DS1847">
        <v>732</v>
      </c>
      <c r="DT1847" t="s">
        <v>1211</v>
      </c>
      <c r="EW1847" t="s">
        <v>293</v>
      </c>
      <c r="GU1847">
        <v>36</v>
      </c>
      <c r="GZ1847" t="s">
        <v>900</v>
      </c>
      <c r="HH1847" t="s">
        <v>272</v>
      </c>
      <c r="IE1847" t="s">
        <v>1212</v>
      </c>
      <c r="IF1847">
        <v>51641</v>
      </c>
      <c r="IG1847" t="s">
        <v>1213</v>
      </c>
      <c r="IH1847" t="s">
        <v>1214</v>
      </c>
      <c r="II1847">
        <v>2000</v>
      </c>
      <c r="IJ1847" t="s">
        <v>1215</v>
      </c>
    </row>
    <row r="1848" spans="1:244" x14ac:dyDescent="0.45">
      <c r="A1848">
        <v>1197350</v>
      </c>
      <c r="B1848">
        <v>150990</v>
      </c>
      <c r="C1848">
        <v>10099748</v>
      </c>
      <c r="D1848" t="s">
        <v>3483</v>
      </c>
      <c r="F1848" t="s">
        <v>245</v>
      </c>
      <c r="G1848" t="s">
        <v>246</v>
      </c>
      <c r="N1848" t="s">
        <v>345</v>
      </c>
      <c r="O1848" t="s">
        <v>346</v>
      </c>
      <c r="P1848" t="s">
        <v>249</v>
      </c>
      <c r="Q1848" t="s">
        <v>250</v>
      </c>
      <c r="R1848" t="s">
        <v>251</v>
      </c>
      <c r="T1848" t="s">
        <v>347</v>
      </c>
      <c r="U1848" t="s">
        <v>348</v>
      </c>
      <c r="V1848" t="s">
        <v>349</v>
      </c>
      <c r="W1848" t="s">
        <v>350</v>
      </c>
      <c r="X1848" t="s">
        <v>351</v>
      </c>
      <c r="Z1848" t="s">
        <v>525</v>
      </c>
      <c r="AM1848" t="s">
        <v>317</v>
      </c>
      <c r="AN1848" t="s">
        <v>259</v>
      </c>
      <c r="AO1848" t="s">
        <v>260</v>
      </c>
      <c r="AQ1848" t="s">
        <v>261</v>
      </c>
      <c r="AS1848">
        <v>1700</v>
      </c>
      <c r="AX1848" t="s">
        <v>262</v>
      </c>
      <c r="BO1848" t="s">
        <v>261</v>
      </c>
      <c r="BQ1848">
        <v>1.7</v>
      </c>
      <c r="BV1848" t="s">
        <v>263</v>
      </c>
      <c r="CM1848" t="s">
        <v>264</v>
      </c>
      <c r="CN1848" t="s">
        <v>264</v>
      </c>
      <c r="CO1848" t="s">
        <v>1266</v>
      </c>
      <c r="CP1848" t="s">
        <v>265</v>
      </c>
      <c r="CQ1848" t="s">
        <v>423</v>
      </c>
      <c r="DB1848">
        <v>1</v>
      </c>
      <c r="DG1848" t="s">
        <v>267</v>
      </c>
      <c r="DI1848">
        <v>24</v>
      </c>
      <c r="DN1848" t="s">
        <v>268</v>
      </c>
      <c r="DR1848">
        <v>6660</v>
      </c>
      <c r="DS1848">
        <v>421</v>
      </c>
      <c r="EW1848" t="s">
        <v>293</v>
      </c>
      <c r="FM1848">
        <v>28</v>
      </c>
      <c r="FR1848" t="s">
        <v>295</v>
      </c>
      <c r="GJ1848">
        <v>4.66</v>
      </c>
      <c r="GL1848">
        <v>5.0999999999999996</v>
      </c>
      <c r="GM1848" t="s">
        <v>356</v>
      </c>
      <c r="GQ1848">
        <v>7.5</v>
      </c>
      <c r="GS1848">
        <v>8.4</v>
      </c>
      <c r="GW1848">
        <v>32.94</v>
      </c>
      <c r="GY1848">
        <v>33.53</v>
      </c>
      <c r="GZ1848" t="s">
        <v>296</v>
      </c>
      <c r="HH1848" t="s">
        <v>272</v>
      </c>
      <c r="IE1848" t="s">
        <v>1267</v>
      </c>
      <c r="IF1848">
        <v>17792</v>
      </c>
      <c r="IG1848" t="s">
        <v>1268</v>
      </c>
      <c r="IH1848" t="s">
        <v>1269</v>
      </c>
      <c r="II1848">
        <v>1990</v>
      </c>
      <c r="IJ1848" t="s">
        <v>1270</v>
      </c>
    </row>
    <row r="1849" spans="1:244" x14ac:dyDescent="0.45">
      <c r="A1849">
        <v>1226433</v>
      </c>
      <c r="B1849">
        <v>219609</v>
      </c>
      <c r="C1849">
        <v>10099748</v>
      </c>
      <c r="D1849" t="s">
        <v>3483</v>
      </c>
      <c r="E1849" t="s">
        <v>386</v>
      </c>
      <c r="F1849" t="s">
        <v>245</v>
      </c>
      <c r="G1849" t="s">
        <v>246</v>
      </c>
      <c r="N1849" t="s">
        <v>302</v>
      </c>
      <c r="O1849" t="s">
        <v>303</v>
      </c>
      <c r="P1849" t="s">
        <v>249</v>
      </c>
      <c r="Q1849" t="s">
        <v>250</v>
      </c>
      <c r="R1849" t="s">
        <v>251</v>
      </c>
      <c r="T1849" t="s">
        <v>252</v>
      </c>
      <c r="U1849" t="s">
        <v>253</v>
      </c>
      <c r="V1849" t="s">
        <v>304</v>
      </c>
      <c r="W1849" t="s">
        <v>305</v>
      </c>
      <c r="X1849" t="s">
        <v>306</v>
      </c>
      <c r="Z1849" t="s">
        <v>1057</v>
      </c>
      <c r="AL1849" t="s">
        <v>1210</v>
      </c>
      <c r="AM1849" t="s">
        <v>317</v>
      </c>
      <c r="AN1849" t="s">
        <v>259</v>
      </c>
      <c r="AO1849" t="s">
        <v>260</v>
      </c>
      <c r="AQ1849" t="s">
        <v>261</v>
      </c>
      <c r="AS1849">
        <v>3630.7</v>
      </c>
      <c r="AX1849" t="s">
        <v>356</v>
      </c>
      <c r="BO1849" t="s">
        <v>261</v>
      </c>
      <c r="BQ1849">
        <v>3630.7</v>
      </c>
      <c r="BV1849" t="s">
        <v>263</v>
      </c>
      <c r="CM1849" t="s">
        <v>264</v>
      </c>
      <c r="CN1849" t="s">
        <v>264</v>
      </c>
      <c r="CP1849" t="s">
        <v>265</v>
      </c>
      <c r="CQ1849" t="s">
        <v>423</v>
      </c>
      <c r="DB1849">
        <v>1</v>
      </c>
      <c r="DG1849" t="s">
        <v>267</v>
      </c>
      <c r="DI1849">
        <v>24</v>
      </c>
      <c r="DN1849" t="s">
        <v>268</v>
      </c>
      <c r="DR1849">
        <v>338212</v>
      </c>
      <c r="DS1849">
        <v>732</v>
      </c>
      <c r="DT1849" t="s">
        <v>1211</v>
      </c>
      <c r="EW1849" t="s">
        <v>293</v>
      </c>
      <c r="GU1849">
        <v>36</v>
      </c>
      <c r="GZ1849" t="s">
        <v>900</v>
      </c>
      <c r="HH1849" t="s">
        <v>272</v>
      </c>
      <c r="IE1849" t="s">
        <v>1212</v>
      </c>
      <c r="IF1849">
        <v>51641</v>
      </c>
      <c r="IG1849" t="s">
        <v>1213</v>
      </c>
      <c r="IH1849" t="s">
        <v>1214</v>
      </c>
      <c r="II1849">
        <v>2000</v>
      </c>
      <c r="IJ1849" t="s">
        <v>1215</v>
      </c>
    </row>
    <row r="1850" spans="1:244" x14ac:dyDescent="0.45">
      <c r="A1850">
        <v>1271191</v>
      </c>
      <c r="B1850">
        <v>722489</v>
      </c>
      <c r="C1850">
        <v>10099748</v>
      </c>
      <c r="D1850" t="s">
        <v>3483</v>
      </c>
      <c r="F1850" t="s">
        <v>245</v>
      </c>
      <c r="G1850" t="s">
        <v>246</v>
      </c>
      <c r="N1850" t="s">
        <v>546</v>
      </c>
      <c r="O1850" t="s">
        <v>547</v>
      </c>
      <c r="P1850" t="s">
        <v>249</v>
      </c>
      <c r="Q1850" t="s">
        <v>250</v>
      </c>
      <c r="R1850" t="s">
        <v>251</v>
      </c>
      <c r="T1850" t="s">
        <v>252</v>
      </c>
      <c r="U1850" t="s">
        <v>253</v>
      </c>
      <c r="V1850" t="s">
        <v>548</v>
      </c>
      <c r="W1850" t="s">
        <v>549</v>
      </c>
      <c r="X1850" t="s">
        <v>550</v>
      </c>
      <c r="AM1850" t="s">
        <v>258</v>
      </c>
      <c r="AN1850" t="s">
        <v>259</v>
      </c>
      <c r="AO1850" t="s">
        <v>260</v>
      </c>
      <c r="AP1850">
        <v>5</v>
      </c>
      <c r="AQ1850" t="s">
        <v>261</v>
      </c>
      <c r="AR1850" t="s">
        <v>288</v>
      </c>
      <c r="AS1850">
        <v>100</v>
      </c>
      <c r="AX1850" t="s">
        <v>356</v>
      </c>
      <c r="BO1850" t="s">
        <v>261</v>
      </c>
      <c r="BP1850" t="s">
        <v>288</v>
      </c>
      <c r="BQ1850">
        <v>100</v>
      </c>
      <c r="BV1850" t="s">
        <v>263</v>
      </c>
      <c r="CM1850" t="s">
        <v>264</v>
      </c>
      <c r="CN1850" t="s">
        <v>264</v>
      </c>
      <c r="CP1850" t="s">
        <v>265</v>
      </c>
      <c r="CQ1850" t="s">
        <v>423</v>
      </c>
      <c r="DB1850">
        <v>4</v>
      </c>
      <c r="DG1850" t="s">
        <v>267</v>
      </c>
      <c r="DI1850">
        <v>96</v>
      </c>
      <c r="DN1850" t="s">
        <v>268</v>
      </c>
      <c r="DP1850" t="s">
        <v>3486</v>
      </c>
      <c r="DR1850">
        <v>491138</v>
      </c>
      <c r="DS1850">
        <v>11</v>
      </c>
      <c r="EW1850" t="s">
        <v>293</v>
      </c>
      <c r="FA1850" t="s">
        <v>1317</v>
      </c>
      <c r="FK1850" t="s">
        <v>3498</v>
      </c>
      <c r="HH1850" t="s">
        <v>272</v>
      </c>
      <c r="ID1850" t="s">
        <v>3499</v>
      </c>
      <c r="IE1850" t="s">
        <v>1320</v>
      </c>
      <c r="IF1850">
        <v>16651</v>
      </c>
      <c r="IG1850" t="s">
        <v>1321</v>
      </c>
      <c r="IH1850" t="s">
        <v>1322</v>
      </c>
      <c r="II1850">
        <v>1985</v>
      </c>
      <c r="IJ1850" t="s">
        <v>1323</v>
      </c>
    </row>
    <row r="1851" spans="1:244" x14ac:dyDescent="0.45">
      <c r="A1851">
        <v>1048995</v>
      </c>
      <c r="B1851">
        <v>25178</v>
      </c>
      <c r="C1851">
        <v>10099748</v>
      </c>
      <c r="D1851" t="s">
        <v>3483</v>
      </c>
      <c r="F1851" t="s">
        <v>245</v>
      </c>
      <c r="G1851" t="s">
        <v>246</v>
      </c>
      <c r="N1851" t="s">
        <v>690</v>
      </c>
      <c r="O1851" t="s">
        <v>691</v>
      </c>
      <c r="P1851" t="s">
        <v>249</v>
      </c>
      <c r="Q1851" t="s">
        <v>250</v>
      </c>
      <c r="R1851" t="s">
        <v>251</v>
      </c>
      <c r="T1851" t="s">
        <v>252</v>
      </c>
      <c r="U1851" t="s">
        <v>253</v>
      </c>
      <c r="V1851" t="s">
        <v>418</v>
      </c>
      <c r="W1851" t="s">
        <v>419</v>
      </c>
      <c r="X1851" t="s">
        <v>692</v>
      </c>
      <c r="Z1851" t="s">
        <v>284</v>
      </c>
      <c r="AM1851" t="s">
        <v>317</v>
      </c>
      <c r="AN1851" t="s">
        <v>259</v>
      </c>
      <c r="AO1851" t="s">
        <v>260</v>
      </c>
      <c r="AQ1851" t="s">
        <v>261</v>
      </c>
      <c r="AS1851">
        <v>1600</v>
      </c>
      <c r="AX1851" t="s">
        <v>262</v>
      </c>
      <c r="BO1851" t="s">
        <v>261</v>
      </c>
      <c r="BQ1851">
        <v>1.6</v>
      </c>
      <c r="BV1851" t="s">
        <v>263</v>
      </c>
      <c r="CM1851" t="s">
        <v>264</v>
      </c>
      <c r="CN1851" t="s">
        <v>264</v>
      </c>
      <c r="CP1851" t="s">
        <v>265</v>
      </c>
      <c r="CQ1851" t="s">
        <v>423</v>
      </c>
      <c r="DB1851">
        <v>4</v>
      </c>
      <c r="DG1851" t="s">
        <v>267</v>
      </c>
      <c r="DI1851">
        <v>96</v>
      </c>
      <c r="DN1851" t="s">
        <v>268</v>
      </c>
      <c r="DR1851">
        <v>139456</v>
      </c>
      <c r="DS1851">
        <v>3044</v>
      </c>
      <c r="EW1851" t="s">
        <v>271</v>
      </c>
      <c r="HH1851" t="s">
        <v>272</v>
      </c>
      <c r="IE1851" t="s">
        <v>1743</v>
      </c>
      <c r="IF1851">
        <v>3232</v>
      </c>
      <c r="IG1851" t="s">
        <v>1744</v>
      </c>
      <c r="IH1851" t="s">
        <v>1745</v>
      </c>
      <c r="II1851">
        <v>1988</v>
      </c>
      <c r="IJ1851" t="s">
        <v>1746</v>
      </c>
    </row>
    <row r="1852" spans="1:244" x14ac:dyDescent="0.45">
      <c r="A1852">
        <v>1277785</v>
      </c>
      <c r="B1852">
        <v>731017</v>
      </c>
      <c r="C1852">
        <v>10099748</v>
      </c>
      <c r="D1852" t="s">
        <v>3483</v>
      </c>
      <c r="E1852" t="s">
        <v>439</v>
      </c>
      <c r="F1852" t="s">
        <v>245</v>
      </c>
      <c r="G1852" t="s">
        <v>246</v>
      </c>
      <c r="N1852" t="s">
        <v>968</v>
      </c>
      <c r="O1852" t="s">
        <v>969</v>
      </c>
      <c r="P1852" t="s">
        <v>249</v>
      </c>
      <c r="Q1852" t="s">
        <v>250</v>
      </c>
      <c r="R1852" t="s">
        <v>251</v>
      </c>
      <c r="T1852" t="s">
        <v>252</v>
      </c>
      <c r="U1852" t="s">
        <v>253</v>
      </c>
      <c r="V1852" t="s">
        <v>418</v>
      </c>
      <c r="W1852" t="s">
        <v>419</v>
      </c>
      <c r="X1852" t="s">
        <v>970</v>
      </c>
      <c r="Z1852" t="s">
        <v>649</v>
      </c>
      <c r="AL1852" t="s">
        <v>1174</v>
      </c>
      <c r="AM1852" t="s">
        <v>258</v>
      </c>
      <c r="AN1852" t="s">
        <v>259</v>
      </c>
      <c r="AO1852" t="s">
        <v>260</v>
      </c>
      <c r="AQ1852" t="s">
        <v>261</v>
      </c>
      <c r="AS1852">
        <v>51</v>
      </c>
      <c r="AU1852">
        <v>32.200000000000003</v>
      </c>
      <c r="AW1852">
        <v>80.599999999999994</v>
      </c>
      <c r="AX1852" t="s">
        <v>356</v>
      </c>
      <c r="BO1852" t="s">
        <v>261</v>
      </c>
      <c r="BQ1852">
        <v>51</v>
      </c>
      <c r="BS1852">
        <v>32.200000000000003</v>
      </c>
      <c r="BU1852">
        <v>80.599999999999994</v>
      </c>
      <c r="BV1852" t="s">
        <v>263</v>
      </c>
      <c r="CM1852" t="s">
        <v>264</v>
      </c>
      <c r="CN1852" t="s">
        <v>264</v>
      </c>
      <c r="CP1852" t="s">
        <v>265</v>
      </c>
      <c r="CQ1852" t="s">
        <v>423</v>
      </c>
      <c r="DB1852">
        <v>4</v>
      </c>
      <c r="DG1852" t="s">
        <v>267</v>
      </c>
      <c r="DI1852">
        <v>96</v>
      </c>
      <c r="DN1852" t="s">
        <v>268</v>
      </c>
      <c r="DP1852" t="s">
        <v>3486</v>
      </c>
      <c r="DS1852">
        <v>1010</v>
      </c>
      <c r="DT1852" t="s">
        <v>1176</v>
      </c>
      <c r="EW1852" t="s">
        <v>293</v>
      </c>
      <c r="FK1852" t="s">
        <v>3500</v>
      </c>
      <c r="FM1852">
        <v>20</v>
      </c>
      <c r="FR1852" t="s">
        <v>295</v>
      </c>
      <c r="GG1852" t="s">
        <v>288</v>
      </c>
      <c r="GH1852">
        <v>90</v>
      </c>
      <c r="GM1852" t="s">
        <v>900</v>
      </c>
      <c r="GO1852">
        <v>8</v>
      </c>
      <c r="GU1852">
        <v>20</v>
      </c>
      <c r="GZ1852" t="s">
        <v>296</v>
      </c>
      <c r="HH1852" t="s">
        <v>272</v>
      </c>
      <c r="ID1852" t="s">
        <v>3501</v>
      </c>
      <c r="IE1852" t="s">
        <v>1179</v>
      </c>
      <c r="IF1852">
        <v>4973</v>
      </c>
      <c r="IG1852" t="s">
        <v>1180</v>
      </c>
      <c r="IH1852" t="s">
        <v>1181</v>
      </c>
      <c r="II1852">
        <v>1982</v>
      </c>
      <c r="IJ1852" t="s">
        <v>1182</v>
      </c>
    </row>
    <row r="1853" spans="1:244" x14ac:dyDescent="0.45">
      <c r="A1853">
        <v>1304641</v>
      </c>
      <c r="B1853">
        <v>761289</v>
      </c>
      <c r="C1853">
        <v>10099748</v>
      </c>
      <c r="D1853" t="s">
        <v>3483</v>
      </c>
      <c r="F1853" t="s">
        <v>245</v>
      </c>
      <c r="G1853" t="s">
        <v>246</v>
      </c>
      <c r="N1853" t="s">
        <v>1230</v>
      </c>
      <c r="O1853" t="s">
        <v>248</v>
      </c>
      <c r="P1853" t="s">
        <v>249</v>
      </c>
      <c r="Q1853" t="s">
        <v>250</v>
      </c>
      <c r="R1853" t="s">
        <v>251</v>
      </c>
      <c r="T1853" t="s">
        <v>252</v>
      </c>
      <c r="U1853" t="s">
        <v>253</v>
      </c>
      <c r="V1853" t="s">
        <v>1231</v>
      </c>
      <c r="W1853" t="s">
        <v>1232</v>
      </c>
      <c r="X1853" t="s">
        <v>1233</v>
      </c>
      <c r="Z1853" t="s">
        <v>1046</v>
      </c>
      <c r="AA1853" t="s">
        <v>289</v>
      </c>
      <c r="AB1853">
        <v>8</v>
      </c>
      <c r="AG1853" t="s">
        <v>353</v>
      </c>
      <c r="AM1853" t="s">
        <v>258</v>
      </c>
      <c r="AN1853" t="s">
        <v>259</v>
      </c>
      <c r="AO1853" t="s">
        <v>260</v>
      </c>
      <c r="AP1853">
        <v>7</v>
      </c>
      <c r="AQ1853" t="s">
        <v>261</v>
      </c>
      <c r="AS1853">
        <v>1093.4000000000001</v>
      </c>
      <c r="AU1853">
        <v>881</v>
      </c>
      <c r="AW1853">
        <v>1319</v>
      </c>
      <c r="AX1853" t="s">
        <v>262</v>
      </c>
      <c r="BO1853" t="s">
        <v>261</v>
      </c>
      <c r="BQ1853">
        <v>1.0933999999999999</v>
      </c>
      <c r="BS1853">
        <v>0.88100000000000001</v>
      </c>
      <c r="BU1853">
        <v>1.319</v>
      </c>
      <c r="BV1853" t="s">
        <v>263</v>
      </c>
      <c r="CM1853" t="s">
        <v>264</v>
      </c>
      <c r="CN1853" t="s">
        <v>264</v>
      </c>
      <c r="CP1853" t="s">
        <v>265</v>
      </c>
      <c r="CQ1853" t="s">
        <v>423</v>
      </c>
      <c r="DB1853">
        <v>4</v>
      </c>
      <c r="DG1853" t="s">
        <v>267</v>
      </c>
      <c r="DI1853">
        <v>96</v>
      </c>
      <c r="DN1853" t="s">
        <v>268</v>
      </c>
      <c r="DP1853" t="s">
        <v>3486</v>
      </c>
      <c r="DS1853">
        <v>4771</v>
      </c>
      <c r="DT1853" t="s">
        <v>1235</v>
      </c>
      <c r="EW1853" t="s">
        <v>293</v>
      </c>
      <c r="FA1853" t="s">
        <v>397</v>
      </c>
      <c r="FK1853" t="s">
        <v>3502</v>
      </c>
      <c r="FM1853">
        <v>22</v>
      </c>
      <c r="FR1853" t="s">
        <v>295</v>
      </c>
      <c r="GO1853">
        <v>8</v>
      </c>
      <c r="GU1853">
        <v>35</v>
      </c>
      <c r="GZ1853" t="s">
        <v>362</v>
      </c>
      <c r="HH1853" t="s">
        <v>272</v>
      </c>
      <c r="ID1853" t="s">
        <v>3503</v>
      </c>
      <c r="IE1853" t="s">
        <v>1238</v>
      </c>
      <c r="IF1853">
        <v>97270</v>
      </c>
      <c r="IG1853" t="s">
        <v>1239</v>
      </c>
      <c r="IH1853" t="s">
        <v>1240</v>
      </c>
      <c r="II1853">
        <v>2006</v>
      </c>
      <c r="IJ1853" t="s">
        <v>1241</v>
      </c>
    </row>
    <row r="1854" spans="1:244" x14ac:dyDescent="0.45">
      <c r="A1854">
        <v>1304640</v>
      </c>
      <c r="B1854">
        <v>761288</v>
      </c>
      <c r="C1854">
        <v>10099748</v>
      </c>
      <c r="D1854" t="s">
        <v>3483</v>
      </c>
      <c r="F1854" t="s">
        <v>245</v>
      </c>
      <c r="G1854" t="s">
        <v>246</v>
      </c>
      <c r="N1854" t="s">
        <v>1230</v>
      </c>
      <c r="O1854" t="s">
        <v>248</v>
      </c>
      <c r="P1854" t="s">
        <v>249</v>
      </c>
      <c r="Q1854" t="s">
        <v>250</v>
      </c>
      <c r="R1854" t="s">
        <v>251</v>
      </c>
      <c r="T1854" t="s">
        <v>252</v>
      </c>
      <c r="U1854" t="s">
        <v>253</v>
      </c>
      <c r="V1854" t="s">
        <v>1231</v>
      </c>
      <c r="W1854" t="s">
        <v>1232</v>
      </c>
      <c r="X1854" t="s">
        <v>1233</v>
      </c>
      <c r="Z1854" t="s">
        <v>1046</v>
      </c>
      <c r="AA1854" t="s">
        <v>289</v>
      </c>
      <c r="AB1854">
        <v>8</v>
      </c>
      <c r="AG1854" t="s">
        <v>353</v>
      </c>
      <c r="AM1854" t="s">
        <v>258</v>
      </c>
      <c r="AN1854" t="s">
        <v>259</v>
      </c>
      <c r="AO1854" t="s">
        <v>260</v>
      </c>
      <c r="AP1854">
        <v>7</v>
      </c>
      <c r="AQ1854" t="s">
        <v>261</v>
      </c>
      <c r="AS1854">
        <v>2415.3000000000002</v>
      </c>
      <c r="AU1854">
        <v>1970</v>
      </c>
      <c r="AW1854">
        <v>2906</v>
      </c>
      <c r="AX1854" t="s">
        <v>262</v>
      </c>
      <c r="BO1854" t="s">
        <v>261</v>
      </c>
      <c r="BQ1854">
        <v>2.4152999999999998</v>
      </c>
      <c r="BS1854">
        <v>1.97</v>
      </c>
      <c r="BU1854">
        <v>2.9060000000000001</v>
      </c>
      <c r="BV1854" t="s">
        <v>263</v>
      </c>
      <c r="CM1854" t="s">
        <v>264</v>
      </c>
      <c r="CN1854" t="s">
        <v>264</v>
      </c>
      <c r="CP1854" t="s">
        <v>265</v>
      </c>
      <c r="CQ1854" t="s">
        <v>423</v>
      </c>
      <c r="DB1854">
        <v>3</v>
      </c>
      <c r="DG1854" t="s">
        <v>267</v>
      </c>
      <c r="DI1854">
        <v>72</v>
      </c>
      <c r="DN1854" t="s">
        <v>268</v>
      </c>
      <c r="DP1854" t="s">
        <v>3486</v>
      </c>
      <c r="DS1854">
        <v>4771</v>
      </c>
      <c r="DT1854" t="s">
        <v>1235</v>
      </c>
      <c r="EW1854" t="s">
        <v>293</v>
      </c>
      <c r="FA1854" t="s">
        <v>397</v>
      </c>
      <c r="FK1854" t="s">
        <v>3502</v>
      </c>
      <c r="FM1854">
        <v>22</v>
      </c>
      <c r="FR1854" t="s">
        <v>295</v>
      </c>
      <c r="GO1854">
        <v>8</v>
      </c>
      <c r="GU1854">
        <v>35</v>
      </c>
      <c r="GZ1854" t="s">
        <v>362</v>
      </c>
      <c r="HH1854" t="s">
        <v>272</v>
      </c>
      <c r="ID1854" t="s">
        <v>3503</v>
      </c>
      <c r="IE1854" t="s">
        <v>1238</v>
      </c>
      <c r="IF1854">
        <v>97270</v>
      </c>
      <c r="IG1854" t="s">
        <v>1239</v>
      </c>
      <c r="IH1854" t="s">
        <v>1240</v>
      </c>
      <c r="II1854">
        <v>2006</v>
      </c>
      <c r="IJ1854" t="s">
        <v>1241</v>
      </c>
    </row>
    <row r="1855" spans="1:244" x14ac:dyDescent="0.45">
      <c r="A1855">
        <v>1245235</v>
      </c>
      <c r="B1855">
        <v>236630</v>
      </c>
      <c r="C1855">
        <v>10099748</v>
      </c>
      <c r="D1855" t="s">
        <v>3483</v>
      </c>
      <c r="F1855" t="s">
        <v>245</v>
      </c>
      <c r="G1855" t="s">
        <v>246</v>
      </c>
      <c r="N1855" t="s">
        <v>302</v>
      </c>
      <c r="O1855" t="s">
        <v>303</v>
      </c>
      <c r="P1855" t="s">
        <v>249</v>
      </c>
      <c r="Q1855" t="s">
        <v>250</v>
      </c>
      <c r="R1855" t="s">
        <v>251</v>
      </c>
      <c r="T1855" t="s">
        <v>252</v>
      </c>
      <c r="U1855" t="s">
        <v>253</v>
      </c>
      <c r="V1855" t="s">
        <v>304</v>
      </c>
      <c r="W1855" t="s">
        <v>305</v>
      </c>
      <c r="X1855" t="s">
        <v>306</v>
      </c>
      <c r="AJ1855" t="s">
        <v>285</v>
      </c>
      <c r="AM1855" t="s">
        <v>317</v>
      </c>
      <c r="AN1855" t="s">
        <v>259</v>
      </c>
      <c r="AO1855" t="s">
        <v>260</v>
      </c>
      <c r="AP1855">
        <v>6</v>
      </c>
      <c r="AQ1855" t="s">
        <v>261</v>
      </c>
      <c r="AS1855">
        <v>5.88</v>
      </c>
      <c r="AU1855">
        <v>5.5</v>
      </c>
      <c r="AW1855">
        <v>7.9</v>
      </c>
      <c r="AX1855" t="s">
        <v>356</v>
      </c>
      <c r="BO1855" t="s">
        <v>261</v>
      </c>
      <c r="BQ1855">
        <v>5.88</v>
      </c>
      <c r="BS1855">
        <v>5.5</v>
      </c>
      <c r="BU1855">
        <v>7.9</v>
      </c>
      <c r="BV1855" t="s">
        <v>263</v>
      </c>
      <c r="CM1855" t="s">
        <v>264</v>
      </c>
      <c r="CN1855" t="s">
        <v>264</v>
      </c>
      <c r="CP1855" t="s">
        <v>265</v>
      </c>
      <c r="CQ1855" t="s">
        <v>423</v>
      </c>
      <c r="DB1855">
        <v>4</v>
      </c>
      <c r="DG1855" t="s">
        <v>267</v>
      </c>
      <c r="DI1855">
        <v>96</v>
      </c>
      <c r="DN1855" t="s">
        <v>268</v>
      </c>
      <c r="DR1855">
        <v>338212</v>
      </c>
      <c r="DS1855">
        <v>732</v>
      </c>
      <c r="EW1855" t="s">
        <v>293</v>
      </c>
      <c r="FK1855" t="s">
        <v>3504</v>
      </c>
      <c r="FM1855">
        <v>15</v>
      </c>
      <c r="FR1855" t="s">
        <v>295</v>
      </c>
      <c r="GH1855">
        <v>85</v>
      </c>
      <c r="GM1855" t="s">
        <v>900</v>
      </c>
      <c r="GO1855">
        <v>8.1</v>
      </c>
      <c r="GU1855">
        <v>17</v>
      </c>
      <c r="GZ1855" t="s">
        <v>900</v>
      </c>
      <c r="HH1855" t="s">
        <v>272</v>
      </c>
      <c r="ID1855" t="s">
        <v>3505</v>
      </c>
      <c r="IE1855" t="s">
        <v>1907</v>
      </c>
      <c r="IF1855">
        <v>82993</v>
      </c>
      <c r="IG1855" t="s">
        <v>1908</v>
      </c>
      <c r="IH1855" t="s">
        <v>1909</v>
      </c>
      <c r="II1855">
        <v>1999</v>
      </c>
      <c r="IJ1855" t="s">
        <v>1910</v>
      </c>
    </row>
    <row r="1856" spans="1:244" x14ac:dyDescent="0.45">
      <c r="A1856">
        <v>1210380</v>
      </c>
      <c r="B1856">
        <v>194516</v>
      </c>
      <c r="C1856">
        <v>10099748</v>
      </c>
      <c r="D1856" t="s">
        <v>3483</v>
      </c>
      <c r="F1856" t="s">
        <v>272</v>
      </c>
      <c r="G1856" t="s">
        <v>246</v>
      </c>
      <c r="N1856" t="s">
        <v>789</v>
      </c>
      <c r="O1856" t="s">
        <v>790</v>
      </c>
      <c r="P1856" t="s">
        <v>249</v>
      </c>
      <c r="Q1856" t="s">
        <v>250</v>
      </c>
      <c r="R1856" t="s">
        <v>251</v>
      </c>
      <c r="T1856" t="s">
        <v>252</v>
      </c>
      <c r="U1856" t="s">
        <v>253</v>
      </c>
      <c r="V1856" t="s">
        <v>418</v>
      </c>
      <c r="W1856" t="s">
        <v>791</v>
      </c>
      <c r="X1856" t="s">
        <v>792</v>
      </c>
      <c r="Z1856" t="s">
        <v>284</v>
      </c>
      <c r="AM1856" t="s">
        <v>287</v>
      </c>
      <c r="AN1856" t="s">
        <v>259</v>
      </c>
      <c r="AO1856" t="s">
        <v>260</v>
      </c>
      <c r="AQ1856" t="s">
        <v>261</v>
      </c>
      <c r="AS1856">
        <v>15.8</v>
      </c>
      <c r="AU1856">
        <v>7.59</v>
      </c>
      <c r="AW1856">
        <v>31.6</v>
      </c>
      <c r="AX1856" t="s">
        <v>762</v>
      </c>
      <c r="BO1856" t="s">
        <v>261</v>
      </c>
      <c r="BQ1856">
        <v>15.8</v>
      </c>
      <c r="BS1856">
        <v>7.59</v>
      </c>
      <c r="BU1856">
        <v>31.6</v>
      </c>
      <c r="BV1856" t="s">
        <v>263</v>
      </c>
      <c r="CM1856" t="s">
        <v>264</v>
      </c>
      <c r="CN1856" t="s">
        <v>264</v>
      </c>
      <c r="CP1856" t="s">
        <v>265</v>
      </c>
      <c r="DB1856">
        <v>1</v>
      </c>
      <c r="DG1856" t="s">
        <v>267</v>
      </c>
      <c r="DI1856">
        <v>24</v>
      </c>
      <c r="DN1856" t="s">
        <v>268</v>
      </c>
      <c r="DR1856">
        <v>161924</v>
      </c>
      <c r="DS1856">
        <v>3045</v>
      </c>
      <c r="EW1856" t="s">
        <v>272</v>
      </c>
      <c r="FM1856">
        <v>24</v>
      </c>
      <c r="FR1856" t="s">
        <v>295</v>
      </c>
      <c r="GO1856">
        <v>8.1</v>
      </c>
      <c r="HH1856" t="s">
        <v>272</v>
      </c>
      <c r="IE1856" t="s">
        <v>763</v>
      </c>
      <c r="IF1856">
        <v>19318</v>
      </c>
      <c r="IG1856" t="s">
        <v>764</v>
      </c>
      <c r="IH1856" t="s">
        <v>765</v>
      </c>
      <c r="II1856">
        <v>1994</v>
      </c>
      <c r="IJ1856" t="s">
        <v>766</v>
      </c>
    </row>
    <row r="1857" spans="1:244" x14ac:dyDescent="0.45">
      <c r="A1857">
        <v>1226431</v>
      </c>
      <c r="B1857">
        <v>219607</v>
      </c>
      <c r="C1857">
        <v>10099748</v>
      </c>
      <c r="D1857" t="s">
        <v>3483</v>
      </c>
      <c r="E1857" t="s">
        <v>386</v>
      </c>
      <c r="F1857" t="s">
        <v>245</v>
      </c>
      <c r="G1857" t="s">
        <v>246</v>
      </c>
      <c r="N1857" t="s">
        <v>302</v>
      </c>
      <c r="O1857" t="s">
        <v>303</v>
      </c>
      <c r="P1857" t="s">
        <v>249</v>
      </c>
      <c r="Q1857" t="s">
        <v>250</v>
      </c>
      <c r="R1857" t="s">
        <v>251</v>
      </c>
      <c r="T1857" t="s">
        <v>252</v>
      </c>
      <c r="U1857" t="s">
        <v>253</v>
      </c>
      <c r="V1857" t="s">
        <v>304</v>
      </c>
      <c r="W1857" t="s">
        <v>305</v>
      </c>
      <c r="X1857" t="s">
        <v>306</v>
      </c>
      <c r="Z1857" t="s">
        <v>1057</v>
      </c>
      <c r="AL1857" t="s">
        <v>1324</v>
      </c>
      <c r="AM1857" t="s">
        <v>317</v>
      </c>
      <c r="AN1857" t="s">
        <v>259</v>
      </c>
      <c r="AO1857" t="s">
        <v>260</v>
      </c>
      <c r="AQ1857" t="s">
        <v>261</v>
      </c>
      <c r="AS1857">
        <v>2398.8000000000002</v>
      </c>
      <c r="AX1857" t="s">
        <v>356</v>
      </c>
      <c r="BO1857" t="s">
        <v>261</v>
      </c>
      <c r="BQ1857">
        <v>2398.8000000000002</v>
      </c>
      <c r="BV1857" t="s">
        <v>263</v>
      </c>
      <c r="CM1857" t="s">
        <v>264</v>
      </c>
      <c r="CN1857" t="s">
        <v>264</v>
      </c>
      <c r="CP1857" t="s">
        <v>265</v>
      </c>
      <c r="CQ1857" t="s">
        <v>423</v>
      </c>
      <c r="DB1857">
        <v>2</v>
      </c>
      <c r="DG1857" t="s">
        <v>267</v>
      </c>
      <c r="DI1857">
        <v>48</v>
      </c>
      <c r="DN1857" t="s">
        <v>268</v>
      </c>
      <c r="DR1857">
        <v>338212</v>
      </c>
      <c r="DS1857">
        <v>732</v>
      </c>
      <c r="DT1857" t="s">
        <v>1211</v>
      </c>
      <c r="EW1857" t="s">
        <v>293</v>
      </c>
      <c r="GU1857">
        <v>36</v>
      </c>
      <c r="GZ1857" t="s">
        <v>900</v>
      </c>
      <c r="HH1857" t="s">
        <v>272</v>
      </c>
      <c r="IE1857" t="s">
        <v>1212</v>
      </c>
      <c r="IF1857">
        <v>51641</v>
      </c>
      <c r="IG1857" t="s">
        <v>1213</v>
      </c>
      <c r="IH1857" t="s">
        <v>1214</v>
      </c>
      <c r="II1857">
        <v>2000</v>
      </c>
      <c r="IJ1857" t="s">
        <v>1215</v>
      </c>
    </row>
    <row r="1858" spans="1:244" x14ac:dyDescent="0.45">
      <c r="A1858">
        <v>1026238</v>
      </c>
      <c r="B1858">
        <v>126008</v>
      </c>
      <c r="C1858">
        <v>10099748</v>
      </c>
      <c r="D1858" t="s">
        <v>3483</v>
      </c>
      <c r="F1858" t="s">
        <v>245</v>
      </c>
      <c r="G1858" t="s">
        <v>246</v>
      </c>
      <c r="N1858" t="s">
        <v>1845</v>
      </c>
      <c r="O1858" t="s">
        <v>1846</v>
      </c>
      <c r="P1858" t="s">
        <v>249</v>
      </c>
      <c r="Q1858" t="s">
        <v>250</v>
      </c>
      <c r="R1858" t="s">
        <v>251</v>
      </c>
      <c r="T1858" t="s">
        <v>252</v>
      </c>
      <c r="U1858" t="s">
        <v>253</v>
      </c>
      <c r="V1858" t="s">
        <v>1847</v>
      </c>
      <c r="W1858" t="s">
        <v>1848</v>
      </c>
      <c r="X1858" t="s">
        <v>1849</v>
      </c>
      <c r="Z1858" t="s">
        <v>315</v>
      </c>
      <c r="AM1858" t="s">
        <v>258</v>
      </c>
      <c r="AN1858" t="s">
        <v>259</v>
      </c>
      <c r="AO1858" t="s">
        <v>260</v>
      </c>
      <c r="AQ1858" t="s">
        <v>261</v>
      </c>
      <c r="AS1858">
        <v>375000</v>
      </c>
      <c r="AX1858" t="s">
        <v>262</v>
      </c>
      <c r="BO1858" t="s">
        <v>261</v>
      </c>
      <c r="BQ1858">
        <v>375</v>
      </c>
      <c r="BV1858" t="s">
        <v>263</v>
      </c>
      <c r="CM1858" t="s">
        <v>264</v>
      </c>
      <c r="CN1858" t="s">
        <v>264</v>
      </c>
      <c r="CP1858" t="s">
        <v>265</v>
      </c>
      <c r="CQ1858" t="s">
        <v>423</v>
      </c>
      <c r="DB1858">
        <v>2</v>
      </c>
      <c r="DG1858" t="s">
        <v>267</v>
      </c>
      <c r="DI1858">
        <v>48</v>
      </c>
      <c r="DN1858" t="s">
        <v>268</v>
      </c>
      <c r="DR1858">
        <v>397978</v>
      </c>
      <c r="DS1858">
        <v>37</v>
      </c>
      <c r="EW1858" t="s">
        <v>360</v>
      </c>
      <c r="FA1858" t="s">
        <v>551</v>
      </c>
      <c r="FM1858">
        <v>15</v>
      </c>
      <c r="FR1858" t="s">
        <v>295</v>
      </c>
      <c r="HH1858" t="s">
        <v>272</v>
      </c>
      <c r="IE1858" t="s">
        <v>552</v>
      </c>
      <c r="IF1858">
        <v>906</v>
      </c>
      <c r="IG1858" t="s">
        <v>553</v>
      </c>
      <c r="IH1858" t="s">
        <v>554</v>
      </c>
      <c r="II1858">
        <v>1971</v>
      </c>
      <c r="IJ1858" t="s">
        <v>555</v>
      </c>
    </row>
    <row r="1859" spans="1:244" x14ac:dyDescent="0.45">
      <c r="A1859">
        <v>1277780</v>
      </c>
      <c r="B1859">
        <v>731010</v>
      </c>
      <c r="C1859">
        <v>10099748</v>
      </c>
      <c r="D1859" t="s">
        <v>3483</v>
      </c>
      <c r="E1859" t="s">
        <v>439</v>
      </c>
      <c r="F1859" t="s">
        <v>245</v>
      </c>
      <c r="G1859" t="s">
        <v>246</v>
      </c>
      <c r="N1859" t="s">
        <v>968</v>
      </c>
      <c r="O1859" t="s">
        <v>969</v>
      </c>
      <c r="P1859" t="s">
        <v>249</v>
      </c>
      <c r="Q1859" t="s">
        <v>250</v>
      </c>
      <c r="R1859" t="s">
        <v>251</v>
      </c>
      <c r="T1859" t="s">
        <v>252</v>
      </c>
      <c r="U1859" t="s">
        <v>253</v>
      </c>
      <c r="V1859" t="s">
        <v>418</v>
      </c>
      <c r="W1859" t="s">
        <v>419</v>
      </c>
      <c r="X1859" t="s">
        <v>970</v>
      </c>
      <c r="Z1859" t="s">
        <v>649</v>
      </c>
      <c r="AL1859" t="s">
        <v>1174</v>
      </c>
      <c r="AM1859" t="s">
        <v>258</v>
      </c>
      <c r="AN1859" t="s">
        <v>259</v>
      </c>
      <c r="AO1859" t="s">
        <v>260</v>
      </c>
      <c r="AQ1859" t="s">
        <v>261</v>
      </c>
      <c r="AS1859">
        <v>80</v>
      </c>
      <c r="AU1859">
        <v>45.7</v>
      </c>
      <c r="AW1859">
        <v>140</v>
      </c>
      <c r="AX1859" t="s">
        <v>356</v>
      </c>
      <c r="BO1859" t="s">
        <v>261</v>
      </c>
      <c r="BQ1859">
        <v>80</v>
      </c>
      <c r="BS1859">
        <v>45.7</v>
      </c>
      <c r="BU1859">
        <v>140</v>
      </c>
      <c r="BV1859" t="s">
        <v>263</v>
      </c>
      <c r="CM1859" t="s">
        <v>264</v>
      </c>
      <c r="CN1859" t="s">
        <v>264</v>
      </c>
      <c r="CP1859" t="s">
        <v>265</v>
      </c>
      <c r="CQ1859" t="s">
        <v>423</v>
      </c>
      <c r="DB1859">
        <v>4</v>
      </c>
      <c r="DG1859" t="s">
        <v>267</v>
      </c>
      <c r="DI1859">
        <v>96</v>
      </c>
      <c r="DN1859" t="s">
        <v>268</v>
      </c>
      <c r="DP1859" t="s">
        <v>3486</v>
      </c>
      <c r="DS1859">
        <v>1010</v>
      </c>
      <c r="DT1859" t="s">
        <v>1176</v>
      </c>
      <c r="EW1859" t="s">
        <v>293</v>
      </c>
      <c r="FK1859" t="s">
        <v>3506</v>
      </c>
      <c r="FM1859">
        <v>30</v>
      </c>
      <c r="FR1859" t="s">
        <v>295</v>
      </c>
      <c r="GG1859" t="s">
        <v>288</v>
      </c>
      <c r="GH1859">
        <v>90</v>
      </c>
      <c r="GM1859" t="s">
        <v>900</v>
      </c>
      <c r="GO1859">
        <v>8</v>
      </c>
      <c r="GU1859">
        <v>36</v>
      </c>
      <c r="GZ1859" t="s">
        <v>296</v>
      </c>
      <c r="HH1859" t="s">
        <v>272</v>
      </c>
      <c r="ID1859" t="s">
        <v>3507</v>
      </c>
      <c r="IE1859" t="s">
        <v>1179</v>
      </c>
      <c r="IF1859">
        <v>4973</v>
      </c>
      <c r="IG1859" t="s">
        <v>1180</v>
      </c>
      <c r="IH1859" t="s">
        <v>1181</v>
      </c>
      <c r="II1859">
        <v>1982</v>
      </c>
      <c r="IJ1859" t="s">
        <v>1182</v>
      </c>
    </row>
    <row r="1860" spans="1:244" x14ac:dyDescent="0.45">
      <c r="A1860">
        <v>1304639</v>
      </c>
      <c r="B1860">
        <v>761287</v>
      </c>
      <c r="C1860">
        <v>10099748</v>
      </c>
      <c r="D1860" t="s">
        <v>3483</v>
      </c>
      <c r="F1860" t="s">
        <v>245</v>
      </c>
      <c r="G1860" t="s">
        <v>246</v>
      </c>
      <c r="N1860" t="s">
        <v>1230</v>
      </c>
      <c r="O1860" t="s">
        <v>248</v>
      </c>
      <c r="P1860" t="s">
        <v>249</v>
      </c>
      <c r="Q1860" t="s">
        <v>250</v>
      </c>
      <c r="R1860" t="s">
        <v>251</v>
      </c>
      <c r="T1860" t="s">
        <v>252</v>
      </c>
      <c r="U1860" t="s">
        <v>253</v>
      </c>
      <c r="V1860" t="s">
        <v>1231</v>
      </c>
      <c r="W1860" t="s">
        <v>1232</v>
      </c>
      <c r="X1860" t="s">
        <v>1233</v>
      </c>
      <c r="Z1860" t="s">
        <v>1046</v>
      </c>
      <c r="AA1860" t="s">
        <v>289</v>
      </c>
      <c r="AB1860">
        <v>8</v>
      </c>
      <c r="AG1860" t="s">
        <v>353</v>
      </c>
      <c r="AM1860" t="s">
        <v>258</v>
      </c>
      <c r="AN1860" t="s">
        <v>259</v>
      </c>
      <c r="AO1860" t="s">
        <v>260</v>
      </c>
      <c r="AP1860">
        <v>7</v>
      </c>
      <c r="AQ1860" t="s">
        <v>261</v>
      </c>
      <c r="AS1860">
        <v>3145.5</v>
      </c>
      <c r="AU1860">
        <v>2634</v>
      </c>
      <c r="AW1860">
        <v>3716</v>
      </c>
      <c r="AX1860" t="s">
        <v>262</v>
      </c>
      <c r="BO1860" t="s">
        <v>261</v>
      </c>
      <c r="BQ1860">
        <v>3.1455000000000002</v>
      </c>
      <c r="BS1860">
        <v>2.6339999999999999</v>
      </c>
      <c r="BU1860">
        <v>3.7160000000000002</v>
      </c>
      <c r="BV1860" t="s">
        <v>263</v>
      </c>
      <c r="CM1860" t="s">
        <v>264</v>
      </c>
      <c r="CN1860" t="s">
        <v>264</v>
      </c>
      <c r="CP1860" t="s">
        <v>265</v>
      </c>
      <c r="CQ1860" t="s">
        <v>423</v>
      </c>
      <c r="DB1860">
        <v>2</v>
      </c>
      <c r="DG1860" t="s">
        <v>267</v>
      </c>
      <c r="DI1860">
        <v>48</v>
      </c>
      <c r="DN1860" t="s">
        <v>268</v>
      </c>
      <c r="DP1860" t="s">
        <v>3486</v>
      </c>
      <c r="DS1860">
        <v>4771</v>
      </c>
      <c r="DT1860" t="s">
        <v>1235</v>
      </c>
      <c r="EW1860" t="s">
        <v>293</v>
      </c>
      <c r="FA1860" t="s">
        <v>397</v>
      </c>
      <c r="FK1860" t="s">
        <v>3502</v>
      </c>
      <c r="FM1860">
        <v>22</v>
      </c>
      <c r="FR1860" t="s">
        <v>295</v>
      </c>
      <c r="GO1860">
        <v>8</v>
      </c>
      <c r="GU1860">
        <v>35</v>
      </c>
      <c r="GZ1860" t="s">
        <v>362</v>
      </c>
      <c r="HH1860" t="s">
        <v>272</v>
      </c>
      <c r="ID1860" t="s">
        <v>3503</v>
      </c>
      <c r="IE1860" t="s">
        <v>1238</v>
      </c>
      <c r="IF1860">
        <v>97270</v>
      </c>
      <c r="IG1860" t="s">
        <v>1239</v>
      </c>
      <c r="IH1860" t="s">
        <v>1240</v>
      </c>
      <c r="II1860">
        <v>2006</v>
      </c>
      <c r="IJ1860" t="s">
        <v>1241</v>
      </c>
    </row>
    <row r="1861" spans="1:244" x14ac:dyDescent="0.45">
      <c r="A1861">
        <v>1197351</v>
      </c>
      <c r="B1861">
        <v>150991</v>
      </c>
      <c r="C1861">
        <v>10099748</v>
      </c>
      <c r="D1861" t="s">
        <v>3483</v>
      </c>
      <c r="F1861" t="s">
        <v>245</v>
      </c>
      <c r="G1861" t="s">
        <v>246</v>
      </c>
      <c r="N1861" t="s">
        <v>345</v>
      </c>
      <c r="O1861" t="s">
        <v>346</v>
      </c>
      <c r="P1861" t="s">
        <v>249</v>
      </c>
      <c r="Q1861" t="s">
        <v>250</v>
      </c>
      <c r="R1861" t="s">
        <v>251</v>
      </c>
      <c r="T1861" t="s">
        <v>347</v>
      </c>
      <c r="U1861" t="s">
        <v>348</v>
      </c>
      <c r="V1861" t="s">
        <v>349</v>
      </c>
      <c r="W1861" t="s">
        <v>350</v>
      </c>
      <c r="X1861" t="s">
        <v>351</v>
      </c>
      <c r="Z1861" t="s">
        <v>525</v>
      </c>
      <c r="AM1861" t="s">
        <v>317</v>
      </c>
      <c r="AN1861" t="s">
        <v>259</v>
      </c>
      <c r="AO1861" t="s">
        <v>260</v>
      </c>
      <c r="AQ1861" t="s">
        <v>261</v>
      </c>
      <c r="AS1861">
        <v>1400</v>
      </c>
      <c r="AX1861" t="s">
        <v>262</v>
      </c>
      <c r="BO1861" t="s">
        <v>261</v>
      </c>
      <c r="BQ1861">
        <v>1.4</v>
      </c>
      <c r="BV1861" t="s">
        <v>263</v>
      </c>
      <c r="CM1861" t="s">
        <v>264</v>
      </c>
      <c r="CN1861" t="s">
        <v>264</v>
      </c>
      <c r="CO1861" t="s">
        <v>1266</v>
      </c>
      <c r="CP1861" t="s">
        <v>265</v>
      </c>
      <c r="CQ1861" t="s">
        <v>423</v>
      </c>
      <c r="DB1861">
        <v>2</v>
      </c>
      <c r="DG1861" t="s">
        <v>267</v>
      </c>
      <c r="DI1861">
        <v>48</v>
      </c>
      <c r="DN1861" t="s">
        <v>268</v>
      </c>
      <c r="DR1861">
        <v>6660</v>
      </c>
      <c r="DS1861">
        <v>421</v>
      </c>
      <c r="EW1861" t="s">
        <v>293</v>
      </c>
      <c r="FM1861">
        <v>28</v>
      </c>
      <c r="FR1861" t="s">
        <v>295</v>
      </c>
      <c r="GJ1861">
        <v>4.66</v>
      </c>
      <c r="GL1861">
        <v>5.0999999999999996</v>
      </c>
      <c r="GM1861" t="s">
        <v>356</v>
      </c>
      <c r="GQ1861">
        <v>7.5</v>
      </c>
      <c r="GS1861">
        <v>8.4</v>
      </c>
      <c r="GW1861">
        <v>32.94</v>
      </c>
      <c r="GY1861">
        <v>33.53</v>
      </c>
      <c r="GZ1861" t="s">
        <v>296</v>
      </c>
      <c r="HH1861" t="s">
        <v>272</v>
      </c>
      <c r="IE1861" t="s">
        <v>1267</v>
      </c>
      <c r="IF1861">
        <v>17792</v>
      </c>
      <c r="IG1861" t="s">
        <v>1268</v>
      </c>
      <c r="IH1861" t="s">
        <v>1269</v>
      </c>
      <c r="II1861">
        <v>1990</v>
      </c>
      <c r="IJ1861" t="s">
        <v>1270</v>
      </c>
    </row>
    <row r="1862" spans="1:244" x14ac:dyDescent="0.45">
      <c r="A1862">
        <v>2145815</v>
      </c>
      <c r="B1862">
        <v>2275522</v>
      </c>
      <c r="C1862">
        <v>10099748</v>
      </c>
      <c r="D1862" t="s">
        <v>3483</v>
      </c>
      <c r="F1862" t="s">
        <v>245</v>
      </c>
      <c r="G1862" t="s">
        <v>368</v>
      </c>
      <c r="N1862" t="s">
        <v>958</v>
      </c>
      <c r="O1862" t="s">
        <v>959</v>
      </c>
      <c r="P1862" t="s">
        <v>249</v>
      </c>
      <c r="Q1862" t="s">
        <v>250</v>
      </c>
      <c r="R1862" t="s">
        <v>251</v>
      </c>
      <c r="T1862" t="s">
        <v>252</v>
      </c>
      <c r="U1862" t="s">
        <v>253</v>
      </c>
      <c r="V1862" t="s">
        <v>418</v>
      </c>
      <c r="W1862" t="s">
        <v>419</v>
      </c>
      <c r="X1862" t="s">
        <v>960</v>
      </c>
      <c r="Z1862" t="s">
        <v>421</v>
      </c>
      <c r="AI1862">
        <v>2</v>
      </c>
      <c r="AJ1862" t="s">
        <v>285</v>
      </c>
      <c r="AL1862" t="s">
        <v>1380</v>
      </c>
      <c r="AM1862" t="s">
        <v>258</v>
      </c>
      <c r="AN1862" t="s">
        <v>259</v>
      </c>
      <c r="AO1862" t="s">
        <v>260</v>
      </c>
      <c r="AP1862">
        <v>6</v>
      </c>
      <c r="AQ1862" t="s">
        <v>261</v>
      </c>
      <c r="AS1862">
        <v>0.39</v>
      </c>
      <c r="AU1862">
        <v>0.22</v>
      </c>
      <c r="AW1862">
        <v>0.72</v>
      </c>
      <c r="AX1862" t="s">
        <v>356</v>
      </c>
      <c r="BO1862" t="s">
        <v>261</v>
      </c>
      <c r="BQ1862">
        <v>0.39</v>
      </c>
      <c r="BS1862">
        <v>0.22</v>
      </c>
      <c r="BU1862">
        <v>0.72</v>
      </c>
      <c r="BV1862" t="s">
        <v>263</v>
      </c>
      <c r="CM1862" t="s">
        <v>264</v>
      </c>
      <c r="CN1862" t="s">
        <v>264</v>
      </c>
      <c r="CP1862" t="s">
        <v>265</v>
      </c>
      <c r="CQ1862" t="s">
        <v>423</v>
      </c>
      <c r="DB1862">
        <v>4</v>
      </c>
      <c r="DG1862" t="s">
        <v>267</v>
      </c>
      <c r="DI1862">
        <v>96</v>
      </c>
      <c r="DN1862" t="s">
        <v>268</v>
      </c>
      <c r="DP1862" t="s">
        <v>3508</v>
      </c>
      <c r="DR1862">
        <v>6687</v>
      </c>
      <c r="DS1862">
        <v>252</v>
      </c>
      <c r="DV1862">
        <v>96</v>
      </c>
      <c r="EA1862" t="s">
        <v>268</v>
      </c>
      <c r="EC1862">
        <v>4</v>
      </c>
      <c r="EH1862" t="s">
        <v>267</v>
      </c>
      <c r="EJ1862">
        <v>96</v>
      </c>
      <c r="EO1862" t="s">
        <v>268</v>
      </c>
      <c r="EQ1862">
        <v>4</v>
      </c>
      <c r="EV1862" t="s">
        <v>267</v>
      </c>
      <c r="EW1862" t="s">
        <v>293</v>
      </c>
      <c r="EY1862" t="s">
        <v>377</v>
      </c>
      <c r="FA1862" t="s">
        <v>1381</v>
      </c>
      <c r="FM1862">
        <v>28</v>
      </c>
      <c r="FR1862" t="s">
        <v>295</v>
      </c>
      <c r="FV1862">
        <v>1550</v>
      </c>
      <c r="FX1862">
        <v>1786</v>
      </c>
      <c r="FY1862" t="s">
        <v>356</v>
      </c>
      <c r="GH1862">
        <v>4.9000000000000004</v>
      </c>
      <c r="GM1862" t="s">
        <v>356</v>
      </c>
      <c r="GO1862">
        <v>7.78</v>
      </c>
      <c r="GU1862">
        <v>28</v>
      </c>
      <c r="GZ1862" t="s">
        <v>362</v>
      </c>
      <c r="HH1862" t="s">
        <v>272</v>
      </c>
      <c r="IE1862" t="s">
        <v>1382</v>
      </c>
      <c r="IF1862">
        <v>169572</v>
      </c>
      <c r="IG1862" t="s">
        <v>1383</v>
      </c>
      <c r="IH1862" t="s">
        <v>1384</v>
      </c>
      <c r="II1862">
        <v>2012</v>
      </c>
      <c r="IJ1862" t="s">
        <v>1385</v>
      </c>
    </row>
    <row r="1863" spans="1:244" x14ac:dyDescent="0.45">
      <c r="A1863">
        <v>1278106</v>
      </c>
      <c r="B1863">
        <v>731353</v>
      </c>
      <c r="C1863">
        <v>10099748</v>
      </c>
      <c r="D1863" t="s">
        <v>3483</v>
      </c>
      <c r="E1863" t="s">
        <v>439</v>
      </c>
      <c r="F1863" t="s">
        <v>245</v>
      </c>
      <c r="G1863" t="s">
        <v>246</v>
      </c>
      <c r="N1863" t="s">
        <v>968</v>
      </c>
      <c r="O1863" t="s">
        <v>969</v>
      </c>
      <c r="P1863" t="s">
        <v>249</v>
      </c>
      <c r="Q1863" t="s">
        <v>250</v>
      </c>
      <c r="R1863" t="s">
        <v>251</v>
      </c>
      <c r="T1863" t="s">
        <v>252</v>
      </c>
      <c r="U1863" t="s">
        <v>253</v>
      </c>
      <c r="V1863" t="s">
        <v>418</v>
      </c>
      <c r="W1863" t="s">
        <v>419</v>
      </c>
      <c r="X1863" t="s">
        <v>970</v>
      </c>
      <c r="Z1863" t="s">
        <v>649</v>
      </c>
      <c r="AL1863" t="s">
        <v>1174</v>
      </c>
      <c r="AM1863" t="s">
        <v>258</v>
      </c>
      <c r="AN1863" t="s">
        <v>259</v>
      </c>
      <c r="AO1863" t="s">
        <v>260</v>
      </c>
      <c r="AQ1863" t="s">
        <v>261</v>
      </c>
      <c r="AS1863">
        <v>30</v>
      </c>
      <c r="AU1863">
        <v>14.3</v>
      </c>
      <c r="AW1863">
        <v>63</v>
      </c>
      <c r="AX1863" t="s">
        <v>356</v>
      </c>
      <c r="BO1863" t="s">
        <v>261</v>
      </c>
      <c r="BQ1863">
        <v>30</v>
      </c>
      <c r="BS1863">
        <v>14.3</v>
      </c>
      <c r="BU1863">
        <v>63</v>
      </c>
      <c r="BV1863" t="s">
        <v>263</v>
      </c>
      <c r="CM1863" t="s">
        <v>264</v>
      </c>
      <c r="CN1863" t="s">
        <v>264</v>
      </c>
      <c r="CP1863" t="s">
        <v>265</v>
      </c>
      <c r="CQ1863" t="s">
        <v>423</v>
      </c>
      <c r="DB1863">
        <v>4</v>
      </c>
      <c r="DG1863" t="s">
        <v>267</v>
      </c>
      <c r="DI1863">
        <v>96</v>
      </c>
      <c r="DN1863" t="s">
        <v>268</v>
      </c>
      <c r="DP1863" t="s">
        <v>3486</v>
      </c>
      <c r="DS1863">
        <v>1010</v>
      </c>
      <c r="DT1863" t="s">
        <v>1176</v>
      </c>
      <c r="EW1863" t="s">
        <v>293</v>
      </c>
      <c r="FK1863" t="s">
        <v>3509</v>
      </c>
      <c r="FM1863">
        <v>35</v>
      </c>
      <c r="FR1863" t="s">
        <v>295</v>
      </c>
      <c r="GG1863" t="s">
        <v>288</v>
      </c>
      <c r="GH1863">
        <v>90</v>
      </c>
      <c r="GM1863" t="s">
        <v>900</v>
      </c>
      <c r="GO1863">
        <v>8</v>
      </c>
      <c r="GU1863">
        <v>20</v>
      </c>
      <c r="GZ1863" t="s">
        <v>296</v>
      </c>
      <c r="HH1863" t="s">
        <v>272</v>
      </c>
      <c r="ID1863" t="s">
        <v>3510</v>
      </c>
      <c r="IE1863" t="s">
        <v>1179</v>
      </c>
      <c r="IF1863">
        <v>4973</v>
      </c>
      <c r="IG1863" t="s">
        <v>1180</v>
      </c>
      <c r="IH1863" t="s">
        <v>1181</v>
      </c>
      <c r="II1863">
        <v>1982</v>
      </c>
      <c r="IJ1863" t="s">
        <v>1182</v>
      </c>
    </row>
    <row r="1864" spans="1:244" x14ac:dyDescent="0.45">
      <c r="A1864">
        <v>1278093</v>
      </c>
      <c r="B1864">
        <v>731339</v>
      </c>
      <c r="C1864">
        <v>10099748</v>
      </c>
      <c r="D1864" t="s">
        <v>3483</v>
      </c>
      <c r="E1864" t="s">
        <v>439</v>
      </c>
      <c r="F1864" t="s">
        <v>245</v>
      </c>
      <c r="G1864" t="s">
        <v>246</v>
      </c>
      <c r="N1864" t="s">
        <v>968</v>
      </c>
      <c r="O1864" t="s">
        <v>969</v>
      </c>
      <c r="P1864" t="s">
        <v>249</v>
      </c>
      <c r="Q1864" t="s">
        <v>250</v>
      </c>
      <c r="R1864" t="s">
        <v>251</v>
      </c>
      <c r="T1864" t="s">
        <v>252</v>
      </c>
      <c r="U1864" t="s">
        <v>253</v>
      </c>
      <c r="V1864" t="s">
        <v>418</v>
      </c>
      <c r="W1864" t="s">
        <v>419</v>
      </c>
      <c r="X1864" t="s">
        <v>970</v>
      </c>
      <c r="Z1864" t="s">
        <v>649</v>
      </c>
      <c r="AL1864" t="s">
        <v>1174</v>
      </c>
      <c r="AM1864" t="s">
        <v>258</v>
      </c>
      <c r="AN1864" t="s">
        <v>259</v>
      </c>
      <c r="AO1864" t="s">
        <v>260</v>
      </c>
      <c r="AQ1864" t="s">
        <v>261</v>
      </c>
      <c r="AS1864">
        <v>31</v>
      </c>
      <c r="AU1864">
        <v>12.4</v>
      </c>
      <c r="AW1864">
        <v>77.5</v>
      </c>
      <c r="AX1864" t="s">
        <v>356</v>
      </c>
      <c r="BO1864" t="s">
        <v>261</v>
      </c>
      <c r="BQ1864">
        <v>31</v>
      </c>
      <c r="BS1864">
        <v>12.4</v>
      </c>
      <c r="BU1864">
        <v>77.5</v>
      </c>
      <c r="BV1864" t="s">
        <v>263</v>
      </c>
      <c r="CM1864" t="s">
        <v>264</v>
      </c>
      <c r="CN1864" t="s">
        <v>264</v>
      </c>
      <c r="CP1864" t="s">
        <v>265</v>
      </c>
      <c r="CQ1864" t="s">
        <v>423</v>
      </c>
      <c r="DB1864">
        <v>4</v>
      </c>
      <c r="DG1864" t="s">
        <v>267</v>
      </c>
      <c r="DI1864">
        <v>96</v>
      </c>
      <c r="DN1864" t="s">
        <v>268</v>
      </c>
      <c r="DP1864" t="s">
        <v>3486</v>
      </c>
      <c r="DS1864">
        <v>1010</v>
      </c>
      <c r="DT1864" t="s">
        <v>1176</v>
      </c>
      <c r="EW1864" t="s">
        <v>293</v>
      </c>
      <c r="FK1864" t="s">
        <v>3511</v>
      </c>
      <c r="FM1864">
        <v>35</v>
      </c>
      <c r="FR1864" t="s">
        <v>295</v>
      </c>
      <c r="GG1864" t="s">
        <v>288</v>
      </c>
      <c r="GH1864">
        <v>90</v>
      </c>
      <c r="GM1864" t="s">
        <v>900</v>
      </c>
      <c r="GO1864">
        <v>8</v>
      </c>
      <c r="GU1864">
        <v>36</v>
      </c>
      <c r="GZ1864" t="s">
        <v>296</v>
      </c>
      <c r="HH1864" t="s">
        <v>272</v>
      </c>
      <c r="ID1864" t="s">
        <v>3512</v>
      </c>
      <c r="IE1864" t="s">
        <v>1179</v>
      </c>
      <c r="IF1864">
        <v>4973</v>
      </c>
      <c r="IG1864" t="s">
        <v>1180</v>
      </c>
      <c r="IH1864" t="s">
        <v>1181</v>
      </c>
      <c r="II1864">
        <v>1982</v>
      </c>
      <c r="IJ1864" t="s">
        <v>1182</v>
      </c>
    </row>
    <row r="1865" spans="1:244" x14ac:dyDescent="0.45">
      <c r="A1865">
        <v>1304638</v>
      </c>
      <c r="B1865">
        <v>761286</v>
      </c>
      <c r="C1865">
        <v>10099748</v>
      </c>
      <c r="D1865" t="s">
        <v>3483</v>
      </c>
      <c r="F1865" t="s">
        <v>245</v>
      </c>
      <c r="G1865" t="s">
        <v>246</v>
      </c>
      <c r="N1865" t="s">
        <v>1230</v>
      </c>
      <c r="O1865" t="s">
        <v>248</v>
      </c>
      <c r="P1865" t="s">
        <v>249</v>
      </c>
      <c r="Q1865" t="s">
        <v>250</v>
      </c>
      <c r="R1865" t="s">
        <v>251</v>
      </c>
      <c r="T1865" t="s">
        <v>252</v>
      </c>
      <c r="U1865" t="s">
        <v>253</v>
      </c>
      <c r="V1865" t="s">
        <v>1231</v>
      </c>
      <c r="W1865" t="s">
        <v>1232</v>
      </c>
      <c r="X1865" t="s">
        <v>1233</v>
      </c>
      <c r="Z1865" t="s">
        <v>1046</v>
      </c>
      <c r="AA1865" t="s">
        <v>289</v>
      </c>
      <c r="AB1865">
        <v>8</v>
      </c>
      <c r="AG1865" t="s">
        <v>353</v>
      </c>
      <c r="AM1865" t="s">
        <v>258</v>
      </c>
      <c r="AN1865" t="s">
        <v>259</v>
      </c>
      <c r="AO1865" t="s">
        <v>260</v>
      </c>
      <c r="AP1865">
        <v>7</v>
      </c>
      <c r="AQ1865" t="s">
        <v>261</v>
      </c>
      <c r="AS1865">
        <v>5653.6</v>
      </c>
      <c r="AU1865">
        <v>4560</v>
      </c>
      <c r="AW1865">
        <v>7270</v>
      </c>
      <c r="AX1865" t="s">
        <v>262</v>
      </c>
      <c r="BO1865" t="s">
        <v>261</v>
      </c>
      <c r="BQ1865">
        <v>5.6536</v>
      </c>
      <c r="BS1865">
        <v>4.5599999999999996</v>
      </c>
      <c r="BU1865">
        <v>7.27</v>
      </c>
      <c r="BV1865" t="s">
        <v>263</v>
      </c>
      <c r="CM1865" t="s">
        <v>264</v>
      </c>
      <c r="CN1865" t="s">
        <v>264</v>
      </c>
      <c r="CP1865" t="s">
        <v>265</v>
      </c>
      <c r="CQ1865" t="s">
        <v>423</v>
      </c>
      <c r="DB1865">
        <v>1</v>
      </c>
      <c r="DG1865" t="s">
        <v>267</v>
      </c>
      <c r="DI1865">
        <v>24</v>
      </c>
      <c r="DN1865" t="s">
        <v>268</v>
      </c>
      <c r="DP1865" t="s">
        <v>3486</v>
      </c>
      <c r="DS1865">
        <v>4771</v>
      </c>
      <c r="DT1865" t="s">
        <v>1235</v>
      </c>
      <c r="EW1865" t="s">
        <v>293</v>
      </c>
      <c r="FA1865" t="s">
        <v>397</v>
      </c>
      <c r="FK1865" t="s">
        <v>3502</v>
      </c>
      <c r="FM1865">
        <v>22</v>
      </c>
      <c r="FR1865" t="s">
        <v>295</v>
      </c>
      <c r="GO1865">
        <v>8</v>
      </c>
      <c r="GU1865">
        <v>35</v>
      </c>
      <c r="GZ1865" t="s">
        <v>362</v>
      </c>
      <c r="HH1865" t="s">
        <v>272</v>
      </c>
      <c r="ID1865" t="s">
        <v>3503</v>
      </c>
      <c r="IE1865" t="s">
        <v>1238</v>
      </c>
      <c r="IF1865">
        <v>97270</v>
      </c>
      <c r="IG1865" t="s">
        <v>1239</v>
      </c>
      <c r="IH1865" t="s">
        <v>1240</v>
      </c>
      <c r="II1865">
        <v>2006</v>
      </c>
      <c r="IJ1865" t="s">
        <v>1241</v>
      </c>
    </row>
    <row r="1866" spans="1:244" x14ac:dyDescent="0.45">
      <c r="A1866">
        <v>1226434</v>
      </c>
      <c r="B1866">
        <v>219610</v>
      </c>
      <c r="C1866">
        <v>10099748</v>
      </c>
      <c r="D1866" t="s">
        <v>3483</v>
      </c>
      <c r="E1866" t="s">
        <v>386</v>
      </c>
      <c r="F1866" t="s">
        <v>245</v>
      </c>
      <c r="G1866" t="s">
        <v>246</v>
      </c>
      <c r="N1866" t="s">
        <v>302</v>
      </c>
      <c r="O1866" t="s">
        <v>303</v>
      </c>
      <c r="P1866" t="s">
        <v>249</v>
      </c>
      <c r="Q1866" t="s">
        <v>250</v>
      </c>
      <c r="R1866" t="s">
        <v>251</v>
      </c>
      <c r="T1866" t="s">
        <v>252</v>
      </c>
      <c r="U1866" t="s">
        <v>253</v>
      </c>
      <c r="V1866" t="s">
        <v>304</v>
      </c>
      <c r="W1866" t="s">
        <v>305</v>
      </c>
      <c r="X1866" t="s">
        <v>306</v>
      </c>
      <c r="Z1866" t="s">
        <v>1057</v>
      </c>
      <c r="AL1866" t="s">
        <v>1210</v>
      </c>
      <c r="AM1866" t="s">
        <v>317</v>
      </c>
      <c r="AN1866" t="s">
        <v>259</v>
      </c>
      <c r="AO1866" t="s">
        <v>260</v>
      </c>
      <c r="AQ1866" t="s">
        <v>261</v>
      </c>
      <c r="AS1866">
        <v>338.8</v>
      </c>
      <c r="AX1866" t="s">
        <v>356</v>
      </c>
      <c r="BO1866" t="s">
        <v>261</v>
      </c>
      <c r="BQ1866">
        <v>338.8</v>
      </c>
      <c r="BV1866" t="s">
        <v>263</v>
      </c>
      <c r="CM1866" t="s">
        <v>264</v>
      </c>
      <c r="CN1866" t="s">
        <v>264</v>
      </c>
      <c r="CP1866" t="s">
        <v>265</v>
      </c>
      <c r="CQ1866" t="s">
        <v>423</v>
      </c>
      <c r="DB1866">
        <v>2</v>
      </c>
      <c r="DG1866" t="s">
        <v>267</v>
      </c>
      <c r="DI1866">
        <v>48</v>
      </c>
      <c r="DN1866" t="s">
        <v>268</v>
      </c>
      <c r="DR1866">
        <v>338212</v>
      </c>
      <c r="DS1866">
        <v>732</v>
      </c>
      <c r="DT1866" t="s">
        <v>1211</v>
      </c>
      <c r="EW1866" t="s">
        <v>293</v>
      </c>
      <c r="GU1866">
        <v>36</v>
      </c>
      <c r="GZ1866" t="s">
        <v>900</v>
      </c>
      <c r="HH1866" t="s">
        <v>272</v>
      </c>
      <c r="IE1866" t="s">
        <v>1212</v>
      </c>
      <c r="IF1866">
        <v>51641</v>
      </c>
      <c r="IG1866" t="s">
        <v>1213</v>
      </c>
      <c r="IH1866" t="s">
        <v>1214</v>
      </c>
      <c r="II1866">
        <v>2000</v>
      </c>
      <c r="IJ1866" t="s">
        <v>1215</v>
      </c>
    </row>
    <row r="1867" spans="1:244" x14ac:dyDescent="0.45">
      <c r="A1867">
        <v>1226435</v>
      </c>
      <c r="B1867">
        <v>219611</v>
      </c>
      <c r="C1867">
        <v>10099748</v>
      </c>
      <c r="D1867" t="s">
        <v>3483</v>
      </c>
      <c r="E1867" t="s">
        <v>386</v>
      </c>
      <c r="F1867" t="s">
        <v>245</v>
      </c>
      <c r="G1867" t="s">
        <v>246</v>
      </c>
      <c r="N1867" t="s">
        <v>302</v>
      </c>
      <c r="O1867" t="s">
        <v>303</v>
      </c>
      <c r="P1867" t="s">
        <v>249</v>
      </c>
      <c r="Q1867" t="s">
        <v>250</v>
      </c>
      <c r="R1867" t="s">
        <v>251</v>
      </c>
      <c r="T1867" t="s">
        <v>252</v>
      </c>
      <c r="U1867" t="s">
        <v>253</v>
      </c>
      <c r="V1867" t="s">
        <v>304</v>
      </c>
      <c r="W1867" t="s">
        <v>305</v>
      </c>
      <c r="X1867" t="s">
        <v>306</v>
      </c>
      <c r="Z1867" t="s">
        <v>1057</v>
      </c>
      <c r="AL1867" t="s">
        <v>1210</v>
      </c>
      <c r="AM1867" t="s">
        <v>317</v>
      </c>
      <c r="AN1867" t="s">
        <v>259</v>
      </c>
      <c r="AO1867" t="s">
        <v>260</v>
      </c>
      <c r="AQ1867" t="s">
        <v>261</v>
      </c>
      <c r="AS1867">
        <v>66.099999999999994</v>
      </c>
      <c r="AX1867" t="s">
        <v>356</v>
      </c>
      <c r="BO1867" t="s">
        <v>261</v>
      </c>
      <c r="BQ1867">
        <v>66.099999999999994</v>
      </c>
      <c r="BV1867" t="s">
        <v>263</v>
      </c>
      <c r="CM1867" t="s">
        <v>264</v>
      </c>
      <c r="CN1867" t="s">
        <v>264</v>
      </c>
      <c r="CP1867" t="s">
        <v>265</v>
      </c>
      <c r="CQ1867" t="s">
        <v>423</v>
      </c>
      <c r="DB1867">
        <v>4</v>
      </c>
      <c r="DG1867" t="s">
        <v>267</v>
      </c>
      <c r="DI1867">
        <v>96</v>
      </c>
      <c r="DN1867" t="s">
        <v>268</v>
      </c>
      <c r="DR1867">
        <v>338212</v>
      </c>
      <c r="DS1867">
        <v>732</v>
      </c>
      <c r="DT1867" t="s">
        <v>1211</v>
      </c>
      <c r="EW1867" t="s">
        <v>293</v>
      </c>
      <c r="GU1867">
        <v>36</v>
      </c>
      <c r="GZ1867" t="s">
        <v>900</v>
      </c>
      <c r="HH1867" t="s">
        <v>272</v>
      </c>
      <c r="IE1867" t="s">
        <v>1212</v>
      </c>
      <c r="IF1867">
        <v>51641</v>
      </c>
      <c r="IG1867" t="s">
        <v>1213</v>
      </c>
      <c r="IH1867" t="s">
        <v>1214</v>
      </c>
      <c r="II1867">
        <v>2000</v>
      </c>
      <c r="IJ1867" t="s">
        <v>1215</v>
      </c>
    </row>
    <row r="1868" spans="1:244" x14ac:dyDescent="0.45">
      <c r="A1868">
        <v>2306133</v>
      </c>
      <c r="B1868">
        <v>2737280</v>
      </c>
      <c r="C1868">
        <v>10099748</v>
      </c>
      <c r="D1868" t="s">
        <v>3483</v>
      </c>
      <c r="E1868" t="s">
        <v>811</v>
      </c>
      <c r="F1868" t="s">
        <v>327</v>
      </c>
      <c r="G1868" t="s">
        <v>1550</v>
      </c>
      <c r="N1868" t="s">
        <v>369</v>
      </c>
      <c r="O1868" t="s">
        <v>370</v>
      </c>
      <c r="P1868" t="s">
        <v>249</v>
      </c>
      <c r="Q1868" t="s">
        <v>250</v>
      </c>
      <c r="R1868" t="s">
        <v>251</v>
      </c>
      <c r="T1868" t="s">
        <v>252</v>
      </c>
      <c r="U1868" t="s">
        <v>371</v>
      </c>
      <c r="V1868" t="s">
        <v>372</v>
      </c>
      <c r="W1868" t="s">
        <v>373</v>
      </c>
      <c r="X1868" t="s">
        <v>374</v>
      </c>
      <c r="Z1868" t="s">
        <v>421</v>
      </c>
      <c r="AB1868">
        <v>24</v>
      </c>
      <c r="AG1868" t="s">
        <v>268</v>
      </c>
      <c r="AI1868">
        <v>6</v>
      </c>
      <c r="AJ1868" t="s">
        <v>354</v>
      </c>
      <c r="AM1868" t="s">
        <v>307</v>
      </c>
      <c r="AN1868" t="s">
        <v>259</v>
      </c>
      <c r="AO1868" t="s">
        <v>260</v>
      </c>
      <c r="AP1868">
        <v>5</v>
      </c>
      <c r="AQ1868" t="s">
        <v>261</v>
      </c>
      <c r="AS1868">
        <v>3130</v>
      </c>
      <c r="AX1868" t="s">
        <v>262</v>
      </c>
      <c r="BO1868" t="s">
        <v>261</v>
      </c>
      <c r="BQ1868">
        <v>3.13</v>
      </c>
      <c r="BV1868" t="s">
        <v>263</v>
      </c>
      <c r="CM1868" t="s">
        <v>264</v>
      </c>
      <c r="CN1868" t="s">
        <v>264</v>
      </c>
      <c r="CP1868" t="s">
        <v>265</v>
      </c>
      <c r="CQ1868" t="s">
        <v>423</v>
      </c>
      <c r="DB1868">
        <v>4</v>
      </c>
      <c r="DG1868" t="s">
        <v>267</v>
      </c>
      <c r="DI1868">
        <v>96</v>
      </c>
      <c r="DN1868" t="s">
        <v>268</v>
      </c>
      <c r="DP1868" t="s">
        <v>3513</v>
      </c>
      <c r="DR1868">
        <v>110441</v>
      </c>
      <c r="DS1868">
        <v>142</v>
      </c>
      <c r="DT1868" t="s">
        <v>1551</v>
      </c>
      <c r="DV1868">
        <v>96</v>
      </c>
      <c r="EA1868" t="s">
        <v>268</v>
      </c>
      <c r="EC1868">
        <v>4</v>
      </c>
      <c r="EH1868" t="s">
        <v>267</v>
      </c>
      <c r="EJ1868">
        <v>96</v>
      </c>
      <c r="EO1868" t="s">
        <v>268</v>
      </c>
      <c r="EQ1868">
        <v>4</v>
      </c>
      <c r="EV1868" t="s">
        <v>267</v>
      </c>
      <c r="EW1868" t="s">
        <v>293</v>
      </c>
      <c r="EY1868" t="s">
        <v>377</v>
      </c>
      <c r="EZ1868">
        <v>5</v>
      </c>
      <c r="FA1868" t="s">
        <v>1552</v>
      </c>
      <c r="FK1868" t="s">
        <v>3514</v>
      </c>
      <c r="FO1868">
        <v>20</v>
      </c>
      <c r="FQ1868">
        <v>25</v>
      </c>
      <c r="FR1868" t="s">
        <v>295</v>
      </c>
      <c r="GQ1868">
        <v>7.8</v>
      </c>
      <c r="GS1868">
        <v>8.1999999999999993</v>
      </c>
      <c r="GU1868">
        <v>30</v>
      </c>
      <c r="GZ1868" t="s">
        <v>296</v>
      </c>
      <c r="HH1868" t="s">
        <v>272</v>
      </c>
      <c r="ID1868" t="s">
        <v>3515</v>
      </c>
      <c r="IE1868" t="s">
        <v>1554</v>
      </c>
      <c r="IF1868">
        <v>11331</v>
      </c>
      <c r="IG1868" t="s">
        <v>1555</v>
      </c>
      <c r="IH1868" t="s">
        <v>1556</v>
      </c>
      <c r="II1868">
        <v>1985</v>
      </c>
      <c r="IJ1868" t="s">
        <v>1557</v>
      </c>
    </row>
    <row r="1869" spans="1:244" x14ac:dyDescent="0.45">
      <c r="A1869">
        <v>2316761</v>
      </c>
      <c r="B1869">
        <v>2794423</v>
      </c>
      <c r="C1869">
        <v>10099748</v>
      </c>
      <c r="D1869" t="s">
        <v>3483</v>
      </c>
      <c r="F1869" t="s">
        <v>245</v>
      </c>
      <c r="G1869" t="s">
        <v>272</v>
      </c>
      <c r="N1869" t="s">
        <v>590</v>
      </c>
      <c r="O1869" t="s">
        <v>578</v>
      </c>
      <c r="P1869" t="s">
        <v>249</v>
      </c>
      <c r="Q1869" t="s">
        <v>250</v>
      </c>
      <c r="R1869" t="s">
        <v>251</v>
      </c>
      <c r="T1869" t="s">
        <v>252</v>
      </c>
      <c r="U1869" t="s">
        <v>499</v>
      </c>
      <c r="V1869" t="s">
        <v>591</v>
      </c>
      <c r="W1869" t="s">
        <v>592</v>
      </c>
      <c r="X1869" t="s">
        <v>593</v>
      </c>
      <c r="Z1869" t="s">
        <v>649</v>
      </c>
      <c r="AI1869">
        <v>2</v>
      </c>
      <c r="AJ1869" t="s">
        <v>285</v>
      </c>
      <c r="AM1869" t="s">
        <v>258</v>
      </c>
      <c r="AN1869" t="s">
        <v>259</v>
      </c>
      <c r="AO1869" t="s">
        <v>260</v>
      </c>
      <c r="AP1869">
        <v>6</v>
      </c>
      <c r="AQ1869" t="s">
        <v>261</v>
      </c>
      <c r="AS1869">
        <v>547</v>
      </c>
      <c r="AU1869">
        <v>441</v>
      </c>
      <c r="AW1869">
        <v>673</v>
      </c>
      <c r="AX1869" t="s">
        <v>262</v>
      </c>
      <c r="BO1869" t="s">
        <v>261</v>
      </c>
      <c r="BQ1869">
        <v>0.54700000000000004</v>
      </c>
      <c r="BS1869">
        <v>0.441</v>
      </c>
      <c r="BU1869">
        <v>0.67300000000000004</v>
      </c>
      <c r="BV1869" t="s">
        <v>263</v>
      </c>
      <c r="CM1869" t="s">
        <v>264</v>
      </c>
      <c r="CN1869" t="s">
        <v>264</v>
      </c>
      <c r="CO1869" t="s">
        <v>3516</v>
      </c>
      <c r="CP1869" t="s">
        <v>265</v>
      </c>
      <c r="CQ1869" t="s">
        <v>423</v>
      </c>
      <c r="DB1869">
        <v>4</v>
      </c>
      <c r="DG1869" t="s">
        <v>267</v>
      </c>
      <c r="DI1869">
        <v>96</v>
      </c>
      <c r="DN1869" t="s">
        <v>268</v>
      </c>
      <c r="DP1869" t="s">
        <v>3508</v>
      </c>
      <c r="DR1869">
        <v>1239313</v>
      </c>
      <c r="DS1869">
        <v>4665</v>
      </c>
      <c r="DV1869">
        <v>96</v>
      </c>
      <c r="EA1869" t="s">
        <v>268</v>
      </c>
      <c r="EC1869">
        <v>4</v>
      </c>
      <c r="EH1869" t="s">
        <v>267</v>
      </c>
      <c r="EJ1869">
        <v>96</v>
      </c>
      <c r="EO1869" t="s">
        <v>268</v>
      </c>
      <c r="EQ1869">
        <v>4</v>
      </c>
      <c r="EV1869" t="s">
        <v>267</v>
      </c>
      <c r="EW1869" t="s">
        <v>293</v>
      </c>
      <c r="EZ1869">
        <v>40</v>
      </c>
      <c r="FM1869">
        <v>22</v>
      </c>
      <c r="FR1869" t="s">
        <v>295</v>
      </c>
      <c r="GU1869">
        <v>29</v>
      </c>
      <c r="GZ1869" t="s">
        <v>296</v>
      </c>
      <c r="HH1869" t="s">
        <v>272</v>
      </c>
      <c r="ID1869" t="s">
        <v>3517</v>
      </c>
      <c r="IE1869" t="s">
        <v>3518</v>
      </c>
      <c r="IF1869">
        <v>3741</v>
      </c>
      <c r="IG1869" t="s">
        <v>3519</v>
      </c>
      <c r="IH1869" t="s">
        <v>3520</v>
      </c>
      <c r="II1869">
        <v>1982</v>
      </c>
      <c r="IJ1869" t="s">
        <v>3521</v>
      </c>
    </row>
    <row r="1870" spans="1:244" x14ac:dyDescent="0.45">
      <c r="A1870">
        <v>2316761</v>
      </c>
      <c r="B1870">
        <v>2794558</v>
      </c>
      <c r="C1870">
        <v>10099748</v>
      </c>
      <c r="D1870" t="s">
        <v>3483</v>
      </c>
      <c r="F1870" t="s">
        <v>245</v>
      </c>
      <c r="G1870" t="s">
        <v>272</v>
      </c>
      <c r="N1870" t="s">
        <v>590</v>
      </c>
      <c r="O1870" t="s">
        <v>578</v>
      </c>
      <c r="P1870" t="s">
        <v>249</v>
      </c>
      <c r="Q1870" t="s">
        <v>250</v>
      </c>
      <c r="R1870" t="s">
        <v>251</v>
      </c>
      <c r="T1870" t="s">
        <v>252</v>
      </c>
      <c r="U1870" t="s">
        <v>499</v>
      </c>
      <c r="V1870" t="s">
        <v>591</v>
      </c>
      <c r="W1870" t="s">
        <v>592</v>
      </c>
      <c r="X1870" t="s">
        <v>593</v>
      </c>
      <c r="Z1870" t="s">
        <v>649</v>
      </c>
      <c r="AI1870">
        <v>2</v>
      </c>
      <c r="AJ1870" t="s">
        <v>285</v>
      </c>
      <c r="AM1870" t="s">
        <v>258</v>
      </c>
      <c r="AN1870" t="s">
        <v>259</v>
      </c>
      <c r="AO1870" t="s">
        <v>260</v>
      </c>
      <c r="AP1870">
        <v>6</v>
      </c>
      <c r="AQ1870" t="s">
        <v>261</v>
      </c>
      <c r="AS1870">
        <v>620</v>
      </c>
      <c r="AU1870">
        <v>520</v>
      </c>
      <c r="AW1870">
        <v>750</v>
      </c>
      <c r="AX1870" t="s">
        <v>262</v>
      </c>
      <c r="BO1870" t="s">
        <v>261</v>
      </c>
      <c r="BQ1870">
        <v>0.62</v>
      </c>
      <c r="BS1870">
        <v>0.52</v>
      </c>
      <c r="BU1870">
        <v>0.75</v>
      </c>
      <c r="BV1870" t="s">
        <v>263</v>
      </c>
      <c r="CM1870" t="s">
        <v>264</v>
      </c>
      <c r="CN1870" t="s">
        <v>264</v>
      </c>
      <c r="CO1870" t="s">
        <v>3522</v>
      </c>
      <c r="CP1870" t="s">
        <v>265</v>
      </c>
      <c r="CQ1870" t="s">
        <v>423</v>
      </c>
      <c r="DB1870">
        <v>4</v>
      </c>
      <c r="DG1870" t="s">
        <v>267</v>
      </c>
      <c r="DI1870">
        <v>96</v>
      </c>
      <c r="DN1870" t="s">
        <v>268</v>
      </c>
      <c r="DP1870" t="s">
        <v>3508</v>
      </c>
      <c r="DR1870">
        <v>1239313</v>
      </c>
      <c r="DS1870">
        <v>4665</v>
      </c>
      <c r="DV1870">
        <v>96</v>
      </c>
      <c r="EA1870" t="s">
        <v>268</v>
      </c>
      <c r="EC1870">
        <v>4</v>
      </c>
      <c r="EH1870" t="s">
        <v>267</v>
      </c>
      <c r="EJ1870">
        <v>96</v>
      </c>
      <c r="EO1870" t="s">
        <v>268</v>
      </c>
      <c r="EQ1870">
        <v>4</v>
      </c>
      <c r="EV1870" t="s">
        <v>267</v>
      </c>
      <c r="EW1870" t="s">
        <v>293</v>
      </c>
      <c r="EZ1870">
        <v>40</v>
      </c>
      <c r="FM1870">
        <v>22</v>
      </c>
      <c r="FR1870" t="s">
        <v>295</v>
      </c>
      <c r="GU1870">
        <v>29</v>
      </c>
      <c r="GZ1870" t="s">
        <v>296</v>
      </c>
      <c r="HH1870" t="s">
        <v>272</v>
      </c>
      <c r="ID1870" t="s">
        <v>3517</v>
      </c>
      <c r="IE1870" t="s">
        <v>3518</v>
      </c>
      <c r="IF1870">
        <v>3741</v>
      </c>
      <c r="IG1870" t="s">
        <v>3519</v>
      </c>
      <c r="IH1870" t="s">
        <v>3520</v>
      </c>
      <c r="II1870">
        <v>1982</v>
      </c>
      <c r="IJ1870" t="s">
        <v>3521</v>
      </c>
    </row>
    <row r="1871" spans="1:244" x14ac:dyDescent="0.45">
      <c r="A1871">
        <v>1176453</v>
      </c>
      <c r="B1871">
        <v>131554</v>
      </c>
      <c r="C1871">
        <v>10108642</v>
      </c>
      <c r="D1871" t="s">
        <v>3523</v>
      </c>
      <c r="F1871" t="s">
        <v>245</v>
      </c>
      <c r="G1871" t="s">
        <v>246</v>
      </c>
      <c r="N1871" t="s">
        <v>3524</v>
      </c>
      <c r="O1871" t="s">
        <v>498</v>
      </c>
      <c r="P1871" t="s">
        <v>249</v>
      </c>
      <c r="Q1871" t="s">
        <v>250</v>
      </c>
      <c r="R1871" t="s">
        <v>251</v>
      </c>
      <c r="T1871" t="s">
        <v>252</v>
      </c>
      <c r="U1871" t="s">
        <v>1244</v>
      </c>
      <c r="V1871" t="s">
        <v>1314</v>
      </c>
      <c r="W1871" t="s">
        <v>3525</v>
      </c>
      <c r="X1871" t="s">
        <v>3526</v>
      </c>
      <c r="AM1871" t="s">
        <v>317</v>
      </c>
      <c r="AN1871" t="s">
        <v>259</v>
      </c>
      <c r="AO1871" t="s">
        <v>260</v>
      </c>
      <c r="AQ1871" t="s">
        <v>261</v>
      </c>
      <c r="AS1871">
        <v>4360</v>
      </c>
      <c r="AX1871" t="s">
        <v>262</v>
      </c>
      <c r="BO1871" t="s">
        <v>261</v>
      </c>
      <c r="BQ1871">
        <v>4.3600000000000003</v>
      </c>
      <c r="BV1871" t="s">
        <v>263</v>
      </c>
      <c r="CM1871" t="s">
        <v>264</v>
      </c>
      <c r="CN1871" t="s">
        <v>264</v>
      </c>
      <c r="CP1871" t="s">
        <v>265</v>
      </c>
      <c r="CQ1871" t="s">
        <v>890</v>
      </c>
      <c r="DB1871">
        <v>4</v>
      </c>
      <c r="DG1871" t="s">
        <v>267</v>
      </c>
      <c r="DI1871">
        <v>96</v>
      </c>
      <c r="DN1871" t="s">
        <v>268</v>
      </c>
      <c r="DR1871">
        <v>1131516</v>
      </c>
      <c r="DS1871">
        <v>4704</v>
      </c>
      <c r="EW1871" t="s">
        <v>271</v>
      </c>
      <c r="HH1871" t="s">
        <v>272</v>
      </c>
      <c r="IE1871" t="s">
        <v>3527</v>
      </c>
      <c r="IF1871">
        <v>15300</v>
      </c>
      <c r="IG1871" t="s">
        <v>3528</v>
      </c>
      <c r="IH1871" t="s">
        <v>3529</v>
      </c>
      <c r="II1871">
        <v>1979</v>
      </c>
      <c r="IJ1871" t="s">
        <v>3530</v>
      </c>
    </row>
    <row r="1872" spans="1:244" x14ac:dyDescent="0.45">
      <c r="A1872">
        <v>1119855</v>
      </c>
      <c r="B1872">
        <v>70065</v>
      </c>
      <c r="C1872">
        <v>10108642</v>
      </c>
      <c r="D1872" t="s">
        <v>3523</v>
      </c>
      <c r="F1872" t="s">
        <v>327</v>
      </c>
      <c r="G1872" t="s">
        <v>246</v>
      </c>
      <c r="N1872" t="s">
        <v>1724</v>
      </c>
      <c r="O1872" t="s">
        <v>1725</v>
      </c>
      <c r="P1872" t="s">
        <v>249</v>
      </c>
      <c r="Q1872" t="s">
        <v>250</v>
      </c>
      <c r="R1872" t="s">
        <v>251</v>
      </c>
      <c r="T1872" t="s">
        <v>252</v>
      </c>
      <c r="U1872" t="s">
        <v>253</v>
      </c>
      <c r="V1872" t="s">
        <v>1726</v>
      </c>
      <c r="W1872" t="s">
        <v>1727</v>
      </c>
      <c r="X1872" t="s">
        <v>1728</v>
      </c>
      <c r="AL1872" t="s">
        <v>3531</v>
      </c>
      <c r="AM1872" t="s">
        <v>317</v>
      </c>
      <c r="AN1872" t="s">
        <v>259</v>
      </c>
      <c r="AO1872" t="s">
        <v>260</v>
      </c>
      <c r="AQ1872" t="s">
        <v>261</v>
      </c>
      <c r="AS1872">
        <v>320</v>
      </c>
      <c r="AX1872" t="s">
        <v>262</v>
      </c>
      <c r="BO1872" t="s">
        <v>261</v>
      </c>
      <c r="BQ1872">
        <v>0.32</v>
      </c>
      <c r="BV1872" t="s">
        <v>263</v>
      </c>
      <c r="CM1872" t="s">
        <v>264</v>
      </c>
      <c r="CN1872" t="s">
        <v>264</v>
      </c>
      <c r="CP1872" t="s">
        <v>265</v>
      </c>
      <c r="CQ1872" t="s">
        <v>890</v>
      </c>
      <c r="DB1872">
        <v>4</v>
      </c>
      <c r="DG1872" t="s">
        <v>267</v>
      </c>
      <c r="DI1872">
        <v>96</v>
      </c>
      <c r="DN1872" t="s">
        <v>268</v>
      </c>
      <c r="DP1872" t="s">
        <v>570</v>
      </c>
      <c r="DR1872">
        <v>111067</v>
      </c>
      <c r="DS1872">
        <v>490</v>
      </c>
      <c r="DT1872" t="s">
        <v>3532</v>
      </c>
      <c r="EW1872" t="s">
        <v>333</v>
      </c>
      <c r="FK1872" t="s">
        <v>3533</v>
      </c>
      <c r="FM1872">
        <v>20</v>
      </c>
      <c r="FR1872" t="s">
        <v>295</v>
      </c>
      <c r="GJ1872">
        <v>4</v>
      </c>
      <c r="GL1872">
        <v>6</v>
      </c>
      <c r="GM1872" t="s">
        <v>356</v>
      </c>
      <c r="GO1872">
        <v>8</v>
      </c>
      <c r="GU1872">
        <v>20</v>
      </c>
      <c r="GZ1872" t="s">
        <v>296</v>
      </c>
      <c r="HH1872" t="s">
        <v>272</v>
      </c>
      <c r="ID1872" t="s">
        <v>3534</v>
      </c>
      <c r="IE1872" t="s">
        <v>3535</v>
      </c>
      <c r="IF1872">
        <v>9316</v>
      </c>
      <c r="IG1872" t="s">
        <v>3536</v>
      </c>
      <c r="IH1872" t="s">
        <v>3537</v>
      </c>
      <c r="II1872">
        <v>1971</v>
      </c>
      <c r="IJ1872" t="s">
        <v>3538</v>
      </c>
    </row>
    <row r="1873" spans="1:244" x14ac:dyDescent="0.45">
      <c r="A1873">
        <v>1176451</v>
      </c>
      <c r="B1873">
        <v>131552</v>
      </c>
      <c r="C1873">
        <v>10108642</v>
      </c>
      <c r="D1873" t="s">
        <v>3523</v>
      </c>
      <c r="F1873" t="s">
        <v>245</v>
      </c>
      <c r="G1873" t="s">
        <v>246</v>
      </c>
      <c r="N1873" t="s">
        <v>3524</v>
      </c>
      <c r="O1873" t="s">
        <v>498</v>
      </c>
      <c r="P1873" t="s">
        <v>249</v>
      </c>
      <c r="Q1873" t="s">
        <v>250</v>
      </c>
      <c r="R1873" t="s">
        <v>251</v>
      </c>
      <c r="T1873" t="s">
        <v>252</v>
      </c>
      <c r="U1873" t="s">
        <v>1244</v>
      </c>
      <c r="V1873" t="s">
        <v>1314</v>
      </c>
      <c r="W1873" t="s">
        <v>3525</v>
      </c>
      <c r="X1873" t="s">
        <v>3526</v>
      </c>
      <c r="AM1873" t="s">
        <v>317</v>
      </c>
      <c r="AN1873" t="s">
        <v>259</v>
      </c>
      <c r="AO1873" t="s">
        <v>260</v>
      </c>
      <c r="AQ1873" t="s">
        <v>261</v>
      </c>
      <c r="AS1873">
        <v>21250</v>
      </c>
      <c r="AX1873" t="s">
        <v>262</v>
      </c>
      <c r="BO1873" t="s">
        <v>261</v>
      </c>
      <c r="BQ1873">
        <v>21.25</v>
      </c>
      <c r="BV1873" t="s">
        <v>263</v>
      </c>
      <c r="CM1873" t="s">
        <v>264</v>
      </c>
      <c r="CN1873" t="s">
        <v>264</v>
      </c>
      <c r="CP1873" t="s">
        <v>265</v>
      </c>
      <c r="CQ1873" t="s">
        <v>890</v>
      </c>
      <c r="DB1873">
        <v>4</v>
      </c>
      <c r="DG1873" t="s">
        <v>267</v>
      </c>
      <c r="DI1873">
        <v>96</v>
      </c>
      <c r="DN1873" t="s">
        <v>268</v>
      </c>
      <c r="DR1873">
        <v>1131516</v>
      </c>
      <c r="DS1873">
        <v>4704</v>
      </c>
      <c r="EW1873" t="s">
        <v>271</v>
      </c>
      <c r="HH1873" t="s">
        <v>272</v>
      </c>
      <c r="IE1873" t="s">
        <v>3527</v>
      </c>
      <c r="IF1873">
        <v>15300</v>
      </c>
      <c r="IG1873" t="s">
        <v>3528</v>
      </c>
      <c r="IH1873" t="s">
        <v>3529</v>
      </c>
      <c r="II1873">
        <v>1979</v>
      </c>
      <c r="IJ1873" t="s">
        <v>3530</v>
      </c>
    </row>
    <row r="1874" spans="1:244" x14ac:dyDescent="0.45">
      <c r="A1874">
        <v>1139079</v>
      </c>
      <c r="B1874">
        <v>232038</v>
      </c>
      <c r="C1874">
        <v>10108642</v>
      </c>
      <c r="D1874" t="s">
        <v>3523</v>
      </c>
      <c r="E1874" t="s">
        <v>3539</v>
      </c>
      <c r="F1874" t="s">
        <v>327</v>
      </c>
      <c r="G1874" t="s">
        <v>246</v>
      </c>
      <c r="N1874" t="s">
        <v>3540</v>
      </c>
      <c r="O1874" t="s">
        <v>248</v>
      </c>
      <c r="P1874" t="s">
        <v>249</v>
      </c>
      <c r="Q1874" t="s">
        <v>250</v>
      </c>
      <c r="R1874" t="s">
        <v>251</v>
      </c>
      <c r="T1874" t="s">
        <v>252</v>
      </c>
      <c r="U1874" t="s">
        <v>253</v>
      </c>
      <c r="V1874" t="s">
        <v>1231</v>
      </c>
      <c r="W1874" t="s">
        <v>3541</v>
      </c>
      <c r="X1874" t="s">
        <v>3542</v>
      </c>
      <c r="AJ1874" t="s">
        <v>285</v>
      </c>
      <c r="AL1874" t="s">
        <v>3543</v>
      </c>
      <c r="AM1874" t="s">
        <v>317</v>
      </c>
      <c r="AN1874" t="s">
        <v>259</v>
      </c>
      <c r="AO1874" t="s">
        <v>260</v>
      </c>
      <c r="AQ1874" t="s">
        <v>261</v>
      </c>
      <c r="AS1874">
        <v>83.7</v>
      </c>
      <c r="AU1874">
        <v>81.400000000000006</v>
      </c>
      <c r="AW1874">
        <v>85.2</v>
      </c>
      <c r="AX1874" t="s">
        <v>356</v>
      </c>
      <c r="BO1874" t="s">
        <v>261</v>
      </c>
      <c r="BQ1874">
        <v>83.7</v>
      </c>
      <c r="BS1874">
        <v>81.400000000000006</v>
      </c>
      <c r="BU1874">
        <v>85.2</v>
      </c>
      <c r="BV1874" t="s">
        <v>263</v>
      </c>
      <c r="CM1874" t="s">
        <v>264</v>
      </c>
      <c r="CN1874" t="s">
        <v>264</v>
      </c>
      <c r="CP1874" t="s">
        <v>265</v>
      </c>
      <c r="CQ1874" t="s">
        <v>890</v>
      </c>
      <c r="DB1874">
        <v>1</v>
      </c>
      <c r="DG1874" t="s">
        <v>267</v>
      </c>
      <c r="DI1874">
        <v>24</v>
      </c>
      <c r="DN1874" t="s">
        <v>268</v>
      </c>
      <c r="DR1874">
        <v>151182</v>
      </c>
      <c r="DS1874">
        <v>11260</v>
      </c>
      <c r="EW1874" t="s">
        <v>272</v>
      </c>
      <c r="FK1874" t="s">
        <v>3544</v>
      </c>
      <c r="FM1874">
        <v>25</v>
      </c>
      <c r="FR1874" t="s">
        <v>295</v>
      </c>
      <c r="GU1874">
        <v>20</v>
      </c>
      <c r="GZ1874" t="s">
        <v>900</v>
      </c>
      <c r="HH1874" t="s">
        <v>272</v>
      </c>
      <c r="ID1874" t="s">
        <v>3545</v>
      </c>
      <c r="IE1874" t="s">
        <v>3546</v>
      </c>
      <c r="IF1874">
        <v>11524</v>
      </c>
      <c r="IG1874" t="s">
        <v>3547</v>
      </c>
      <c r="IH1874" t="s">
        <v>3548</v>
      </c>
      <c r="II1874">
        <v>1983</v>
      </c>
      <c r="IJ1874" t="s">
        <v>3549</v>
      </c>
    </row>
    <row r="1875" spans="1:244" x14ac:dyDescent="0.45">
      <c r="A1875">
        <v>1176481</v>
      </c>
      <c r="B1875">
        <v>156499</v>
      </c>
      <c r="C1875">
        <v>10108642</v>
      </c>
      <c r="D1875" t="s">
        <v>3523</v>
      </c>
      <c r="F1875" t="s">
        <v>245</v>
      </c>
      <c r="G1875" t="s">
        <v>246</v>
      </c>
      <c r="N1875" t="s">
        <v>3550</v>
      </c>
      <c r="O1875" t="s">
        <v>578</v>
      </c>
      <c r="P1875" t="s">
        <v>249</v>
      </c>
      <c r="Q1875" t="s">
        <v>250</v>
      </c>
      <c r="R1875" t="s">
        <v>251</v>
      </c>
      <c r="T1875" t="s">
        <v>252</v>
      </c>
      <c r="U1875" t="s">
        <v>499</v>
      </c>
      <c r="V1875" t="s">
        <v>3551</v>
      </c>
      <c r="W1875" t="s">
        <v>3552</v>
      </c>
      <c r="X1875" t="s">
        <v>3553</v>
      </c>
      <c r="AM1875" t="s">
        <v>317</v>
      </c>
      <c r="AN1875" t="s">
        <v>259</v>
      </c>
      <c r="AO1875" t="s">
        <v>260</v>
      </c>
      <c r="AQ1875" t="s">
        <v>261</v>
      </c>
      <c r="AS1875">
        <v>720</v>
      </c>
      <c r="AX1875" t="s">
        <v>262</v>
      </c>
      <c r="BO1875" t="s">
        <v>261</v>
      </c>
      <c r="BQ1875">
        <v>0.72</v>
      </c>
      <c r="BV1875" t="s">
        <v>263</v>
      </c>
      <c r="CM1875" t="s">
        <v>264</v>
      </c>
      <c r="CN1875" t="s">
        <v>264</v>
      </c>
      <c r="CP1875" t="s">
        <v>265</v>
      </c>
      <c r="CQ1875" t="s">
        <v>890</v>
      </c>
      <c r="DB1875">
        <v>3</v>
      </c>
      <c r="DG1875" t="s">
        <v>267</v>
      </c>
      <c r="DI1875">
        <v>72</v>
      </c>
      <c r="DN1875" t="s">
        <v>268</v>
      </c>
      <c r="DS1875">
        <v>4655</v>
      </c>
      <c r="EW1875" t="s">
        <v>271</v>
      </c>
      <c r="HH1875" t="s">
        <v>272</v>
      </c>
      <c r="IE1875" t="s">
        <v>3527</v>
      </c>
      <c r="IF1875">
        <v>15300</v>
      </c>
      <c r="IG1875" t="s">
        <v>3528</v>
      </c>
      <c r="IH1875" t="s">
        <v>3529</v>
      </c>
      <c r="II1875">
        <v>1979</v>
      </c>
      <c r="IJ1875" t="s">
        <v>3530</v>
      </c>
    </row>
    <row r="1876" spans="1:244" x14ac:dyDescent="0.45">
      <c r="A1876">
        <v>1179972</v>
      </c>
      <c r="B1876">
        <v>81929</v>
      </c>
      <c r="C1876">
        <v>10108642</v>
      </c>
      <c r="D1876" t="s">
        <v>3523</v>
      </c>
      <c r="F1876" t="s">
        <v>245</v>
      </c>
      <c r="G1876" t="s">
        <v>246</v>
      </c>
      <c r="N1876" t="s">
        <v>471</v>
      </c>
      <c r="O1876" t="s">
        <v>388</v>
      </c>
      <c r="P1876" t="s">
        <v>249</v>
      </c>
      <c r="Q1876" t="s">
        <v>250</v>
      </c>
      <c r="R1876" t="s">
        <v>251</v>
      </c>
      <c r="T1876" t="s">
        <v>389</v>
      </c>
      <c r="U1876" t="s">
        <v>390</v>
      </c>
      <c r="V1876" t="s">
        <v>472</v>
      </c>
      <c r="W1876" t="s">
        <v>473</v>
      </c>
      <c r="X1876" t="s">
        <v>474</v>
      </c>
      <c r="Z1876" t="s">
        <v>315</v>
      </c>
      <c r="AL1876" t="s">
        <v>475</v>
      </c>
      <c r="AM1876" t="s">
        <v>317</v>
      </c>
      <c r="AN1876" t="s">
        <v>259</v>
      </c>
      <c r="AO1876" t="s">
        <v>260</v>
      </c>
      <c r="AQ1876" t="s">
        <v>261</v>
      </c>
      <c r="AS1876">
        <v>970</v>
      </c>
      <c r="AX1876" t="s">
        <v>262</v>
      </c>
      <c r="BO1876" t="s">
        <v>261</v>
      </c>
      <c r="BQ1876">
        <v>0.97</v>
      </c>
      <c r="BV1876" t="s">
        <v>263</v>
      </c>
      <c r="CM1876" t="s">
        <v>264</v>
      </c>
      <c r="CN1876" t="s">
        <v>264</v>
      </c>
      <c r="CP1876" t="s">
        <v>265</v>
      </c>
      <c r="CQ1876" t="s">
        <v>890</v>
      </c>
      <c r="DB1876">
        <v>2</v>
      </c>
      <c r="DG1876" t="s">
        <v>267</v>
      </c>
      <c r="DI1876">
        <v>48</v>
      </c>
      <c r="DN1876" t="s">
        <v>268</v>
      </c>
      <c r="DR1876">
        <v>2056173</v>
      </c>
      <c r="DS1876">
        <v>1053</v>
      </c>
      <c r="DT1876" t="s">
        <v>2904</v>
      </c>
      <c r="EW1876" t="s">
        <v>271</v>
      </c>
      <c r="FM1876">
        <v>24</v>
      </c>
      <c r="FR1876" t="s">
        <v>295</v>
      </c>
      <c r="HH1876" t="s">
        <v>272</v>
      </c>
      <c r="IE1876" t="s">
        <v>2685</v>
      </c>
      <c r="IF1876">
        <v>15726</v>
      </c>
      <c r="IG1876" t="s">
        <v>2905</v>
      </c>
      <c r="IH1876" t="s">
        <v>2906</v>
      </c>
      <c r="II1876">
        <v>1982</v>
      </c>
      <c r="IJ1876" t="s">
        <v>2907</v>
      </c>
    </row>
    <row r="1877" spans="1:244" x14ac:dyDescent="0.45">
      <c r="A1877">
        <v>1152876</v>
      </c>
      <c r="B1877">
        <v>87487</v>
      </c>
      <c r="C1877">
        <v>10108642</v>
      </c>
      <c r="D1877" t="s">
        <v>3523</v>
      </c>
      <c r="F1877" t="s">
        <v>245</v>
      </c>
      <c r="G1877" t="s">
        <v>246</v>
      </c>
      <c r="N1877" t="s">
        <v>1753</v>
      </c>
      <c r="O1877" t="s">
        <v>1754</v>
      </c>
      <c r="P1877" t="s">
        <v>249</v>
      </c>
      <c r="Q1877" t="s">
        <v>250</v>
      </c>
      <c r="R1877" t="s">
        <v>251</v>
      </c>
      <c r="T1877" t="s">
        <v>252</v>
      </c>
      <c r="U1877" t="s">
        <v>499</v>
      </c>
      <c r="V1877" t="s">
        <v>1373</v>
      </c>
      <c r="W1877" t="s">
        <v>1755</v>
      </c>
      <c r="X1877" t="s">
        <v>1756</v>
      </c>
      <c r="AM1877" t="s">
        <v>307</v>
      </c>
      <c r="AN1877" t="s">
        <v>259</v>
      </c>
      <c r="AO1877" t="s">
        <v>260</v>
      </c>
      <c r="AQ1877" t="s">
        <v>261</v>
      </c>
      <c r="AS1877">
        <v>780</v>
      </c>
      <c r="AU1877">
        <v>610</v>
      </c>
      <c r="AW1877">
        <v>980</v>
      </c>
      <c r="AX1877" t="s">
        <v>262</v>
      </c>
      <c r="BO1877" t="s">
        <v>261</v>
      </c>
      <c r="BQ1877">
        <v>0.78</v>
      </c>
      <c r="BS1877">
        <v>0.61</v>
      </c>
      <c r="BU1877">
        <v>0.98</v>
      </c>
      <c r="BV1877" t="s">
        <v>263</v>
      </c>
      <c r="CM1877" t="s">
        <v>264</v>
      </c>
      <c r="CN1877" t="s">
        <v>264</v>
      </c>
      <c r="CP1877" t="s">
        <v>265</v>
      </c>
      <c r="CQ1877" t="s">
        <v>890</v>
      </c>
      <c r="DB1877">
        <v>4</v>
      </c>
      <c r="DG1877" t="s">
        <v>267</v>
      </c>
      <c r="DI1877">
        <v>96</v>
      </c>
      <c r="DN1877" t="s">
        <v>268</v>
      </c>
      <c r="DP1877" t="s">
        <v>1603</v>
      </c>
      <c r="DS1877">
        <v>1676</v>
      </c>
      <c r="DT1877" t="s">
        <v>2042</v>
      </c>
      <c r="EW1877" t="s">
        <v>333</v>
      </c>
      <c r="FM1877">
        <v>20.3</v>
      </c>
      <c r="FR1877" t="s">
        <v>295</v>
      </c>
      <c r="GH1877">
        <v>97</v>
      </c>
      <c r="GM1877" t="s">
        <v>900</v>
      </c>
      <c r="GO1877">
        <v>7.8</v>
      </c>
      <c r="GU1877">
        <v>34.1</v>
      </c>
      <c r="GZ1877" t="s">
        <v>296</v>
      </c>
      <c r="HH1877" t="s">
        <v>272</v>
      </c>
      <c r="IE1877" t="s">
        <v>2044</v>
      </c>
      <c r="IF1877">
        <v>13187</v>
      </c>
      <c r="IG1877" t="s">
        <v>2045</v>
      </c>
      <c r="IH1877" t="s">
        <v>2046</v>
      </c>
      <c r="II1877">
        <v>1988</v>
      </c>
      <c r="IJ1877" t="s">
        <v>2047</v>
      </c>
    </row>
    <row r="1878" spans="1:244" x14ac:dyDescent="0.45">
      <c r="A1878">
        <v>1123267</v>
      </c>
      <c r="B1878">
        <v>87977</v>
      </c>
      <c r="C1878">
        <v>10108642</v>
      </c>
      <c r="D1878" t="s">
        <v>3523</v>
      </c>
      <c r="E1878" t="s">
        <v>386</v>
      </c>
      <c r="F1878" t="s">
        <v>245</v>
      </c>
      <c r="G1878" t="s">
        <v>246</v>
      </c>
      <c r="N1878" t="s">
        <v>1280</v>
      </c>
      <c r="O1878" t="s">
        <v>498</v>
      </c>
      <c r="P1878" t="s">
        <v>249</v>
      </c>
      <c r="Q1878" t="s">
        <v>250</v>
      </c>
      <c r="R1878" t="s">
        <v>251</v>
      </c>
      <c r="T1878" t="s">
        <v>252</v>
      </c>
      <c r="U1878" t="s">
        <v>499</v>
      </c>
      <c r="V1878" t="s">
        <v>1281</v>
      </c>
      <c r="W1878" t="s">
        <v>1282</v>
      </c>
      <c r="X1878" t="s">
        <v>1283</v>
      </c>
      <c r="AL1878" t="s">
        <v>1204</v>
      </c>
      <c r="AM1878" t="s">
        <v>287</v>
      </c>
      <c r="AN1878" t="s">
        <v>259</v>
      </c>
      <c r="AO1878" t="s">
        <v>260</v>
      </c>
      <c r="AQ1878" t="s">
        <v>261</v>
      </c>
      <c r="AS1878">
        <v>680</v>
      </c>
      <c r="AU1878">
        <v>300</v>
      </c>
      <c r="AW1878">
        <v>1800</v>
      </c>
      <c r="AX1878" t="s">
        <v>262</v>
      </c>
      <c r="BO1878" t="s">
        <v>261</v>
      </c>
      <c r="BQ1878">
        <v>0.68</v>
      </c>
      <c r="BS1878">
        <v>0.3</v>
      </c>
      <c r="BU1878">
        <v>1.8</v>
      </c>
      <c r="BV1878" t="s">
        <v>263</v>
      </c>
      <c r="CM1878" t="s">
        <v>264</v>
      </c>
      <c r="CN1878" t="s">
        <v>264</v>
      </c>
      <c r="CP1878" t="s">
        <v>265</v>
      </c>
      <c r="CQ1878" t="s">
        <v>890</v>
      </c>
      <c r="DB1878">
        <v>4</v>
      </c>
      <c r="DG1878" t="s">
        <v>267</v>
      </c>
      <c r="DI1878">
        <v>96</v>
      </c>
      <c r="DN1878" t="s">
        <v>268</v>
      </c>
      <c r="DS1878">
        <v>2851</v>
      </c>
      <c r="DT1878" t="s">
        <v>1205</v>
      </c>
      <c r="EW1878" t="s">
        <v>293</v>
      </c>
      <c r="FM1878">
        <v>19</v>
      </c>
      <c r="FR1878" t="s">
        <v>295</v>
      </c>
      <c r="HH1878" t="s">
        <v>272</v>
      </c>
      <c r="IE1878" t="s">
        <v>1206</v>
      </c>
      <c r="IF1878">
        <v>9755</v>
      </c>
      <c r="IG1878" t="s">
        <v>1207</v>
      </c>
      <c r="IH1878" t="s">
        <v>1208</v>
      </c>
      <c r="II1878">
        <v>1993</v>
      </c>
      <c r="IJ1878" t="s">
        <v>1209</v>
      </c>
    </row>
    <row r="1879" spans="1:244" x14ac:dyDescent="0.45">
      <c r="A1879">
        <v>1176492</v>
      </c>
      <c r="B1879">
        <v>156510</v>
      </c>
      <c r="C1879">
        <v>10108642</v>
      </c>
      <c r="D1879" t="s">
        <v>3523</v>
      </c>
      <c r="F1879" t="s">
        <v>245</v>
      </c>
      <c r="G1879" t="s">
        <v>246</v>
      </c>
      <c r="N1879" t="s">
        <v>3550</v>
      </c>
      <c r="O1879" t="s">
        <v>578</v>
      </c>
      <c r="P1879" t="s">
        <v>249</v>
      </c>
      <c r="Q1879" t="s">
        <v>250</v>
      </c>
      <c r="R1879" t="s">
        <v>251</v>
      </c>
      <c r="T1879" t="s">
        <v>252</v>
      </c>
      <c r="U1879" t="s">
        <v>499</v>
      </c>
      <c r="V1879" t="s">
        <v>3551</v>
      </c>
      <c r="W1879" t="s">
        <v>3552</v>
      </c>
      <c r="X1879" t="s">
        <v>3553</v>
      </c>
      <c r="AM1879" t="s">
        <v>317</v>
      </c>
      <c r="AN1879" t="s">
        <v>259</v>
      </c>
      <c r="AO1879" t="s">
        <v>260</v>
      </c>
      <c r="AQ1879" t="s">
        <v>261</v>
      </c>
      <c r="AS1879">
        <v>9140</v>
      </c>
      <c r="AX1879" t="s">
        <v>262</v>
      </c>
      <c r="BO1879" t="s">
        <v>261</v>
      </c>
      <c r="BQ1879">
        <v>9.14</v>
      </c>
      <c r="BV1879" t="s">
        <v>263</v>
      </c>
      <c r="CM1879" t="s">
        <v>264</v>
      </c>
      <c r="CN1879" t="s">
        <v>264</v>
      </c>
      <c r="CP1879" t="s">
        <v>265</v>
      </c>
      <c r="CQ1879" t="s">
        <v>890</v>
      </c>
      <c r="DB1879">
        <v>1</v>
      </c>
      <c r="DG1879" t="s">
        <v>267</v>
      </c>
      <c r="DI1879">
        <v>24</v>
      </c>
      <c r="DN1879" t="s">
        <v>268</v>
      </c>
      <c r="DS1879">
        <v>4655</v>
      </c>
      <c r="EW1879" t="s">
        <v>271</v>
      </c>
      <c r="HH1879" t="s">
        <v>272</v>
      </c>
      <c r="IE1879" t="s">
        <v>3527</v>
      </c>
      <c r="IF1879">
        <v>15300</v>
      </c>
      <c r="IG1879" t="s">
        <v>3528</v>
      </c>
      <c r="IH1879" t="s">
        <v>3529</v>
      </c>
      <c r="II1879">
        <v>1979</v>
      </c>
      <c r="IJ1879" t="s">
        <v>3530</v>
      </c>
    </row>
    <row r="1880" spans="1:244" x14ac:dyDescent="0.45">
      <c r="A1880">
        <v>1082588</v>
      </c>
      <c r="B1880">
        <v>118483</v>
      </c>
      <c r="C1880">
        <v>10108642</v>
      </c>
      <c r="D1880" t="s">
        <v>3523</v>
      </c>
      <c r="F1880" t="s">
        <v>245</v>
      </c>
      <c r="G1880" t="s">
        <v>246</v>
      </c>
      <c r="N1880" t="s">
        <v>497</v>
      </c>
      <c r="O1880" t="s">
        <v>498</v>
      </c>
      <c r="P1880" t="s">
        <v>249</v>
      </c>
      <c r="Q1880" t="s">
        <v>250</v>
      </c>
      <c r="R1880" t="s">
        <v>251</v>
      </c>
      <c r="T1880" t="s">
        <v>252</v>
      </c>
      <c r="U1880" t="s">
        <v>499</v>
      </c>
      <c r="V1880" t="s">
        <v>500</v>
      </c>
      <c r="W1880" t="s">
        <v>501</v>
      </c>
      <c r="X1880" t="s">
        <v>502</v>
      </c>
      <c r="Z1880" t="s">
        <v>1057</v>
      </c>
      <c r="AL1880" t="s">
        <v>3554</v>
      </c>
      <c r="AM1880" t="s">
        <v>317</v>
      </c>
      <c r="AN1880" t="s">
        <v>259</v>
      </c>
      <c r="AO1880" t="s">
        <v>260</v>
      </c>
      <c r="AQ1880" t="s">
        <v>261</v>
      </c>
      <c r="AS1880">
        <v>4</v>
      </c>
      <c r="AX1880" t="s">
        <v>710</v>
      </c>
      <c r="BO1880" t="s">
        <v>261</v>
      </c>
      <c r="BQ1880">
        <v>0.73326400000000003</v>
      </c>
      <c r="BV1880" t="s">
        <v>263</v>
      </c>
      <c r="CM1880" t="s">
        <v>264</v>
      </c>
      <c r="CN1880" t="s">
        <v>264</v>
      </c>
      <c r="CP1880" t="s">
        <v>265</v>
      </c>
      <c r="CQ1880" t="s">
        <v>890</v>
      </c>
      <c r="DB1880">
        <v>2</v>
      </c>
      <c r="DG1880" t="s">
        <v>267</v>
      </c>
      <c r="DI1880">
        <v>48</v>
      </c>
      <c r="DN1880" t="s">
        <v>268</v>
      </c>
      <c r="DP1880" t="s">
        <v>2185</v>
      </c>
      <c r="DR1880">
        <v>1400849</v>
      </c>
      <c r="DS1880">
        <v>4389</v>
      </c>
      <c r="DT1880" t="s">
        <v>3555</v>
      </c>
      <c r="EW1880" t="s">
        <v>271</v>
      </c>
      <c r="FM1880">
        <v>24</v>
      </c>
      <c r="FR1880" t="s">
        <v>295</v>
      </c>
      <c r="GG1880" t="s">
        <v>288</v>
      </c>
      <c r="GH1880">
        <v>93</v>
      </c>
      <c r="GM1880" t="s">
        <v>900</v>
      </c>
      <c r="GO1880">
        <v>8.1</v>
      </c>
      <c r="HH1880" t="s">
        <v>272</v>
      </c>
      <c r="IE1880" t="s">
        <v>3556</v>
      </c>
      <c r="IF1880">
        <v>6416</v>
      </c>
      <c r="IG1880" t="s">
        <v>3557</v>
      </c>
      <c r="IH1880" t="s">
        <v>3558</v>
      </c>
      <c r="II1880">
        <v>1992</v>
      </c>
      <c r="IJ1880" t="s">
        <v>3559</v>
      </c>
    </row>
    <row r="1881" spans="1:244" x14ac:dyDescent="0.45">
      <c r="A1881">
        <v>1041189</v>
      </c>
      <c r="B1881">
        <v>145195</v>
      </c>
      <c r="C1881">
        <v>10108642</v>
      </c>
      <c r="D1881" t="s">
        <v>3523</v>
      </c>
      <c r="F1881" t="s">
        <v>245</v>
      </c>
      <c r="G1881" t="s">
        <v>246</v>
      </c>
      <c r="N1881" t="s">
        <v>1202</v>
      </c>
      <c r="O1881" t="s">
        <v>498</v>
      </c>
      <c r="P1881" t="s">
        <v>249</v>
      </c>
      <c r="Q1881" t="s">
        <v>250</v>
      </c>
      <c r="R1881" t="s">
        <v>251</v>
      </c>
      <c r="T1881" t="s">
        <v>252</v>
      </c>
      <c r="U1881" t="s">
        <v>499</v>
      </c>
      <c r="V1881" t="s">
        <v>500</v>
      </c>
      <c r="W1881" t="s">
        <v>501</v>
      </c>
      <c r="X1881" t="s">
        <v>1203</v>
      </c>
      <c r="AM1881" t="s">
        <v>317</v>
      </c>
      <c r="AN1881" t="s">
        <v>259</v>
      </c>
      <c r="AO1881" t="s">
        <v>260</v>
      </c>
      <c r="AQ1881" t="s">
        <v>261</v>
      </c>
      <c r="AS1881">
        <v>570</v>
      </c>
      <c r="AU1881">
        <v>470</v>
      </c>
      <c r="AW1881">
        <v>700</v>
      </c>
      <c r="AX1881" t="s">
        <v>262</v>
      </c>
      <c r="BO1881" t="s">
        <v>261</v>
      </c>
      <c r="BQ1881">
        <v>0.56999999999999995</v>
      </c>
      <c r="BS1881">
        <v>0.47</v>
      </c>
      <c r="BU1881">
        <v>0.7</v>
      </c>
      <c r="BV1881" t="s">
        <v>263</v>
      </c>
      <c r="CM1881" t="s">
        <v>264</v>
      </c>
      <c r="CN1881" t="s">
        <v>264</v>
      </c>
      <c r="CP1881" t="s">
        <v>265</v>
      </c>
      <c r="DB1881">
        <v>4</v>
      </c>
      <c r="DG1881" t="s">
        <v>267</v>
      </c>
      <c r="DI1881">
        <v>96</v>
      </c>
      <c r="DN1881" t="s">
        <v>268</v>
      </c>
      <c r="DS1881">
        <v>4697</v>
      </c>
      <c r="DT1881" t="s">
        <v>3560</v>
      </c>
      <c r="EW1881" t="s">
        <v>293</v>
      </c>
      <c r="FM1881">
        <v>19.5</v>
      </c>
      <c r="FR1881" t="s">
        <v>295</v>
      </c>
      <c r="GG1881" t="s">
        <v>288</v>
      </c>
      <c r="GH1881">
        <v>7</v>
      </c>
      <c r="GM1881" t="s">
        <v>356</v>
      </c>
      <c r="GU1881">
        <v>35</v>
      </c>
      <c r="GZ1881" t="s">
        <v>296</v>
      </c>
      <c r="HH1881" t="s">
        <v>272</v>
      </c>
      <c r="IE1881" t="s">
        <v>3561</v>
      </c>
      <c r="IF1881">
        <v>2621</v>
      </c>
      <c r="IG1881" t="s">
        <v>3562</v>
      </c>
      <c r="IH1881" t="s">
        <v>3563</v>
      </c>
      <c r="II1881">
        <v>1987</v>
      </c>
      <c r="IJ1881" t="s">
        <v>3564</v>
      </c>
    </row>
    <row r="1882" spans="1:244" x14ac:dyDescent="0.45">
      <c r="A1882">
        <v>1119853</v>
      </c>
      <c r="B1882">
        <v>70063</v>
      </c>
      <c r="C1882">
        <v>10108642</v>
      </c>
      <c r="D1882" t="s">
        <v>3523</v>
      </c>
      <c r="F1882" t="s">
        <v>327</v>
      </c>
      <c r="G1882" t="s">
        <v>246</v>
      </c>
      <c r="N1882" t="s">
        <v>1724</v>
      </c>
      <c r="O1882" t="s">
        <v>1725</v>
      </c>
      <c r="P1882" t="s">
        <v>249</v>
      </c>
      <c r="Q1882" t="s">
        <v>250</v>
      </c>
      <c r="R1882" t="s">
        <v>251</v>
      </c>
      <c r="T1882" t="s">
        <v>252</v>
      </c>
      <c r="U1882" t="s">
        <v>253</v>
      </c>
      <c r="V1882" t="s">
        <v>1726</v>
      </c>
      <c r="W1882" t="s">
        <v>1727</v>
      </c>
      <c r="X1882" t="s">
        <v>1728</v>
      </c>
      <c r="AL1882" t="s">
        <v>3531</v>
      </c>
      <c r="AM1882" t="s">
        <v>317</v>
      </c>
      <c r="AN1882" t="s">
        <v>259</v>
      </c>
      <c r="AO1882" t="s">
        <v>260</v>
      </c>
      <c r="AQ1882" t="s">
        <v>261</v>
      </c>
      <c r="AR1882" t="s">
        <v>288</v>
      </c>
      <c r="AS1882">
        <v>200000</v>
      </c>
      <c r="AX1882" t="s">
        <v>262</v>
      </c>
      <c r="BO1882" t="s">
        <v>261</v>
      </c>
      <c r="BP1882" t="s">
        <v>288</v>
      </c>
      <c r="BQ1882">
        <v>200</v>
      </c>
      <c r="BV1882" t="s">
        <v>263</v>
      </c>
      <c r="CM1882" t="s">
        <v>264</v>
      </c>
      <c r="CN1882" t="s">
        <v>264</v>
      </c>
      <c r="CP1882" t="s">
        <v>265</v>
      </c>
      <c r="CQ1882" t="s">
        <v>890</v>
      </c>
      <c r="DB1882">
        <v>1</v>
      </c>
      <c r="DG1882" t="s">
        <v>267</v>
      </c>
      <c r="DI1882">
        <v>24</v>
      </c>
      <c r="DN1882" t="s">
        <v>268</v>
      </c>
      <c r="DP1882" t="s">
        <v>570</v>
      </c>
      <c r="DR1882">
        <v>111067</v>
      </c>
      <c r="DS1882">
        <v>490</v>
      </c>
      <c r="DT1882" t="s">
        <v>3532</v>
      </c>
      <c r="EW1882" t="s">
        <v>333</v>
      </c>
      <c r="FK1882" t="s">
        <v>3533</v>
      </c>
      <c r="FM1882">
        <v>20</v>
      </c>
      <c r="FR1882" t="s">
        <v>295</v>
      </c>
      <c r="GJ1882">
        <v>4</v>
      </c>
      <c r="GL1882">
        <v>6</v>
      </c>
      <c r="GM1882" t="s">
        <v>356</v>
      </c>
      <c r="GO1882">
        <v>8</v>
      </c>
      <c r="GU1882">
        <v>20</v>
      </c>
      <c r="GZ1882" t="s">
        <v>296</v>
      </c>
      <c r="HH1882" t="s">
        <v>272</v>
      </c>
      <c r="ID1882" t="s">
        <v>3534</v>
      </c>
      <c r="IE1882" t="s">
        <v>3535</v>
      </c>
      <c r="IF1882">
        <v>9316</v>
      </c>
      <c r="IG1882" t="s">
        <v>3536</v>
      </c>
      <c r="IH1882" t="s">
        <v>3537</v>
      </c>
      <c r="II1882">
        <v>1971</v>
      </c>
      <c r="IJ1882" t="s">
        <v>3538</v>
      </c>
    </row>
    <row r="1883" spans="1:244" x14ac:dyDescent="0.45">
      <c r="A1883">
        <v>1111546</v>
      </c>
      <c r="B1883">
        <v>73203</v>
      </c>
      <c r="C1883">
        <v>10108642</v>
      </c>
      <c r="D1883" t="s">
        <v>3523</v>
      </c>
      <c r="F1883" t="s">
        <v>245</v>
      </c>
      <c r="G1883" t="s">
        <v>246</v>
      </c>
      <c r="N1883" t="s">
        <v>3565</v>
      </c>
      <c r="O1883" t="s">
        <v>1783</v>
      </c>
      <c r="P1883" t="s">
        <v>249</v>
      </c>
      <c r="Q1883" t="s">
        <v>250</v>
      </c>
      <c r="R1883" t="s">
        <v>251</v>
      </c>
      <c r="T1883" t="s">
        <v>252</v>
      </c>
      <c r="U1883" t="s">
        <v>253</v>
      </c>
      <c r="V1883" t="s">
        <v>1735</v>
      </c>
      <c r="W1883" t="s">
        <v>1784</v>
      </c>
      <c r="X1883" t="s">
        <v>1984</v>
      </c>
      <c r="Z1883" t="s">
        <v>315</v>
      </c>
      <c r="AL1883" t="s">
        <v>3566</v>
      </c>
      <c r="AM1883" t="s">
        <v>258</v>
      </c>
      <c r="AN1883" t="s">
        <v>259</v>
      </c>
      <c r="AO1883" t="s">
        <v>260</v>
      </c>
      <c r="AQ1883" t="s">
        <v>261</v>
      </c>
      <c r="AS1883">
        <v>37000</v>
      </c>
      <c r="AX1883" t="s">
        <v>262</v>
      </c>
      <c r="BO1883" t="s">
        <v>261</v>
      </c>
      <c r="BQ1883">
        <v>37</v>
      </c>
      <c r="BV1883" t="s">
        <v>263</v>
      </c>
      <c r="CM1883" t="s">
        <v>264</v>
      </c>
      <c r="CN1883" t="s">
        <v>264</v>
      </c>
      <c r="CP1883" t="s">
        <v>265</v>
      </c>
      <c r="CQ1883" t="s">
        <v>890</v>
      </c>
      <c r="DB1883">
        <v>4</v>
      </c>
      <c r="DG1883" t="s">
        <v>267</v>
      </c>
      <c r="DI1883">
        <v>96</v>
      </c>
      <c r="DN1883" t="s">
        <v>268</v>
      </c>
      <c r="DP1883" t="s">
        <v>570</v>
      </c>
      <c r="DR1883">
        <v>6772</v>
      </c>
      <c r="DS1883">
        <v>745</v>
      </c>
      <c r="EW1883" t="s">
        <v>271</v>
      </c>
      <c r="FM1883">
        <v>20</v>
      </c>
      <c r="FR1883" t="s">
        <v>295</v>
      </c>
      <c r="GU1883">
        <v>30</v>
      </c>
      <c r="GZ1883" t="s">
        <v>296</v>
      </c>
      <c r="HH1883" t="s">
        <v>272</v>
      </c>
      <c r="IE1883" t="s">
        <v>3567</v>
      </c>
      <c r="IF1883">
        <v>8412</v>
      </c>
      <c r="IG1883" t="s">
        <v>3568</v>
      </c>
      <c r="IH1883" t="s">
        <v>3569</v>
      </c>
      <c r="II1883">
        <v>1973</v>
      </c>
      <c r="IJ1883" t="s">
        <v>3570</v>
      </c>
    </row>
    <row r="1884" spans="1:244" x14ac:dyDescent="0.45">
      <c r="A1884">
        <v>1111550</v>
      </c>
      <c r="B1884">
        <v>73207</v>
      </c>
      <c r="C1884">
        <v>10108642</v>
      </c>
      <c r="D1884" t="s">
        <v>3523</v>
      </c>
      <c r="F1884" t="s">
        <v>245</v>
      </c>
      <c r="G1884" t="s">
        <v>246</v>
      </c>
      <c r="N1884" t="s">
        <v>3565</v>
      </c>
      <c r="O1884" t="s">
        <v>1783</v>
      </c>
      <c r="P1884" t="s">
        <v>249</v>
      </c>
      <c r="Q1884" t="s">
        <v>250</v>
      </c>
      <c r="R1884" t="s">
        <v>251</v>
      </c>
      <c r="T1884" t="s">
        <v>252</v>
      </c>
      <c r="U1884" t="s">
        <v>253</v>
      </c>
      <c r="V1884" t="s">
        <v>1735</v>
      </c>
      <c r="W1884" t="s">
        <v>1784</v>
      </c>
      <c r="X1884" t="s">
        <v>1984</v>
      </c>
      <c r="Z1884" t="s">
        <v>315</v>
      </c>
      <c r="AL1884" t="s">
        <v>3566</v>
      </c>
      <c r="AM1884" t="s">
        <v>258</v>
      </c>
      <c r="AN1884" t="s">
        <v>259</v>
      </c>
      <c r="AO1884" t="s">
        <v>260</v>
      </c>
      <c r="AQ1884" t="s">
        <v>261</v>
      </c>
      <c r="AS1884">
        <v>33300</v>
      </c>
      <c r="AX1884" t="s">
        <v>262</v>
      </c>
      <c r="BO1884" t="s">
        <v>261</v>
      </c>
      <c r="BQ1884">
        <v>33.299999999999997</v>
      </c>
      <c r="BV1884" t="s">
        <v>263</v>
      </c>
      <c r="CM1884" t="s">
        <v>264</v>
      </c>
      <c r="CN1884" t="s">
        <v>264</v>
      </c>
      <c r="CP1884" t="s">
        <v>265</v>
      </c>
      <c r="CQ1884" t="s">
        <v>890</v>
      </c>
      <c r="DB1884">
        <v>2</v>
      </c>
      <c r="DG1884" t="s">
        <v>267</v>
      </c>
      <c r="DI1884">
        <v>48</v>
      </c>
      <c r="DN1884" t="s">
        <v>268</v>
      </c>
      <c r="DP1884" t="s">
        <v>570</v>
      </c>
      <c r="DR1884">
        <v>6772</v>
      </c>
      <c r="DS1884">
        <v>745</v>
      </c>
      <c r="EW1884" t="s">
        <v>271</v>
      </c>
      <c r="FM1884">
        <v>30</v>
      </c>
      <c r="FR1884" t="s">
        <v>295</v>
      </c>
      <c r="GU1884">
        <v>30</v>
      </c>
      <c r="GZ1884" t="s">
        <v>296</v>
      </c>
      <c r="HH1884" t="s">
        <v>272</v>
      </c>
      <c r="IE1884" t="s">
        <v>3567</v>
      </c>
      <c r="IF1884">
        <v>8412</v>
      </c>
      <c r="IG1884" t="s">
        <v>3568</v>
      </c>
      <c r="IH1884" t="s">
        <v>3569</v>
      </c>
      <c r="II1884">
        <v>1973</v>
      </c>
      <c r="IJ1884" t="s">
        <v>3570</v>
      </c>
    </row>
    <row r="1885" spans="1:244" x14ac:dyDescent="0.45">
      <c r="A1885">
        <v>1176482</v>
      </c>
      <c r="B1885">
        <v>156500</v>
      </c>
      <c r="C1885">
        <v>10108642</v>
      </c>
      <c r="D1885" t="s">
        <v>3523</v>
      </c>
      <c r="F1885" t="s">
        <v>245</v>
      </c>
      <c r="G1885" t="s">
        <v>246</v>
      </c>
      <c r="N1885" t="s">
        <v>3550</v>
      </c>
      <c r="O1885" t="s">
        <v>578</v>
      </c>
      <c r="P1885" t="s">
        <v>249</v>
      </c>
      <c r="Q1885" t="s">
        <v>250</v>
      </c>
      <c r="R1885" t="s">
        <v>251</v>
      </c>
      <c r="T1885" t="s">
        <v>252</v>
      </c>
      <c r="U1885" t="s">
        <v>499</v>
      </c>
      <c r="V1885" t="s">
        <v>3551</v>
      </c>
      <c r="W1885" t="s">
        <v>3552</v>
      </c>
      <c r="X1885" t="s">
        <v>3553</v>
      </c>
      <c r="AM1885" t="s">
        <v>317</v>
      </c>
      <c r="AN1885" t="s">
        <v>259</v>
      </c>
      <c r="AO1885" t="s">
        <v>260</v>
      </c>
      <c r="AQ1885" t="s">
        <v>261</v>
      </c>
      <c r="AS1885">
        <v>980</v>
      </c>
      <c r="AX1885" t="s">
        <v>262</v>
      </c>
      <c r="BO1885" t="s">
        <v>261</v>
      </c>
      <c r="BQ1885">
        <v>0.98</v>
      </c>
      <c r="BV1885" t="s">
        <v>263</v>
      </c>
      <c r="CM1885" t="s">
        <v>264</v>
      </c>
      <c r="CN1885" t="s">
        <v>264</v>
      </c>
      <c r="CP1885" t="s">
        <v>265</v>
      </c>
      <c r="CQ1885" t="s">
        <v>890</v>
      </c>
      <c r="DB1885">
        <v>3</v>
      </c>
      <c r="DG1885" t="s">
        <v>267</v>
      </c>
      <c r="DI1885">
        <v>72</v>
      </c>
      <c r="DN1885" t="s">
        <v>268</v>
      </c>
      <c r="DS1885">
        <v>4655</v>
      </c>
      <c r="EW1885" t="s">
        <v>271</v>
      </c>
      <c r="HH1885" t="s">
        <v>272</v>
      </c>
      <c r="IE1885" t="s">
        <v>3527</v>
      </c>
      <c r="IF1885">
        <v>15300</v>
      </c>
      <c r="IG1885" t="s">
        <v>3528</v>
      </c>
      <c r="IH1885" t="s">
        <v>3529</v>
      </c>
      <c r="II1885">
        <v>1979</v>
      </c>
      <c r="IJ1885" t="s">
        <v>3530</v>
      </c>
    </row>
    <row r="1886" spans="1:244" x14ac:dyDescent="0.45">
      <c r="A1886">
        <v>1277743</v>
      </c>
      <c r="B1886">
        <v>730966</v>
      </c>
      <c r="C1886">
        <v>10108642</v>
      </c>
      <c r="D1886" t="s">
        <v>3523</v>
      </c>
      <c r="E1886" t="s">
        <v>439</v>
      </c>
      <c r="F1886" t="s">
        <v>245</v>
      </c>
      <c r="G1886" t="s">
        <v>246</v>
      </c>
      <c r="N1886" t="s">
        <v>968</v>
      </c>
      <c r="O1886" t="s">
        <v>969</v>
      </c>
      <c r="P1886" t="s">
        <v>249</v>
      </c>
      <c r="Q1886" t="s">
        <v>250</v>
      </c>
      <c r="R1886" t="s">
        <v>251</v>
      </c>
      <c r="T1886" t="s">
        <v>252</v>
      </c>
      <c r="U1886" t="s">
        <v>253</v>
      </c>
      <c r="V1886" t="s">
        <v>418</v>
      </c>
      <c r="W1886" t="s">
        <v>419</v>
      </c>
      <c r="X1886" t="s">
        <v>970</v>
      </c>
      <c r="Z1886" t="s">
        <v>649</v>
      </c>
      <c r="AL1886" t="s">
        <v>1174</v>
      </c>
      <c r="AM1886" t="s">
        <v>258</v>
      </c>
      <c r="AN1886" t="s">
        <v>259</v>
      </c>
      <c r="AO1886" t="s">
        <v>260</v>
      </c>
      <c r="AQ1886" t="s">
        <v>261</v>
      </c>
      <c r="AS1886">
        <v>1.1000000000000001</v>
      </c>
      <c r="AU1886">
        <v>0.52</v>
      </c>
      <c r="AW1886">
        <v>2.31</v>
      </c>
      <c r="AX1886" t="s">
        <v>356</v>
      </c>
      <c r="BO1886" t="s">
        <v>261</v>
      </c>
      <c r="BQ1886">
        <v>1.1000000000000001</v>
      </c>
      <c r="BS1886">
        <v>0.52</v>
      </c>
      <c r="BU1886">
        <v>2.31</v>
      </c>
      <c r="BV1886" t="s">
        <v>263</v>
      </c>
      <c r="CM1886" t="s">
        <v>264</v>
      </c>
      <c r="CN1886" t="s">
        <v>264</v>
      </c>
      <c r="CP1886" t="s">
        <v>265</v>
      </c>
      <c r="CQ1886" t="s">
        <v>890</v>
      </c>
      <c r="DB1886">
        <v>4</v>
      </c>
      <c r="DG1886" t="s">
        <v>267</v>
      </c>
      <c r="DI1886">
        <v>96</v>
      </c>
      <c r="DN1886" t="s">
        <v>268</v>
      </c>
      <c r="DP1886" t="s">
        <v>3571</v>
      </c>
      <c r="DS1886">
        <v>1010</v>
      </c>
      <c r="DT1886" t="s">
        <v>1176</v>
      </c>
      <c r="EW1886" t="s">
        <v>293</v>
      </c>
      <c r="FK1886" t="s">
        <v>3572</v>
      </c>
      <c r="FM1886">
        <v>20</v>
      </c>
      <c r="FR1886" t="s">
        <v>295</v>
      </c>
      <c r="GG1886" t="s">
        <v>288</v>
      </c>
      <c r="GH1886">
        <v>90</v>
      </c>
      <c r="GM1886" t="s">
        <v>900</v>
      </c>
      <c r="GO1886">
        <v>8</v>
      </c>
      <c r="GU1886">
        <v>20</v>
      </c>
      <c r="GZ1886" t="s">
        <v>296</v>
      </c>
      <c r="HH1886" t="s">
        <v>272</v>
      </c>
      <c r="ID1886" t="s">
        <v>3573</v>
      </c>
      <c r="IE1886" t="s">
        <v>1179</v>
      </c>
      <c r="IF1886">
        <v>4973</v>
      </c>
      <c r="IG1886" t="s">
        <v>1180</v>
      </c>
      <c r="IH1886" t="s">
        <v>1181</v>
      </c>
      <c r="II1886">
        <v>1982</v>
      </c>
      <c r="IJ1886" t="s">
        <v>1182</v>
      </c>
    </row>
    <row r="1887" spans="1:244" x14ac:dyDescent="0.45">
      <c r="A1887">
        <v>1182127</v>
      </c>
      <c r="B1887">
        <v>160030</v>
      </c>
      <c r="C1887">
        <v>10108642</v>
      </c>
      <c r="D1887" t="s">
        <v>3523</v>
      </c>
      <c r="E1887" t="s">
        <v>439</v>
      </c>
      <c r="F1887" t="s">
        <v>245</v>
      </c>
      <c r="G1887" t="s">
        <v>246</v>
      </c>
      <c r="N1887" t="s">
        <v>345</v>
      </c>
      <c r="O1887" t="s">
        <v>346</v>
      </c>
      <c r="P1887" t="s">
        <v>249</v>
      </c>
      <c r="Q1887" t="s">
        <v>250</v>
      </c>
      <c r="R1887" t="s">
        <v>251</v>
      </c>
      <c r="T1887" t="s">
        <v>347</v>
      </c>
      <c r="U1887" t="s">
        <v>348</v>
      </c>
      <c r="V1887" t="s">
        <v>349</v>
      </c>
      <c r="W1887" t="s">
        <v>350</v>
      </c>
      <c r="X1887" t="s">
        <v>351</v>
      </c>
      <c r="Z1887" t="s">
        <v>1034</v>
      </c>
      <c r="AL1887" t="s">
        <v>2663</v>
      </c>
      <c r="AM1887" t="s">
        <v>317</v>
      </c>
      <c r="AN1887" t="s">
        <v>259</v>
      </c>
      <c r="AO1887" t="s">
        <v>260</v>
      </c>
      <c r="AQ1887" t="s">
        <v>261</v>
      </c>
      <c r="AS1887">
        <v>3700</v>
      </c>
      <c r="AX1887" t="s">
        <v>262</v>
      </c>
      <c r="BO1887" t="s">
        <v>261</v>
      </c>
      <c r="BQ1887">
        <v>3.7</v>
      </c>
      <c r="BV1887" t="s">
        <v>263</v>
      </c>
      <c r="CM1887" t="s">
        <v>264</v>
      </c>
      <c r="CN1887" t="s">
        <v>264</v>
      </c>
      <c r="CP1887" t="s">
        <v>265</v>
      </c>
      <c r="DB1887">
        <v>1</v>
      </c>
      <c r="DG1887" t="s">
        <v>267</v>
      </c>
      <c r="DI1887">
        <v>24</v>
      </c>
      <c r="DN1887" t="s">
        <v>268</v>
      </c>
      <c r="DR1887">
        <v>6660</v>
      </c>
      <c r="DS1887">
        <v>421</v>
      </c>
      <c r="DT1887" t="s">
        <v>2665</v>
      </c>
      <c r="EW1887" t="s">
        <v>293</v>
      </c>
      <c r="FA1887" t="s">
        <v>2789</v>
      </c>
      <c r="FM1887">
        <v>25</v>
      </c>
      <c r="FR1887" t="s">
        <v>295</v>
      </c>
      <c r="GU1887">
        <v>15</v>
      </c>
      <c r="GZ1887" t="s">
        <v>296</v>
      </c>
      <c r="HH1887" t="s">
        <v>272</v>
      </c>
      <c r="IE1887" t="s">
        <v>2667</v>
      </c>
      <c r="IF1887">
        <v>16031</v>
      </c>
      <c r="IG1887" t="s">
        <v>2668</v>
      </c>
      <c r="IH1887" t="s">
        <v>2669</v>
      </c>
      <c r="II1887">
        <v>1995</v>
      </c>
      <c r="IJ1887" t="s">
        <v>2670</v>
      </c>
    </row>
    <row r="1888" spans="1:244" x14ac:dyDescent="0.45">
      <c r="A1888">
        <v>1176484</v>
      </c>
      <c r="B1888">
        <v>156502</v>
      </c>
      <c r="C1888">
        <v>10108642</v>
      </c>
      <c r="D1888" t="s">
        <v>3523</v>
      </c>
      <c r="F1888" t="s">
        <v>245</v>
      </c>
      <c r="G1888" t="s">
        <v>246</v>
      </c>
      <c r="N1888" t="s">
        <v>3550</v>
      </c>
      <c r="O1888" t="s">
        <v>578</v>
      </c>
      <c r="P1888" t="s">
        <v>249</v>
      </c>
      <c r="Q1888" t="s">
        <v>250</v>
      </c>
      <c r="R1888" t="s">
        <v>251</v>
      </c>
      <c r="T1888" t="s">
        <v>252</v>
      </c>
      <c r="U1888" t="s">
        <v>499</v>
      </c>
      <c r="V1888" t="s">
        <v>3551</v>
      </c>
      <c r="W1888" t="s">
        <v>3552</v>
      </c>
      <c r="X1888" t="s">
        <v>3553</v>
      </c>
      <c r="AM1888" t="s">
        <v>317</v>
      </c>
      <c r="AN1888" t="s">
        <v>259</v>
      </c>
      <c r="AO1888" t="s">
        <v>260</v>
      </c>
      <c r="AQ1888" t="s">
        <v>261</v>
      </c>
      <c r="AS1888">
        <v>340</v>
      </c>
      <c r="AX1888" t="s">
        <v>262</v>
      </c>
      <c r="BO1888" t="s">
        <v>261</v>
      </c>
      <c r="BQ1888">
        <v>0.34</v>
      </c>
      <c r="BV1888" t="s">
        <v>263</v>
      </c>
      <c r="CM1888" t="s">
        <v>264</v>
      </c>
      <c r="CN1888" t="s">
        <v>264</v>
      </c>
      <c r="CP1888" t="s">
        <v>265</v>
      </c>
      <c r="CQ1888" t="s">
        <v>890</v>
      </c>
      <c r="DB1888">
        <v>3</v>
      </c>
      <c r="DG1888" t="s">
        <v>267</v>
      </c>
      <c r="DI1888">
        <v>72</v>
      </c>
      <c r="DN1888" t="s">
        <v>268</v>
      </c>
      <c r="DS1888">
        <v>4655</v>
      </c>
      <c r="EW1888" t="s">
        <v>271</v>
      </c>
      <c r="HH1888" t="s">
        <v>272</v>
      </c>
      <c r="IE1888" t="s">
        <v>3527</v>
      </c>
      <c r="IF1888">
        <v>15300</v>
      </c>
      <c r="IG1888" t="s">
        <v>3528</v>
      </c>
      <c r="IH1888" t="s">
        <v>3529</v>
      </c>
      <c r="II1888">
        <v>1979</v>
      </c>
      <c r="IJ1888" t="s">
        <v>3530</v>
      </c>
    </row>
    <row r="1889" spans="1:244" x14ac:dyDescent="0.45">
      <c r="A1889">
        <v>1176479</v>
      </c>
      <c r="B1889">
        <v>156497</v>
      </c>
      <c r="C1889">
        <v>10108642</v>
      </c>
      <c r="D1889" t="s">
        <v>3523</v>
      </c>
      <c r="F1889" t="s">
        <v>245</v>
      </c>
      <c r="G1889" t="s">
        <v>246</v>
      </c>
      <c r="N1889" t="s">
        <v>3550</v>
      </c>
      <c r="O1889" t="s">
        <v>578</v>
      </c>
      <c r="P1889" t="s">
        <v>249</v>
      </c>
      <c r="Q1889" t="s">
        <v>250</v>
      </c>
      <c r="R1889" t="s">
        <v>251</v>
      </c>
      <c r="T1889" t="s">
        <v>252</v>
      </c>
      <c r="U1889" t="s">
        <v>499</v>
      </c>
      <c r="V1889" t="s">
        <v>3551</v>
      </c>
      <c r="W1889" t="s">
        <v>3552</v>
      </c>
      <c r="X1889" t="s">
        <v>3553</v>
      </c>
      <c r="AM1889" t="s">
        <v>317</v>
      </c>
      <c r="AN1889" t="s">
        <v>259</v>
      </c>
      <c r="AO1889" t="s">
        <v>260</v>
      </c>
      <c r="AQ1889" t="s">
        <v>261</v>
      </c>
      <c r="AS1889">
        <v>1640</v>
      </c>
      <c r="AX1889" t="s">
        <v>262</v>
      </c>
      <c r="BO1889" t="s">
        <v>261</v>
      </c>
      <c r="BQ1889">
        <v>1.64</v>
      </c>
      <c r="BV1889" t="s">
        <v>263</v>
      </c>
      <c r="CM1889" t="s">
        <v>264</v>
      </c>
      <c r="CN1889" t="s">
        <v>264</v>
      </c>
      <c r="CP1889" t="s">
        <v>265</v>
      </c>
      <c r="CQ1889" t="s">
        <v>890</v>
      </c>
      <c r="DB1889">
        <v>3</v>
      </c>
      <c r="DG1889" t="s">
        <v>267</v>
      </c>
      <c r="DI1889">
        <v>72</v>
      </c>
      <c r="DN1889" t="s">
        <v>268</v>
      </c>
      <c r="DS1889">
        <v>4655</v>
      </c>
      <c r="EW1889" t="s">
        <v>271</v>
      </c>
      <c r="HH1889" t="s">
        <v>272</v>
      </c>
      <c r="IE1889" t="s">
        <v>3527</v>
      </c>
      <c r="IF1889">
        <v>15300</v>
      </c>
      <c r="IG1889" t="s">
        <v>3528</v>
      </c>
      <c r="IH1889" t="s">
        <v>3529</v>
      </c>
      <c r="II1889">
        <v>1979</v>
      </c>
      <c r="IJ1889" t="s">
        <v>3530</v>
      </c>
    </row>
    <row r="1890" spans="1:244" x14ac:dyDescent="0.45">
      <c r="A1890">
        <v>1082587</v>
      </c>
      <c r="B1890">
        <v>118482</v>
      </c>
      <c r="C1890">
        <v>10108642</v>
      </c>
      <c r="D1890" t="s">
        <v>3523</v>
      </c>
      <c r="F1890" t="s">
        <v>245</v>
      </c>
      <c r="G1890" t="s">
        <v>246</v>
      </c>
      <c r="N1890" t="s">
        <v>497</v>
      </c>
      <c r="O1890" t="s">
        <v>498</v>
      </c>
      <c r="P1890" t="s">
        <v>249</v>
      </c>
      <c r="Q1890" t="s">
        <v>250</v>
      </c>
      <c r="R1890" t="s">
        <v>251</v>
      </c>
      <c r="T1890" t="s">
        <v>252</v>
      </c>
      <c r="U1890" t="s">
        <v>499</v>
      </c>
      <c r="V1890" t="s">
        <v>500</v>
      </c>
      <c r="W1890" t="s">
        <v>501</v>
      </c>
      <c r="X1890" t="s">
        <v>502</v>
      </c>
      <c r="Z1890" t="s">
        <v>1057</v>
      </c>
      <c r="AL1890" t="s">
        <v>3554</v>
      </c>
      <c r="AM1890" t="s">
        <v>317</v>
      </c>
      <c r="AN1890" t="s">
        <v>259</v>
      </c>
      <c r="AO1890" t="s">
        <v>260</v>
      </c>
      <c r="AQ1890" t="s">
        <v>261</v>
      </c>
      <c r="AS1890">
        <v>1.6</v>
      </c>
      <c r="AX1890" t="s">
        <v>710</v>
      </c>
      <c r="BO1890" t="s">
        <v>261</v>
      </c>
      <c r="BQ1890">
        <v>0.2933056</v>
      </c>
      <c r="BV1890" t="s">
        <v>263</v>
      </c>
      <c r="CM1890" t="s">
        <v>264</v>
      </c>
      <c r="CN1890" t="s">
        <v>264</v>
      </c>
      <c r="CP1890" t="s">
        <v>265</v>
      </c>
      <c r="CQ1890" t="s">
        <v>890</v>
      </c>
      <c r="DB1890">
        <v>4</v>
      </c>
      <c r="DG1890" t="s">
        <v>267</v>
      </c>
      <c r="DI1890">
        <v>96</v>
      </c>
      <c r="DN1890" t="s">
        <v>268</v>
      </c>
      <c r="DP1890" t="s">
        <v>2185</v>
      </c>
      <c r="DR1890">
        <v>1400849</v>
      </c>
      <c r="DS1890">
        <v>4389</v>
      </c>
      <c r="DT1890" t="s">
        <v>3555</v>
      </c>
      <c r="EW1890" t="s">
        <v>271</v>
      </c>
      <c r="FM1890">
        <v>24</v>
      </c>
      <c r="FR1890" t="s">
        <v>295</v>
      </c>
      <c r="GG1890" t="s">
        <v>288</v>
      </c>
      <c r="GH1890">
        <v>93</v>
      </c>
      <c r="GM1890" t="s">
        <v>900</v>
      </c>
      <c r="GO1890">
        <v>8.1</v>
      </c>
      <c r="HH1890" t="s">
        <v>272</v>
      </c>
      <c r="IE1890" t="s">
        <v>3556</v>
      </c>
      <c r="IF1890">
        <v>6416</v>
      </c>
      <c r="IG1890" t="s">
        <v>3557</v>
      </c>
      <c r="IH1890" t="s">
        <v>3558</v>
      </c>
      <c r="II1890">
        <v>1992</v>
      </c>
      <c r="IJ1890" t="s">
        <v>3559</v>
      </c>
    </row>
    <row r="1891" spans="1:244" x14ac:dyDescent="0.45">
      <c r="A1891">
        <v>1176462</v>
      </c>
      <c r="B1891">
        <v>131563</v>
      </c>
      <c r="C1891">
        <v>10108642</v>
      </c>
      <c r="D1891" t="s">
        <v>3523</v>
      </c>
      <c r="F1891" t="s">
        <v>245</v>
      </c>
      <c r="G1891" t="s">
        <v>246</v>
      </c>
      <c r="N1891" t="s">
        <v>3524</v>
      </c>
      <c r="O1891" t="s">
        <v>498</v>
      </c>
      <c r="P1891" t="s">
        <v>249</v>
      </c>
      <c r="Q1891" t="s">
        <v>250</v>
      </c>
      <c r="R1891" t="s">
        <v>251</v>
      </c>
      <c r="T1891" t="s">
        <v>252</v>
      </c>
      <c r="U1891" t="s">
        <v>1244</v>
      </c>
      <c r="V1891" t="s">
        <v>1314</v>
      </c>
      <c r="W1891" t="s">
        <v>3525</v>
      </c>
      <c r="X1891" t="s">
        <v>3526</v>
      </c>
      <c r="Z1891" t="s">
        <v>1677</v>
      </c>
      <c r="AL1891" t="s">
        <v>3574</v>
      </c>
      <c r="AM1891" t="s">
        <v>317</v>
      </c>
      <c r="AN1891" t="s">
        <v>259</v>
      </c>
      <c r="AO1891" t="s">
        <v>260</v>
      </c>
      <c r="AQ1891" t="s">
        <v>261</v>
      </c>
      <c r="AS1891">
        <v>5860</v>
      </c>
      <c r="AX1891" t="s">
        <v>262</v>
      </c>
      <c r="BO1891" t="s">
        <v>261</v>
      </c>
      <c r="BQ1891">
        <v>5.86</v>
      </c>
      <c r="BV1891" t="s">
        <v>263</v>
      </c>
      <c r="CM1891" t="s">
        <v>264</v>
      </c>
      <c r="CN1891" t="s">
        <v>264</v>
      </c>
      <c r="CP1891" t="s">
        <v>265</v>
      </c>
      <c r="CQ1891" t="s">
        <v>890</v>
      </c>
      <c r="DB1891">
        <v>4</v>
      </c>
      <c r="DG1891" t="s">
        <v>267</v>
      </c>
      <c r="DI1891">
        <v>96</v>
      </c>
      <c r="DN1891" t="s">
        <v>268</v>
      </c>
      <c r="DR1891">
        <v>1131516</v>
      </c>
      <c r="DS1891">
        <v>4704</v>
      </c>
      <c r="EW1891" t="s">
        <v>271</v>
      </c>
      <c r="HH1891" t="s">
        <v>272</v>
      </c>
      <c r="IE1891" t="s">
        <v>3527</v>
      </c>
      <c r="IF1891">
        <v>15300</v>
      </c>
      <c r="IG1891" t="s">
        <v>3528</v>
      </c>
      <c r="IH1891" t="s">
        <v>3529</v>
      </c>
      <c r="II1891">
        <v>1979</v>
      </c>
      <c r="IJ1891" t="s">
        <v>3530</v>
      </c>
    </row>
    <row r="1892" spans="1:244" x14ac:dyDescent="0.45">
      <c r="A1892">
        <v>1176471</v>
      </c>
      <c r="B1892">
        <v>131572</v>
      </c>
      <c r="C1892">
        <v>10108642</v>
      </c>
      <c r="D1892" t="s">
        <v>3523</v>
      </c>
      <c r="F1892" t="s">
        <v>245</v>
      </c>
      <c r="G1892" t="s">
        <v>246</v>
      </c>
      <c r="N1892" t="s">
        <v>3524</v>
      </c>
      <c r="O1892" t="s">
        <v>498</v>
      </c>
      <c r="P1892" t="s">
        <v>249</v>
      </c>
      <c r="Q1892" t="s">
        <v>250</v>
      </c>
      <c r="R1892" t="s">
        <v>251</v>
      </c>
      <c r="T1892" t="s">
        <v>252</v>
      </c>
      <c r="U1892" t="s">
        <v>1244</v>
      </c>
      <c r="V1892" t="s">
        <v>1314</v>
      </c>
      <c r="W1892" t="s">
        <v>3525</v>
      </c>
      <c r="X1892" t="s">
        <v>3526</v>
      </c>
      <c r="AL1892" t="s">
        <v>2223</v>
      </c>
      <c r="AM1892" t="s">
        <v>317</v>
      </c>
      <c r="AN1892" t="s">
        <v>259</v>
      </c>
      <c r="AO1892" t="s">
        <v>260</v>
      </c>
      <c r="AQ1892" t="s">
        <v>261</v>
      </c>
      <c r="AS1892">
        <v>2320</v>
      </c>
      <c r="AX1892" t="s">
        <v>262</v>
      </c>
      <c r="BO1892" t="s">
        <v>261</v>
      </c>
      <c r="BQ1892">
        <v>2.3199999999999998</v>
      </c>
      <c r="BV1892" t="s">
        <v>263</v>
      </c>
      <c r="CM1892" t="s">
        <v>264</v>
      </c>
      <c r="CN1892" t="s">
        <v>264</v>
      </c>
      <c r="CP1892" t="s">
        <v>265</v>
      </c>
      <c r="CQ1892" t="s">
        <v>890</v>
      </c>
      <c r="DB1892">
        <v>3</v>
      </c>
      <c r="DG1892" t="s">
        <v>267</v>
      </c>
      <c r="DI1892">
        <v>72</v>
      </c>
      <c r="DN1892" t="s">
        <v>268</v>
      </c>
      <c r="DR1892">
        <v>1131516</v>
      </c>
      <c r="DS1892">
        <v>4704</v>
      </c>
      <c r="EW1892" t="s">
        <v>271</v>
      </c>
      <c r="HH1892" t="s">
        <v>272</v>
      </c>
      <c r="IE1892" t="s">
        <v>3527</v>
      </c>
      <c r="IF1892">
        <v>15300</v>
      </c>
      <c r="IG1892" t="s">
        <v>3528</v>
      </c>
      <c r="IH1892" t="s">
        <v>3529</v>
      </c>
      <c r="II1892">
        <v>1979</v>
      </c>
      <c r="IJ1892" t="s">
        <v>3530</v>
      </c>
    </row>
    <row r="1893" spans="1:244" x14ac:dyDescent="0.45">
      <c r="A1893">
        <v>1176463</v>
      </c>
      <c r="B1893">
        <v>131564</v>
      </c>
      <c r="C1893">
        <v>10108642</v>
      </c>
      <c r="D1893" t="s">
        <v>3523</v>
      </c>
      <c r="F1893" t="s">
        <v>245</v>
      </c>
      <c r="G1893" t="s">
        <v>246</v>
      </c>
      <c r="N1893" t="s">
        <v>3524</v>
      </c>
      <c r="O1893" t="s">
        <v>498</v>
      </c>
      <c r="P1893" t="s">
        <v>249</v>
      </c>
      <c r="Q1893" t="s">
        <v>250</v>
      </c>
      <c r="R1893" t="s">
        <v>251</v>
      </c>
      <c r="T1893" t="s">
        <v>252</v>
      </c>
      <c r="U1893" t="s">
        <v>1244</v>
      </c>
      <c r="V1893" t="s">
        <v>1314</v>
      </c>
      <c r="W1893" t="s">
        <v>3525</v>
      </c>
      <c r="X1893" t="s">
        <v>3526</v>
      </c>
      <c r="AL1893" t="s">
        <v>2223</v>
      </c>
      <c r="AM1893" t="s">
        <v>317</v>
      </c>
      <c r="AN1893" t="s">
        <v>259</v>
      </c>
      <c r="AO1893" t="s">
        <v>260</v>
      </c>
      <c r="AQ1893" t="s">
        <v>261</v>
      </c>
      <c r="AS1893">
        <v>3490</v>
      </c>
      <c r="AX1893" t="s">
        <v>262</v>
      </c>
      <c r="BO1893" t="s">
        <v>261</v>
      </c>
      <c r="BQ1893">
        <v>3.49</v>
      </c>
      <c r="BV1893" t="s">
        <v>263</v>
      </c>
      <c r="CM1893" t="s">
        <v>264</v>
      </c>
      <c r="CN1893" t="s">
        <v>264</v>
      </c>
      <c r="CP1893" t="s">
        <v>265</v>
      </c>
      <c r="CQ1893" t="s">
        <v>890</v>
      </c>
      <c r="DB1893">
        <v>4</v>
      </c>
      <c r="DG1893" t="s">
        <v>267</v>
      </c>
      <c r="DI1893">
        <v>96</v>
      </c>
      <c r="DN1893" t="s">
        <v>268</v>
      </c>
      <c r="DR1893">
        <v>1131516</v>
      </c>
      <c r="DS1893">
        <v>4704</v>
      </c>
      <c r="EW1893" t="s">
        <v>271</v>
      </c>
      <c r="HH1893" t="s">
        <v>272</v>
      </c>
      <c r="IE1893" t="s">
        <v>3527</v>
      </c>
      <c r="IF1893">
        <v>15300</v>
      </c>
      <c r="IG1893" t="s">
        <v>3528</v>
      </c>
      <c r="IH1893" t="s">
        <v>3529</v>
      </c>
      <c r="II1893">
        <v>1979</v>
      </c>
      <c r="IJ1893" t="s">
        <v>3530</v>
      </c>
    </row>
    <row r="1894" spans="1:244" x14ac:dyDescent="0.45">
      <c r="A1894">
        <v>2000625</v>
      </c>
      <c r="B1894">
        <v>2001194</v>
      </c>
      <c r="C1894">
        <v>10108642</v>
      </c>
      <c r="D1894" t="s">
        <v>3523</v>
      </c>
      <c r="F1894" t="s">
        <v>327</v>
      </c>
      <c r="G1894" t="s">
        <v>1550</v>
      </c>
      <c r="N1894" t="s">
        <v>1705</v>
      </c>
      <c r="O1894" t="s">
        <v>1706</v>
      </c>
      <c r="P1894" t="s">
        <v>249</v>
      </c>
      <c r="Q1894" t="s">
        <v>250</v>
      </c>
      <c r="R1894" t="s">
        <v>251</v>
      </c>
      <c r="T1894" t="s">
        <v>347</v>
      </c>
      <c r="U1894" t="s">
        <v>1707</v>
      </c>
      <c r="V1894" t="s">
        <v>1708</v>
      </c>
      <c r="W1894" t="s">
        <v>1709</v>
      </c>
      <c r="X1894" t="s">
        <v>1710</v>
      </c>
      <c r="Z1894" t="s">
        <v>649</v>
      </c>
      <c r="AD1894">
        <v>12</v>
      </c>
      <c r="AF1894">
        <v>24</v>
      </c>
      <c r="AG1894" t="s">
        <v>268</v>
      </c>
      <c r="AI1894">
        <v>3</v>
      </c>
      <c r="AJ1894" t="s">
        <v>354</v>
      </c>
      <c r="AL1894" t="s">
        <v>3575</v>
      </c>
      <c r="AM1894" t="s">
        <v>317</v>
      </c>
      <c r="AN1894" t="s">
        <v>259</v>
      </c>
      <c r="AO1894" t="s">
        <v>260</v>
      </c>
      <c r="AQ1894" t="s">
        <v>261</v>
      </c>
      <c r="AS1894">
        <v>1.87</v>
      </c>
      <c r="AU1894">
        <v>1.46</v>
      </c>
      <c r="AW1894">
        <v>2.3199999999999998</v>
      </c>
      <c r="AX1894" t="s">
        <v>356</v>
      </c>
      <c r="BO1894" t="s">
        <v>261</v>
      </c>
      <c r="BQ1894">
        <v>1.87</v>
      </c>
      <c r="BS1894">
        <v>1.46</v>
      </c>
      <c r="BU1894">
        <v>2.3199999999999998</v>
      </c>
      <c r="BV1894" t="s">
        <v>263</v>
      </c>
      <c r="CM1894" t="s">
        <v>264</v>
      </c>
      <c r="CN1894" t="s">
        <v>264</v>
      </c>
      <c r="CP1894" t="s">
        <v>265</v>
      </c>
      <c r="CQ1894" t="s">
        <v>890</v>
      </c>
      <c r="DB1894">
        <v>2</v>
      </c>
      <c r="DG1894" t="s">
        <v>267</v>
      </c>
      <c r="DI1894">
        <v>48</v>
      </c>
      <c r="DN1894" t="s">
        <v>268</v>
      </c>
      <c r="DP1894" t="s">
        <v>3576</v>
      </c>
      <c r="DR1894">
        <v>700594</v>
      </c>
      <c r="DS1894">
        <v>4630</v>
      </c>
      <c r="DT1894" t="s">
        <v>3577</v>
      </c>
      <c r="DV1894">
        <v>48</v>
      </c>
      <c r="EA1894" t="s">
        <v>268</v>
      </c>
      <c r="EC1894">
        <v>2</v>
      </c>
      <c r="EH1894" t="s">
        <v>267</v>
      </c>
      <c r="EJ1894">
        <v>48</v>
      </c>
      <c r="EO1894" t="s">
        <v>268</v>
      </c>
      <c r="EQ1894">
        <v>2</v>
      </c>
      <c r="EV1894" t="s">
        <v>267</v>
      </c>
      <c r="EW1894" t="s">
        <v>293</v>
      </c>
      <c r="EY1894" t="s">
        <v>377</v>
      </c>
      <c r="EZ1894">
        <v>10</v>
      </c>
      <c r="FA1894" t="s">
        <v>3578</v>
      </c>
      <c r="FM1894">
        <v>20</v>
      </c>
      <c r="FR1894" t="s">
        <v>295</v>
      </c>
      <c r="GG1894" t="s">
        <v>288</v>
      </c>
      <c r="GH1894">
        <v>90</v>
      </c>
      <c r="GM1894" t="s">
        <v>900</v>
      </c>
      <c r="GQ1894">
        <v>8</v>
      </c>
      <c r="GS1894">
        <v>8.1999999999999993</v>
      </c>
      <c r="GU1894">
        <v>10</v>
      </c>
      <c r="GZ1894" t="s">
        <v>296</v>
      </c>
      <c r="HH1894" t="s">
        <v>272</v>
      </c>
      <c r="IE1894" t="s">
        <v>3579</v>
      </c>
      <c r="IF1894">
        <v>118182</v>
      </c>
      <c r="IG1894" t="s">
        <v>3580</v>
      </c>
      <c r="IH1894" t="s">
        <v>3581</v>
      </c>
      <c r="II1894">
        <v>2009</v>
      </c>
      <c r="IJ1894" t="s">
        <v>3582</v>
      </c>
    </row>
    <row r="1895" spans="1:244" x14ac:dyDescent="0.45">
      <c r="A1895">
        <v>1176476</v>
      </c>
      <c r="B1895">
        <v>156494</v>
      </c>
      <c r="C1895">
        <v>10108642</v>
      </c>
      <c r="D1895" t="s">
        <v>3523</v>
      </c>
      <c r="F1895" t="s">
        <v>245</v>
      </c>
      <c r="G1895" t="s">
        <v>246</v>
      </c>
      <c r="N1895" t="s">
        <v>3550</v>
      </c>
      <c r="O1895" t="s">
        <v>578</v>
      </c>
      <c r="P1895" t="s">
        <v>249</v>
      </c>
      <c r="Q1895" t="s">
        <v>250</v>
      </c>
      <c r="R1895" t="s">
        <v>251</v>
      </c>
      <c r="T1895" t="s">
        <v>252</v>
      </c>
      <c r="U1895" t="s">
        <v>499</v>
      </c>
      <c r="V1895" t="s">
        <v>3551</v>
      </c>
      <c r="W1895" t="s">
        <v>3552</v>
      </c>
      <c r="X1895" t="s">
        <v>3553</v>
      </c>
      <c r="AM1895" t="s">
        <v>317</v>
      </c>
      <c r="AN1895" t="s">
        <v>259</v>
      </c>
      <c r="AO1895" t="s">
        <v>260</v>
      </c>
      <c r="AQ1895" t="s">
        <v>261</v>
      </c>
      <c r="AS1895">
        <v>760</v>
      </c>
      <c r="AX1895" t="s">
        <v>262</v>
      </c>
      <c r="BO1895" t="s">
        <v>261</v>
      </c>
      <c r="BQ1895">
        <v>0.76</v>
      </c>
      <c r="BV1895" t="s">
        <v>263</v>
      </c>
      <c r="CM1895" t="s">
        <v>264</v>
      </c>
      <c r="CN1895" t="s">
        <v>264</v>
      </c>
      <c r="CP1895" t="s">
        <v>265</v>
      </c>
      <c r="CQ1895" t="s">
        <v>890</v>
      </c>
      <c r="DB1895">
        <v>4</v>
      </c>
      <c r="DG1895" t="s">
        <v>267</v>
      </c>
      <c r="DI1895">
        <v>96</v>
      </c>
      <c r="DN1895" t="s">
        <v>268</v>
      </c>
      <c r="DS1895">
        <v>4655</v>
      </c>
      <c r="EW1895" t="s">
        <v>271</v>
      </c>
      <c r="HH1895" t="s">
        <v>272</v>
      </c>
      <c r="IE1895" t="s">
        <v>3527</v>
      </c>
      <c r="IF1895">
        <v>15300</v>
      </c>
      <c r="IG1895" t="s">
        <v>3528</v>
      </c>
      <c r="IH1895" t="s">
        <v>3529</v>
      </c>
      <c r="II1895">
        <v>1979</v>
      </c>
      <c r="IJ1895" t="s">
        <v>3530</v>
      </c>
    </row>
    <row r="1896" spans="1:244" x14ac:dyDescent="0.45">
      <c r="A1896">
        <v>2000625</v>
      </c>
      <c r="B1896">
        <v>2001190</v>
      </c>
      <c r="C1896">
        <v>10108642</v>
      </c>
      <c r="D1896" t="s">
        <v>3523</v>
      </c>
      <c r="F1896" t="s">
        <v>327</v>
      </c>
      <c r="G1896" t="s">
        <v>1550</v>
      </c>
      <c r="N1896" t="s">
        <v>1705</v>
      </c>
      <c r="O1896" t="s">
        <v>1706</v>
      </c>
      <c r="P1896" t="s">
        <v>249</v>
      </c>
      <c r="Q1896" t="s">
        <v>250</v>
      </c>
      <c r="R1896" t="s">
        <v>251</v>
      </c>
      <c r="T1896" t="s">
        <v>347</v>
      </c>
      <c r="U1896" t="s">
        <v>1707</v>
      </c>
      <c r="V1896" t="s">
        <v>1708</v>
      </c>
      <c r="W1896" t="s">
        <v>1709</v>
      </c>
      <c r="X1896" t="s">
        <v>1710</v>
      </c>
      <c r="Z1896" t="s">
        <v>649</v>
      </c>
      <c r="AD1896">
        <v>12</v>
      </c>
      <c r="AF1896">
        <v>24</v>
      </c>
      <c r="AG1896" t="s">
        <v>268</v>
      </c>
      <c r="AI1896">
        <v>3</v>
      </c>
      <c r="AJ1896" t="s">
        <v>354</v>
      </c>
      <c r="AL1896" t="s">
        <v>3575</v>
      </c>
      <c r="AM1896" t="s">
        <v>317</v>
      </c>
      <c r="AN1896" t="s">
        <v>259</v>
      </c>
      <c r="AO1896" t="s">
        <v>260</v>
      </c>
      <c r="AQ1896" t="s">
        <v>261</v>
      </c>
      <c r="AS1896">
        <v>9.59</v>
      </c>
      <c r="AU1896">
        <v>8.91</v>
      </c>
      <c r="AW1896">
        <v>10.26</v>
      </c>
      <c r="AX1896" t="s">
        <v>356</v>
      </c>
      <c r="BO1896" t="s">
        <v>261</v>
      </c>
      <c r="BQ1896">
        <v>9.59</v>
      </c>
      <c r="BS1896">
        <v>8.91</v>
      </c>
      <c r="BU1896">
        <v>10.26</v>
      </c>
      <c r="BV1896" t="s">
        <v>263</v>
      </c>
      <c r="CM1896" t="s">
        <v>264</v>
      </c>
      <c r="CN1896" t="s">
        <v>264</v>
      </c>
      <c r="CP1896" t="s">
        <v>265</v>
      </c>
      <c r="CQ1896" t="s">
        <v>890</v>
      </c>
      <c r="DB1896">
        <v>1</v>
      </c>
      <c r="DG1896" t="s">
        <v>267</v>
      </c>
      <c r="DI1896">
        <v>24</v>
      </c>
      <c r="DN1896" t="s">
        <v>268</v>
      </c>
      <c r="DP1896" t="s">
        <v>3576</v>
      </c>
      <c r="DR1896">
        <v>700594</v>
      </c>
      <c r="DS1896">
        <v>4630</v>
      </c>
      <c r="DT1896" t="s">
        <v>3577</v>
      </c>
      <c r="DV1896">
        <v>48</v>
      </c>
      <c r="EA1896" t="s">
        <v>268</v>
      </c>
      <c r="EC1896">
        <v>2</v>
      </c>
      <c r="EH1896" t="s">
        <v>267</v>
      </c>
      <c r="EJ1896">
        <v>48</v>
      </c>
      <c r="EO1896" t="s">
        <v>268</v>
      </c>
      <c r="EQ1896">
        <v>2</v>
      </c>
      <c r="EV1896" t="s">
        <v>267</v>
      </c>
      <c r="EW1896" t="s">
        <v>293</v>
      </c>
      <c r="EY1896" t="s">
        <v>377</v>
      </c>
      <c r="EZ1896">
        <v>10</v>
      </c>
      <c r="FA1896" t="s">
        <v>3578</v>
      </c>
      <c r="FM1896">
        <v>20</v>
      </c>
      <c r="FR1896" t="s">
        <v>295</v>
      </c>
      <c r="GG1896" t="s">
        <v>288</v>
      </c>
      <c r="GH1896">
        <v>90</v>
      </c>
      <c r="GM1896" t="s">
        <v>900</v>
      </c>
      <c r="GQ1896">
        <v>8</v>
      </c>
      <c r="GS1896">
        <v>8.1999999999999993</v>
      </c>
      <c r="GU1896">
        <v>10</v>
      </c>
      <c r="GZ1896" t="s">
        <v>296</v>
      </c>
      <c r="HH1896" t="s">
        <v>272</v>
      </c>
      <c r="IE1896" t="s">
        <v>3579</v>
      </c>
      <c r="IF1896">
        <v>118182</v>
      </c>
      <c r="IG1896" t="s">
        <v>3580</v>
      </c>
      <c r="IH1896" t="s">
        <v>3581</v>
      </c>
      <c r="II1896">
        <v>2009</v>
      </c>
      <c r="IJ1896" t="s">
        <v>3582</v>
      </c>
    </row>
    <row r="1897" spans="1:244" x14ac:dyDescent="0.45">
      <c r="A1897">
        <v>1176469</v>
      </c>
      <c r="B1897">
        <v>131570</v>
      </c>
      <c r="C1897">
        <v>10108642</v>
      </c>
      <c r="D1897" t="s">
        <v>3523</v>
      </c>
      <c r="F1897" t="s">
        <v>245</v>
      </c>
      <c r="G1897" t="s">
        <v>246</v>
      </c>
      <c r="N1897" t="s">
        <v>3524</v>
      </c>
      <c r="O1897" t="s">
        <v>498</v>
      </c>
      <c r="P1897" t="s">
        <v>249</v>
      </c>
      <c r="Q1897" t="s">
        <v>250</v>
      </c>
      <c r="R1897" t="s">
        <v>251</v>
      </c>
      <c r="T1897" t="s">
        <v>252</v>
      </c>
      <c r="U1897" t="s">
        <v>1244</v>
      </c>
      <c r="V1897" t="s">
        <v>1314</v>
      </c>
      <c r="W1897" t="s">
        <v>3525</v>
      </c>
      <c r="X1897" t="s">
        <v>3526</v>
      </c>
      <c r="AL1897" t="s">
        <v>2223</v>
      </c>
      <c r="AM1897" t="s">
        <v>317</v>
      </c>
      <c r="AN1897" t="s">
        <v>259</v>
      </c>
      <c r="AO1897" t="s">
        <v>260</v>
      </c>
      <c r="AQ1897" t="s">
        <v>261</v>
      </c>
      <c r="AS1897">
        <v>4800</v>
      </c>
      <c r="AX1897" t="s">
        <v>262</v>
      </c>
      <c r="BO1897" t="s">
        <v>261</v>
      </c>
      <c r="BQ1897">
        <v>4.8</v>
      </c>
      <c r="BV1897" t="s">
        <v>263</v>
      </c>
      <c r="CM1897" t="s">
        <v>264</v>
      </c>
      <c r="CN1897" t="s">
        <v>264</v>
      </c>
      <c r="CP1897" t="s">
        <v>265</v>
      </c>
      <c r="CQ1897" t="s">
        <v>890</v>
      </c>
      <c r="DB1897">
        <v>3</v>
      </c>
      <c r="DG1897" t="s">
        <v>267</v>
      </c>
      <c r="DI1897">
        <v>72</v>
      </c>
      <c r="DN1897" t="s">
        <v>268</v>
      </c>
      <c r="DR1897">
        <v>1131516</v>
      </c>
      <c r="DS1897">
        <v>4704</v>
      </c>
      <c r="EW1897" t="s">
        <v>271</v>
      </c>
      <c r="HH1897" t="s">
        <v>272</v>
      </c>
      <c r="IE1897" t="s">
        <v>3527</v>
      </c>
      <c r="IF1897">
        <v>15300</v>
      </c>
      <c r="IG1897" t="s">
        <v>3528</v>
      </c>
      <c r="IH1897" t="s">
        <v>3529</v>
      </c>
      <c r="II1897">
        <v>1979</v>
      </c>
      <c r="IJ1897" t="s">
        <v>3530</v>
      </c>
    </row>
    <row r="1898" spans="1:244" x14ac:dyDescent="0.45">
      <c r="A1898">
        <v>1041184</v>
      </c>
      <c r="B1898">
        <v>110027</v>
      </c>
      <c r="C1898">
        <v>10108642</v>
      </c>
      <c r="D1898" t="s">
        <v>3523</v>
      </c>
      <c r="F1898" t="s">
        <v>245</v>
      </c>
      <c r="G1898" t="s">
        <v>246</v>
      </c>
      <c r="N1898" t="s">
        <v>1280</v>
      </c>
      <c r="O1898" t="s">
        <v>498</v>
      </c>
      <c r="P1898" t="s">
        <v>249</v>
      </c>
      <c r="Q1898" t="s">
        <v>250</v>
      </c>
      <c r="R1898" t="s">
        <v>251</v>
      </c>
      <c r="T1898" t="s">
        <v>252</v>
      </c>
      <c r="U1898" t="s">
        <v>499</v>
      </c>
      <c r="V1898" t="s">
        <v>1281</v>
      </c>
      <c r="W1898" t="s">
        <v>1282</v>
      </c>
      <c r="X1898" t="s">
        <v>1283</v>
      </c>
      <c r="AM1898" t="s">
        <v>317</v>
      </c>
      <c r="AN1898" t="s">
        <v>259</v>
      </c>
      <c r="AO1898" t="s">
        <v>260</v>
      </c>
      <c r="AQ1898" t="s">
        <v>261</v>
      </c>
      <c r="AS1898">
        <v>1270</v>
      </c>
      <c r="AU1898">
        <v>940</v>
      </c>
      <c r="AW1898">
        <v>1460</v>
      </c>
      <c r="AX1898" t="s">
        <v>262</v>
      </c>
      <c r="BO1898" t="s">
        <v>261</v>
      </c>
      <c r="BQ1898">
        <v>1.27</v>
      </c>
      <c r="BS1898">
        <v>0.94</v>
      </c>
      <c r="BU1898">
        <v>1.46</v>
      </c>
      <c r="BV1898" t="s">
        <v>263</v>
      </c>
      <c r="CM1898" t="s">
        <v>264</v>
      </c>
      <c r="CN1898" t="s">
        <v>264</v>
      </c>
      <c r="CP1898" t="s">
        <v>265</v>
      </c>
      <c r="DB1898">
        <v>4</v>
      </c>
      <c r="DG1898" t="s">
        <v>267</v>
      </c>
      <c r="DI1898">
        <v>96</v>
      </c>
      <c r="DN1898" t="s">
        <v>268</v>
      </c>
      <c r="DS1898">
        <v>2851</v>
      </c>
      <c r="DT1898" t="s">
        <v>3560</v>
      </c>
      <c r="EW1898" t="s">
        <v>293</v>
      </c>
      <c r="FM1898">
        <v>19.5</v>
      </c>
      <c r="FR1898" t="s">
        <v>295</v>
      </c>
      <c r="GG1898" t="s">
        <v>288</v>
      </c>
      <c r="GH1898">
        <v>7</v>
      </c>
      <c r="GM1898" t="s">
        <v>356</v>
      </c>
      <c r="GU1898">
        <v>35</v>
      </c>
      <c r="GZ1898" t="s">
        <v>296</v>
      </c>
      <c r="HH1898" t="s">
        <v>272</v>
      </c>
      <c r="IE1898" t="s">
        <v>3561</v>
      </c>
      <c r="IF1898">
        <v>2621</v>
      </c>
      <c r="IG1898" t="s">
        <v>3562</v>
      </c>
      <c r="IH1898" t="s">
        <v>3563</v>
      </c>
      <c r="II1898">
        <v>1987</v>
      </c>
      <c r="IJ1898" t="s">
        <v>3564</v>
      </c>
    </row>
    <row r="1899" spans="1:244" x14ac:dyDescent="0.45">
      <c r="A1899">
        <v>1176464</v>
      </c>
      <c r="B1899">
        <v>131565</v>
      </c>
      <c r="C1899">
        <v>10108642</v>
      </c>
      <c r="D1899" t="s">
        <v>3523</v>
      </c>
      <c r="F1899" t="s">
        <v>245</v>
      </c>
      <c r="G1899" t="s">
        <v>246</v>
      </c>
      <c r="N1899" t="s">
        <v>3524</v>
      </c>
      <c r="O1899" t="s">
        <v>498</v>
      </c>
      <c r="P1899" t="s">
        <v>249</v>
      </c>
      <c r="Q1899" t="s">
        <v>250</v>
      </c>
      <c r="R1899" t="s">
        <v>251</v>
      </c>
      <c r="T1899" t="s">
        <v>252</v>
      </c>
      <c r="U1899" t="s">
        <v>1244</v>
      </c>
      <c r="V1899" t="s">
        <v>1314</v>
      </c>
      <c r="W1899" t="s">
        <v>3525</v>
      </c>
      <c r="X1899" t="s">
        <v>3526</v>
      </c>
      <c r="Z1899" t="s">
        <v>1677</v>
      </c>
      <c r="AL1899" t="s">
        <v>3574</v>
      </c>
      <c r="AM1899" t="s">
        <v>317</v>
      </c>
      <c r="AN1899" t="s">
        <v>259</v>
      </c>
      <c r="AO1899" t="s">
        <v>260</v>
      </c>
      <c r="AQ1899" t="s">
        <v>261</v>
      </c>
      <c r="AS1899">
        <v>5750</v>
      </c>
      <c r="AX1899" t="s">
        <v>262</v>
      </c>
      <c r="BO1899" t="s">
        <v>261</v>
      </c>
      <c r="BQ1899">
        <v>5.75</v>
      </c>
      <c r="BV1899" t="s">
        <v>263</v>
      </c>
      <c r="CM1899" t="s">
        <v>264</v>
      </c>
      <c r="CN1899" t="s">
        <v>264</v>
      </c>
      <c r="CP1899" t="s">
        <v>265</v>
      </c>
      <c r="CQ1899" t="s">
        <v>890</v>
      </c>
      <c r="DB1899">
        <v>4</v>
      </c>
      <c r="DG1899" t="s">
        <v>267</v>
      </c>
      <c r="DI1899">
        <v>96</v>
      </c>
      <c r="DN1899" t="s">
        <v>268</v>
      </c>
      <c r="DR1899">
        <v>1131516</v>
      </c>
      <c r="DS1899">
        <v>4704</v>
      </c>
      <c r="EW1899" t="s">
        <v>271</v>
      </c>
      <c r="HH1899" t="s">
        <v>272</v>
      </c>
      <c r="IE1899" t="s">
        <v>3527</v>
      </c>
      <c r="IF1899">
        <v>15300</v>
      </c>
      <c r="IG1899" t="s">
        <v>3528</v>
      </c>
      <c r="IH1899" t="s">
        <v>3529</v>
      </c>
      <c r="II1899">
        <v>1979</v>
      </c>
      <c r="IJ1899" t="s">
        <v>3530</v>
      </c>
    </row>
    <row r="1900" spans="1:244" x14ac:dyDescent="0.45">
      <c r="A1900">
        <v>1176457</v>
      </c>
      <c r="B1900">
        <v>131558</v>
      </c>
      <c r="C1900">
        <v>10108642</v>
      </c>
      <c r="D1900" t="s">
        <v>3523</v>
      </c>
      <c r="F1900" t="s">
        <v>245</v>
      </c>
      <c r="G1900" t="s">
        <v>246</v>
      </c>
      <c r="N1900" t="s">
        <v>3524</v>
      </c>
      <c r="O1900" t="s">
        <v>498</v>
      </c>
      <c r="P1900" t="s">
        <v>249</v>
      </c>
      <c r="Q1900" t="s">
        <v>250</v>
      </c>
      <c r="R1900" t="s">
        <v>251</v>
      </c>
      <c r="T1900" t="s">
        <v>252</v>
      </c>
      <c r="U1900" t="s">
        <v>1244</v>
      </c>
      <c r="V1900" t="s">
        <v>1314</v>
      </c>
      <c r="W1900" t="s">
        <v>3525</v>
      </c>
      <c r="X1900" t="s">
        <v>3526</v>
      </c>
      <c r="AM1900" t="s">
        <v>317</v>
      </c>
      <c r="AN1900" t="s">
        <v>259</v>
      </c>
      <c r="AO1900" t="s">
        <v>260</v>
      </c>
      <c r="AQ1900" t="s">
        <v>261</v>
      </c>
      <c r="AS1900">
        <v>5410</v>
      </c>
      <c r="AX1900" t="s">
        <v>262</v>
      </c>
      <c r="BO1900" t="s">
        <v>261</v>
      </c>
      <c r="BQ1900">
        <v>5.41</v>
      </c>
      <c r="BV1900" t="s">
        <v>263</v>
      </c>
      <c r="CM1900" t="s">
        <v>264</v>
      </c>
      <c r="CN1900" t="s">
        <v>264</v>
      </c>
      <c r="CP1900" t="s">
        <v>265</v>
      </c>
      <c r="CQ1900" t="s">
        <v>890</v>
      </c>
      <c r="DB1900">
        <v>3</v>
      </c>
      <c r="DG1900" t="s">
        <v>267</v>
      </c>
      <c r="DI1900">
        <v>72</v>
      </c>
      <c r="DN1900" t="s">
        <v>268</v>
      </c>
      <c r="DR1900">
        <v>1131516</v>
      </c>
      <c r="DS1900">
        <v>4704</v>
      </c>
      <c r="EW1900" t="s">
        <v>271</v>
      </c>
      <c r="HH1900" t="s">
        <v>272</v>
      </c>
      <c r="IE1900" t="s">
        <v>3527</v>
      </c>
      <c r="IF1900">
        <v>15300</v>
      </c>
      <c r="IG1900" t="s">
        <v>3528</v>
      </c>
      <c r="IH1900" t="s">
        <v>3529</v>
      </c>
      <c r="II1900">
        <v>1979</v>
      </c>
      <c r="IJ1900" t="s">
        <v>3530</v>
      </c>
    </row>
    <row r="1901" spans="1:244" x14ac:dyDescent="0.45">
      <c r="A1901">
        <v>1204037</v>
      </c>
      <c r="B1901">
        <v>183896</v>
      </c>
      <c r="C1901">
        <v>10108642</v>
      </c>
      <c r="D1901" t="s">
        <v>3523</v>
      </c>
      <c r="F1901" t="s">
        <v>245</v>
      </c>
      <c r="G1901" t="s">
        <v>246</v>
      </c>
      <c r="N1901" t="s">
        <v>1183</v>
      </c>
      <c r="O1901" t="s">
        <v>1184</v>
      </c>
      <c r="P1901" t="s">
        <v>249</v>
      </c>
      <c r="Q1901" t="s">
        <v>250</v>
      </c>
      <c r="R1901" t="s">
        <v>251</v>
      </c>
      <c r="T1901" t="s">
        <v>252</v>
      </c>
      <c r="U1901" t="s">
        <v>253</v>
      </c>
      <c r="V1901" t="s">
        <v>418</v>
      </c>
      <c r="W1901" t="s">
        <v>419</v>
      </c>
      <c r="X1901" t="s">
        <v>393</v>
      </c>
      <c r="Z1901" t="s">
        <v>983</v>
      </c>
      <c r="AB1901">
        <v>1</v>
      </c>
      <c r="AG1901" t="s">
        <v>598</v>
      </c>
      <c r="AL1901" t="s">
        <v>3583</v>
      </c>
      <c r="AM1901" t="s">
        <v>258</v>
      </c>
      <c r="AN1901" t="s">
        <v>259</v>
      </c>
      <c r="AO1901" t="s">
        <v>260</v>
      </c>
      <c r="AQ1901" t="s">
        <v>261</v>
      </c>
      <c r="AS1901">
        <v>238</v>
      </c>
      <c r="AX1901" t="s">
        <v>262</v>
      </c>
      <c r="BO1901" t="s">
        <v>261</v>
      </c>
      <c r="BQ1901">
        <v>0.23799999999999999</v>
      </c>
      <c r="BV1901" t="s">
        <v>263</v>
      </c>
      <c r="CM1901" t="s">
        <v>264</v>
      </c>
      <c r="CN1901" t="s">
        <v>264</v>
      </c>
      <c r="CP1901" t="s">
        <v>265</v>
      </c>
      <c r="CQ1901" t="s">
        <v>890</v>
      </c>
      <c r="DB1901">
        <v>4</v>
      </c>
      <c r="DG1901" t="s">
        <v>267</v>
      </c>
      <c r="DI1901">
        <v>96</v>
      </c>
      <c r="DN1901" t="s">
        <v>268</v>
      </c>
      <c r="DS1901">
        <v>388</v>
      </c>
      <c r="DT1901" t="s">
        <v>3584</v>
      </c>
      <c r="EW1901" t="s">
        <v>293</v>
      </c>
      <c r="FM1901">
        <v>25</v>
      </c>
      <c r="FR1901" t="s">
        <v>295</v>
      </c>
      <c r="GU1901">
        <v>36</v>
      </c>
      <c r="GZ1901" t="s">
        <v>296</v>
      </c>
      <c r="HH1901" t="s">
        <v>272</v>
      </c>
      <c r="IE1901" t="s">
        <v>3585</v>
      </c>
      <c r="IF1901">
        <v>18546</v>
      </c>
      <c r="IG1901" t="s">
        <v>3586</v>
      </c>
      <c r="IH1901" t="s">
        <v>3587</v>
      </c>
      <c r="II1901">
        <v>1995</v>
      </c>
      <c r="IJ1901" t="s">
        <v>3588</v>
      </c>
    </row>
    <row r="1902" spans="1:244" x14ac:dyDescent="0.45">
      <c r="A1902">
        <v>1142672</v>
      </c>
      <c r="B1902">
        <v>160857</v>
      </c>
      <c r="C1902">
        <v>10108642</v>
      </c>
      <c r="D1902" t="s">
        <v>3523</v>
      </c>
      <c r="F1902" t="s">
        <v>245</v>
      </c>
      <c r="G1902" t="s">
        <v>246</v>
      </c>
      <c r="N1902" t="s">
        <v>1734</v>
      </c>
      <c r="O1902" t="s">
        <v>248</v>
      </c>
      <c r="P1902" t="s">
        <v>249</v>
      </c>
      <c r="Q1902" t="s">
        <v>250</v>
      </c>
      <c r="R1902" t="s">
        <v>251</v>
      </c>
      <c r="T1902" t="s">
        <v>252</v>
      </c>
      <c r="U1902" t="s">
        <v>253</v>
      </c>
      <c r="V1902" t="s">
        <v>1735</v>
      </c>
      <c r="W1902" t="s">
        <v>1736</v>
      </c>
      <c r="X1902" t="s">
        <v>1737</v>
      </c>
      <c r="Z1902" t="s">
        <v>1046</v>
      </c>
      <c r="AB1902">
        <v>1</v>
      </c>
      <c r="AG1902" t="s">
        <v>598</v>
      </c>
      <c r="AM1902" t="s">
        <v>317</v>
      </c>
      <c r="AN1902" t="s">
        <v>259</v>
      </c>
      <c r="AO1902" t="s">
        <v>260</v>
      </c>
      <c r="AQ1902" t="s">
        <v>261</v>
      </c>
      <c r="AS1902">
        <v>10250</v>
      </c>
      <c r="AU1902">
        <v>7590</v>
      </c>
      <c r="AW1902">
        <v>13840</v>
      </c>
      <c r="AX1902" t="s">
        <v>262</v>
      </c>
      <c r="BO1902" t="s">
        <v>261</v>
      </c>
      <c r="BQ1902">
        <v>10.25</v>
      </c>
      <c r="BS1902">
        <v>7.59</v>
      </c>
      <c r="BU1902">
        <v>13.84</v>
      </c>
      <c r="BV1902" t="s">
        <v>263</v>
      </c>
      <c r="CM1902" t="s">
        <v>264</v>
      </c>
      <c r="CN1902" t="s">
        <v>264</v>
      </c>
      <c r="CP1902" t="s">
        <v>265</v>
      </c>
      <c r="DB1902">
        <v>1</v>
      </c>
      <c r="DG1902" t="s">
        <v>267</v>
      </c>
      <c r="DI1902">
        <v>24</v>
      </c>
      <c r="DN1902" t="s">
        <v>268</v>
      </c>
      <c r="DP1902" t="s">
        <v>3589</v>
      </c>
      <c r="DR1902">
        <v>345020</v>
      </c>
      <c r="DS1902">
        <v>5935</v>
      </c>
      <c r="EW1902" t="s">
        <v>272</v>
      </c>
      <c r="GH1902">
        <v>4.5</v>
      </c>
      <c r="GM1902" t="s">
        <v>356</v>
      </c>
      <c r="GO1902">
        <v>7.2</v>
      </c>
      <c r="GU1902">
        <v>36</v>
      </c>
      <c r="GZ1902" t="s">
        <v>296</v>
      </c>
      <c r="HH1902" t="s">
        <v>872</v>
      </c>
      <c r="HJ1902">
        <v>2.25</v>
      </c>
      <c r="HO1902" t="s">
        <v>900</v>
      </c>
      <c r="IE1902" t="s">
        <v>3590</v>
      </c>
      <c r="IF1902">
        <v>11937</v>
      </c>
      <c r="IG1902" t="s">
        <v>3591</v>
      </c>
      <c r="IH1902" t="s">
        <v>3592</v>
      </c>
      <c r="II1902">
        <v>1985</v>
      </c>
      <c r="IJ1902" t="s">
        <v>3593</v>
      </c>
    </row>
    <row r="1903" spans="1:244" x14ac:dyDescent="0.45">
      <c r="A1903">
        <v>1176467</v>
      </c>
      <c r="B1903">
        <v>131568</v>
      </c>
      <c r="C1903">
        <v>10108642</v>
      </c>
      <c r="D1903" t="s">
        <v>3523</v>
      </c>
      <c r="F1903" t="s">
        <v>245</v>
      </c>
      <c r="G1903" t="s">
        <v>246</v>
      </c>
      <c r="N1903" t="s">
        <v>3524</v>
      </c>
      <c r="O1903" t="s">
        <v>498</v>
      </c>
      <c r="P1903" t="s">
        <v>249</v>
      </c>
      <c r="Q1903" t="s">
        <v>250</v>
      </c>
      <c r="R1903" t="s">
        <v>251</v>
      </c>
      <c r="T1903" t="s">
        <v>252</v>
      </c>
      <c r="U1903" t="s">
        <v>1244</v>
      </c>
      <c r="V1903" t="s">
        <v>1314</v>
      </c>
      <c r="W1903" t="s">
        <v>3525</v>
      </c>
      <c r="X1903" t="s">
        <v>3526</v>
      </c>
      <c r="AL1903" t="s">
        <v>2223</v>
      </c>
      <c r="AM1903" t="s">
        <v>317</v>
      </c>
      <c r="AN1903" t="s">
        <v>259</v>
      </c>
      <c r="AO1903" t="s">
        <v>260</v>
      </c>
      <c r="AQ1903" t="s">
        <v>261</v>
      </c>
      <c r="AS1903">
        <v>5080</v>
      </c>
      <c r="AX1903" t="s">
        <v>262</v>
      </c>
      <c r="BO1903" t="s">
        <v>261</v>
      </c>
      <c r="BQ1903">
        <v>5.08</v>
      </c>
      <c r="BV1903" t="s">
        <v>263</v>
      </c>
      <c r="CM1903" t="s">
        <v>264</v>
      </c>
      <c r="CN1903" t="s">
        <v>264</v>
      </c>
      <c r="CP1903" t="s">
        <v>265</v>
      </c>
      <c r="CQ1903" t="s">
        <v>890</v>
      </c>
      <c r="DB1903">
        <v>3</v>
      </c>
      <c r="DG1903" t="s">
        <v>267</v>
      </c>
      <c r="DI1903">
        <v>72</v>
      </c>
      <c r="DN1903" t="s">
        <v>268</v>
      </c>
      <c r="DR1903">
        <v>1131516</v>
      </c>
      <c r="DS1903">
        <v>4704</v>
      </c>
      <c r="EW1903" t="s">
        <v>271</v>
      </c>
      <c r="HH1903" t="s">
        <v>272</v>
      </c>
      <c r="IE1903" t="s">
        <v>3527</v>
      </c>
      <c r="IF1903">
        <v>15300</v>
      </c>
      <c r="IG1903" t="s">
        <v>3528</v>
      </c>
      <c r="IH1903" t="s">
        <v>3529</v>
      </c>
      <c r="II1903">
        <v>1979</v>
      </c>
      <c r="IJ1903" t="s">
        <v>3530</v>
      </c>
    </row>
    <row r="1904" spans="1:244" x14ac:dyDescent="0.45">
      <c r="A1904">
        <v>1271216</v>
      </c>
      <c r="B1904">
        <v>722514</v>
      </c>
      <c r="C1904">
        <v>10108642</v>
      </c>
      <c r="D1904" t="s">
        <v>3523</v>
      </c>
      <c r="E1904" t="s">
        <v>415</v>
      </c>
      <c r="F1904" t="s">
        <v>245</v>
      </c>
      <c r="G1904" t="s">
        <v>246</v>
      </c>
      <c r="N1904" t="s">
        <v>1782</v>
      </c>
      <c r="O1904" t="s">
        <v>1783</v>
      </c>
      <c r="P1904" t="s">
        <v>249</v>
      </c>
      <c r="Q1904" t="s">
        <v>250</v>
      </c>
      <c r="R1904" t="s">
        <v>251</v>
      </c>
      <c r="T1904" t="s">
        <v>252</v>
      </c>
      <c r="U1904" t="s">
        <v>253</v>
      </c>
      <c r="V1904" t="s">
        <v>1735</v>
      </c>
      <c r="W1904" t="s">
        <v>1784</v>
      </c>
      <c r="X1904" t="s">
        <v>1785</v>
      </c>
      <c r="AL1904" t="s">
        <v>1809</v>
      </c>
      <c r="AM1904" t="s">
        <v>258</v>
      </c>
      <c r="AN1904" t="s">
        <v>259</v>
      </c>
      <c r="AO1904" t="s">
        <v>260</v>
      </c>
      <c r="AP1904">
        <v>7</v>
      </c>
      <c r="AQ1904" t="s">
        <v>261</v>
      </c>
      <c r="AS1904">
        <v>34.97</v>
      </c>
      <c r="AU1904">
        <v>32.86</v>
      </c>
      <c r="AW1904">
        <v>37.22</v>
      </c>
      <c r="AX1904" t="s">
        <v>422</v>
      </c>
      <c r="BO1904" t="s">
        <v>261</v>
      </c>
      <c r="BQ1904">
        <v>34.97</v>
      </c>
      <c r="BS1904">
        <v>32.86</v>
      </c>
      <c r="BU1904">
        <v>37.22</v>
      </c>
      <c r="BV1904" t="s">
        <v>263</v>
      </c>
      <c r="CM1904" t="s">
        <v>264</v>
      </c>
      <c r="CN1904" t="s">
        <v>264</v>
      </c>
      <c r="CP1904" t="s">
        <v>265</v>
      </c>
      <c r="CQ1904" t="s">
        <v>890</v>
      </c>
      <c r="DB1904">
        <v>4</v>
      </c>
      <c r="DG1904" t="s">
        <v>267</v>
      </c>
      <c r="DI1904">
        <v>96</v>
      </c>
      <c r="DN1904" t="s">
        <v>268</v>
      </c>
      <c r="DP1904" t="s">
        <v>3594</v>
      </c>
      <c r="DS1904">
        <v>2838</v>
      </c>
      <c r="EW1904" t="s">
        <v>293</v>
      </c>
      <c r="FK1904" t="s">
        <v>3595</v>
      </c>
      <c r="FM1904">
        <v>29</v>
      </c>
      <c r="FR1904" t="s">
        <v>295</v>
      </c>
      <c r="GO1904">
        <v>8</v>
      </c>
      <c r="GU1904">
        <v>15</v>
      </c>
      <c r="GZ1904" t="s">
        <v>296</v>
      </c>
      <c r="HH1904" t="s">
        <v>272</v>
      </c>
      <c r="ID1904" t="s">
        <v>3596</v>
      </c>
      <c r="IE1904" t="s">
        <v>1812</v>
      </c>
      <c r="IF1904">
        <v>16623</v>
      </c>
      <c r="IG1904" t="s">
        <v>1813</v>
      </c>
      <c r="IH1904" t="s">
        <v>1814</v>
      </c>
      <c r="II1904">
        <v>1987</v>
      </c>
      <c r="IJ1904" t="s">
        <v>1815</v>
      </c>
    </row>
    <row r="1905" spans="1:244" x14ac:dyDescent="0.45">
      <c r="A1905">
        <v>1278918</v>
      </c>
      <c r="B1905">
        <v>732213</v>
      </c>
      <c r="C1905">
        <v>10108642</v>
      </c>
      <c r="D1905" t="s">
        <v>3523</v>
      </c>
      <c r="F1905" t="s">
        <v>245</v>
      </c>
      <c r="G1905" t="s">
        <v>246</v>
      </c>
      <c r="N1905" t="s">
        <v>416</v>
      </c>
      <c r="O1905" t="s">
        <v>417</v>
      </c>
      <c r="P1905" t="s">
        <v>249</v>
      </c>
      <c r="Q1905" t="s">
        <v>250</v>
      </c>
      <c r="R1905" t="s">
        <v>251</v>
      </c>
      <c r="T1905" t="s">
        <v>252</v>
      </c>
      <c r="U1905" t="s">
        <v>253</v>
      </c>
      <c r="V1905" t="s">
        <v>418</v>
      </c>
      <c r="W1905" t="s">
        <v>419</v>
      </c>
      <c r="X1905" t="s">
        <v>420</v>
      </c>
      <c r="Z1905" t="s">
        <v>421</v>
      </c>
      <c r="AL1905" t="s">
        <v>431</v>
      </c>
      <c r="AM1905" t="s">
        <v>258</v>
      </c>
      <c r="AN1905" t="s">
        <v>259</v>
      </c>
      <c r="AO1905" t="s">
        <v>260</v>
      </c>
      <c r="AP1905">
        <v>5</v>
      </c>
      <c r="AQ1905" t="s">
        <v>261</v>
      </c>
      <c r="AS1905">
        <v>3.1191</v>
      </c>
      <c r="AU1905">
        <v>2.2766000000000002</v>
      </c>
      <c r="AW1905">
        <v>3.9611999999999998</v>
      </c>
      <c r="AX1905" t="s">
        <v>356</v>
      </c>
      <c r="BO1905" t="s">
        <v>261</v>
      </c>
      <c r="BQ1905">
        <v>3.1191</v>
      </c>
      <c r="BS1905">
        <v>2.2766000000000002</v>
      </c>
      <c r="BU1905">
        <v>3.9611999999999998</v>
      </c>
      <c r="BV1905" t="s">
        <v>263</v>
      </c>
      <c r="CM1905" t="s">
        <v>264</v>
      </c>
      <c r="CN1905" t="s">
        <v>264</v>
      </c>
      <c r="CP1905" t="s">
        <v>265</v>
      </c>
      <c r="CQ1905" t="s">
        <v>890</v>
      </c>
      <c r="DB1905">
        <v>4</v>
      </c>
      <c r="DG1905" t="s">
        <v>267</v>
      </c>
      <c r="DI1905">
        <v>96</v>
      </c>
      <c r="DN1905" t="s">
        <v>268</v>
      </c>
      <c r="DP1905" t="s">
        <v>3597</v>
      </c>
      <c r="DS1905">
        <v>1009</v>
      </c>
      <c r="EW1905" t="s">
        <v>293</v>
      </c>
      <c r="FK1905" t="s">
        <v>3598</v>
      </c>
      <c r="FM1905">
        <v>29</v>
      </c>
      <c r="FR1905" t="s">
        <v>295</v>
      </c>
      <c r="GU1905">
        <v>20</v>
      </c>
      <c r="GZ1905" t="s">
        <v>296</v>
      </c>
      <c r="HH1905" t="s">
        <v>272</v>
      </c>
      <c r="ID1905" t="s">
        <v>3599</v>
      </c>
      <c r="IE1905" t="s">
        <v>435</v>
      </c>
      <c r="IF1905">
        <v>59783</v>
      </c>
      <c r="IG1905" t="s">
        <v>436</v>
      </c>
      <c r="IH1905" t="s">
        <v>437</v>
      </c>
      <c r="II1905">
        <v>2000</v>
      </c>
      <c r="IJ1905" t="s">
        <v>438</v>
      </c>
    </row>
    <row r="1906" spans="1:244" x14ac:dyDescent="0.45">
      <c r="A1906">
        <v>2117923</v>
      </c>
      <c r="B1906">
        <v>2215409</v>
      </c>
      <c r="C1906">
        <v>10108642</v>
      </c>
      <c r="D1906" t="s">
        <v>3523</v>
      </c>
      <c r="F1906" t="s">
        <v>245</v>
      </c>
      <c r="G1906" t="s">
        <v>272</v>
      </c>
      <c r="N1906" t="s">
        <v>452</v>
      </c>
      <c r="O1906" t="s">
        <v>346</v>
      </c>
      <c r="P1906" t="s">
        <v>249</v>
      </c>
      <c r="Q1906" t="s">
        <v>250</v>
      </c>
      <c r="R1906" t="s">
        <v>251</v>
      </c>
      <c r="T1906" t="s">
        <v>347</v>
      </c>
      <c r="U1906" t="s">
        <v>348</v>
      </c>
      <c r="V1906" t="s">
        <v>349</v>
      </c>
      <c r="W1906" t="s">
        <v>350</v>
      </c>
      <c r="X1906" t="s">
        <v>453</v>
      </c>
      <c r="Z1906" t="s">
        <v>525</v>
      </c>
      <c r="AA1906" t="s">
        <v>515</v>
      </c>
      <c r="AB1906">
        <v>48</v>
      </c>
      <c r="AG1906" t="s">
        <v>268</v>
      </c>
      <c r="AM1906" t="s">
        <v>287</v>
      </c>
      <c r="AN1906" t="s">
        <v>259</v>
      </c>
      <c r="AO1906" t="s">
        <v>260</v>
      </c>
      <c r="AQ1906" t="s">
        <v>261</v>
      </c>
      <c r="AS1906">
        <v>267.7</v>
      </c>
      <c r="AU1906">
        <v>235.4</v>
      </c>
      <c r="AW1906">
        <v>321.89999999999998</v>
      </c>
      <c r="AX1906" t="s">
        <v>422</v>
      </c>
      <c r="BO1906" t="s">
        <v>261</v>
      </c>
      <c r="BQ1906">
        <v>267.7</v>
      </c>
      <c r="BS1906">
        <v>235.4</v>
      </c>
      <c r="BU1906">
        <v>321.89999999999998</v>
      </c>
      <c r="BV1906" t="s">
        <v>263</v>
      </c>
      <c r="CM1906" t="s">
        <v>264</v>
      </c>
      <c r="CN1906" t="s">
        <v>264</v>
      </c>
      <c r="CP1906" t="s">
        <v>265</v>
      </c>
      <c r="CQ1906" t="s">
        <v>890</v>
      </c>
      <c r="DB1906">
        <v>1</v>
      </c>
      <c r="DG1906" t="s">
        <v>267</v>
      </c>
      <c r="DI1906">
        <v>24</v>
      </c>
      <c r="DN1906" t="s">
        <v>268</v>
      </c>
      <c r="DP1906" t="s">
        <v>3600</v>
      </c>
      <c r="DR1906">
        <v>85549</v>
      </c>
      <c r="DS1906">
        <v>366</v>
      </c>
      <c r="DT1906" t="s">
        <v>3601</v>
      </c>
      <c r="DV1906">
        <v>24</v>
      </c>
      <c r="EA1906" t="s">
        <v>268</v>
      </c>
      <c r="EC1906">
        <v>1</v>
      </c>
      <c r="EH1906" t="s">
        <v>267</v>
      </c>
      <c r="EJ1906">
        <v>24</v>
      </c>
      <c r="EO1906" t="s">
        <v>268</v>
      </c>
      <c r="EQ1906">
        <v>1</v>
      </c>
      <c r="EV1906" t="s">
        <v>267</v>
      </c>
      <c r="EW1906" t="s">
        <v>293</v>
      </c>
      <c r="FA1906" t="s">
        <v>320</v>
      </c>
      <c r="HH1906" t="s">
        <v>272</v>
      </c>
      <c r="IE1906" t="s">
        <v>3602</v>
      </c>
      <c r="IF1906">
        <v>167231</v>
      </c>
      <c r="IG1906" t="s">
        <v>3603</v>
      </c>
      <c r="IH1906" t="s">
        <v>3604</v>
      </c>
      <c r="II1906">
        <v>1992</v>
      </c>
      <c r="IJ1906" t="s">
        <v>3605</v>
      </c>
    </row>
    <row r="1907" spans="1:244" x14ac:dyDescent="0.45">
      <c r="A1907">
        <v>2117924</v>
      </c>
      <c r="B1907">
        <v>2215410</v>
      </c>
      <c r="C1907">
        <v>10108642</v>
      </c>
      <c r="D1907" t="s">
        <v>3523</v>
      </c>
      <c r="F1907" t="s">
        <v>245</v>
      </c>
      <c r="G1907" t="s">
        <v>272</v>
      </c>
      <c r="N1907" t="s">
        <v>452</v>
      </c>
      <c r="O1907" t="s">
        <v>346</v>
      </c>
      <c r="P1907" t="s">
        <v>249</v>
      </c>
      <c r="Q1907" t="s">
        <v>250</v>
      </c>
      <c r="R1907" t="s">
        <v>251</v>
      </c>
      <c r="T1907" t="s">
        <v>347</v>
      </c>
      <c r="U1907" t="s">
        <v>348</v>
      </c>
      <c r="V1907" t="s">
        <v>349</v>
      </c>
      <c r="W1907" t="s">
        <v>350</v>
      </c>
      <c r="X1907" t="s">
        <v>453</v>
      </c>
      <c r="Z1907" t="s">
        <v>525</v>
      </c>
      <c r="AA1907" t="s">
        <v>515</v>
      </c>
      <c r="AB1907">
        <v>48</v>
      </c>
      <c r="AG1907" t="s">
        <v>268</v>
      </c>
      <c r="AM1907" t="s">
        <v>287</v>
      </c>
      <c r="AN1907" t="s">
        <v>259</v>
      </c>
      <c r="AO1907" t="s">
        <v>260</v>
      </c>
      <c r="AQ1907" t="s">
        <v>261</v>
      </c>
      <c r="AS1907">
        <v>246.3</v>
      </c>
      <c r="AU1907">
        <v>222.4</v>
      </c>
      <c r="AW1907">
        <v>279.5</v>
      </c>
      <c r="AX1907" t="s">
        <v>422</v>
      </c>
      <c r="BO1907" t="s">
        <v>261</v>
      </c>
      <c r="BQ1907">
        <v>246.3</v>
      </c>
      <c r="BS1907">
        <v>222.4</v>
      </c>
      <c r="BU1907">
        <v>279.5</v>
      </c>
      <c r="BV1907" t="s">
        <v>263</v>
      </c>
      <c r="CM1907" t="s">
        <v>264</v>
      </c>
      <c r="CN1907" t="s">
        <v>264</v>
      </c>
      <c r="CP1907" t="s">
        <v>265</v>
      </c>
      <c r="CQ1907" t="s">
        <v>890</v>
      </c>
      <c r="DB1907">
        <v>1</v>
      </c>
      <c r="DG1907" t="s">
        <v>267</v>
      </c>
      <c r="DI1907">
        <v>24</v>
      </c>
      <c r="DN1907" t="s">
        <v>268</v>
      </c>
      <c r="DP1907" t="s">
        <v>3600</v>
      </c>
      <c r="DR1907">
        <v>85549</v>
      </c>
      <c r="DS1907">
        <v>366</v>
      </c>
      <c r="DT1907" t="s">
        <v>3601</v>
      </c>
      <c r="DV1907">
        <v>24</v>
      </c>
      <c r="EA1907" t="s">
        <v>268</v>
      </c>
      <c r="EC1907">
        <v>1</v>
      </c>
      <c r="EH1907" t="s">
        <v>267</v>
      </c>
      <c r="EJ1907">
        <v>24</v>
      </c>
      <c r="EO1907" t="s">
        <v>268</v>
      </c>
      <c r="EQ1907">
        <v>1</v>
      </c>
      <c r="EV1907" t="s">
        <v>267</v>
      </c>
      <c r="EW1907" t="s">
        <v>293</v>
      </c>
      <c r="FA1907" t="s">
        <v>320</v>
      </c>
      <c r="HH1907" t="s">
        <v>272</v>
      </c>
      <c r="IE1907" t="s">
        <v>3602</v>
      </c>
      <c r="IF1907">
        <v>167231</v>
      </c>
      <c r="IG1907" t="s">
        <v>3603</v>
      </c>
      <c r="IH1907" t="s">
        <v>3604</v>
      </c>
      <c r="II1907">
        <v>1992</v>
      </c>
      <c r="IJ1907" t="s">
        <v>3605</v>
      </c>
    </row>
    <row r="1908" spans="1:244" x14ac:dyDescent="0.45">
      <c r="A1908">
        <v>1139085</v>
      </c>
      <c r="B1908">
        <v>232044</v>
      </c>
      <c r="C1908">
        <v>10108642</v>
      </c>
      <c r="D1908" t="s">
        <v>3523</v>
      </c>
      <c r="E1908" t="s">
        <v>3539</v>
      </c>
      <c r="F1908" t="s">
        <v>327</v>
      </c>
      <c r="G1908" t="s">
        <v>246</v>
      </c>
      <c r="N1908" t="s">
        <v>3540</v>
      </c>
      <c r="O1908" t="s">
        <v>248</v>
      </c>
      <c r="P1908" t="s">
        <v>249</v>
      </c>
      <c r="Q1908" t="s">
        <v>250</v>
      </c>
      <c r="R1908" t="s">
        <v>251</v>
      </c>
      <c r="T1908" t="s">
        <v>252</v>
      </c>
      <c r="U1908" t="s">
        <v>253</v>
      </c>
      <c r="V1908" t="s">
        <v>1231</v>
      </c>
      <c r="W1908" t="s">
        <v>3541</v>
      </c>
      <c r="X1908" t="s">
        <v>3542</v>
      </c>
      <c r="AJ1908" t="s">
        <v>285</v>
      </c>
      <c r="AL1908" t="s">
        <v>3543</v>
      </c>
      <c r="AM1908" t="s">
        <v>317</v>
      </c>
      <c r="AN1908" t="s">
        <v>259</v>
      </c>
      <c r="AO1908" t="s">
        <v>260</v>
      </c>
      <c r="AQ1908" t="s">
        <v>261</v>
      </c>
      <c r="AS1908">
        <v>68.400000000000006</v>
      </c>
      <c r="AU1908">
        <v>66.400000000000006</v>
      </c>
      <c r="AW1908">
        <v>70.2</v>
      </c>
      <c r="AX1908" t="s">
        <v>356</v>
      </c>
      <c r="BO1908" t="s">
        <v>261</v>
      </c>
      <c r="BQ1908">
        <v>68.400000000000006</v>
      </c>
      <c r="BS1908">
        <v>66.400000000000006</v>
      </c>
      <c r="BU1908">
        <v>70.2</v>
      </c>
      <c r="BV1908" t="s">
        <v>263</v>
      </c>
      <c r="CM1908" t="s">
        <v>264</v>
      </c>
      <c r="CN1908" t="s">
        <v>264</v>
      </c>
      <c r="CP1908" t="s">
        <v>265</v>
      </c>
      <c r="CQ1908" t="s">
        <v>890</v>
      </c>
      <c r="DB1908">
        <v>1</v>
      </c>
      <c r="DG1908" t="s">
        <v>267</v>
      </c>
      <c r="DI1908">
        <v>24</v>
      </c>
      <c r="DN1908" t="s">
        <v>268</v>
      </c>
      <c r="DR1908">
        <v>151182</v>
      </c>
      <c r="DS1908">
        <v>11260</v>
      </c>
      <c r="EW1908" t="s">
        <v>272</v>
      </c>
      <c r="FK1908" t="s">
        <v>3606</v>
      </c>
      <c r="FM1908">
        <v>32</v>
      </c>
      <c r="FR1908" t="s">
        <v>295</v>
      </c>
      <c r="GU1908">
        <v>20</v>
      </c>
      <c r="GZ1908" t="s">
        <v>900</v>
      </c>
      <c r="HH1908" t="s">
        <v>272</v>
      </c>
      <c r="ID1908" t="s">
        <v>3607</v>
      </c>
      <c r="IE1908" t="s">
        <v>3546</v>
      </c>
      <c r="IF1908">
        <v>11524</v>
      </c>
      <c r="IG1908" t="s">
        <v>3547</v>
      </c>
      <c r="IH1908" t="s">
        <v>3548</v>
      </c>
      <c r="II1908">
        <v>1983</v>
      </c>
      <c r="IJ1908" t="s">
        <v>3549</v>
      </c>
    </row>
    <row r="1909" spans="1:244" x14ac:dyDescent="0.45">
      <c r="A1909">
        <v>1304647</v>
      </c>
      <c r="B1909">
        <v>761295</v>
      </c>
      <c r="C1909">
        <v>10108642</v>
      </c>
      <c r="D1909" t="s">
        <v>3523</v>
      </c>
      <c r="F1909" t="s">
        <v>245</v>
      </c>
      <c r="G1909" t="s">
        <v>246</v>
      </c>
      <c r="N1909" t="s">
        <v>1230</v>
      </c>
      <c r="O1909" t="s">
        <v>248</v>
      </c>
      <c r="P1909" t="s">
        <v>249</v>
      </c>
      <c r="Q1909" t="s">
        <v>250</v>
      </c>
      <c r="R1909" t="s">
        <v>251</v>
      </c>
      <c r="T1909" t="s">
        <v>252</v>
      </c>
      <c r="U1909" t="s">
        <v>253</v>
      </c>
      <c r="V1909" t="s">
        <v>1231</v>
      </c>
      <c r="W1909" t="s">
        <v>1232</v>
      </c>
      <c r="X1909" t="s">
        <v>1233</v>
      </c>
      <c r="Z1909" t="s">
        <v>1046</v>
      </c>
      <c r="AA1909" t="s">
        <v>289</v>
      </c>
      <c r="AB1909">
        <v>8</v>
      </c>
      <c r="AG1909" t="s">
        <v>353</v>
      </c>
      <c r="AM1909" t="s">
        <v>258</v>
      </c>
      <c r="AN1909" t="s">
        <v>259</v>
      </c>
      <c r="AO1909" t="s">
        <v>260</v>
      </c>
      <c r="AP1909">
        <v>7</v>
      </c>
      <c r="AQ1909" t="s">
        <v>261</v>
      </c>
      <c r="AS1909">
        <v>141.6</v>
      </c>
      <c r="AU1909">
        <v>122.9</v>
      </c>
      <c r="AW1909">
        <v>161.80000000000001</v>
      </c>
      <c r="AX1909" t="s">
        <v>262</v>
      </c>
      <c r="BO1909" t="s">
        <v>261</v>
      </c>
      <c r="BQ1909">
        <v>0.1416</v>
      </c>
      <c r="BS1909">
        <v>0.1229</v>
      </c>
      <c r="BU1909">
        <v>0.1618</v>
      </c>
      <c r="BV1909" t="s">
        <v>263</v>
      </c>
      <c r="CM1909" t="s">
        <v>264</v>
      </c>
      <c r="CN1909" t="s">
        <v>264</v>
      </c>
      <c r="CP1909" t="s">
        <v>265</v>
      </c>
      <c r="CQ1909" t="s">
        <v>890</v>
      </c>
      <c r="DB1909">
        <v>2</v>
      </c>
      <c r="DG1909" t="s">
        <v>267</v>
      </c>
      <c r="DI1909">
        <v>48</v>
      </c>
      <c r="DN1909" t="s">
        <v>268</v>
      </c>
      <c r="DP1909" t="s">
        <v>3608</v>
      </c>
      <c r="DS1909">
        <v>4771</v>
      </c>
      <c r="DT1909" t="s">
        <v>1235</v>
      </c>
      <c r="EW1909" t="s">
        <v>293</v>
      </c>
      <c r="FA1909" t="s">
        <v>397</v>
      </c>
      <c r="FK1909" t="s">
        <v>3609</v>
      </c>
      <c r="FM1909">
        <v>22</v>
      </c>
      <c r="FR1909" t="s">
        <v>295</v>
      </c>
      <c r="GO1909">
        <v>8</v>
      </c>
      <c r="GU1909">
        <v>35</v>
      </c>
      <c r="GZ1909" t="s">
        <v>362</v>
      </c>
      <c r="HH1909" t="s">
        <v>272</v>
      </c>
      <c r="ID1909" t="s">
        <v>3610</v>
      </c>
      <c r="IE1909" t="s">
        <v>1238</v>
      </c>
      <c r="IF1909">
        <v>97270</v>
      </c>
      <c r="IG1909" t="s">
        <v>1239</v>
      </c>
      <c r="IH1909" t="s">
        <v>1240</v>
      </c>
      <c r="II1909">
        <v>2006</v>
      </c>
      <c r="IJ1909" t="s">
        <v>1241</v>
      </c>
    </row>
    <row r="1910" spans="1:244" x14ac:dyDescent="0.45">
      <c r="A1910">
        <v>1176452</v>
      </c>
      <c r="B1910">
        <v>131553</v>
      </c>
      <c r="C1910">
        <v>10108642</v>
      </c>
      <c r="D1910" t="s">
        <v>3523</v>
      </c>
      <c r="F1910" t="s">
        <v>245</v>
      </c>
      <c r="G1910" t="s">
        <v>246</v>
      </c>
      <c r="N1910" t="s">
        <v>3524</v>
      </c>
      <c r="O1910" t="s">
        <v>498</v>
      </c>
      <c r="P1910" t="s">
        <v>249</v>
      </c>
      <c r="Q1910" t="s">
        <v>250</v>
      </c>
      <c r="R1910" t="s">
        <v>251</v>
      </c>
      <c r="T1910" t="s">
        <v>252</v>
      </c>
      <c r="U1910" t="s">
        <v>1244</v>
      </c>
      <c r="V1910" t="s">
        <v>1314</v>
      </c>
      <c r="W1910" t="s">
        <v>3525</v>
      </c>
      <c r="X1910" t="s">
        <v>3526</v>
      </c>
      <c r="AM1910" t="s">
        <v>317</v>
      </c>
      <c r="AN1910" t="s">
        <v>259</v>
      </c>
      <c r="AO1910" t="s">
        <v>260</v>
      </c>
      <c r="AQ1910" t="s">
        <v>261</v>
      </c>
      <c r="AS1910">
        <v>4420</v>
      </c>
      <c r="AX1910" t="s">
        <v>262</v>
      </c>
      <c r="BO1910" t="s">
        <v>261</v>
      </c>
      <c r="BQ1910">
        <v>4.42</v>
      </c>
      <c r="BV1910" t="s">
        <v>263</v>
      </c>
      <c r="CM1910" t="s">
        <v>264</v>
      </c>
      <c r="CN1910" t="s">
        <v>264</v>
      </c>
      <c r="CP1910" t="s">
        <v>265</v>
      </c>
      <c r="CQ1910" t="s">
        <v>890</v>
      </c>
      <c r="DB1910">
        <v>4</v>
      </c>
      <c r="DG1910" t="s">
        <v>267</v>
      </c>
      <c r="DI1910">
        <v>96</v>
      </c>
      <c r="DN1910" t="s">
        <v>268</v>
      </c>
      <c r="DR1910">
        <v>1131516</v>
      </c>
      <c r="DS1910">
        <v>4704</v>
      </c>
      <c r="EW1910" t="s">
        <v>271</v>
      </c>
      <c r="HH1910" t="s">
        <v>272</v>
      </c>
      <c r="IE1910" t="s">
        <v>3527</v>
      </c>
      <c r="IF1910">
        <v>15300</v>
      </c>
      <c r="IG1910" t="s">
        <v>3528</v>
      </c>
      <c r="IH1910" t="s">
        <v>3529</v>
      </c>
      <c r="II1910">
        <v>1979</v>
      </c>
      <c r="IJ1910" t="s">
        <v>3530</v>
      </c>
    </row>
    <row r="1911" spans="1:244" x14ac:dyDescent="0.45">
      <c r="A1911">
        <v>1204043</v>
      </c>
      <c r="B1911">
        <v>183902</v>
      </c>
      <c r="C1911">
        <v>10108642</v>
      </c>
      <c r="D1911" t="s">
        <v>3523</v>
      </c>
      <c r="F1911" t="s">
        <v>245</v>
      </c>
      <c r="G1911" t="s">
        <v>246</v>
      </c>
      <c r="N1911" t="s">
        <v>1183</v>
      </c>
      <c r="O1911" t="s">
        <v>1184</v>
      </c>
      <c r="P1911" t="s">
        <v>249</v>
      </c>
      <c r="Q1911" t="s">
        <v>250</v>
      </c>
      <c r="R1911" t="s">
        <v>251</v>
      </c>
      <c r="T1911" t="s">
        <v>252</v>
      </c>
      <c r="U1911" t="s">
        <v>253</v>
      </c>
      <c r="V1911" t="s">
        <v>418</v>
      </c>
      <c r="W1911" t="s">
        <v>419</v>
      </c>
      <c r="X1911" t="s">
        <v>393</v>
      </c>
      <c r="Z1911" t="s">
        <v>421</v>
      </c>
      <c r="AL1911" t="s">
        <v>3611</v>
      </c>
      <c r="AM1911" t="s">
        <v>258</v>
      </c>
      <c r="AN1911" t="s">
        <v>259</v>
      </c>
      <c r="AO1911" t="s">
        <v>260</v>
      </c>
      <c r="AQ1911" t="s">
        <v>261</v>
      </c>
      <c r="AS1911">
        <v>6319</v>
      </c>
      <c r="AX1911" t="s">
        <v>262</v>
      </c>
      <c r="BO1911" t="s">
        <v>261</v>
      </c>
      <c r="BQ1911">
        <v>6.319</v>
      </c>
      <c r="BV1911" t="s">
        <v>263</v>
      </c>
      <c r="CM1911" t="s">
        <v>264</v>
      </c>
      <c r="CN1911" t="s">
        <v>264</v>
      </c>
      <c r="CP1911" t="s">
        <v>265</v>
      </c>
      <c r="CQ1911" t="s">
        <v>890</v>
      </c>
      <c r="DB1911">
        <v>2</v>
      </c>
      <c r="DG1911" t="s">
        <v>267</v>
      </c>
      <c r="DI1911">
        <v>48</v>
      </c>
      <c r="DN1911" t="s">
        <v>268</v>
      </c>
      <c r="DS1911">
        <v>388</v>
      </c>
      <c r="DT1911" t="s">
        <v>3584</v>
      </c>
      <c r="EW1911" t="s">
        <v>293</v>
      </c>
      <c r="FM1911">
        <v>25</v>
      </c>
      <c r="FR1911" t="s">
        <v>295</v>
      </c>
      <c r="GU1911">
        <v>36</v>
      </c>
      <c r="GZ1911" t="s">
        <v>296</v>
      </c>
      <c r="HH1911" t="s">
        <v>272</v>
      </c>
      <c r="IE1911" t="s">
        <v>3585</v>
      </c>
      <c r="IF1911">
        <v>18546</v>
      </c>
      <c r="IG1911" t="s">
        <v>3586</v>
      </c>
      <c r="IH1911" t="s">
        <v>3587</v>
      </c>
      <c r="II1911">
        <v>1995</v>
      </c>
      <c r="IJ1911" t="s">
        <v>3588</v>
      </c>
    </row>
    <row r="1912" spans="1:244" x14ac:dyDescent="0.45">
      <c r="A1912">
        <v>1325401</v>
      </c>
      <c r="B1912">
        <v>784706</v>
      </c>
      <c r="C1912">
        <v>10108642</v>
      </c>
      <c r="D1912" t="s">
        <v>3523</v>
      </c>
      <c r="E1912" t="s">
        <v>622</v>
      </c>
      <c r="F1912" t="s">
        <v>245</v>
      </c>
      <c r="G1912" t="s">
        <v>246</v>
      </c>
      <c r="I1912">
        <v>99</v>
      </c>
      <c r="N1912" t="s">
        <v>1298</v>
      </c>
      <c r="O1912" t="s">
        <v>1299</v>
      </c>
      <c r="P1912" t="s">
        <v>249</v>
      </c>
      <c r="Q1912" t="s">
        <v>250</v>
      </c>
      <c r="R1912" t="s">
        <v>251</v>
      </c>
      <c r="T1912" t="s">
        <v>252</v>
      </c>
      <c r="U1912" t="s">
        <v>371</v>
      </c>
      <c r="V1912" t="s">
        <v>372</v>
      </c>
      <c r="W1912" t="s">
        <v>1300</v>
      </c>
      <c r="X1912" t="s">
        <v>1301</v>
      </c>
      <c r="Z1912" t="s">
        <v>649</v>
      </c>
      <c r="AD1912">
        <v>2</v>
      </c>
      <c r="AF1912">
        <v>3</v>
      </c>
      <c r="AG1912" t="s">
        <v>267</v>
      </c>
      <c r="AM1912" t="s">
        <v>317</v>
      </c>
      <c r="AN1912" t="s">
        <v>259</v>
      </c>
      <c r="AO1912" t="s">
        <v>260</v>
      </c>
      <c r="AP1912" t="s">
        <v>559</v>
      </c>
      <c r="AQ1912" t="s">
        <v>261</v>
      </c>
      <c r="AS1912">
        <v>7.0000000000000007E-2</v>
      </c>
      <c r="AX1912" t="s">
        <v>356</v>
      </c>
      <c r="BO1912" t="s">
        <v>261</v>
      </c>
      <c r="BQ1912">
        <v>7.0000000000000007E-2</v>
      </c>
      <c r="BV1912" t="s">
        <v>263</v>
      </c>
      <c r="CM1912" t="s">
        <v>264</v>
      </c>
      <c r="CN1912" t="s">
        <v>264</v>
      </c>
      <c r="CP1912" t="s">
        <v>265</v>
      </c>
      <c r="CQ1912" t="s">
        <v>890</v>
      </c>
      <c r="DB1912">
        <v>4</v>
      </c>
      <c r="DG1912" t="s">
        <v>267</v>
      </c>
      <c r="DI1912">
        <v>96</v>
      </c>
      <c r="DN1912" t="s">
        <v>268</v>
      </c>
      <c r="DO1912" t="s">
        <v>1587</v>
      </c>
      <c r="DP1912" t="s">
        <v>3612</v>
      </c>
      <c r="DS1912">
        <v>20391</v>
      </c>
      <c r="DT1912" t="s">
        <v>1302</v>
      </c>
      <c r="EW1912" t="s">
        <v>293</v>
      </c>
      <c r="FA1912" t="s">
        <v>3347</v>
      </c>
      <c r="FK1912" t="s">
        <v>3613</v>
      </c>
      <c r="FM1912">
        <v>25</v>
      </c>
      <c r="FR1912" t="s">
        <v>295</v>
      </c>
      <c r="GG1912" t="s">
        <v>288</v>
      </c>
      <c r="GH1912">
        <v>80</v>
      </c>
      <c r="GM1912" t="s">
        <v>1224</v>
      </c>
      <c r="GQ1912">
        <v>7.5</v>
      </c>
      <c r="GS1912">
        <v>8.5</v>
      </c>
      <c r="GU1912">
        <v>25</v>
      </c>
      <c r="GZ1912" t="s">
        <v>900</v>
      </c>
      <c r="HH1912" t="s">
        <v>272</v>
      </c>
      <c r="ID1912" t="s">
        <v>3614</v>
      </c>
      <c r="IE1912" t="s">
        <v>1306</v>
      </c>
      <c r="IF1912">
        <v>117932</v>
      </c>
      <c r="IG1912" t="s">
        <v>1307</v>
      </c>
      <c r="IH1912" t="s">
        <v>1308</v>
      </c>
      <c r="II1912">
        <v>2008</v>
      </c>
      <c r="IJ1912" t="s">
        <v>1309</v>
      </c>
    </row>
    <row r="1913" spans="1:244" x14ac:dyDescent="0.45">
      <c r="A1913">
        <v>1204040</v>
      </c>
      <c r="B1913">
        <v>183899</v>
      </c>
      <c r="C1913">
        <v>10108642</v>
      </c>
      <c r="D1913" t="s">
        <v>3523</v>
      </c>
      <c r="F1913" t="s">
        <v>245</v>
      </c>
      <c r="G1913" t="s">
        <v>246</v>
      </c>
      <c r="N1913" t="s">
        <v>1183</v>
      </c>
      <c r="O1913" t="s">
        <v>1184</v>
      </c>
      <c r="P1913" t="s">
        <v>249</v>
      </c>
      <c r="Q1913" t="s">
        <v>250</v>
      </c>
      <c r="R1913" t="s">
        <v>251</v>
      </c>
      <c r="T1913" t="s">
        <v>252</v>
      </c>
      <c r="U1913" t="s">
        <v>253</v>
      </c>
      <c r="V1913" t="s">
        <v>418</v>
      </c>
      <c r="W1913" t="s">
        <v>419</v>
      </c>
      <c r="X1913" t="s">
        <v>393</v>
      </c>
      <c r="AL1913" t="s">
        <v>3615</v>
      </c>
      <c r="AM1913" t="s">
        <v>258</v>
      </c>
      <c r="AN1913" t="s">
        <v>259</v>
      </c>
      <c r="AO1913" t="s">
        <v>260</v>
      </c>
      <c r="AQ1913" t="s">
        <v>261</v>
      </c>
      <c r="AS1913">
        <v>198</v>
      </c>
      <c r="AX1913" t="s">
        <v>262</v>
      </c>
      <c r="BO1913" t="s">
        <v>261</v>
      </c>
      <c r="BQ1913">
        <v>0.19800000000000001</v>
      </c>
      <c r="BV1913" t="s">
        <v>263</v>
      </c>
      <c r="CM1913" t="s">
        <v>264</v>
      </c>
      <c r="CN1913" t="s">
        <v>264</v>
      </c>
      <c r="CP1913" t="s">
        <v>265</v>
      </c>
      <c r="CQ1913" t="s">
        <v>890</v>
      </c>
      <c r="DB1913">
        <v>4</v>
      </c>
      <c r="DG1913" t="s">
        <v>267</v>
      </c>
      <c r="DI1913">
        <v>96</v>
      </c>
      <c r="DN1913" t="s">
        <v>268</v>
      </c>
      <c r="DS1913">
        <v>388</v>
      </c>
      <c r="DT1913" t="s">
        <v>3584</v>
      </c>
      <c r="EW1913" t="s">
        <v>293</v>
      </c>
      <c r="FM1913">
        <v>25</v>
      </c>
      <c r="FR1913" t="s">
        <v>295</v>
      </c>
      <c r="GU1913">
        <v>36</v>
      </c>
      <c r="GZ1913" t="s">
        <v>296</v>
      </c>
      <c r="HH1913" t="s">
        <v>272</v>
      </c>
      <c r="IE1913" t="s">
        <v>3585</v>
      </c>
      <c r="IF1913">
        <v>18546</v>
      </c>
      <c r="IG1913" t="s">
        <v>3586</v>
      </c>
      <c r="IH1913" t="s">
        <v>3587</v>
      </c>
      <c r="II1913">
        <v>1995</v>
      </c>
      <c r="IJ1913" t="s">
        <v>3588</v>
      </c>
    </row>
    <row r="1914" spans="1:244" x14ac:dyDescent="0.45">
      <c r="A1914">
        <v>1273551</v>
      </c>
      <c r="B1914">
        <v>724870</v>
      </c>
      <c r="C1914">
        <v>10108642</v>
      </c>
      <c r="D1914" t="s">
        <v>3523</v>
      </c>
      <c r="F1914" t="s">
        <v>245</v>
      </c>
      <c r="G1914" t="s">
        <v>246</v>
      </c>
      <c r="N1914" t="s">
        <v>1967</v>
      </c>
      <c r="O1914" t="s">
        <v>1968</v>
      </c>
      <c r="P1914" t="s">
        <v>249</v>
      </c>
      <c r="Q1914" t="s">
        <v>250</v>
      </c>
      <c r="R1914" t="s">
        <v>251</v>
      </c>
      <c r="T1914" t="s">
        <v>252</v>
      </c>
      <c r="U1914" t="s">
        <v>253</v>
      </c>
      <c r="V1914" t="s">
        <v>1969</v>
      </c>
      <c r="W1914" t="s">
        <v>1970</v>
      </c>
      <c r="X1914" t="s">
        <v>1971</v>
      </c>
      <c r="Z1914" t="s">
        <v>1046</v>
      </c>
      <c r="AB1914">
        <v>1</v>
      </c>
      <c r="AG1914" t="s">
        <v>267</v>
      </c>
      <c r="AM1914" t="s">
        <v>258</v>
      </c>
      <c r="AN1914" t="s">
        <v>259</v>
      </c>
      <c r="AO1914" t="s">
        <v>260</v>
      </c>
      <c r="AP1914">
        <v>6</v>
      </c>
      <c r="AQ1914" t="s">
        <v>261</v>
      </c>
      <c r="AS1914">
        <v>14.49</v>
      </c>
      <c r="AU1914">
        <v>10.98</v>
      </c>
      <c r="AW1914">
        <v>27.86</v>
      </c>
      <c r="AX1914" t="s">
        <v>356</v>
      </c>
      <c r="BO1914" t="s">
        <v>261</v>
      </c>
      <c r="BQ1914">
        <v>14.49</v>
      </c>
      <c r="BS1914">
        <v>10.98</v>
      </c>
      <c r="BU1914">
        <v>27.86</v>
      </c>
      <c r="BV1914" t="s">
        <v>263</v>
      </c>
      <c r="CM1914" t="s">
        <v>264</v>
      </c>
      <c r="CN1914" t="s">
        <v>264</v>
      </c>
      <c r="CP1914" t="s">
        <v>265</v>
      </c>
      <c r="CQ1914" t="s">
        <v>890</v>
      </c>
      <c r="DB1914">
        <v>1</v>
      </c>
      <c r="DG1914" t="s">
        <v>267</v>
      </c>
      <c r="DI1914">
        <v>24</v>
      </c>
      <c r="DN1914" t="s">
        <v>268</v>
      </c>
      <c r="DP1914" t="s">
        <v>3597</v>
      </c>
      <c r="DR1914">
        <v>174394</v>
      </c>
      <c r="DS1914">
        <v>18619</v>
      </c>
      <c r="DT1914" t="s">
        <v>1972</v>
      </c>
      <c r="EW1914" t="s">
        <v>293</v>
      </c>
      <c r="FA1914" t="s">
        <v>1973</v>
      </c>
      <c r="FK1914" t="s">
        <v>3616</v>
      </c>
      <c r="FM1914">
        <v>7.5</v>
      </c>
      <c r="FR1914" t="s">
        <v>295</v>
      </c>
      <c r="GU1914">
        <v>28</v>
      </c>
      <c r="GZ1914" t="s">
        <v>356</v>
      </c>
      <c r="HH1914" t="s">
        <v>272</v>
      </c>
      <c r="ID1914" t="s">
        <v>3617</v>
      </c>
      <c r="IE1914" t="s">
        <v>1976</v>
      </c>
      <c r="IF1914">
        <v>71687</v>
      </c>
      <c r="IG1914" t="s">
        <v>1977</v>
      </c>
      <c r="IH1914" t="s">
        <v>1978</v>
      </c>
      <c r="II1914">
        <v>2003</v>
      </c>
      <c r="IJ1914" t="s">
        <v>1979</v>
      </c>
    </row>
    <row r="1915" spans="1:244" x14ac:dyDescent="0.45">
      <c r="A1915">
        <v>1054062</v>
      </c>
      <c r="B1915">
        <v>124125</v>
      </c>
      <c r="C1915">
        <v>10108642</v>
      </c>
      <c r="D1915" t="s">
        <v>3523</v>
      </c>
      <c r="F1915" t="s">
        <v>327</v>
      </c>
      <c r="G1915" t="s">
        <v>246</v>
      </c>
      <c r="N1915" t="s">
        <v>3618</v>
      </c>
      <c r="O1915" t="s">
        <v>3619</v>
      </c>
      <c r="P1915" t="s">
        <v>249</v>
      </c>
      <c r="Q1915" t="s">
        <v>250</v>
      </c>
      <c r="R1915" t="s">
        <v>251</v>
      </c>
      <c r="T1915" t="s">
        <v>252</v>
      </c>
      <c r="U1915" t="s">
        <v>253</v>
      </c>
      <c r="V1915" t="s">
        <v>281</v>
      </c>
      <c r="W1915" t="s">
        <v>282</v>
      </c>
      <c r="X1915" t="s">
        <v>3620</v>
      </c>
      <c r="Z1915" t="s">
        <v>284</v>
      </c>
      <c r="AM1915" t="s">
        <v>307</v>
      </c>
      <c r="AN1915" t="s">
        <v>259</v>
      </c>
      <c r="AO1915" t="s">
        <v>260</v>
      </c>
      <c r="AQ1915" t="s">
        <v>261</v>
      </c>
      <c r="AS1915">
        <v>100</v>
      </c>
      <c r="AX1915" t="s">
        <v>262</v>
      </c>
      <c r="BO1915" t="s">
        <v>261</v>
      </c>
      <c r="BQ1915">
        <v>0.1</v>
      </c>
      <c r="BV1915" t="s">
        <v>263</v>
      </c>
      <c r="CM1915" t="s">
        <v>264</v>
      </c>
      <c r="CN1915" t="s">
        <v>264</v>
      </c>
      <c r="CP1915" t="s">
        <v>265</v>
      </c>
      <c r="CQ1915" t="s">
        <v>890</v>
      </c>
      <c r="DB1915">
        <v>4</v>
      </c>
      <c r="DG1915" t="s">
        <v>267</v>
      </c>
      <c r="DI1915">
        <v>96</v>
      </c>
      <c r="DN1915" t="s">
        <v>268</v>
      </c>
      <c r="DQ1915" t="s">
        <v>3621</v>
      </c>
      <c r="DR1915">
        <v>6756</v>
      </c>
      <c r="DS1915">
        <v>1495</v>
      </c>
      <c r="EW1915" t="s">
        <v>333</v>
      </c>
      <c r="FK1915" t="s">
        <v>3622</v>
      </c>
      <c r="GU1915">
        <v>30</v>
      </c>
      <c r="GZ1915" t="s">
        <v>296</v>
      </c>
      <c r="HH1915" t="s">
        <v>272</v>
      </c>
      <c r="ID1915" t="s">
        <v>3623</v>
      </c>
      <c r="IE1915" t="s">
        <v>3624</v>
      </c>
      <c r="IF1915">
        <v>3764</v>
      </c>
      <c r="IG1915" t="s">
        <v>3625</v>
      </c>
      <c r="IH1915" t="s">
        <v>3626</v>
      </c>
      <c r="II1915">
        <v>1982</v>
      </c>
      <c r="IJ1915" t="s">
        <v>3627</v>
      </c>
    </row>
    <row r="1916" spans="1:244" x14ac:dyDescent="0.45">
      <c r="A1916">
        <v>1271708</v>
      </c>
      <c r="B1916">
        <v>723006</v>
      </c>
      <c r="C1916">
        <v>10108642</v>
      </c>
      <c r="D1916" t="s">
        <v>3523</v>
      </c>
      <c r="F1916" t="s">
        <v>245</v>
      </c>
      <c r="G1916" t="s">
        <v>246</v>
      </c>
      <c r="N1916" t="s">
        <v>2315</v>
      </c>
      <c r="O1916" t="s">
        <v>2316</v>
      </c>
      <c r="P1916" t="s">
        <v>249</v>
      </c>
      <c r="Q1916" t="s">
        <v>250</v>
      </c>
      <c r="R1916" t="s">
        <v>251</v>
      </c>
      <c r="T1916" t="s">
        <v>252</v>
      </c>
      <c r="U1916" t="s">
        <v>253</v>
      </c>
      <c r="V1916" t="s">
        <v>418</v>
      </c>
      <c r="W1916" t="s">
        <v>946</v>
      </c>
      <c r="X1916" t="s">
        <v>2317</v>
      </c>
      <c r="Z1916" t="s">
        <v>284</v>
      </c>
      <c r="AL1916" t="s">
        <v>2318</v>
      </c>
      <c r="AM1916" t="s">
        <v>317</v>
      </c>
      <c r="AN1916" t="s">
        <v>259</v>
      </c>
      <c r="AO1916" t="s">
        <v>260</v>
      </c>
      <c r="AP1916">
        <v>8</v>
      </c>
      <c r="AQ1916" t="s">
        <v>261</v>
      </c>
      <c r="AS1916">
        <v>0.54</v>
      </c>
      <c r="AU1916">
        <v>0.28999999999999998</v>
      </c>
      <c r="AW1916">
        <v>1</v>
      </c>
      <c r="AX1916" t="s">
        <v>356</v>
      </c>
      <c r="BO1916" t="s">
        <v>261</v>
      </c>
      <c r="BQ1916">
        <v>0.54</v>
      </c>
      <c r="BS1916">
        <v>0.28999999999999998</v>
      </c>
      <c r="BU1916">
        <v>1</v>
      </c>
      <c r="BV1916" t="s">
        <v>263</v>
      </c>
      <c r="CM1916" t="s">
        <v>264</v>
      </c>
      <c r="CN1916" t="s">
        <v>264</v>
      </c>
      <c r="CP1916" t="s">
        <v>265</v>
      </c>
      <c r="CQ1916" t="s">
        <v>890</v>
      </c>
      <c r="DB1916">
        <v>2</v>
      </c>
      <c r="DG1916" t="s">
        <v>267</v>
      </c>
      <c r="DI1916">
        <v>48</v>
      </c>
      <c r="DN1916" t="s">
        <v>268</v>
      </c>
      <c r="DP1916" t="s">
        <v>3628</v>
      </c>
      <c r="DR1916">
        <v>122378</v>
      </c>
      <c r="DS1916">
        <v>18497</v>
      </c>
      <c r="DT1916" t="s">
        <v>2319</v>
      </c>
      <c r="EW1916" t="s">
        <v>293</v>
      </c>
      <c r="FK1916" t="s">
        <v>3629</v>
      </c>
      <c r="FM1916">
        <v>25</v>
      </c>
      <c r="FR1916" t="s">
        <v>295</v>
      </c>
      <c r="GJ1916">
        <v>6.2</v>
      </c>
      <c r="GL1916">
        <v>6.33</v>
      </c>
      <c r="GM1916" t="s">
        <v>356</v>
      </c>
      <c r="GQ1916">
        <v>8.1999999999999993</v>
      </c>
      <c r="GS1916">
        <v>8.2200000000000006</v>
      </c>
      <c r="GU1916">
        <v>36</v>
      </c>
      <c r="GZ1916" t="s">
        <v>296</v>
      </c>
      <c r="HH1916" t="s">
        <v>272</v>
      </c>
      <c r="ID1916" t="s">
        <v>3630</v>
      </c>
      <c r="IE1916" t="s">
        <v>2322</v>
      </c>
      <c r="IF1916">
        <v>101373</v>
      </c>
      <c r="IG1916" t="s">
        <v>2323</v>
      </c>
      <c r="IH1916" t="s">
        <v>2324</v>
      </c>
      <c r="II1916">
        <v>2007</v>
      </c>
      <c r="IJ1916" t="s">
        <v>2325</v>
      </c>
    </row>
    <row r="1917" spans="1:244" x14ac:dyDescent="0.45">
      <c r="A1917">
        <v>1204036</v>
      </c>
      <c r="B1917">
        <v>183895</v>
      </c>
      <c r="C1917">
        <v>10108642</v>
      </c>
      <c r="D1917" t="s">
        <v>3523</v>
      </c>
      <c r="F1917" t="s">
        <v>245</v>
      </c>
      <c r="G1917" t="s">
        <v>246</v>
      </c>
      <c r="N1917" t="s">
        <v>1183</v>
      </c>
      <c r="O1917" t="s">
        <v>1184</v>
      </c>
      <c r="P1917" t="s">
        <v>249</v>
      </c>
      <c r="Q1917" t="s">
        <v>250</v>
      </c>
      <c r="R1917" t="s">
        <v>251</v>
      </c>
      <c r="T1917" t="s">
        <v>252</v>
      </c>
      <c r="U1917" t="s">
        <v>253</v>
      </c>
      <c r="V1917" t="s">
        <v>418</v>
      </c>
      <c r="W1917" t="s">
        <v>419</v>
      </c>
      <c r="X1917" t="s">
        <v>393</v>
      </c>
      <c r="Z1917" t="s">
        <v>983</v>
      </c>
      <c r="AB1917">
        <v>3</v>
      </c>
      <c r="AG1917" t="s">
        <v>598</v>
      </c>
      <c r="AL1917" t="s">
        <v>3631</v>
      </c>
      <c r="AM1917" t="s">
        <v>258</v>
      </c>
      <c r="AN1917" t="s">
        <v>259</v>
      </c>
      <c r="AO1917" t="s">
        <v>260</v>
      </c>
      <c r="AQ1917" t="s">
        <v>261</v>
      </c>
      <c r="AS1917">
        <v>770</v>
      </c>
      <c r="AX1917" t="s">
        <v>262</v>
      </c>
      <c r="BO1917" t="s">
        <v>261</v>
      </c>
      <c r="BQ1917">
        <v>0.77</v>
      </c>
      <c r="BV1917" t="s">
        <v>263</v>
      </c>
      <c r="CM1917" t="s">
        <v>264</v>
      </c>
      <c r="CN1917" t="s">
        <v>264</v>
      </c>
      <c r="CP1917" t="s">
        <v>265</v>
      </c>
      <c r="CQ1917" t="s">
        <v>890</v>
      </c>
      <c r="DB1917">
        <v>2</v>
      </c>
      <c r="DG1917" t="s">
        <v>267</v>
      </c>
      <c r="DI1917">
        <v>48</v>
      </c>
      <c r="DN1917" t="s">
        <v>268</v>
      </c>
      <c r="DS1917">
        <v>388</v>
      </c>
      <c r="DT1917" t="s">
        <v>3584</v>
      </c>
      <c r="EW1917" t="s">
        <v>293</v>
      </c>
      <c r="FM1917">
        <v>25</v>
      </c>
      <c r="FR1917" t="s">
        <v>295</v>
      </c>
      <c r="GU1917">
        <v>36</v>
      </c>
      <c r="GZ1917" t="s">
        <v>296</v>
      </c>
      <c r="HH1917" t="s">
        <v>272</v>
      </c>
      <c r="IE1917" t="s">
        <v>3585</v>
      </c>
      <c r="IF1917">
        <v>18546</v>
      </c>
      <c r="IG1917" t="s">
        <v>3586</v>
      </c>
      <c r="IH1917" t="s">
        <v>3587</v>
      </c>
      <c r="II1917">
        <v>1995</v>
      </c>
      <c r="IJ1917" t="s">
        <v>3588</v>
      </c>
    </row>
    <row r="1918" spans="1:244" x14ac:dyDescent="0.45">
      <c r="A1918">
        <v>1139074</v>
      </c>
      <c r="B1918">
        <v>232033</v>
      </c>
      <c r="C1918">
        <v>10108642</v>
      </c>
      <c r="D1918" t="s">
        <v>3523</v>
      </c>
      <c r="E1918" t="s">
        <v>3539</v>
      </c>
      <c r="F1918" t="s">
        <v>327</v>
      </c>
      <c r="G1918" t="s">
        <v>246</v>
      </c>
      <c r="N1918" t="s">
        <v>3540</v>
      </c>
      <c r="O1918" t="s">
        <v>248</v>
      </c>
      <c r="P1918" t="s">
        <v>249</v>
      </c>
      <c r="Q1918" t="s">
        <v>250</v>
      </c>
      <c r="R1918" t="s">
        <v>251</v>
      </c>
      <c r="T1918" t="s">
        <v>252</v>
      </c>
      <c r="U1918" t="s">
        <v>253</v>
      </c>
      <c r="V1918" t="s">
        <v>1231</v>
      </c>
      <c r="W1918" t="s">
        <v>3541</v>
      </c>
      <c r="X1918" t="s">
        <v>3542</v>
      </c>
      <c r="AJ1918" t="s">
        <v>285</v>
      </c>
      <c r="AL1918" t="s">
        <v>3543</v>
      </c>
      <c r="AM1918" t="s">
        <v>317</v>
      </c>
      <c r="AN1918" t="s">
        <v>259</v>
      </c>
      <c r="AO1918" t="s">
        <v>260</v>
      </c>
      <c r="AQ1918" t="s">
        <v>261</v>
      </c>
      <c r="AS1918">
        <v>36.1</v>
      </c>
      <c r="AU1918">
        <v>34.6</v>
      </c>
      <c r="AW1918">
        <v>38.299999999999997</v>
      </c>
      <c r="AX1918" t="s">
        <v>356</v>
      </c>
      <c r="BO1918" t="s">
        <v>261</v>
      </c>
      <c r="BQ1918">
        <v>36.1</v>
      </c>
      <c r="BS1918">
        <v>34.6</v>
      </c>
      <c r="BU1918">
        <v>38.299999999999997</v>
      </c>
      <c r="BV1918" t="s">
        <v>263</v>
      </c>
      <c r="CM1918" t="s">
        <v>264</v>
      </c>
      <c r="CN1918" t="s">
        <v>264</v>
      </c>
      <c r="CP1918" t="s">
        <v>265</v>
      </c>
      <c r="CQ1918" t="s">
        <v>890</v>
      </c>
      <c r="DB1918">
        <v>4</v>
      </c>
      <c r="DG1918" t="s">
        <v>267</v>
      </c>
      <c r="DI1918">
        <v>96</v>
      </c>
      <c r="DN1918" t="s">
        <v>268</v>
      </c>
      <c r="DR1918">
        <v>151182</v>
      </c>
      <c r="DS1918">
        <v>11260</v>
      </c>
      <c r="EW1918" t="s">
        <v>272</v>
      </c>
      <c r="FK1918" t="s">
        <v>3632</v>
      </c>
      <c r="FM1918">
        <v>15</v>
      </c>
      <c r="FR1918" t="s">
        <v>295</v>
      </c>
      <c r="GU1918">
        <v>20</v>
      </c>
      <c r="GZ1918" t="s">
        <v>900</v>
      </c>
      <c r="HH1918" t="s">
        <v>272</v>
      </c>
      <c r="ID1918" t="s">
        <v>3633</v>
      </c>
      <c r="IE1918" t="s">
        <v>3546</v>
      </c>
      <c r="IF1918">
        <v>11524</v>
      </c>
      <c r="IG1918" t="s">
        <v>3547</v>
      </c>
      <c r="IH1918" t="s">
        <v>3548</v>
      </c>
      <c r="II1918">
        <v>1983</v>
      </c>
      <c r="IJ1918" t="s">
        <v>3549</v>
      </c>
    </row>
    <row r="1919" spans="1:244" x14ac:dyDescent="0.45">
      <c r="A1919">
        <v>2136234</v>
      </c>
      <c r="B1919">
        <v>2252281</v>
      </c>
      <c r="C1919">
        <v>10108642</v>
      </c>
      <c r="D1919" t="s">
        <v>3523</v>
      </c>
      <c r="F1919" t="s">
        <v>245</v>
      </c>
      <c r="G1919" t="s">
        <v>272</v>
      </c>
      <c r="H1919" t="s">
        <v>288</v>
      </c>
      <c r="I1919">
        <v>99</v>
      </c>
      <c r="N1919" t="s">
        <v>2822</v>
      </c>
      <c r="O1919" t="s">
        <v>1164</v>
      </c>
      <c r="P1919" t="s">
        <v>249</v>
      </c>
      <c r="Q1919" t="s">
        <v>250</v>
      </c>
      <c r="R1919" t="s">
        <v>251</v>
      </c>
      <c r="T1919" t="s">
        <v>389</v>
      </c>
      <c r="U1919" t="s">
        <v>2537</v>
      </c>
      <c r="V1919" t="s">
        <v>2823</v>
      </c>
      <c r="W1919" t="s">
        <v>2824</v>
      </c>
      <c r="X1919" t="s">
        <v>2825</v>
      </c>
      <c r="Z1919" t="s">
        <v>315</v>
      </c>
      <c r="AM1919" t="s">
        <v>258</v>
      </c>
      <c r="AN1919" t="s">
        <v>259</v>
      </c>
      <c r="AO1919" t="s">
        <v>260</v>
      </c>
      <c r="AQ1919" t="s">
        <v>261</v>
      </c>
      <c r="AS1919">
        <v>0.3</v>
      </c>
      <c r="AU1919">
        <v>0.26</v>
      </c>
      <c r="AW1919">
        <v>0.36</v>
      </c>
      <c r="AX1919" t="s">
        <v>356</v>
      </c>
      <c r="BO1919" t="s">
        <v>261</v>
      </c>
      <c r="BQ1919">
        <v>0.3</v>
      </c>
      <c r="BS1919">
        <v>0.26</v>
      </c>
      <c r="BU1919">
        <v>0.36</v>
      </c>
      <c r="BV1919" t="s">
        <v>263</v>
      </c>
      <c r="CM1919" t="s">
        <v>264</v>
      </c>
      <c r="CN1919" t="s">
        <v>264</v>
      </c>
      <c r="CP1919" t="s">
        <v>265</v>
      </c>
      <c r="CQ1919" t="s">
        <v>890</v>
      </c>
      <c r="DB1919">
        <v>4</v>
      </c>
      <c r="DG1919" t="s">
        <v>267</v>
      </c>
      <c r="DI1919">
        <v>96</v>
      </c>
      <c r="DN1919" t="s">
        <v>268</v>
      </c>
      <c r="DR1919">
        <v>565004</v>
      </c>
      <c r="DS1919">
        <v>27410</v>
      </c>
      <c r="DT1919" t="s">
        <v>2826</v>
      </c>
      <c r="DV1919">
        <v>96</v>
      </c>
      <c r="EA1919" t="s">
        <v>268</v>
      </c>
      <c r="EC1919">
        <v>4</v>
      </c>
      <c r="EH1919" t="s">
        <v>267</v>
      </c>
      <c r="EJ1919">
        <v>96</v>
      </c>
      <c r="EO1919" t="s">
        <v>268</v>
      </c>
      <c r="EQ1919">
        <v>4</v>
      </c>
      <c r="EV1919" t="s">
        <v>267</v>
      </c>
      <c r="EW1919" t="s">
        <v>293</v>
      </c>
      <c r="FM1919">
        <v>25</v>
      </c>
      <c r="FR1919" t="s">
        <v>295</v>
      </c>
      <c r="GU1919">
        <v>15</v>
      </c>
      <c r="GZ1919" t="s">
        <v>296</v>
      </c>
      <c r="HH1919" t="s">
        <v>272</v>
      </c>
      <c r="IE1919" t="s">
        <v>2827</v>
      </c>
      <c r="IF1919">
        <v>153073</v>
      </c>
      <c r="IG1919" t="s">
        <v>2828</v>
      </c>
      <c r="IH1919" t="s">
        <v>2829</v>
      </c>
      <c r="II1919">
        <v>2010</v>
      </c>
      <c r="IJ1919" t="s">
        <v>2830</v>
      </c>
    </row>
    <row r="1920" spans="1:244" x14ac:dyDescent="0.45">
      <c r="A1920">
        <v>1304646</v>
      </c>
      <c r="B1920">
        <v>761294</v>
      </c>
      <c r="C1920">
        <v>10108642</v>
      </c>
      <c r="D1920" t="s">
        <v>3523</v>
      </c>
      <c r="F1920" t="s">
        <v>245</v>
      </c>
      <c r="G1920" t="s">
        <v>246</v>
      </c>
      <c r="N1920" t="s">
        <v>1230</v>
      </c>
      <c r="O1920" t="s">
        <v>248</v>
      </c>
      <c r="P1920" t="s">
        <v>249</v>
      </c>
      <c r="Q1920" t="s">
        <v>250</v>
      </c>
      <c r="R1920" t="s">
        <v>251</v>
      </c>
      <c r="T1920" t="s">
        <v>252</v>
      </c>
      <c r="U1920" t="s">
        <v>253</v>
      </c>
      <c r="V1920" t="s">
        <v>1231</v>
      </c>
      <c r="W1920" t="s">
        <v>1232</v>
      </c>
      <c r="X1920" t="s">
        <v>1233</v>
      </c>
      <c r="Z1920" t="s">
        <v>1046</v>
      </c>
      <c r="AA1920" t="s">
        <v>289</v>
      </c>
      <c r="AB1920">
        <v>8</v>
      </c>
      <c r="AG1920" t="s">
        <v>353</v>
      </c>
      <c r="AM1920" t="s">
        <v>258</v>
      </c>
      <c r="AN1920" t="s">
        <v>259</v>
      </c>
      <c r="AO1920" t="s">
        <v>260</v>
      </c>
      <c r="AP1920">
        <v>7</v>
      </c>
      <c r="AQ1920" t="s">
        <v>261</v>
      </c>
      <c r="AS1920">
        <v>287.2</v>
      </c>
      <c r="AU1920">
        <v>239.1</v>
      </c>
      <c r="AW1920">
        <v>355.9</v>
      </c>
      <c r="AX1920" t="s">
        <v>262</v>
      </c>
      <c r="BO1920" t="s">
        <v>261</v>
      </c>
      <c r="BQ1920">
        <v>0.28720000000000001</v>
      </c>
      <c r="BS1920">
        <v>0.23910000000000001</v>
      </c>
      <c r="BU1920">
        <v>0.35589999999999999</v>
      </c>
      <c r="BV1920" t="s">
        <v>263</v>
      </c>
      <c r="CM1920" t="s">
        <v>264</v>
      </c>
      <c r="CN1920" t="s">
        <v>264</v>
      </c>
      <c r="CP1920" t="s">
        <v>265</v>
      </c>
      <c r="CQ1920" t="s">
        <v>890</v>
      </c>
      <c r="DB1920">
        <v>1</v>
      </c>
      <c r="DG1920" t="s">
        <v>267</v>
      </c>
      <c r="DI1920">
        <v>24</v>
      </c>
      <c r="DN1920" t="s">
        <v>268</v>
      </c>
      <c r="DP1920" t="s">
        <v>3608</v>
      </c>
      <c r="DS1920">
        <v>4771</v>
      </c>
      <c r="DT1920" t="s">
        <v>1235</v>
      </c>
      <c r="EW1920" t="s">
        <v>293</v>
      </c>
      <c r="FA1920" t="s">
        <v>397</v>
      </c>
      <c r="FK1920" t="s">
        <v>3609</v>
      </c>
      <c r="FM1920">
        <v>22</v>
      </c>
      <c r="FR1920" t="s">
        <v>295</v>
      </c>
      <c r="GO1920">
        <v>8</v>
      </c>
      <c r="GU1920">
        <v>35</v>
      </c>
      <c r="GZ1920" t="s">
        <v>362</v>
      </c>
      <c r="HH1920" t="s">
        <v>272</v>
      </c>
      <c r="ID1920" t="s">
        <v>3610</v>
      </c>
      <c r="IE1920" t="s">
        <v>1238</v>
      </c>
      <c r="IF1920">
        <v>97270</v>
      </c>
      <c r="IG1920" t="s">
        <v>1239</v>
      </c>
      <c r="IH1920" t="s">
        <v>1240</v>
      </c>
      <c r="II1920">
        <v>2006</v>
      </c>
      <c r="IJ1920" t="s">
        <v>1241</v>
      </c>
    </row>
    <row r="1921" spans="1:244" x14ac:dyDescent="0.45">
      <c r="A1921">
        <v>1041186</v>
      </c>
      <c r="B1921">
        <v>110029</v>
      </c>
      <c r="C1921">
        <v>10108642</v>
      </c>
      <c r="D1921" t="s">
        <v>3523</v>
      </c>
      <c r="F1921" t="s">
        <v>245</v>
      </c>
      <c r="G1921" t="s">
        <v>246</v>
      </c>
      <c r="N1921" t="s">
        <v>3634</v>
      </c>
      <c r="O1921" t="s">
        <v>705</v>
      </c>
      <c r="P1921" t="s">
        <v>249</v>
      </c>
      <c r="Q1921" t="s">
        <v>250</v>
      </c>
      <c r="R1921" t="s">
        <v>251</v>
      </c>
      <c r="T1921" t="s">
        <v>252</v>
      </c>
      <c r="U1921" t="s">
        <v>499</v>
      </c>
      <c r="V1921" t="s">
        <v>3635</v>
      </c>
      <c r="W1921" t="s">
        <v>3636</v>
      </c>
      <c r="X1921" t="s">
        <v>3637</v>
      </c>
      <c r="AM1921" t="s">
        <v>317</v>
      </c>
      <c r="AN1921" t="s">
        <v>259</v>
      </c>
      <c r="AO1921" t="s">
        <v>260</v>
      </c>
      <c r="AQ1921" t="s">
        <v>261</v>
      </c>
      <c r="AS1921">
        <v>630</v>
      </c>
      <c r="AU1921">
        <v>460</v>
      </c>
      <c r="AW1921">
        <v>850</v>
      </c>
      <c r="AX1921" t="s">
        <v>262</v>
      </c>
      <c r="BO1921" t="s">
        <v>261</v>
      </c>
      <c r="BQ1921">
        <v>0.63</v>
      </c>
      <c r="BS1921">
        <v>0.46</v>
      </c>
      <c r="BU1921">
        <v>0.85</v>
      </c>
      <c r="BV1921" t="s">
        <v>263</v>
      </c>
      <c r="CM1921" t="s">
        <v>264</v>
      </c>
      <c r="CN1921" t="s">
        <v>264</v>
      </c>
      <c r="CP1921" t="s">
        <v>265</v>
      </c>
      <c r="DB1921">
        <v>4</v>
      </c>
      <c r="DG1921" t="s">
        <v>267</v>
      </c>
      <c r="DI1921">
        <v>96</v>
      </c>
      <c r="DN1921" t="s">
        <v>268</v>
      </c>
      <c r="DR1921">
        <v>1336365</v>
      </c>
      <c r="DS1921">
        <v>2850</v>
      </c>
      <c r="DT1921" t="s">
        <v>3560</v>
      </c>
      <c r="EW1921" t="s">
        <v>293</v>
      </c>
      <c r="FM1921">
        <v>19.5</v>
      </c>
      <c r="FR1921" t="s">
        <v>295</v>
      </c>
      <c r="GG1921" t="s">
        <v>288</v>
      </c>
      <c r="GH1921">
        <v>7</v>
      </c>
      <c r="GM1921" t="s">
        <v>356</v>
      </c>
      <c r="GU1921">
        <v>35</v>
      </c>
      <c r="GZ1921" t="s">
        <v>296</v>
      </c>
      <c r="HH1921" t="s">
        <v>272</v>
      </c>
      <c r="IE1921" t="s">
        <v>3561</v>
      </c>
      <c r="IF1921">
        <v>2621</v>
      </c>
      <c r="IG1921" t="s">
        <v>3562</v>
      </c>
      <c r="IH1921" t="s">
        <v>3563</v>
      </c>
      <c r="II1921">
        <v>1987</v>
      </c>
      <c r="IJ1921" t="s">
        <v>3564</v>
      </c>
    </row>
    <row r="1922" spans="1:244" x14ac:dyDescent="0.45">
      <c r="A1922">
        <v>1273553</v>
      </c>
      <c r="B1922">
        <v>724872</v>
      </c>
      <c r="C1922">
        <v>10108642</v>
      </c>
      <c r="D1922" t="s">
        <v>3523</v>
      </c>
      <c r="F1922" t="s">
        <v>245</v>
      </c>
      <c r="G1922" t="s">
        <v>246</v>
      </c>
      <c r="N1922" t="s">
        <v>1967</v>
      </c>
      <c r="O1922" t="s">
        <v>1968</v>
      </c>
      <c r="P1922" t="s">
        <v>249</v>
      </c>
      <c r="Q1922" t="s">
        <v>250</v>
      </c>
      <c r="R1922" t="s">
        <v>251</v>
      </c>
      <c r="T1922" t="s">
        <v>252</v>
      </c>
      <c r="U1922" t="s">
        <v>253</v>
      </c>
      <c r="V1922" t="s">
        <v>1969</v>
      </c>
      <c r="W1922" t="s">
        <v>1970</v>
      </c>
      <c r="X1922" t="s">
        <v>1971</v>
      </c>
      <c r="Z1922" t="s">
        <v>1046</v>
      </c>
      <c r="AB1922">
        <v>1</v>
      </c>
      <c r="AG1922" t="s">
        <v>267</v>
      </c>
      <c r="AM1922" t="s">
        <v>258</v>
      </c>
      <c r="AN1922" t="s">
        <v>259</v>
      </c>
      <c r="AO1922" t="s">
        <v>260</v>
      </c>
      <c r="AP1922">
        <v>6</v>
      </c>
      <c r="AQ1922" t="s">
        <v>261</v>
      </c>
      <c r="AS1922">
        <v>2.44</v>
      </c>
      <c r="AU1922">
        <v>2.02</v>
      </c>
      <c r="AW1922">
        <v>2.78</v>
      </c>
      <c r="AX1922" t="s">
        <v>356</v>
      </c>
      <c r="BO1922" t="s">
        <v>261</v>
      </c>
      <c r="BQ1922">
        <v>2.44</v>
      </c>
      <c r="BS1922">
        <v>2.02</v>
      </c>
      <c r="BU1922">
        <v>2.78</v>
      </c>
      <c r="BV1922" t="s">
        <v>263</v>
      </c>
      <c r="CM1922" t="s">
        <v>264</v>
      </c>
      <c r="CN1922" t="s">
        <v>264</v>
      </c>
      <c r="CP1922" t="s">
        <v>265</v>
      </c>
      <c r="CQ1922" t="s">
        <v>890</v>
      </c>
      <c r="DB1922">
        <v>3</v>
      </c>
      <c r="DG1922" t="s">
        <v>267</v>
      </c>
      <c r="DI1922">
        <v>72</v>
      </c>
      <c r="DN1922" t="s">
        <v>268</v>
      </c>
      <c r="DP1922" t="s">
        <v>3597</v>
      </c>
      <c r="DR1922">
        <v>174394</v>
      </c>
      <c r="DS1922">
        <v>18619</v>
      </c>
      <c r="DT1922" t="s">
        <v>1972</v>
      </c>
      <c r="EW1922" t="s">
        <v>293</v>
      </c>
      <c r="FA1922" t="s">
        <v>1973</v>
      </c>
      <c r="FK1922" t="s">
        <v>3616</v>
      </c>
      <c r="FM1922">
        <v>7.5</v>
      </c>
      <c r="FR1922" t="s">
        <v>295</v>
      </c>
      <c r="GU1922">
        <v>28</v>
      </c>
      <c r="GZ1922" t="s">
        <v>356</v>
      </c>
      <c r="HH1922" t="s">
        <v>272</v>
      </c>
      <c r="ID1922" t="s">
        <v>3617</v>
      </c>
      <c r="IE1922" t="s">
        <v>1976</v>
      </c>
      <c r="IF1922">
        <v>71687</v>
      </c>
      <c r="IG1922" t="s">
        <v>1977</v>
      </c>
      <c r="IH1922" t="s">
        <v>1978</v>
      </c>
      <c r="II1922">
        <v>2003</v>
      </c>
      <c r="IJ1922" t="s">
        <v>1979</v>
      </c>
    </row>
    <row r="1923" spans="1:244" x14ac:dyDescent="0.45">
      <c r="A1923">
        <v>1041014</v>
      </c>
      <c r="B1923">
        <v>25266</v>
      </c>
      <c r="C1923">
        <v>10108642</v>
      </c>
      <c r="D1923" t="s">
        <v>3523</v>
      </c>
      <c r="F1923" t="s">
        <v>245</v>
      </c>
      <c r="G1923" t="s">
        <v>246</v>
      </c>
      <c r="N1923" t="s">
        <v>1782</v>
      </c>
      <c r="O1923" t="s">
        <v>1783</v>
      </c>
      <c r="P1923" t="s">
        <v>249</v>
      </c>
      <c r="Q1923" t="s">
        <v>250</v>
      </c>
      <c r="R1923" t="s">
        <v>251</v>
      </c>
      <c r="T1923" t="s">
        <v>252</v>
      </c>
      <c r="U1923" t="s">
        <v>253</v>
      </c>
      <c r="V1923" t="s">
        <v>1735</v>
      </c>
      <c r="W1923" t="s">
        <v>1784</v>
      </c>
      <c r="X1923" t="s">
        <v>1785</v>
      </c>
      <c r="Z1923" t="s">
        <v>1677</v>
      </c>
      <c r="AL1923" t="s">
        <v>1786</v>
      </c>
      <c r="AM1923" t="s">
        <v>258</v>
      </c>
      <c r="AN1923" t="s">
        <v>259</v>
      </c>
      <c r="AO1923" t="s">
        <v>260</v>
      </c>
      <c r="AQ1923" t="s">
        <v>261</v>
      </c>
      <c r="AS1923">
        <v>24220</v>
      </c>
      <c r="AU1923">
        <v>16190</v>
      </c>
      <c r="AW1923">
        <v>32250</v>
      </c>
      <c r="AX1923" t="s">
        <v>262</v>
      </c>
      <c r="BO1923" t="s">
        <v>261</v>
      </c>
      <c r="BQ1923">
        <v>24.22</v>
      </c>
      <c r="BS1923">
        <v>16.190000000000001</v>
      </c>
      <c r="BU1923">
        <v>32.25</v>
      </c>
      <c r="BV1923" t="s">
        <v>263</v>
      </c>
      <c r="CM1923" t="s">
        <v>264</v>
      </c>
      <c r="CN1923" t="s">
        <v>264</v>
      </c>
      <c r="CP1923" t="s">
        <v>265</v>
      </c>
      <c r="CQ1923" t="s">
        <v>890</v>
      </c>
      <c r="DB1923">
        <v>2</v>
      </c>
      <c r="DG1923" t="s">
        <v>267</v>
      </c>
      <c r="DI1923">
        <v>48</v>
      </c>
      <c r="DN1923" t="s">
        <v>268</v>
      </c>
      <c r="DP1923" t="s">
        <v>977</v>
      </c>
      <c r="DS1923">
        <v>2838</v>
      </c>
      <c r="DT1923" t="s">
        <v>1787</v>
      </c>
      <c r="EW1923" t="s">
        <v>333</v>
      </c>
      <c r="FM1923">
        <v>29</v>
      </c>
      <c r="FR1923" t="s">
        <v>295</v>
      </c>
      <c r="GU1923">
        <v>25</v>
      </c>
      <c r="GZ1923" t="s">
        <v>296</v>
      </c>
      <c r="HH1923" t="s">
        <v>272</v>
      </c>
      <c r="IE1923" t="s">
        <v>1788</v>
      </c>
      <c r="IF1923">
        <v>2602</v>
      </c>
      <c r="IG1923" t="s">
        <v>1789</v>
      </c>
      <c r="IH1923" t="s">
        <v>1790</v>
      </c>
      <c r="II1923">
        <v>1987</v>
      </c>
      <c r="IJ1923" t="s">
        <v>1791</v>
      </c>
    </row>
    <row r="1924" spans="1:244" x14ac:dyDescent="0.45">
      <c r="A1924">
        <v>1197353</v>
      </c>
      <c r="B1924">
        <v>150993</v>
      </c>
      <c r="C1924">
        <v>10108642</v>
      </c>
      <c r="D1924" t="s">
        <v>3523</v>
      </c>
      <c r="F1924" t="s">
        <v>245</v>
      </c>
      <c r="G1924" t="s">
        <v>246</v>
      </c>
      <c r="N1924" t="s">
        <v>345</v>
      </c>
      <c r="O1924" t="s">
        <v>346</v>
      </c>
      <c r="P1924" t="s">
        <v>249</v>
      </c>
      <c r="Q1924" t="s">
        <v>250</v>
      </c>
      <c r="R1924" t="s">
        <v>251</v>
      </c>
      <c r="T1924" t="s">
        <v>347</v>
      </c>
      <c r="U1924" t="s">
        <v>348</v>
      </c>
      <c r="V1924" t="s">
        <v>349</v>
      </c>
      <c r="W1924" t="s">
        <v>350</v>
      </c>
      <c r="X1924" t="s">
        <v>351</v>
      </c>
      <c r="Z1924" t="s">
        <v>525</v>
      </c>
      <c r="AM1924" t="s">
        <v>317</v>
      </c>
      <c r="AN1924" t="s">
        <v>259</v>
      </c>
      <c r="AO1924" t="s">
        <v>260</v>
      </c>
      <c r="AQ1924" t="s">
        <v>261</v>
      </c>
      <c r="AS1924">
        <v>1700</v>
      </c>
      <c r="AX1924" t="s">
        <v>262</v>
      </c>
      <c r="BO1924" t="s">
        <v>261</v>
      </c>
      <c r="BQ1924">
        <v>1.7</v>
      </c>
      <c r="BV1924" t="s">
        <v>263</v>
      </c>
      <c r="CM1924" t="s">
        <v>264</v>
      </c>
      <c r="CN1924" t="s">
        <v>264</v>
      </c>
      <c r="CO1924" t="s">
        <v>1266</v>
      </c>
      <c r="CP1924" t="s">
        <v>265</v>
      </c>
      <c r="CQ1924" t="s">
        <v>890</v>
      </c>
      <c r="DB1924">
        <v>1</v>
      </c>
      <c r="DG1924" t="s">
        <v>267</v>
      </c>
      <c r="DI1924">
        <v>24</v>
      </c>
      <c r="DN1924" t="s">
        <v>268</v>
      </c>
      <c r="DR1924">
        <v>6660</v>
      </c>
      <c r="DS1924">
        <v>421</v>
      </c>
      <c r="EW1924" t="s">
        <v>293</v>
      </c>
      <c r="FM1924">
        <v>28</v>
      </c>
      <c r="FR1924" t="s">
        <v>295</v>
      </c>
      <c r="GJ1924">
        <v>4.66</v>
      </c>
      <c r="GL1924">
        <v>5.0999999999999996</v>
      </c>
      <c r="GM1924" t="s">
        <v>356</v>
      </c>
      <c r="GQ1924">
        <v>7.5</v>
      </c>
      <c r="GS1924">
        <v>8.4</v>
      </c>
      <c r="GW1924">
        <v>32.94</v>
      </c>
      <c r="GY1924">
        <v>33.53</v>
      </c>
      <c r="GZ1924" t="s">
        <v>296</v>
      </c>
      <c r="HH1924" t="s">
        <v>272</v>
      </c>
      <c r="IE1924" t="s">
        <v>1267</v>
      </c>
      <c r="IF1924">
        <v>17792</v>
      </c>
      <c r="IG1924" t="s">
        <v>1268</v>
      </c>
      <c r="IH1924" t="s">
        <v>1269</v>
      </c>
      <c r="II1924">
        <v>1990</v>
      </c>
      <c r="IJ1924" t="s">
        <v>1270</v>
      </c>
    </row>
    <row r="1925" spans="1:244" x14ac:dyDescent="0.45">
      <c r="A1925">
        <v>1298032</v>
      </c>
      <c r="B1925">
        <v>753458</v>
      </c>
      <c r="C1925">
        <v>10108642</v>
      </c>
      <c r="D1925" t="s">
        <v>3523</v>
      </c>
      <c r="F1925" t="s">
        <v>245</v>
      </c>
      <c r="G1925" t="s">
        <v>246</v>
      </c>
      <c r="N1925" t="s">
        <v>892</v>
      </c>
      <c r="O1925" t="s">
        <v>498</v>
      </c>
      <c r="P1925" t="s">
        <v>249</v>
      </c>
      <c r="Q1925" t="s">
        <v>250</v>
      </c>
      <c r="R1925" t="s">
        <v>251</v>
      </c>
      <c r="T1925" t="s">
        <v>252</v>
      </c>
      <c r="U1925" t="s">
        <v>499</v>
      </c>
      <c r="V1925" t="s">
        <v>500</v>
      </c>
      <c r="W1925" t="s">
        <v>893</v>
      </c>
      <c r="X1925" t="s">
        <v>894</v>
      </c>
      <c r="Z1925" t="s">
        <v>1248</v>
      </c>
      <c r="AL1925" t="s">
        <v>1249</v>
      </c>
      <c r="AM1925" t="s">
        <v>317</v>
      </c>
      <c r="AN1925" t="s">
        <v>259</v>
      </c>
      <c r="AO1925" t="s">
        <v>260</v>
      </c>
      <c r="AP1925">
        <v>6</v>
      </c>
      <c r="AQ1925" t="s">
        <v>261</v>
      </c>
      <c r="AS1925">
        <v>0.71</v>
      </c>
      <c r="AU1925">
        <v>0.44</v>
      </c>
      <c r="AW1925">
        <v>1.1399999999999999</v>
      </c>
      <c r="AX1925" t="s">
        <v>356</v>
      </c>
      <c r="BO1925" t="s">
        <v>261</v>
      </c>
      <c r="BQ1925">
        <v>0.71</v>
      </c>
      <c r="BS1925">
        <v>0.44</v>
      </c>
      <c r="BU1925">
        <v>1.1399999999999999</v>
      </c>
      <c r="BV1925" t="s">
        <v>263</v>
      </c>
      <c r="CM1925" t="s">
        <v>264</v>
      </c>
      <c r="CN1925" t="s">
        <v>264</v>
      </c>
      <c r="CP1925" t="s">
        <v>265</v>
      </c>
      <c r="CQ1925" t="s">
        <v>890</v>
      </c>
      <c r="DB1925">
        <v>4</v>
      </c>
      <c r="DG1925" t="s">
        <v>267</v>
      </c>
      <c r="DI1925">
        <v>96</v>
      </c>
      <c r="DN1925" t="s">
        <v>268</v>
      </c>
      <c r="DP1925" t="s">
        <v>3628</v>
      </c>
      <c r="DR1925">
        <v>732107</v>
      </c>
      <c r="DS1925">
        <v>427</v>
      </c>
      <c r="DT1925" t="s">
        <v>1250</v>
      </c>
      <c r="EW1925" t="s">
        <v>293</v>
      </c>
      <c r="FA1925" t="s">
        <v>1222</v>
      </c>
      <c r="FK1925" t="s">
        <v>3638</v>
      </c>
      <c r="FM1925">
        <v>16</v>
      </c>
      <c r="FR1925" t="s">
        <v>295</v>
      </c>
      <c r="HH1925" t="s">
        <v>272</v>
      </c>
      <c r="ID1925" t="s">
        <v>3639</v>
      </c>
      <c r="IE1925" t="s">
        <v>1253</v>
      </c>
      <c r="IF1925">
        <v>115536</v>
      </c>
      <c r="IG1925" t="s">
        <v>1254</v>
      </c>
      <c r="IH1925" t="s">
        <v>1255</v>
      </c>
      <c r="II1925">
        <v>2007</v>
      </c>
      <c r="IJ1925" t="s">
        <v>1256</v>
      </c>
    </row>
    <row r="1926" spans="1:244" x14ac:dyDescent="0.45">
      <c r="A1926">
        <v>1176475</v>
      </c>
      <c r="B1926">
        <v>156493</v>
      </c>
      <c r="C1926">
        <v>10108642</v>
      </c>
      <c r="D1926" t="s">
        <v>3523</v>
      </c>
      <c r="F1926" t="s">
        <v>245</v>
      </c>
      <c r="G1926" t="s">
        <v>246</v>
      </c>
      <c r="N1926" t="s">
        <v>3550</v>
      </c>
      <c r="O1926" t="s">
        <v>578</v>
      </c>
      <c r="P1926" t="s">
        <v>249</v>
      </c>
      <c r="Q1926" t="s">
        <v>250</v>
      </c>
      <c r="R1926" t="s">
        <v>251</v>
      </c>
      <c r="T1926" t="s">
        <v>252</v>
      </c>
      <c r="U1926" t="s">
        <v>499</v>
      </c>
      <c r="V1926" t="s">
        <v>3551</v>
      </c>
      <c r="W1926" t="s">
        <v>3552</v>
      </c>
      <c r="X1926" t="s">
        <v>3553</v>
      </c>
      <c r="AM1926" t="s">
        <v>317</v>
      </c>
      <c r="AN1926" t="s">
        <v>259</v>
      </c>
      <c r="AO1926" t="s">
        <v>260</v>
      </c>
      <c r="AQ1926" t="s">
        <v>261</v>
      </c>
      <c r="AS1926">
        <v>470</v>
      </c>
      <c r="AX1926" t="s">
        <v>262</v>
      </c>
      <c r="BO1926" t="s">
        <v>261</v>
      </c>
      <c r="BQ1926">
        <v>0.47</v>
      </c>
      <c r="BV1926" t="s">
        <v>263</v>
      </c>
      <c r="CM1926" t="s">
        <v>264</v>
      </c>
      <c r="CN1926" t="s">
        <v>264</v>
      </c>
      <c r="CP1926" t="s">
        <v>265</v>
      </c>
      <c r="CQ1926" t="s">
        <v>890</v>
      </c>
      <c r="DB1926">
        <v>4</v>
      </c>
      <c r="DG1926" t="s">
        <v>267</v>
      </c>
      <c r="DI1926">
        <v>96</v>
      </c>
      <c r="DN1926" t="s">
        <v>268</v>
      </c>
      <c r="DS1926">
        <v>4655</v>
      </c>
      <c r="EW1926" t="s">
        <v>271</v>
      </c>
      <c r="HH1926" t="s">
        <v>272</v>
      </c>
      <c r="IE1926" t="s">
        <v>3527</v>
      </c>
      <c r="IF1926">
        <v>15300</v>
      </c>
      <c r="IG1926" t="s">
        <v>3528</v>
      </c>
      <c r="IH1926" t="s">
        <v>3529</v>
      </c>
      <c r="II1926">
        <v>1979</v>
      </c>
      <c r="IJ1926" t="s">
        <v>3530</v>
      </c>
    </row>
    <row r="1927" spans="1:244" x14ac:dyDescent="0.45">
      <c r="A1927">
        <v>1299767</v>
      </c>
      <c r="B1927">
        <v>755366</v>
      </c>
      <c r="C1927">
        <v>10108642</v>
      </c>
      <c r="D1927" t="s">
        <v>3523</v>
      </c>
      <c r="F1927" t="s">
        <v>245</v>
      </c>
      <c r="G1927" t="s">
        <v>246</v>
      </c>
      <c r="N1927" t="s">
        <v>892</v>
      </c>
      <c r="O1927" t="s">
        <v>498</v>
      </c>
      <c r="P1927" t="s">
        <v>249</v>
      </c>
      <c r="Q1927" t="s">
        <v>250</v>
      </c>
      <c r="R1927" t="s">
        <v>251</v>
      </c>
      <c r="T1927" t="s">
        <v>252</v>
      </c>
      <c r="U1927" t="s">
        <v>499</v>
      </c>
      <c r="V1927" t="s">
        <v>500</v>
      </c>
      <c r="W1927" t="s">
        <v>893</v>
      </c>
      <c r="X1927" t="s">
        <v>894</v>
      </c>
      <c r="AL1927" t="s">
        <v>1326</v>
      </c>
      <c r="AM1927" t="s">
        <v>317</v>
      </c>
      <c r="AN1927" t="s">
        <v>259</v>
      </c>
      <c r="AO1927" t="s">
        <v>260</v>
      </c>
      <c r="AP1927">
        <v>5</v>
      </c>
      <c r="AQ1927" t="s">
        <v>261</v>
      </c>
      <c r="AS1927">
        <v>0.71</v>
      </c>
      <c r="AU1927">
        <v>0.44</v>
      </c>
      <c r="AW1927">
        <v>1.1399999999999999</v>
      </c>
      <c r="AX1927" t="s">
        <v>356</v>
      </c>
      <c r="BO1927" t="s">
        <v>261</v>
      </c>
      <c r="BQ1927">
        <v>0.71</v>
      </c>
      <c r="BS1927">
        <v>0.44</v>
      </c>
      <c r="BU1927">
        <v>1.1399999999999999</v>
      </c>
      <c r="BV1927" t="s">
        <v>263</v>
      </c>
      <c r="CM1927" t="s">
        <v>264</v>
      </c>
      <c r="CN1927" t="s">
        <v>264</v>
      </c>
      <c r="CP1927" t="s">
        <v>265</v>
      </c>
      <c r="CQ1927" t="s">
        <v>890</v>
      </c>
      <c r="DB1927">
        <v>4</v>
      </c>
      <c r="DG1927" t="s">
        <v>267</v>
      </c>
      <c r="DI1927">
        <v>96</v>
      </c>
      <c r="DN1927" t="s">
        <v>268</v>
      </c>
      <c r="DP1927" t="s">
        <v>3628</v>
      </c>
      <c r="DR1927">
        <v>732107</v>
      </c>
      <c r="DS1927">
        <v>427</v>
      </c>
      <c r="DT1927" t="s">
        <v>1327</v>
      </c>
      <c r="EW1927" t="s">
        <v>293</v>
      </c>
      <c r="FK1927" t="s">
        <v>3640</v>
      </c>
      <c r="FM1927">
        <v>16</v>
      </c>
      <c r="FR1927" t="s">
        <v>295</v>
      </c>
      <c r="GJ1927">
        <v>8</v>
      </c>
      <c r="GL1927">
        <v>8.5</v>
      </c>
      <c r="GM1927" t="s">
        <v>356</v>
      </c>
      <c r="GQ1927">
        <v>7.9</v>
      </c>
      <c r="GS1927">
        <v>8.64</v>
      </c>
      <c r="GU1927">
        <v>36</v>
      </c>
      <c r="GZ1927" t="s">
        <v>296</v>
      </c>
      <c r="HH1927" t="s">
        <v>272</v>
      </c>
      <c r="ID1927" t="s">
        <v>3641</v>
      </c>
      <c r="IE1927" t="s">
        <v>1330</v>
      </c>
      <c r="IF1927">
        <v>116169</v>
      </c>
      <c r="IG1927" t="s">
        <v>1331</v>
      </c>
      <c r="IH1927" t="s">
        <v>1332</v>
      </c>
      <c r="II1927">
        <v>2005</v>
      </c>
      <c r="IJ1927" t="s">
        <v>1333</v>
      </c>
    </row>
    <row r="1928" spans="1:244" x14ac:dyDescent="0.45">
      <c r="A1928">
        <v>1135993</v>
      </c>
      <c r="B1928">
        <v>90613</v>
      </c>
      <c r="C1928">
        <v>10108642</v>
      </c>
      <c r="D1928" t="s">
        <v>3523</v>
      </c>
      <c r="F1928" t="s">
        <v>245</v>
      </c>
      <c r="G1928" t="s">
        <v>246</v>
      </c>
      <c r="N1928" t="s">
        <v>471</v>
      </c>
      <c r="O1928" t="s">
        <v>388</v>
      </c>
      <c r="P1928" t="s">
        <v>249</v>
      </c>
      <c r="Q1928" t="s">
        <v>250</v>
      </c>
      <c r="R1928" t="s">
        <v>251</v>
      </c>
      <c r="T1928" t="s">
        <v>389</v>
      </c>
      <c r="U1928" t="s">
        <v>390</v>
      </c>
      <c r="V1928" t="s">
        <v>472</v>
      </c>
      <c r="W1928" t="s">
        <v>473</v>
      </c>
      <c r="X1928" t="s">
        <v>474</v>
      </c>
      <c r="AL1928" t="s">
        <v>3642</v>
      </c>
      <c r="AM1928" t="s">
        <v>317</v>
      </c>
      <c r="AN1928" t="s">
        <v>259</v>
      </c>
      <c r="AO1928" t="s">
        <v>260</v>
      </c>
      <c r="AQ1928" t="s">
        <v>261</v>
      </c>
      <c r="AS1928">
        <v>872.7</v>
      </c>
      <c r="AX1928" t="s">
        <v>262</v>
      </c>
      <c r="BO1928" t="s">
        <v>261</v>
      </c>
      <c r="BQ1928">
        <v>0.87270000000000003</v>
      </c>
      <c r="BV1928" t="s">
        <v>263</v>
      </c>
      <c r="CM1928" t="s">
        <v>264</v>
      </c>
      <c r="CN1928" t="s">
        <v>264</v>
      </c>
      <c r="CP1928" t="s">
        <v>265</v>
      </c>
      <c r="CQ1928" t="s">
        <v>890</v>
      </c>
      <c r="DB1928">
        <v>2</v>
      </c>
      <c r="DG1928" t="s">
        <v>267</v>
      </c>
      <c r="DI1928">
        <v>48</v>
      </c>
      <c r="DN1928" t="s">
        <v>268</v>
      </c>
      <c r="DR1928">
        <v>2056173</v>
      </c>
      <c r="DS1928">
        <v>1053</v>
      </c>
      <c r="DT1928" t="s">
        <v>2671</v>
      </c>
      <c r="EW1928" t="s">
        <v>271</v>
      </c>
      <c r="FA1928" t="s">
        <v>2672</v>
      </c>
      <c r="FM1928">
        <v>18</v>
      </c>
      <c r="FR1928" t="s">
        <v>295</v>
      </c>
      <c r="GU1928">
        <v>38</v>
      </c>
      <c r="GZ1928" t="s">
        <v>296</v>
      </c>
      <c r="HH1928" t="s">
        <v>272</v>
      </c>
      <c r="IE1928" t="s">
        <v>2299</v>
      </c>
      <c r="IF1928">
        <v>11097</v>
      </c>
      <c r="IG1928" t="s">
        <v>2673</v>
      </c>
      <c r="IH1928" t="s">
        <v>2674</v>
      </c>
      <c r="II1928">
        <v>1982</v>
      </c>
      <c r="IJ1928" t="s">
        <v>2675</v>
      </c>
    </row>
    <row r="1929" spans="1:244" x14ac:dyDescent="0.45">
      <c r="A1929">
        <v>1204041</v>
      </c>
      <c r="B1929">
        <v>183900</v>
      </c>
      <c r="C1929">
        <v>10108642</v>
      </c>
      <c r="D1929" t="s">
        <v>3523</v>
      </c>
      <c r="F1929" t="s">
        <v>245</v>
      </c>
      <c r="G1929" t="s">
        <v>246</v>
      </c>
      <c r="N1929" t="s">
        <v>1183</v>
      </c>
      <c r="O1929" t="s">
        <v>1184</v>
      </c>
      <c r="P1929" t="s">
        <v>249</v>
      </c>
      <c r="Q1929" t="s">
        <v>250</v>
      </c>
      <c r="R1929" t="s">
        <v>251</v>
      </c>
      <c r="T1929" t="s">
        <v>252</v>
      </c>
      <c r="U1929" t="s">
        <v>253</v>
      </c>
      <c r="V1929" t="s">
        <v>418</v>
      </c>
      <c r="W1929" t="s">
        <v>419</v>
      </c>
      <c r="X1929" t="s">
        <v>393</v>
      </c>
      <c r="AL1929" t="s">
        <v>3643</v>
      </c>
      <c r="AM1929" t="s">
        <v>258</v>
      </c>
      <c r="AN1929" t="s">
        <v>259</v>
      </c>
      <c r="AO1929" t="s">
        <v>260</v>
      </c>
      <c r="AQ1929" t="s">
        <v>261</v>
      </c>
      <c r="AS1929">
        <v>1076</v>
      </c>
      <c r="AX1929" t="s">
        <v>262</v>
      </c>
      <c r="BO1929" t="s">
        <v>261</v>
      </c>
      <c r="BQ1929">
        <v>1.0760000000000001</v>
      </c>
      <c r="BV1929" t="s">
        <v>263</v>
      </c>
      <c r="CM1929" t="s">
        <v>264</v>
      </c>
      <c r="CN1929" t="s">
        <v>264</v>
      </c>
      <c r="CP1929" t="s">
        <v>265</v>
      </c>
      <c r="CQ1929" t="s">
        <v>890</v>
      </c>
      <c r="DB1929">
        <v>2</v>
      </c>
      <c r="DG1929" t="s">
        <v>267</v>
      </c>
      <c r="DI1929">
        <v>48</v>
      </c>
      <c r="DN1929" t="s">
        <v>268</v>
      </c>
      <c r="DS1929">
        <v>388</v>
      </c>
      <c r="DT1929" t="s">
        <v>3584</v>
      </c>
      <c r="EW1929" t="s">
        <v>293</v>
      </c>
      <c r="FM1929">
        <v>25</v>
      </c>
      <c r="FR1929" t="s">
        <v>295</v>
      </c>
      <c r="GU1929">
        <v>36</v>
      </c>
      <c r="GZ1929" t="s">
        <v>296</v>
      </c>
      <c r="HH1929" t="s">
        <v>272</v>
      </c>
      <c r="IE1929" t="s">
        <v>3585</v>
      </c>
      <c r="IF1929">
        <v>18546</v>
      </c>
      <c r="IG1929" t="s">
        <v>3586</v>
      </c>
      <c r="IH1929" t="s">
        <v>3587</v>
      </c>
      <c r="II1929">
        <v>1995</v>
      </c>
      <c r="IJ1929" t="s">
        <v>3588</v>
      </c>
    </row>
    <row r="1930" spans="1:244" x14ac:dyDescent="0.45">
      <c r="A1930">
        <v>1026082</v>
      </c>
      <c r="B1930">
        <v>123828</v>
      </c>
      <c r="C1930">
        <v>10108642</v>
      </c>
      <c r="D1930" t="s">
        <v>3523</v>
      </c>
      <c r="F1930" t="s">
        <v>245</v>
      </c>
      <c r="G1930" t="s">
        <v>246</v>
      </c>
      <c r="N1930" t="s">
        <v>546</v>
      </c>
      <c r="O1930" t="s">
        <v>547</v>
      </c>
      <c r="P1930" t="s">
        <v>249</v>
      </c>
      <c r="Q1930" t="s">
        <v>250</v>
      </c>
      <c r="R1930" t="s">
        <v>251</v>
      </c>
      <c r="T1930" t="s">
        <v>252</v>
      </c>
      <c r="U1930" t="s">
        <v>253</v>
      </c>
      <c r="V1930" t="s">
        <v>548</v>
      </c>
      <c r="W1930" t="s">
        <v>549</v>
      </c>
      <c r="X1930" t="s">
        <v>550</v>
      </c>
      <c r="Z1930" t="s">
        <v>315</v>
      </c>
      <c r="AM1930" t="s">
        <v>258</v>
      </c>
      <c r="AN1930" t="s">
        <v>259</v>
      </c>
      <c r="AO1930" t="s">
        <v>260</v>
      </c>
      <c r="AQ1930" t="s">
        <v>261</v>
      </c>
      <c r="AU1930">
        <v>3300</v>
      </c>
      <c r="AW1930">
        <v>10000</v>
      </c>
      <c r="AX1930" t="s">
        <v>262</v>
      </c>
      <c r="BO1930" t="s">
        <v>261</v>
      </c>
      <c r="BS1930">
        <v>3.3</v>
      </c>
      <c r="BU1930">
        <v>10</v>
      </c>
      <c r="BV1930" t="s">
        <v>263</v>
      </c>
      <c r="CM1930" t="s">
        <v>264</v>
      </c>
      <c r="CN1930" t="s">
        <v>264</v>
      </c>
      <c r="CP1930" t="s">
        <v>265</v>
      </c>
      <c r="CQ1930" t="s">
        <v>890</v>
      </c>
      <c r="DB1930">
        <v>2</v>
      </c>
      <c r="DG1930" t="s">
        <v>267</v>
      </c>
      <c r="DI1930">
        <v>48</v>
      </c>
      <c r="DN1930" t="s">
        <v>268</v>
      </c>
      <c r="DR1930">
        <v>491138</v>
      </c>
      <c r="DS1930">
        <v>11</v>
      </c>
      <c r="EW1930" t="s">
        <v>360</v>
      </c>
      <c r="FM1930">
        <v>15</v>
      </c>
      <c r="FR1930" t="s">
        <v>295</v>
      </c>
      <c r="HH1930" t="s">
        <v>272</v>
      </c>
      <c r="IE1930" t="s">
        <v>552</v>
      </c>
      <c r="IF1930">
        <v>906</v>
      </c>
      <c r="IG1930" t="s">
        <v>553</v>
      </c>
      <c r="IH1930" t="s">
        <v>554</v>
      </c>
      <c r="II1930">
        <v>1971</v>
      </c>
      <c r="IJ1930" t="s">
        <v>555</v>
      </c>
    </row>
    <row r="1931" spans="1:244" x14ac:dyDescent="0.45">
      <c r="A1931">
        <v>1139083</v>
      </c>
      <c r="B1931">
        <v>232042</v>
      </c>
      <c r="C1931">
        <v>10108642</v>
      </c>
      <c r="D1931" t="s">
        <v>3523</v>
      </c>
      <c r="E1931" t="s">
        <v>3539</v>
      </c>
      <c r="F1931" t="s">
        <v>327</v>
      </c>
      <c r="G1931" t="s">
        <v>246</v>
      </c>
      <c r="N1931" t="s">
        <v>3540</v>
      </c>
      <c r="O1931" t="s">
        <v>248</v>
      </c>
      <c r="P1931" t="s">
        <v>249</v>
      </c>
      <c r="Q1931" t="s">
        <v>250</v>
      </c>
      <c r="R1931" t="s">
        <v>251</v>
      </c>
      <c r="T1931" t="s">
        <v>252</v>
      </c>
      <c r="U1931" t="s">
        <v>253</v>
      </c>
      <c r="V1931" t="s">
        <v>1231</v>
      </c>
      <c r="W1931" t="s">
        <v>3541</v>
      </c>
      <c r="X1931" t="s">
        <v>3542</v>
      </c>
      <c r="AJ1931" t="s">
        <v>285</v>
      </c>
      <c r="AL1931" t="s">
        <v>3543</v>
      </c>
      <c r="AM1931" t="s">
        <v>317</v>
      </c>
      <c r="AN1931" t="s">
        <v>259</v>
      </c>
      <c r="AO1931" t="s">
        <v>260</v>
      </c>
      <c r="AQ1931" t="s">
        <v>261</v>
      </c>
      <c r="AS1931">
        <v>58.25</v>
      </c>
      <c r="AU1931">
        <v>55.3</v>
      </c>
      <c r="AW1931">
        <v>61.2</v>
      </c>
      <c r="AX1931" t="s">
        <v>356</v>
      </c>
      <c r="BO1931" t="s">
        <v>261</v>
      </c>
      <c r="BQ1931">
        <v>58.25</v>
      </c>
      <c r="BS1931">
        <v>55.3</v>
      </c>
      <c r="BU1931">
        <v>61.2</v>
      </c>
      <c r="BV1931" t="s">
        <v>263</v>
      </c>
      <c r="CM1931" t="s">
        <v>264</v>
      </c>
      <c r="CN1931" t="s">
        <v>264</v>
      </c>
      <c r="CP1931" t="s">
        <v>265</v>
      </c>
      <c r="CQ1931" t="s">
        <v>890</v>
      </c>
      <c r="DB1931">
        <v>1</v>
      </c>
      <c r="DG1931" t="s">
        <v>267</v>
      </c>
      <c r="DI1931">
        <v>24</v>
      </c>
      <c r="DN1931" t="s">
        <v>268</v>
      </c>
      <c r="DR1931">
        <v>151182</v>
      </c>
      <c r="DS1931">
        <v>11260</v>
      </c>
      <c r="EW1931" t="s">
        <v>272</v>
      </c>
      <c r="FK1931" t="s">
        <v>3644</v>
      </c>
      <c r="FM1931">
        <v>32</v>
      </c>
      <c r="FR1931" t="s">
        <v>295</v>
      </c>
      <c r="GU1931">
        <v>32</v>
      </c>
      <c r="GZ1931" t="s">
        <v>900</v>
      </c>
      <c r="HH1931" t="s">
        <v>272</v>
      </c>
      <c r="ID1931" t="s">
        <v>3645</v>
      </c>
      <c r="IE1931" t="s">
        <v>3546</v>
      </c>
      <c r="IF1931">
        <v>11524</v>
      </c>
      <c r="IG1931" t="s">
        <v>3547</v>
      </c>
      <c r="IH1931" t="s">
        <v>3548</v>
      </c>
      <c r="II1931">
        <v>1983</v>
      </c>
      <c r="IJ1931" t="s">
        <v>3549</v>
      </c>
    </row>
    <row r="1932" spans="1:244" x14ac:dyDescent="0.45">
      <c r="A1932">
        <v>1070633</v>
      </c>
      <c r="B1932">
        <v>15838</v>
      </c>
      <c r="C1932">
        <v>10108642</v>
      </c>
      <c r="D1932" t="s">
        <v>3523</v>
      </c>
      <c r="F1932" t="s">
        <v>327</v>
      </c>
      <c r="G1932" t="s">
        <v>246</v>
      </c>
      <c r="N1932" t="s">
        <v>2005</v>
      </c>
      <c r="O1932" t="s">
        <v>631</v>
      </c>
      <c r="P1932" t="s">
        <v>249</v>
      </c>
      <c r="Q1932" t="s">
        <v>250</v>
      </c>
      <c r="R1932" t="s">
        <v>251</v>
      </c>
      <c r="T1932" t="s">
        <v>389</v>
      </c>
      <c r="U1932" t="s">
        <v>632</v>
      </c>
      <c r="V1932" t="s">
        <v>2006</v>
      </c>
      <c r="W1932" t="s">
        <v>2007</v>
      </c>
      <c r="X1932" t="s">
        <v>2008</v>
      </c>
      <c r="Z1932" t="s">
        <v>1034</v>
      </c>
      <c r="AL1932" t="s">
        <v>1943</v>
      </c>
      <c r="AM1932" t="s">
        <v>317</v>
      </c>
      <c r="AN1932" t="s">
        <v>259</v>
      </c>
      <c r="AO1932" t="s">
        <v>260</v>
      </c>
      <c r="AQ1932" t="s">
        <v>261</v>
      </c>
      <c r="AS1932">
        <v>2710</v>
      </c>
      <c r="AU1932">
        <v>2070</v>
      </c>
      <c r="AW1932">
        <v>5220</v>
      </c>
      <c r="AX1932" t="s">
        <v>262</v>
      </c>
      <c r="BO1932" t="s">
        <v>261</v>
      </c>
      <c r="BQ1932">
        <v>2.71</v>
      </c>
      <c r="BS1932">
        <v>2.0699999999999998</v>
      </c>
      <c r="BU1932">
        <v>5.22</v>
      </c>
      <c r="BV1932" t="s">
        <v>263</v>
      </c>
      <c r="CM1932" t="s">
        <v>264</v>
      </c>
      <c r="CN1932" t="s">
        <v>264</v>
      </c>
      <c r="CP1932" t="s">
        <v>265</v>
      </c>
      <c r="CQ1932" t="s">
        <v>890</v>
      </c>
      <c r="DB1932">
        <v>1</v>
      </c>
      <c r="DG1932" t="s">
        <v>267</v>
      </c>
      <c r="DI1932">
        <v>24</v>
      </c>
      <c r="DN1932" t="s">
        <v>268</v>
      </c>
      <c r="DR1932">
        <v>187406</v>
      </c>
      <c r="DS1932">
        <v>645</v>
      </c>
      <c r="DT1932" t="s">
        <v>1944</v>
      </c>
      <c r="EW1932" t="s">
        <v>333</v>
      </c>
      <c r="FK1932" t="s">
        <v>3243</v>
      </c>
      <c r="FM1932">
        <v>17</v>
      </c>
      <c r="FR1932" t="s">
        <v>295</v>
      </c>
      <c r="GW1932">
        <v>34.5</v>
      </c>
      <c r="GY1932">
        <v>35.5</v>
      </c>
      <c r="GZ1932" t="s">
        <v>296</v>
      </c>
      <c r="HH1932" t="s">
        <v>272</v>
      </c>
      <c r="ID1932" t="s">
        <v>3244</v>
      </c>
      <c r="IE1932" t="s">
        <v>1947</v>
      </c>
      <c r="IF1932">
        <v>5563</v>
      </c>
      <c r="IG1932" t="s">
        <v>1948</v>
      </c>
      <c r="IH1932" t="s">
        <v>1949</v>
      </c>
      <c r="II1932">
        <v>1979</v>
      </c>
      <c r="IJ1932" t="s">
        <v>1950</v>
      </c>
    </row>
    <row r="1933" spans="1:244" x14ac:dyDescent="0.45">
      <c r="A1933">
        <v>1204042</v>
      </c>
      <c r="B1933">
        <v>183901</v>
      </c>
      <c r="C1933">
        <v>10108642</v>
      </c>
      <c r="D1933" t="s">
        <v>3523</v>
      </c>
      <c r="F1933" t="s">
        <v>245</v>
      </c>
      <c r="G1933" t="s">
        <v>246</v>
      </c>
      <c r="N1933" t="s">
        <v>1183</v>
      </c>
      <c r="O1933" t="s">
        <v>1184</v>
      </c>
      <c r="P1933" t="s">
        <v>249</v>
      </c>
      <c r="Q1933" t="s">
        <v>250</v>
      </c>
      <c r="R1933" t="s">
        <v>251</v>
      </c>
      <c r="T1933" t="s">
        <v>252</v>
      </c>
      <c r="U1933" t="s">
        <v>253</v>
      </c>
      <c r="V1933" t="s">
        <v>418</v>
      </c>
      <c r="W1933" t="s">
        <v>419</v>
      </c>
      <c r="X1933" t="s">
        <v>393</v>
      </c>
      <c r="AL1933" t="s">
        <v>3643</v>
      </c>
      <c r="AM1933" t="s">
        <v>258</v>
      </c>
      <c r="AN1933" t="s">
        <v>259</v>
      </c>
      <c r="AO1933" t="s">
        <v>260</v>
      </c>
      <c r="AQ1933" t="s">
        <v>261</v>
      </c>
      <c r="AS1933">
        <v>563</v>
      </c>
      <c r="AX1933" t="s">
        <v>262</v>
      </c>
      <c r="BO1933" t="s">
        <v>261</v>
      </c>
      <c r="BQ1933">
        <v>0.56299999999999994</v>
      </c>
      <c r="BV1933" t="s">
        <v>263</v>
      </c>
      <c r="CM1933" t="s">
        <v>264</v>
      </c>
      <c r="CN1933" t="s">
        <v>264</v>
      </c>
      <c r="CP1933" t="s">
        <v>265</v>
      </c>
      <c r="CQ1933" t="s">
        <v>890</v>
      </c>
      <c r="DB1933">
        <v>4</v>
      </c>
      <c r="DG1933" t="s">
        <v>267</v>
      </c>
      <c r="DI1933">
        <v>96</v>
      </c>
      <c r="DN1933" t="s">
        <v>268</v>
      </c>
      <c r="DS1933">
        <v>388</v>
      </c>
      <c r="DT1933" t="s">
        <v>3584</v>
      </c>
      <c r="EW1933" t="s">
        <v>293</v>
      </c>
      <c r="FM1933">
        <v>25</v>
      </c>
      <c r="FR1933" t="s">
        <v>295</v>
      </c>
      <c r="GU1933">
        <v>36</v>
      </c>
      <c r="GZ1933" t="s">
        <v>296</v>
      </c>
      <c r="HH1933" t="s">
        <v>272</v>
      </c>
      <c r="IE1933" t="s">
        <v>3585</v>
      </c>
      <c r="IF1933">
        <v>18546</v>
      </c>
      <c r="IG1933" t="s">
        <v>3586</v>
      </c>
      <c r="IH1933" t="s">
        <v>3587</v>
      </c>
      <c r="II1933">
        <v>1995</v>
      </c>
      <c r="IJ1933" t="s">
        <v>3588</v>
      </c>
    </row>
    <row r="1934" spans="1:244" x14ac:dyDescent="0.45">
      <c r="A1934">
        <v>1204320</v>
      </c>
      <c r="B1934">
        <v>209171</v>
      </c>
      <c r="C1934">
        <v>10108642</v>
      </c>
      <c r="D1934" t="s">
        <v>3523</v>
      </c>
      <c r="E1934" t="s">
        <v>622</v>
      </c>
      <c r="F1934" t="s">
        <v>245</v>
      </c>
      <c r="G1934" t="s">
        <v>246</v>
      </c>
      <c r="N1934" t="s">
        <v>253</v>
      </c>
      <c r="O1934" t="s">
        <v>1835</v>
      </c>
      <c r="P1934" t="s">
        <v>249</v>
      </c>
      <c r="Q1934" t="s">
        <v>250</v>
      </c>
      <c r="R1934" t="s">
        <v>251</v>
      </c>
      <c r="T1934" t="s">
        <v>252</v>
      </c>
      <c r="U1934" t="s">
        <v>253</v>
      </c>
      <c r="Z1934" t="s">
        <v>284</v>
      </c>
      <c r="AA1934" t="s">
        <v>289</v>
      </c>
      <c r="AB1934">
        <v>8</v>
      </c>
      <c r="AG1934" t="s">
        <v>268</v>
      </c>
      <c r="AL1934" t="s">
        <v>3646</v>
      </c>
      <c r="AM1934" t="s">
        <v>258</v>
      </c>
      <c r="AN1934" t="s">
        <v>259</v>
      </c>
      <c r="AO1934" t="s">
        <v>260</v>
      </c>
      <c r="AQ1934" t="s">
        <v>261</v>
      </c>
      <c r="AS1934">
        <v>80</v>
      </c>
      <c r="AU1934">
        <v>65.040000000000006</v>
      </c>
      <c r="AW1934">
        <v>98.4</v>
      </c>
      <c r="AX1934" t="s">
        <v>262</v>
      </c>
      <c r="BO1934" t="s">
        <v>261</v>
      </c>
      <c r="BQ1934">
        <v>0.08</v>
      </c>
      <c r="BS1934">
        <v>6.5040000000000001E-2</v>
      </c>
      <c r="BU1934">
        <v>9.8400000000000001E-2</v>
      </c>
      <c r="BV1934" t="s">
        <v>263</v>
      </c>
      <c r="CM1934" t="s">
        <v>264</v>
      </c>
      <c r="CN1934" t="s">
        <v>264</v>
      </c>
      <c r="CP1934" t="s">
        <v>265</v>
      </c>
      <c r="DB1934">
        <v>4</v>
      </c>
      <c r="DG1934" t="s">
        <v>267</v>
      </c>
      <c r="DI1934">
        <v>96</v>
      </c>
      <c r="DN1934" t="s">
        <v>268</v>
      </c>
      <c r="DR1934">
        <v>6683</v>
      </c>
      <c r="DS1934">
        <v>813</v>
      </c>
      <c r="EW1934" t="s">
        <v>293</v>
      </c>
      <c r="GU1934">
        <v>25</v>
      </c>
      <c r="GZ1934" t="s">
        <v>296</v>
      </c>
      <c r="HH1934" t="s">
        <v>272</v>
      </c>
      <c r="IE1934" t="s">
        <v>1820</v>
      </c>
      <c r="IF1934">
        <v>18580</v>
      </c>
      <c r="IG1934" t="s">
        <v>1821</v>
      </c>
      <c r="IH1934" t="s">
        <v>1822</v>
      </c>
      <c r="II1934">
        <v>1996</v>
      </c>
      <c r="IJ1934" t="s">
        <v>1823</v>
      </c>
    </row>
    <row r="1935" spans="1:244" x14ac:dyDescent="0.45">
      <c r="A1935">
        <v>1226931</v>
      </c>
      <c r="B1935">
        <v>216561</v>
      </c>
      <c r="C1935">
        <v>10108642</v>
      </c>
      <c r="D1935" t="s">
        <v>3523</v>
      </c>
      <c r="E1935" t="s">
        <v>622</v>
      </c>
      <c r="F1935" t="s">
        <v>245</v>
      </c>
      <c r="G1935" t="s">
        <v>246</v>
      </c>
      <c r="N1935" t="s">
        <v>247</v>
      </c>
      <c r="O1935" t="s">
        <v>248</v>
      </c>
      <c r="P1935" t="s">
        <v>249</v>
      </c>
      <c r="Q1935" t="s">
        <v>250</v>
      </c>
      <c r="R1935" t="s">
        <v>251</v>
      </c>
      <c r="T1935" t="s">
        <v>252</v>
      </c>
      <c r="U1935" t="s">
        <v>253</v>
      </c>
      <c r="V1935" t="s">
        <v>254</v>
      </c>
      <c r="W1935" t="s">
        <v>255</v>
      </c>
      <c r="X1935" t="s">
        <v>256</v>
      </c>
      <c r="AL1935" t="s">
        <v>1765</v>
      </c>
      <c r="AM1935" t="s">
        <v>258</v>
      </c>
      <c r="AN1935" t="s">
        <v>259</v>
      </c>
      <c r="AO1935" t="s">
        <v>260</v>
      </c>
      <c r="AQ1935" t="s">
        <v>261</v>
      </c>
      <c r="AS1935">
        <v>8</v>
      </c>
      <c r="AX1935" t="s">
        <v>422</v>
      </c>
      <c r="BO1935" t="s">
        <v>261</v>
      </c>
      <c r="BQ1935">
        <v>8</v>
      </c>
      <c r="BV1935" t="s">
        <v>263</v>
      </c>
      <c r="CM1935" t="s">
        <v>264</v>
      </c>
      <c r="CN1935" t="s">
        <v>264</v>
      </c>
      <c r="CP1935" t="s">
        <v>265</v>
      </c>
      <c r="DB1935">
        <v>4</v>
      </c>
      <c r="DG1935" t="s">
        <v>267</v>
      </c>
      <c r="DI1935">
        <v>96</v>
      </c>
      <c r="DN1935" t="s">
        <v>268</v>
      </c>
      <c r="DR1935">
        <v>6761</v>
      </c>
      <c r="DS1935">
        <v>2461</v>
      </c>
      <c r="EW1935" t="s">
        <v>272</v>
      </c>
      <c r="GH1935">
        <v>4.41</v>
      </c>
      <c r="GM1935" t="s">
        <v>1766</v>
      </c>
      <c r="GO1935">
        <v>7.5</v>
      </c>
      <c r="GU1935">
        <v>27</v>
      </c>
      <c r="GZ1935" t="s">
        <v>296</v>
      </c>
      <c r="HH1935" t="s">
        <v>272</v>
      </c>
      <c r="IE1935" t="s">
        <v>782</v>
      </c>
      <c r="IF1935">
        <v>52573</v>
      </c>
      <c r="IG1935" t="s">
        <v>1767</v>
      </c>
      <c r="IH1935" t="s">
        <v>1768</v>
      </c>
      <c r="II1935">
        <v>1999</v>
      </c>
      <c r="IJ1935" t="s">
        <v>1769</v>
      </c>
    </row>
    <row r="1936" spans="1:244" x14ac:dyDescent="0.45">
      <c r="A1936">
        <v>1278961</v>
      </c>
      <c r="B1936">
        <v>732258</v>
      </c>
      <c r="C1936">
        <v>10108642</v>
      </c>
      <c r="D1936" t="s">
        <v>3523</v>
      </c>
      <c r="E1936" t="s">
        <v>439</v>
      </c>
      <c r="F1936" t="s">
        <v>327</v>
      </c>
      <c r="G1936" t="s">
        <v>246</v>
      </c>
      <c r="N1936" t="s">
        <v>1426</v>
      </c>
      <c r="O1936" t="s">
        <v>370</v>
      </c>
      <c r="P1936" t="s">
        <v>249</v>
      </c>
      <c r="Q1936" t="s">
        <v>250</v>
      </c>
      <c r="R1936" t="s">
        <v>251</v>
      </c>
      <c r="T1936" t="s">
        <v>252</v>
      </c>
      <c r="U1936" t="s">
        <v>371</v>
      </c>
      <c r="V1936" t="s">
        <v>372</v>
      </c>
      <c r="W1936" t="s">
        <v>1427</v>
      </c>
      <c r="X1936" t="s">
        <v>1428</v>
      </c>
      <c r="Z1936" t="s">
        <v>649</v>
      </c>
      <c r="AD1936">
        <v>1</v>
      </c>
      <c r="AF1936">
        <v>5</v>
      </c>
      <c r="AG1936" t="s">
        <v>267</v>
      </c>
      <c r="AM1936" t="s">
        <v>258</v>
      </c>
      <c r="AN1936" t="s">
        <v>259</v>
      </c>
      <c r="AO1936" t="s">
        <v>260</v>
      </c>
      <c r="AP1936">
        <v>6</v>
      </c>
      <c r="AQ1936" t="s">
        <v>261</v>
      </c>
      <c r="AS1936">
        <v>45</v>
      </c>
      <c r="AU1936">
        <v>41</v>
      </c>
      <c r="AW1936">
        <v>49</v>
      </c>
      <c r="AX1936" t="s">
        <v>262</v>
      </c>
      <c r="BO1936" t="s">
        <v>261</v>
      </c>
      <c r="BQ1936">
        <v>4.4999999999999998E-2</v>
      </c>
      <c r="BS1936">
        <v>4.1000000000000002E-2</v>
      </c>
      <c r="BU1936">
        <v>4.9000000000000002E-2</v>
      </c>
      <c r="BV1936" t="s">
        <v>263</v>
      </c>
      <c r="CM1936" t="s">
        <v>264</v>
      </c>
      <c r="CN1936" t="s">
        <v>264</v>
      </c>
      <c r="CP1936" t="s">
        <v>265</v>
      </c>
      <c r="CQ1936" t="s">
        <v>890</v>
      </c>
      <c r="DB1936">
        <v>4</v>
      </c>
      <c r="DG1936" t="s">
        <v>267</v>
      </c>
      <c r="DI1936">
        <v>96</v>
      </c>
      <c r="DN1936" t="s">
        <v>268</v>
      </c>
      <c r="DP1936" t="s">
        <v>3597</v>
      </c>
      <c r="DR1936">
        <v>223650</v>
      </c>
      <c r="DS1936">
        <v>1577</v>
      </c>
      <c r="DT1936" t="s">
        <v>1430</v>
      </c>
      <c r="EW1936" t="s">
        <v>293</v>
      </c>
      <c r="FA1936" t="s">
        <v>1867</v>
      </c>
      <c r="FK1936" t="s">
        <v>3647</v>
      </c>
      <c r="FM1936">
        <v>20</v>
      </c>
      <c r="FR1936" t="s">
        <v>295</v>
      </c>
      <c r="GU1936">
        <v>5</v>
      </c>
      <c r="GZ1936" t="s">
        <v>296</v>
      </c>
      <c r="HH1936" t="s">
        <v>272</v>
      </c>
      <c r="ID1936" t="s">
        <v>3648</v>
      </c>
      <c r="IE1936" t="s">
        <v>1433</v>
      </c>
      <c r="IF1936">
        <v>75445</v>
      </c>
      <c r="IG1936" t="s">
        <v>1434</v>
      </c>
      <c r="IH1936" t="s">
        <v>1435</v>
      </c>
      <c r="II1936">
        <v>2003</v>
      </c>
      <c r="IJ1936" t="s">
        <v>1436</v>
      </c>
    </row>
    <row r="1937" spans="1:244" x14ac:dyDescent="0.45">
      <c r="A1937">
        <v>1182132</v>
      </c>
      <c r="B1937">
        <v>160035</v>
      </c>
      <c r="C1937">
        <v>10108642</v>
      </c>
      <c r="D1937" t="s">
        <v>3523</v>
      </c>
      <c r="E1937" t="s">
        <v>439</v>
      </c>
      <c r="F1937" t="s">
        <v>245</v>
      </c>
      <c r="G1937" t="s">
        <v>246</v>
      </c>
      <c r="N1937" t="s">
        <v>345</v>
      </c>
      <c r="O1937" t="s">
        <v>346</v>
      </c>
      <c r="P1937" t="s">
        <v>249</v>
      </c>
      <c r="Q1937" t="s">
        <v>250</v>
      </c>
      <c r="R1937" t="s">
        <v>251</v>
      </c>
      <c r="T1937" t="s">
        <v>347</v>
      </c>
      <c r="U1937" t="s">
        <v>348</v>
      </c>
      <c r="V1937" t="s">
        <v>349</v>
      </c>
      <c r="W1937" t="s">
        <v>350</v>
      </c>
      <c r="X1937" t="s">
        <v>351</v>
      </c>
      <c r="Z1937" t="s">
        <v>1034</v>
      </c>
      <c r="AL1937" t="s">
        <v>2663</v>
      </c>
      <c r="AM1937" t="s">
        <v>317</v>
      </c>
      <c r="AN1937" t="s">
        <v>259</v>
      </c>
      <c r="AO1937" t="s">
        <v>260</v>
      </c>
      <c r="AQ1937" t="s">
        <v>261</v>
      </c>
      <c r="AS1937">
        <v>509000</v>
      </c>
      <c r="AX1937" t="s">
        <v>262</v>
      </c>
      <c r="BO1937" t="s">
        <v>261</v>
      </c>
      <c r="BQ1937">
        <v>509</v>
      </c>
      <c r="BV1937" t="s">
        <v>263</v>
      </c>
      <c r="CM1937" t="s">
        <v>264</v>
      </c>
      <c r="CN1937" t="s">
        <v>264</v>
      </c>
      <c r="CP1937" t="s">
        <v>265</v>
      </c>
      <c r="DB1937">
        <v>1</v>
      </c>
      <c r="DG1937" t="s">
        <v>267</v>
      </c>
      <c r="DI1937">
        <v>24</v>
      </c>
      <c r="DN1937" t="s">
        <v>268</v>
      </c>
      <c r="DR1937">
        <v>6660</v>
      </c>
      <c r="DS1937">
        <v>421</v>
      </c>
      <c r="DT1937" t="s">
        <v>2665</v>
      </c>
      <c r="EW1937" t="s">
        <v>293</v>
      </c>
      <c r="FA1937" t="s">
        <v>2666</v>
      </c>
      <c r="FM1937">
        <v>25</v>
      </c>
      <c r="FR1937" t="s">
        <v>295</v>
      </c>
      <c r="GU1937">
        <v>25</v>
      </c>
      <c r="GZ1937" t="s">
        <v>296</v>
      </c>
      <c r="HH1937" t="s">
        <v>272</v>
      </c>
      <c r="IE1937" t="s">
        <v>2667</v>
      </c>
      <c r="IF1937">
        <v>16031</v>
      </c>
      <c r="IG1937" t="s">
        <v>2668</v>
      </c>
      <c r="IH1937" t="s">
        <v>2669</v>
      </c>
      <c r="II1937">
        <v>1995</v>
      </c>
      <c r="IJ1937" t="s">
        <v>2670</v>
      </c>
    </row>
    <row r="1938" spans="1:244" x14ac:dyDescent="0.45">
      <c r="A1938">
        <v>1304654</v>
      </c>
      <c r="B1938">
        <v>761302</v>
      </c>
      <c r="C1938">
        <v>10108642</v>
      </c>
      <c r="D1938" t="s">
        <v>3523</v>
      </c>
      <c r="F1938" t="s">
        <v>245</v>
      </c>
      <c r="G1938" t="s">
        <v>246</v>
      </c>
      <c r="N1938" t="s">
        <v>1230</v>
      </c>
      <c r="O1938" t="s">
        <v>248</v>
      </c>
      <c r="P1938" t="s">
        <v>249</v>
      </c>
      <c r="Q1938" t="s">
        <v>250</v>
      </c>
      <c r="R1938" t="s">
        <v>251</v>
      </c>
      <c r="T1938" t="s">
        <v>252</v>
      </c>
      <c r="U1938" t="s">
        <v>253</v>
      </c>
      <c r="V1938" t="s">
        <v>1231</v>
      </c>
      <c r="W1938" t="s">
        <v>1232</v>
      </c>
      <c r="X1938" t="s">
        <v>1233</v>
      </c>
      <c r="Z1938" t="s">
        <v>919</v>
      </c>
      <c r="AM1938" t="s">
        <v>258</v>
      </c>
      <c r="AN1938" t="s">
        <v>259</v>
      </c>
      <c r="AO1938" t="s">
        <v>260</v>
      </c>
      <c r="AP1938">
        <v>7</v>
      </c>
      <c r="AQ1938" t="s">
        <v>261</v>
      </c>
      <c r="AS1938">
        <v>35.700000000000003</v>
      </c>
      <c r="AU1938">
        <v>30.1</v>
      </c>
      <c r="AW1938">
        <v>41.9</v>
      </c>
      <c r="AX1938" t="s">
        <v>356</v>
      </c>
      <c r="BO1938" t="s">
        <v>261</v>
      </c>
      <c r="BQ1938">
        <v>35.700000000000003</v>
      </c>
      <c r="BS1938">
        <v>30.1</v>
      </c>
      <c r="BU1938">
        <v>41.9</v>
      </c>
      <c r="BV1938" t="s">
        <v>263</v>
      </c>
      <c r="CM1938" t="s">
        <v>264</v>
      </c>
      <c r="CN1938" t="s">
        <v>264</v>
      </c>
      <c r="CP1938" t="s">
        <v>265</v>
      </c>
      <c r="CQ1938" t="s">
        <v>890</v>
      </c>
      <c r="DB1938">
        <v>4</v>
      </c>
      <c r="DG1938" t="s">
        <v>267</v>
      </c>
      <c r="DI1938">
        <v>96</v>
      </c>
      <c r="DN1938" t="s">
        <v>268</v>
      </c>
      <c r="DP1938" t="s">
        <v>3608</v>
      </c>
      <c r="DS1938">
        <v>4771</v>
      </c>
      <c r="DT1938" t="s">
        <v>1235</v>
      </c>
      <c r="EW1938" t="s">
        <v>293</v>
      </c>
      <c r="FA1938" t="s">
        <v>397</v>
      </c>
      <c r="FK1938" t="s">
        <v>3649</v>
      </c>
      <c r="FM1938">
        <v>22</v>
      </c>
      <c r="FR1938" t="s">
        <v>295</v>
      </c>
      <c r="GO1938">
        <v>8</v>
      </c>
      <c r="GU1938">
        <v>35</v>
      </c>
      <c r="GZ1938" t="s">
        <v>362</v>
      </c>
      <c r="HH1938" t="s">
        <v>272</v>
      </c>
      <c r="ID1938" t="s">
        <v>3650</v>
      </c>
      <c r="IE1938" t="s">
        <v>1238</v>
      </c>
      <c r="IF1938">
        <v>97270</v>
      </c>
      <c r="IG1938" t="s">
        <v>1239</v>
      </c>
      <c r="IH1938" t="s">
        <v>1240</v>
      </c>
      <c r="II1938">
        <v>2006</v>
      </c>
      <c r="IJ1938" t="s">
        <v>1241</v>
      </c>
    </row>
    <row r="1939" spans="1:244" x14ac:dyDescent="0.45">
      <c r="A1939">
        <v>1176485</v>
      </c>
      <c r="B1939">
        <v>156503</v>
      </c>
      <c r="C1939">
        <v>10108642</v>
      </c>
      <c r="D1939" t="s">
        <v>3523</v>
      </c>
      <c r="F1939" t="s">
        <v>245</v>
      </c>
      <c r="G1939" t="s">
        <v>246</v>
      </c>
      <c r="N1939" t="s">
        <v>3550</v>
      </c>
      <c r="O1939" t="s">
        <v>578</v>
      </c>
      <c r="P1939" t="s">
        <v>249</v>
      </c>
      <c r="Q1939" t="s">
        <v>250</v>
      </c>
      <c r="R1939" t="s">
        <v>251</v>
      </c>
      <c r="T1939" t="s">
        <v>252</v>
      </c>
      <c r="U1939" t="s">
        <v>499</v>
      </c>
      <c r="V1939" t="s">
        <v>3551</v>
      </c>
      <c r="W1939" t="s">
        <v>3552</v>
      </c>
      <c r="X1939" t="s">
        <v>3553</v>
      </c>
      <c r="AM1939" t="s">
        <v>317</v>
      </c>
      <c r="AN1939" t="s">
        <v>259</v>
      </c>
      <c r="AO1939" t="s">
        <v>260</v>
      </c>
      <c r="AQ1939" t="s">
        <v>261</v>
      </c>
      <c r="AS1939">
        <v>2340</v>
      </c>
      <c r="AX1939" t="s">
        <v>262</v>
      </c>
      <c r="BO1939" t="s">
        <v>261</v>
      </c>
      <c r="BQ1939">
        <v>2.34</v>
      </c>
      <c r="BV1939" t="s">
        <v>263</v>
      </c>
      <c r="CM1939" t="s">
        <v>264</v>
      </c>
      <c r="CN1939" t="s">
        <v>264</v>
      </c>
      <c r="CP1939" t="s">
        <v>265</v>
      </c>
      <c r="CQ1939" t="s">
        <v>890</v>
      </c>
      <c r="DB1939">
        <v>2</v>
      </c>
      <c r="DG1939" t="s">
        <v>267</v>
      </c>
      <c r="DI1939">
        <v>48</v>
      </c>
      <c r="DN1939" t="s">
        <v>268</v>
      </c>
      <c r="DS1939">
        <v>4655</v>
      </c>
      <c r="EW1939" t="s">
        <v>271</v>
      </c>
      <c r="HH1939" t="s">
        <v>272</v>
      </c>
      <c r="IE1939" t="s">
        <v>3527</v>
      </c>
      <c r="IF1939">
        <v>15300</v>
      </c>
      <c r="IG1939" t="s">
        <v>3528</v>
      </c>
      <c r="IH1939" t="s">
        <v>3529</v>
      </c>
      <c r="II1939">
        <v>1979</v>
      </c>
      <c r="IJ1939" t="s">
        <v>3530</v>
      </c>
    </row>
    <row r="1940" spans="1:244" x14ac:dyDescent="0.45">
      <c r="A1940">
        <v>1176470</v>
      </c>
      <c r="B1940">
        <v>131571</v>
      </c>
      <c r="C1940">
        <v>10108642</v>
      </c>
      <c r="D1940" t="s">
        <v>3523</v>
      </c>
      <c r="F1940" t="s">
        <v>245</v>
      </c>
      <c r="G1940" t="s">
        <v>246</v>
      </c>
      <c r="N1940" t="s">
        <v>3524</v>
      </c>
      <c r="O1940" t="s">
        <v>498</v>
      </c>
      <c r="P1940" t="s">
        <v>249</v>
      </c>
      <c r="Q1940" t="s">
        <v>250</v>
      </c>
      <c r="R1940" t="s">
        <v>251</v>
      </c>
      <c r="T1940" t="s">
        <v>252</v>
      </c>
      <c r="U1940" t="s">
        <v>1244</v>
      </c>
      <c r="V1940" t="s">
        <v>1314</v>
      </c>
      <c r="W1940" t="s">
        <v>3525</v>
      </c>
      <c r="X1940" t="s">
        <v>3526</v>
      </c>
      <c r="Z1940" t="s">
        <v>1677</v>
      </c>
      <c r="AL1940" t="s">
        <v>3574</v>
      </c>
      <c r="AM1940" t="s">
        <v>317</v>
      </c>
      <c r="AN1940" t="s">
        <v>259</v>
      </c>
      <c r="AO1940" t="s">
        <v>260</v>
      </c>
      <c r="AQ1940" t="s">
        <v>261</v>
      </c>
      <c r="AS1940">
        <v>6460</v>
      </c>
      <c r="AX1940" t="s">
        <v>262</v>
      </c>
      <c r="BO1940" t="s">
        <v>261</v>
      </c>
      <c r="BQ1940">
        <v>6.46</v>
      </c>
      <c r="BV1940" t="s">
        <v>263</v>
      </c>
      <c r="CM1940" t="s">
        <v>264</v>
      </c>
      <c r="CN1940" t="s">
        <v>264</v>
      </c>
      <c r="CP1940" t="s">
        <v>265</v>
      </c>
      <c r="CQ1940" t="s">
        <v>890</v>
      </c>
      <c r="DB1940">
        <v>3</v>
      </c>
      <c r="DG1940" t="s">
        <v>267</v>
      </c>
      <c r="DI1940">
        <v>72</v>
      </c>
      <c r="DN1940" t="s">
        <v>268</v>
      </c>
      <c r="DR1940">
        <v>1131516</v>
      </c>
      <c r="DS1940">
        <v>4704</v>
      </c>
      <c r="EW1940" t="s">
        <v>271</v>
      </c>
      <c r="HH1940" t="s">
        <v>272</v>
      </c>
      <c r="IE1940" t="s">
        <v>3527</v>
      </c>
      <c r="IF1940">
        <v>15300</v>
      </c>
      <c r="IG1940" t="s">
        <v>3528</v>
      </c>
      <c r="IH1940" t="s">
        <v>3529</v>
      </c>
      <c r="II1940">
        <v>1979</v>
      </c>
      <c r="IJ1940" t="s">
        <v>3530</v>
      </c>
    </row>
    <row r="1941" spans="1:244" x14ac:dyDescent="0.45">
      <c r="A1941">
        <v>1304652</v>
      </c>
      <c r="B1941">
        <v>761300</v>
      </c>
      <c r="C1941">
        <v>10108642</v>
      </c>
      <c r="D1941" t="s">
        <v>3523</v>
      </c>
      <c r="F1941" t="s">
        <v>245</v>
      </c>
      <c r="G1941" t="s">
        <v>246</v>
      </c>
      <c r="N1941" t="s">
        <v>1230</v>
      </c>
      <c r="O1941" t="s">
        <v>248</v>
      </c>
      <c r="P1941" t="s">
        <v>249</v>
      </c>
      <c r="Q1941" t="s">
        <v>250</v>
      </c>
      <c r="R1941" t="s">
        <v>251</v>
      </c>
      <c r="T1941" t="s">
        <v>252</v>
      </c>
      <c r="U1941" t="s">
        <v>253</v>
      </c>
      <c r="V1941" t="s">
        <v>1231</v>
      </c>
      <c r="W1941" t="s">
        <v>1232</v>
      </c>
      <c r="X1941" t="s">
        <v>1233</v>
      </c>
      <c r="Z1941" t="s">
        <v>919</v>
      </c>
      <c r="AM1941" t="s">
        <v>258</v>
      </c>
      <c r="AN1941" t="s">
        <v>259</v>
      </c>
      <c r="AO1941" t="s">
        <v>260</v>
      </c>
      <c r="AP1941">
        <v>7</v>
      </c>
      <c r="AQ1941" t="s">
        <v>261</v>
      </c>
      <c r="AS1941">
        <v>106.8</v>
      </c>
      <c r="AU1941">
        <v>89.5</v>
      </c>
      <c r="AW1941">
        <v>127.4</v>
      </c>
      <c r="AX1941" t="s">
        <v>356</v>
      </c>
      <c r="BO1941" t="s">
        <v>261</v>
      </c>
      <c r="BQ1941">
        <v>106.8</v>
      </c>
      <c r="BS1941">
        <v>89.5</v>
      </c>
      <c r="BU1941">
        <v>127.4</v>
      </c>
      <c r="BV1941" t="s">
        <v>263</v>
      </c>
      <c r="CM1941" t="s">
        <v>264</v>
      </c>
      <c r="CN1941" t="s">
        <v>264</v>
      </c>
      <c r="CP1941" t="s">
        <v>265</v>
      </c>
      <c r="CQ1941" t="s">
        <v>890</v>
      </c>
      <c r="DB1941">
        <v>2</v>
      </c>
      <c r="DG1941" t="s">
        <v>267</v>
      </c>
      <c r="DI1941">
        <v>48</v>
      </c>
      <c r="DN1941" t="s">
        <v>268</v>
      </c>
      <c r="DP1941" t="s">
        <v>3608</v>
      </c>
      <c r="DS1941">
        <v>4771</v>
      </c>
      <c r="DT1941" t="s">
        <v>1235</v>
      </c>
      <c r="EW1941" t="s">
        <v>293</v>
      </c>
      <c r="FA1941" t="s">
        <v>397</v>
      </c>
      <c r="FK1941" t="s">
        <v>3649</v>
      </c>
      <c r="FM1941">
        <v>22</v>
      </c>
      <c r="FR1941" t="s">
        <v>295</v>
      </c>
      <c r="GO1941">
        <v>8</v>
      </c>
      <c r="GU1941">
        <v>35</v>
      </c>
      <c r="GZ1941" t="s">
        <v>362</v>
      </c>
      <c r="HH1941" t="s">
        <v>272</v>
      </c>
      <c r="ID1941" t="s">
        <v>3650</v>
      </c>
      <c r="IE1941" t="s">
        <v>1238</v>
      </c>
      <c r="IF1941">
        <v>97270</v>
      </c>
      <c r="IG1941" t="s">
        <v>1239</v>
      </c>
      <c r="IH1941" t="s">
        <v>1240</v>
      </c>
      <c r="II1941">
        <v>2006</v>
      </c>
      <c r="IJ1941" t="s">
        <v>1241</v>
      </c>
    </row>
    <row r="1942" spans="1:244" x14ac:dyDescent="0.45">
      <c r="A1942">
        <v>1226440</v>
      </c>
      <c r="B1942">
        <v>219616</v>
      </c>
      <c r="C1942">
        <v>10108642</v>
      </c>
      <c r="D1942" t="s">
        <v>3523</v>
      </c>
      <c r="E1942" t="s">
        <v>386</v>
      </c>
      <c r="F1942" t="s">
        <v>245</v>
      </c>
      <c r="G1942" t="s">
        <v>246</v>
      </c>
      <c r="N1942" t="s">
        <v>302</v>
      </c>
      <c r="O1942" t="s">
        <v>303</v>
      </c>
      <c r="P1942" t="s">
        <v>249</v>
      </c>
      <c r="Q1942" t="s">
        <v>250</v>
      </c>
      <c r="R1942" t="s">
        <v>251</v>
      </c>
      <c r="T1942" t="s">
        <v>252</v>
      </c>
      <c r="U1942" t="s">
        <v>253</v>
      </c>
      <c r="V1942" t="s">
        <v>304</v>
      </c>
      <c r="W1942" t="s">
        <v>305</v>
      </c>
      <c r="X1942" t="s">
        <v>306</v>
      </c>
      <c r="Z1942" t="s">
        <v>1057</v>
      </c>
      <c r="AL1942" t="s">
        <v>1324</v>
      </c>
      <c r="AM1942" t="s">
        <v>317</v>
      </c>
      <c r="AN1942" t="s">
        <v>259</v>
      </c>
      <c r="AO1942" t="s">
        <v>260</v>
      </c>
      <c r="AQ1942" t="s">
        <v>261</v>
      </c>
      <c r="AS1942">
        <v>1.46</v>
      </c>
      <c r="AX1942" t="s">
        <v>356</v>
      </c>
      <c r="BO1942" t="s">
        <v>261</v>
      </c>
      <c r="BQ1942">
        <v>1.46</v>
      </c>
      <c r="BV1942" t="s">
        <v>263</v>
      </c>
      <c r="CM1942" t="s">
        <v>264</v>
      </c>
      <c r="CN1942" t="s">
        <v>264</v>
      </c>
      <c r="CP1942" t="s">
        <v>265</v>
      </c>
      <c r="CQ1942" t="s">
        <v>890</v>
      </c>
      <c r="DB1942">
        <v>4</v>
      </c>
      <c r="DG1942" t="s">
        <v>267</v>
      </c>
      <c r="DI1942">
        <v>96</v>
      </c>
      <c r="DN1942" t="s">
        <v>268</v>
      </c>
      <c r="DR1942">
        <v>338212</v>
      </c>
      <c r="DS1942">
        <v>732</v>
      </c>
      <c r="DT1942" t="s">
        <v>1211</v>
      </c>
      <c r="EW1942" t="s">
        <v>293</v>
      </c>
      <c r="GU1942">
        <v>36</v>
      </c>
      <c r="GZ1942" t="s">
        <v>900</v>
      </c>
      <c r="HH1942" t="s">
        <v>272</v>
      </c>
      <c r="IE1942" t="s">
        <v>1212</v>
      </c>
      <c r="IF1942">
        <v>51641</v>
      </c>
      <c r="IG1942" t="s">
        <v>1213</v>
      </c>
      <c r="IH1942" t="s">
        <v>1214</v>
      </c>
      <c r="II1942">
        <v>2000</v>
      </c>
      <c r="IJ1942" t="s">
        <v>1215</v>
      </c>
    </row>
    <row r="1943" spans="1:244" x14ac:dyDescent="0.45">
      <c r="A1943">
        <v>1226441</v>
      </c>
      <c r="B1943">
        <v>219617</v>
      </c>
      <c r="C1943">
        <v>10108642</v>
      </c>
      <c r="D1943" t="s">
        <v>3523</v>
      </c>
      <c r="E1943" t="s">
        <v>386</v>
      </c>
      <c r="F1943" t="s">
        <v>245</v>
      </c>
      <c r="G1943" t="s">
        <v>246</v>
      </c>
      <c r="N1943" t="s">
        <v>302</v>
      </c>
      <c r="O1943" t="s">
        <v>303</v>
      </c>
      <c r="P1943" t="s">
        <v>249</v>
      </c>
      <c r="Q1943" t="s">
        <v>250</v>
      </c>
      <c r="R1943" t="s">
        <v>251</v>
      </c>
      <c r="T1943" t="s">
        <v>252</v>
      </c>
      <c r="U1943" t="s">
        <v>253</v>
      </c>
      <c r="V1943" t="s">
        <v>304</v>
      </c>
      <c r="W1943" t="s">
        <v>305</v>
      </c>
      <c r="X1943" t="s">
        <v>306</v>
      </c>
      <c r="Z1943" t="s">
        <v>1057</v>
      </c>
      <c r="AL1943" t="s">
        <v>1440</v>
      </c>
      <c r="AM1943" t="s">
        <v>317</v>
      </c>
      <c r="AN1943" t="s">
        <v>259</v>
      </c>
      <c r="AO1943" t="s">
        <v>260</v>
      </c>
      <c r="AQ1943" t="s">
        <v>261</v>
      </c>
      <c r="AS1943">
        <v>23.7</v>
      </c>
      <c r="AX1943" t="s">
        <v>356</v>
      </c>
      <c r="BO1943" t="s">
        <v>261</v>
      </c>
      <c r="BQ1943">
        <v>23.7</v>
      </c>
      <c r="BV1943" t="s">
        <v>263</v>
      </c>
      <c r="CM1943" t="s">
        <v>264</v>
      </c>
      <c r="CN1943" t="s">
        <v>264</v>
      </c>
      <c r="CP1943" t="s">
        <v>265</v>
      </c>
      <c r="CQ1943" t="s">
        <v>890</v>
      </c>
      <c r="DB1943">
        <v>1</v>
      </c>
      <c r="DG1943" t="s">
        <v>267</v>
      </c>
      <c r="DI1943">
        <v>24</v>
      </c>
      <c r="DN1943" t="s">
        <v>268</v>
      </c>
      <c r="DR1943">
        <v>338212</v>
      </c>
      <c r="DS1943">
        <v>732</v>
      </c>
      <c r="DT1943" t="s">
        <v>1211</v>
      </c>
      <c r="EW1943" t="s">
        <v>293</v>
      </c>
      <c r="GU1943">
        <v>36</v>
      </c>
      <c r="GZ1943" t="s">
        <v>900</v>
      </c>
      <c r="HH1943" t="s">
        <v>272</v>
      </c>
      <c r="IE1943" t="s">
        <v>1212</v>
      </c>
      <c r="IF1943">
        <v>51641</v>
      </c>
      <c r="IG1943" t="s">
        <v>1213</v>
      </c>
      <c r="IH1943" t="s">
        <v>1214</v>
      </c>
      <c r="II1943">
        <v>2000</v>
      </c>
      <c r="IJ1943" t="s">
        <v>1215</v>
      </c>
    </row>
    <row r="1944" spans="1:244" x14ac:dyDescent="0.45">
      <c r="A1944">
        <v>2307791</v>
      </c>
      <c r="B1944">
        <v>2748533</v>
      </c>
      <c r="C1944">
        <v>10108642</v>
      </c>
      <c r="D1944" t="s">
        <v>3523</v>
      </c>
      <c r="F1944" t="s">
        <v>327</v>
      </c>
      <c r="G1944" t="s">
        <v>2303</v>
      </c>
      <c r="N1944" t="s">
        <v>2536</v>
      </c>
      <c r="O1944" t="s">
        <v>1164</v>
      </c>
      <c r="P1944" t="s">
        <v>249</v>
      </c>
      <c r="Q1944" t="s">
        <v>250</v>
      </c>
      <c r="R1944" t="s">
        <v>251</v>
      </c>
      <c r="T1944" t="s">
        <v>389</v>
      </c>
      <c r="U1944" t="s">
        <v>2537</v>
      </c>
      <c r="V1944" t="s">
        <v>2538</v>
      </c>
      <c r="W1944" t="s">
        <v>2539</v>
      </c>
      <c r="X1944" t="s">
        <v>2540</v>
      </c>
      <c r="Z1944" t="s">
        <v>315</v>
      </c>
      <c r="AI1944">
        <v>1</v>
      </c>
      <c r="AJ1944" t="s">
        <v>354</v>
      </c>
      <c r="AM1944" t="s">
        <v>258</v>
      </c>
      <c r="AN1944" t="s">
        <v>259</v>
      </c>
      <c r="AO1944" t="s">
        <v>260</v>
      </c>
      <c r="AQ1944" t="s">
        <v>504</v>
      </c>
      <c r="AS1944">
        <v>1.9E-2</v>
      </c>
      <c r="AX1944" t="s">
        <v>356</v>
      </c>
      <c r="BO1944" t="s">
        <v>504</v>
      </c>
      <c r="BQ1944">
        <v>1.9E-2</v>
      </c>
      <c r="BV1944" t="s">
        <v>263</v>
      </c>
      <c r="CM1944" t="s">
        <v>264</v>
      </c>
      <c r="CN1944" t="s">
        <v>264</v>
      </c>
      <c r="CP1944" t="s">
        <v>265</v>
      </c>
      <c r="CQ1944" t="s">
        <v>890</v>
      </c>
      <c r="DB1944">
        <v>4</v>
      </c>
      <c r="DG1944" t="s">
        <v>267</v>
      </c>
      <c r="DI1944">
        <v>96</v>
      </c>
      <c r="DN1944" t="s">
        <v>268</v>
      </c>
      <c r="DR1944">
        <v>324873</v>
      </c>
      <c r="DS1944">
        <v>16284</v>
      </c>
      <c r="DT1944" t="s">
        <v>2525</v>
      </c>
      <c r="DV1944">
        <v>96</v>
      </c>
      <c r="EA1944" t="s">
        <v>268</v>
      </c>
      <c r="EC1944">
        <v>4</v>
      </c>
      <c r="EH1944" t="s">
        <v>267</v>
      </c>
      <c r="EJ1944">
        <v>96</v>
      </c>
      <c r="EO1944" t="s">
        <v>268</v>
      </c>
      <c r="EQ1944">
        <v>4</v>
      </c>
      <c r="EV1944" t="s">
        <v>267</v>
      </c>
      <c r="EW1944" t="s">
        <v>293</v>
      </c>
      <c r="EY1944" t="s">
        <v>377</v>
      </c>
      <c r="EZ1944">
        <v>20</v>
      </c>
      <c r="FM1944">
        <v>26</v>
      </c>
      <c r="FR1944" t="s">
        <v>295</v>
      </c>
      <c r="GH1944">
        <v>4.8</v>
      </c>
      <c r="GM1944" t="s">
        <v>356</v>
      </c>
      <c r="GO1944">
        <v>7.8</v>
      </c>
      <c r="GU1944">
        <v>29.5</v>
      </c>
      <c r="GZ1944" t="s">
        <v>362</v>
      </c>
      <c r="HH1944" t="s">
        <v>272</v>
      </c>
      <c r="ID1944" t="s">
        <v>2527</v>
      </c>
      <c r="IE1944" t="s">
        <v>2528</v>
      </c>
      <c r="IF1944">
        <v>192310</v>
      </c>
      <c r="IG1944" t="s">
        <v>2529</v>
      </c>
      <c r="IH1944" t="s">
        <v>2530</v>
      </c>
      <c r="II1944">
        <v>2021</v>
      </c>
      <c r="IJ1944" t="s">
        <v>2531</v>
      </c>
    </row>
    <row r="1945" spans="1:244" x14ac:dyDescent="0.45">
      <c r="A1945">
        <v>1325398</v>
      </c>
      <c r="B1945">
        <v>784703</v>
      </c>
      <c r="C1945">
        <v>10108642</v>
      </c>
      <c r="D1945" t="s">
        <v>3523</v>
      </c>
      <c r="E1945" t="s">
        <v>622</v>
      </c>
      <c r="F1945" t="s">
        <v>245</v>
      </c>
      <c r="G1945" t="s">
        <v>246</v>
      </c>
      <c r="I1945">
        <v>99</v>
      </c>
      <c r="N1945" t="s">
        <v>1298</v>
      </c>
      <c r="O1945" t="s">
        <v>1299</v>
      </c>
      <c r="P1945" t="s">
        <v>249</v>
      </c>
      <c r="Q1945" t="s">
        <v>250</v>
      </c>
      <c r="R1945" t="s">
        <v>251</v>
      </c>
      <c r="T1945" t="s">
        <v>252</v>
      </c>
      <c r="U1945" t="s">
        <v>371</v>
      </c>
      <c r="V1945" t="s">
        <v>372</v>
      </c>
      <c r="W1945" t="s">
        <v>1300</v>
      </c>
      <c r="X1945" t="s">
        <v>1301</v>
      </c>
      <c r="Z1945" t="s">
        <v>649</v>
      </c>
      <c r="AD1945">
        <v>2</v>
      </c>
      <c r="AF1945">
        <v>3</v>
      </c>
      <c r="AG1945" t="s">
        <v>267</v>
      </c>
      <c r="AM1945" t="s">
        <v>317</v>
      </c>
      <c r="AN1945" t="s">
        <v>259</v>
      </c>
      <c r="AO1945" t="s">
        <v>260</v>
      </c>
      <c r="AP1945" t="s">
        <v>559</v>
      </c>
      <c r="AQ1945" t="s">
        <v>261</v>
      </c>
      <c r="AS1945">
        <v>0.14000000000000001</v>
      </c>
      <c r="AX1945" t="s">
        <v>356</v>
      </c>
      <c r="BO1945" t="s">
        <v>261</v>
      </c>
      <c r="BQ1945">
        <v>0.14000000000000001</v>
      </c>
      <c r="BV1945" t="s">
        <v>263</v>
      </c>
      <c r="CM1945" t="s">
        <v>264</v>
      </c>
      <c r="CN1945" t="s">
        <v>264</v>
      </c>
      <c r="CP1945" t="s">
        <v>265</v>
      </c>
      <c r="CQ1945" t="s">
        <v>890</v>
      </c>
      <c r="DB1945">
        <v>4</v>
      </c>
      <c r="DG1945" t="s">
        <v>267</v>
      </c>
      <c r="DI1945">
        <v>96</v>
      </c>
      <c r="DN1945" t="s">
        <v>268</v>
      </c>
      <c r="DO1945" t="s">
        <v>1587</v>
      </c>
      <c r="DP1945" t="s">
        <v>3612</v>
      </c>
      <c r="DS1945">
        <v>20391</v>
      </c>
      <c r="DT1945" t="s">
        <v>1302</v>
      </c>
      <c r="EW1945" t="s">
        <v>293</v>
      </c>
      <c r="FA1945" t="s">
        <v>3313</v>
      </c>
      <c r="FK1945" t="s">
        <v>3651</v>
      </c>
      <c r="FM1945">
        <v>25</v>
      </c>
      <c r="FR1945" t="s">
        <v>295</v>
      </c>
      <c r="GG1945" t="s">
        <v>288</v>
      </c>
      <c r="GH1945">
        <v>80</v>
      </c>
      <c r="GM1945" t="s">
        <v>1224</v>
      </c>
      <c r="GQ1945">
        <v>7.5</v>
      </c>
      <c r="GS1945">
        <v>8.5</v>
      </c>
      <c r="GU1945">
        <v>25</v>
      </c>
      <c r="GZ1945" t="s">
        <v>900</v>
      </c>
      <c r="HH1945" t="s">
        <v>272</v>
      </c>
      <c r="ID1945" t="s">
        <v>3652</v>
      </c>
      <c r="IE1945" t="s">
        <v>1306</v>
      </c>
      <c r="IF1945">
        <v>117932</v>
      </c>
      <c r="IG1945" t="s">
        <v>1307</v>
      </c>
      <c r="IH1945" t="s">
        <v>1308</v>
      </c>
      <c r="II1945">
        <v>2008</v>
      </c>
      <c r="IJ1945" t="s">
        <v>1309</v>
      </c>
    </row>
    <row r="1946" spans="1:244" x14ac:dyDescent="0.45">
      <c r="A1946">
        <v>1139076</v>
      </c>
      <c r="B1946">
        <v>232035</v>
      </c>
      <c r="C1946">
        <v>10108642</v>
      </c>
      <c r="D1946" t="s">
        <v>3523</v>
      </c>
      <c r="E1946" t="s">
        <v>3539</v>
      </c>
      <c r="F1946" t="s">
        <v>327</v>
      </c>
      <c r="G1946" t="s">
        <v>246</v>
      </c>
      <c r="N1946" t="s">
        <v>3540</v>
      </c>
      <c r="O1946" t="s">
        <v>248</v>
      </c>
      <c r="P1946" t="s">
        <v>249</v>
      </c>
      <c r="Q1946" t="s">
        <v>250</v>
      </c>
      <c r="R1946" t="s">
        <v>251</v>
      </c>
      <c r="T1946" t="s">
        <v>252</v>
      </c>
      <c r="U1946" t="s">
        <v>253</v>
      </c>
      <c r="V1946" t="s">
        <v>1231</v>
      </c>
      <c r="W1946" t="s">
        <v>3541</v>
      </c>
      <c r="X1946" t="s">
        <v>3542</v>
      </c>
      <c r="AJ1946" t="s">
        <v>285</v>
      </c>
      <c r="AL1946" t="s">
        <v>3543</v>
      </c>
      <c r="AM1946" t="s">
        <v>317</v>
      </c>
      <c r="AN1946" t="s">
        <v>259</v>
      </c>
      <c r="AO1946" t="s">
        <v>260</v>
      </c>
      <c r="AQ1946" t="s">
        <v>261</v>
      </c>
      <c r="AS1946">
        <v>31.5</v>
      </c>
      <c r="AU1946">
        <v>29.7</v>
      </c>
      <c r="AW1946">
        <v>33.4</v>
      </c>
      <c r="AX1946" t="s">
        <v>356</v>
      </c>
      <c r="BO1946" t="s">
        <v>261</v>
      </c>
      <c r="BQ1946">
        <v>31.5</v>
      </c>
      <c r="BS1946">
        <v>29.7</v>
      </c>
      <c r="BU1946">
        <v>33.4</v>
      </c>
      <c r="BV1946" t="s">
        <v>263</v>
      </c>
      <c r="CM1946" t="s">
        <v>264</v>
      </c>
      <c r="CN1946" t="s">
        <v>264</v>
      </c>
      <c r="CP1946" t="s">
        <v>265</v>
      </c>
      <c r="CQ1946" t="s">
        <v>890</v>
      </c>
      <c r="DB1946">
        <v>4</v>
      </c>
      <c r="DG1946" t="s">
        <v>267</v>
      </c>
      <c r="DI1946">
        <v>96</v>
      </c>
      <c r="DN1946" t="s">
        <v>268</v>
      </c>
      <c r="DR1946">
        <v>151182</v>
      </c>
      <c r="DS1946">
        <v>11260</v>
      </c>
      <c r="EW1946" t="s">
        <v>272</v>
      </c>
      <c r="FK1946" t="s">
        <v>3653</v>
      </c>
      <c r="FM1946">
        <v>15</v>
      </c>
      <c r="FR1946" t="s">
        <v>295</v>
      </c>
      <c r="GU1946">
        <v>10</v>
      </c>
      <c r="GZ1946" t="s">
        <v>900</v>
      </c>
      <c r="HH1946" t="s">
        <v>272</v>
      </c>
      <c r="ID1946" t="s">
        <v>3654</v>
      </c>
      <c r="IE1946" t="s">
        <v>3546</v>
      </c>
      <c r="IF1946">
        <v>11524</v>
      </c>
      <c r="IG1946" t="s">
        <v>3547</v>
      </c>
      <c r="IH1946" t="s">
        <v>3548</v>
      </c>
      <c r="II1946">
        <v>1983</v>
      </c>
      <c r="IJ1946" t="s">
        <v>3549</v>
      </c>
    </row>
    <row r="1947" spans="1:244" x14ac:dyDescent="0.45">
      <c r="A1947">
        <v>1204029</v>
      </c>
      <c r="B1947">
        <v>183888</v>
      </c>
      <c r="C1947">
        <v>10108642</v>
      </c>
      <c r="D1947" t="s">
        <v>3523</v>
      </c>
      <c r="F1947" t="s">
        <v>245</v>
      </c>
      <c r="G1947" t="s">
        <v>246</v>
      </c>
      <c r="N1947" t="s">
        <v>1183</v>
      </c>
      <c r="O1947" t="s">
        <v>1184</v>
      </c>
      <c r="P1947" t="s">
        <v>249</v>
      </c>
      <c r="Q1947" t="s">
        <v>250</v>
      </c>
      <c r="R1947" t="s">
        <v>251</v>
      </c>
      <c r="T1947" t="s">
        <v>252</v>
      </c>
      <c r="U1947" t="s">
        <v>253</v>
      </c>
      <c r="V1947" t="s">
        <v>418</v>
      </c>
      <c r="W1947" t="s">
        <v>419</v>
      </c>
      <c r="X1947" t="s">
        <v>393</v>
      </c>
      <c r="Z1947" t="s">
        <v>1034</v>
      </c>
      <c r="AL1947" t="s">
        <v>3655</v>
      </c>
      <c r="AM1947" t="s">
        <v>258</v>
      </c>
      <c r="AN1947" t="s">
        <v>259</v>
      </c>
      <c r="AO1947" t="s">
        <v>260</v>
      </c>
      <c r="AQ1947" t="s">
        <v>261</v>
      </c>
      <c r="AT1947" t="s">
        <v>515</v>
      </c>
      <c r="AU1947">
        <v>50</v>
      </c>
      <c r="AV1947" t="s">
        <v>515</v>
      </c>
      <c r="AW1947">
        <v>100</v>
      </c>
      <c r="AX1947" t="s">
        <v>262</v>
      </c>
      <c r="BO1947" t="s">
        <v>261</v>
      </c>
      <c r="BR1947" t="s">
        <v>515</v>
      </c>
      <c r="BS1947">
        <v>0.05</v>
      </c>
      <c r="BT1947" t="s">
        <v>515</v>
      </c>
      <c r="BU1947">
        <v>0.1</v>
      </c>
      <c r="BV1947" t="s">
        <v>263</v>
      </c>
      <c r="CM1947" t="s">
        <v>264</v>
      </c>
      <c r="CN1947" t="s">
        <v>264</v>
      </c>
      <c r="CP1947" t="s">
        <v>265</v>
      </c>
      <c r="CQ1947" t="s">
        <v>890</v>
      </c>
      <c r="DB1947">
        <v>2</v>
      </c>
      <c r="DG1947" t="s">
        <v>267</v>
      </c>
      <c r="DI1947">
        <v>48</v>
      </c>
      <c r="DN1947" t="s">
        <v>268</v>
      </c>
      <c r="DS1947">
        <v>388</v>
      </c>
      <c r="DT1947" t="s">
        <v>3584</v>
      </c>
      <c r="EW1947" t="s">
        <v>293</v>
      </c>
      <c r="FM1947">
        <v>25</v>
      </c>
      <c r="FR1947" t="s">
        <v>295</v>
      </c>
      <c r="GU1947">
        <v>36</v>
      </c>
      <c r="GZ1947" t="s">
        <v>296</v>
      </c>
      <c r="HH1947" t="s">
        <v>272</v>
      </c>
      <c r="IE1947" t="s">
        <v>3585</v>
      </c>
      <c r="IF1947">
        <v>18546</v>
      </c>
      <c r="IG1947" t="s">
        <v>3586</v>
      </c>
      <c r="IH1947" t="s">
        <v>3587</v>
      </c>
      <c r="II1947">
        <v>1995</v>
      </c>
      <c r="IJ1947" t="s">
        <v>3588</v>
      </c>
    </row>
    <row r="1948" spans="1:244" x14ac:dyDescent="0.45">
      <c r="A1948">
        <v>1204034</v>
      </c>
      <c r="B1948">
        <v>183893</v>
      </c>
      <c r="C1948">
        <v>10108642</v>
      </c>
      <c r="D1948" t="s">
        <v>3523</v>
      </c>
      <c r="F1948" t="s">
        <v>245</v>
      </c>
      <c r="G1948" t="s">
        <v>246</v>
      </c>
      <c r="N1948" t="s">
        <v>1183</v>
      </c>
      <c r="O1948" t="s">
        <v>1184</v>
      </c>
      <c r="P1948" t="s">
        <v>249</v>
      </c>
      <c r="Q1948" t="s">
        <v>250</v>
      </c>
      <c r="R1948" t="s">
        <v>251</v>
      </c>
      <c r="T1948" t="s">
        <v>252</v>
      </c>
      <c r="U1948" t="s">
        <v>253</v>
      </c>
      <c r="V1948" t="s">
        <v>418</v>
      </c>
      <c r="W1948" t="s">
        <v>419</v>
      </c>
      <c r="X1948" t="s">
        <v>393</v>
      </c>
      <c r="Z1948" t="s">
        <v>983</v>
      </c>
      <c r="AB1948">
        <v>1</v>
      </c>
      <c r="AG1948" t="s">
        <v>598</v>
      </c>
      <c r="AL1948" t="s">
        <v>3583</v>
      </c>
      <c r="AM1948" t="s">
        <v>258</v>
      </c>
      <c r="AN1948" t="s">
        <v>259</v>
      </c>
      <c r="AO1948" t="s">
        <v>260</v>
      </c>
      <c r="AQ1948" t="s">
        <v>261</v>
      </c>
      <c r="AS1948">
        <v>298</v>
      </c>
      <c r="AX1948" t="s">
        <v>262</v>
      </c>
      <c r="BO1948" t="s">
        <v>261</v>
      </c>
      <c r="BQ1948">
        <v>0.29799999999999999</v>
      </c>
      <c r="BV1948" t="s">
        <v>263</v>
      </c>
      <c r="CM1948" t="s">
        <v>264</v>
      </c>
      <c r="CN1948" t="s">
        <v>264</v>
      </c>
      <c r="CP1948" t="s">
        <v>265</v>
      </c>
      <c r="CQ1948" t="s">
        <v>890</v>
      </c>
      <c r="DB1948">
        <v>2</v>
      </c>
      <c r="DG1948" t="s">
        <v>267</v>
      </c>
      <c r="DI1948">
        <v>48</v>
      </c>
      <c r="DN1948" t="s">
        <v>268</v>
      </c>
      <c r="DS1948">
        <v>388</v>
      </c>
      <c r="DT1948" t="s">
        <v>3584</v>
      </c>
      <c r="EW1948" t="s">
        <v>293</v>
      </c>
      <c r="FM1948">
        <v>25</v>
      </c>
      <c r="FR1948" t="s">
        <v>295</v>
      </c>
      <c r="GU1948">
        <v>36</v>
      </c>
      <c r="GZ1948" t="s">
        <v>296</v>
      </c>
      <c r="HH1948" t="s">
        <v>272</v>
      </c>
      <c r="IE1948" t="s">
        <v>3585</v>
      </c>
      <c r="IF1948">
        <v>18546</v>
      </c>
      <c r="IG1948" t="s">
        <v>3586</v>
      </c>
      <c r="IH1948" t="s">
        <v>3587</v>
      </c>
      <c r="II1948">
        <v>1995</v>
      </c>
      <c r="IJ1948" t="s">
        <v>3588</v>
      </c>
    </row>
    <row r="1949" spans="1:244" x14ac:dyDescent="0.45">
      <c r="A1949">
        <v>1204030</v>
      </c>
      <c r="B1949">
        <v>183889</v>
      </c>
      <c r="C1949">
        <v>10108642</v>
      </c>
      <c r="D1949" t="s">
        <v>3523</v>
      </c>
      <c r="F1949" t="s">
        <v>245</v>
      </c>
      <c r="G1949" t="s">
        <v>246</v>
      </c>
      <c r="N1949" t="s">
        <v>1183</v>
      </c>
      <c r="O1949" t="s">
        <v>1184</v>
      </c>
      <c r="P1949" t="s">
        <v>249</v>
      </c>
      <c r="Q1949" t="s">
        <v>250</v>
      </c>
      <c r="R1949" t="s">
        <v>251</v>
      </c>
      <c r="T1949" t="s">
        <v>252</v>
      </c>
      <c r="U1949" t="s">
        <v>253</v>
      </c>
      <c r="V1949" t="s">
        <v>418</v>
      </c>
      <c r="W1949" t="s">
        <v>419</v>
      </c>
      <c r="X1949" t="s">
        <v>393</v>
      </c>
      <c r="Z1949" t="s">
        <v>983</v>
      </c>
      <c r="AL1949" t="s">
        <v>3656</v>
      </c>
      <c r="AM1949" t="s">
        <v>258</v>
      </c>
      <c r="AN1949" t="s">
        <v>259</v>
      </c>
      <c r="AO1949" t="s">
        <v>260</v>
      </c>
      <c r="AQ1949" t="s">
        <v>261</v>
      </c>
      <c r="AT1949" t="s">
        <v>515</v>
      </c>
      <c r="AU1949">
        <v>350</v>
      </c>
      <c r="AV1949" t="s">
        <v>515</v>
      </c>
      <c r="AW1949">
        <v>750</v>
      </c>
      <c r="AX1949" t="s">
        <v>262</v>
      </c>
      <c r="BO1949" t="s">
        <v>261</v>
      </c>
      <c r="BR1949" t="s">
        <v>515</v>
      </c>
      <c r="BS1949">
        <v>0.35</v>
      </c>
      <c r="BT1949" t="s">
        <v>515</v>
      </c>
      <c r="BU1949">
        <v>0.75</v>
      </c>
      <c r="BV1949" t="s">
        <v>263</v>
      </c>
      <c r="CM1949" t="s">
        <v>264</v>
      </c>
      <c r="CN1949" t="s">
        <v>264</v>
      </c>
      <c r="CP1949" t="s">
        <v>265</v>
      </c>
      <c r="CQ1949" t="s">
        <v>890</v>
      </c>
      <c r="DB1949">
        <v>2</v>
      </c>
      <c r="DG1949" t="s">
        <v>267</v>
      </c>
      <c r="DI1949">
        <v>48</v>
      </c>
      <c r="DN1949" t="s">
        <v>268</v>
      </c>
      <c r="DS1949">
        <v>388</v>
      </c>
      <c r="DT1949" t="s">
        <v>3584</v>
      </c>
      <c r="EW1949" t="s">
        <v>293</v>
      </c>
      <c r="FM1949">
        <v>25</v>
      </c>
      <c r="FR1949" t="s">
        <v>295</v>
      </c>
      <c r="GU1949">
        <v>36</v>
      </c>
      <c r="GZ1949" t="s">
        <v>296</v>
      </c>
      <c r="HH1949" t="s">
        <v>272</v>
      </c>
      <c r="IE1949" t="s">
        <v>3585</v>
      </c>
      <c r="IF1949">
        <v>18546</v>
      </c>
      <c r="IG1949" t="s">
        <v>3586</v>
      </c>
      <c r="IH1949" t="s">
        <v>3587</v>
      </c>
      <c r="II1949">
        <v>1995</v>
      </c>
      <c r="IJ1949" t="s">
        <v>3588</v>
      </c>
    </row>
    <row r="1950" spans="1:244" x14ac:dyDescent="0.45">
      <c r="A1950">
        <v>1176480</v>
      </c>
      <c r="B1950">
        <v>156498</v>
      </c>
      <c r="C1950">
        <v>10108642</v>
      </c>
      <c r="D1950" t="s">
        <v>3523</v>
      </c>
      <c r="F1950" t="s">
        <v>245</v>
      </c>
      <c r="G1950" t="s">
        <v>246</v>
      </c>
      <c r="N1950" t="s">
        <v>3550</v>
      </c>
      <c r="O1950" t="s">
        <v>578</v>
      </c>
      <c r="P1950" t="s">
        <v>249</v>
      </c>
      <c r="Q1950" t="s">
        <v>250</v>
      </c>
      <c r="R1950" t="s">
        <v>251</v>
      </c>
      <c r="T1950" t="s">
        <v>252</v>
      </c>
      <c r="U1950" t="s">
        <v>499</v>
      </c>
      <c r="V1950" t="s">
        <v>3551</v>
      </c>
      <c r="W1950" t="s">
        <v>3552</v>
      </c>
      <c r="X1950" t="s">
        <v>3553</v>
      </c>
      <c r="AM1950" t="s">
        <v>317</v>
      </c>
      <c r="AN1950" t="s">
        <v>259</v>
      </c>
      <c r="AO1950" t="s">
        <v>260</v>
      </c>
      <c r="AQ1950" t="s">
        <v>261</v>
      </c>
      <c r="AS1950">
        <v>2180</v>
      </c>
      <c r="AX1950" t="s">
        <v>262</v>
      </c>
      <c r="BO1950" t="s">
        <v>261</v>
      </c>
      <c r="BQ1950">
        <v>2.1800000000000002</v>
      </c>
      <c r="BV1950" t="s">
        <v>263</v>
      </c>
      <c r="CM1950" t="s">
        <v>264</v>
      </c>
      <c r="CN1950" t="s">
        <v>264</v>
      </c>
      <c r="CP1950" t="s">
        <v>265</v>
      </c>
      <c r="CQ1950" t="s">
        <v>890</v>
      </c>
      <c r="DB1950">
        <v>3</v>
      </c>
      <c r="DG1950" t="s">
        <v>267</v>
      </c>
      <c r="DI1950">
        <v>72</v>
      </c>
      <c r="DN1950" t="s">
        <v>268</v>
      </c>
      <c r="DS1950">
        <v>4655</v>
      </c>
      <c r="EW1950" t="s">
        <v>271</v>
      </c>
      <c r="HH1950" t="s">
        <v>272</v>
      </c>
      <c r="IE1950" t="s">
        <v>3527</v>
      </c>
      <c r="IF1950">
        <v>15300</v>
      </c>
      <c r="IG1950" t="s">
        <v>3528</v>
      </c>
      <c r="IH1950" t="s">
        <v>3529</v>
      </c>
      <c r="II1950">
        <v>1979</v>
      </c>
      <c r="IJ1950" t="s">
        <v>3530</v>
      </c>
    </row>
    <row r="1951" spans="1:244" x14ac:dyDescent="0.45">
      <c r="A1951">
        <v>1176489</v>
      </c>
      <c r="B1951">
        <v>156507</v>
      </c>
      <c r="C1951">
        <v>10108642</v>
      </c>
      <c r="D1951" t="s">
        <v>3523</v>
      </c>
      <c r="F1951" t="s">
        <v>245</v>
      </c>
      <c r="G1951" t="s">
        <v>246</v>
      </c>
      <c r="N1951" t="s">
        <v>3550</v>
      </c>
      <c r="O1951" t="s">
        <v>578</v>
      </c>
      <c r="P1951" t="s">
        <v>249</v>
      </c>
      <c r="Q1951" t="s">
        <v>250</v>
      </c>
      <c r="R1951" t="s">
        <v>251</v>
      </c>
      <c r="T1951" t="s">
        <v>252</v>
      </c>
      <c r="U1951" t="s">
        <v>499</v>
      </c>
      <c r="V1951" t="s">
        <v>3551</v>
      </c>
      <c r="W1951" t="s">
        <v>3552</v>
      </c>
      <c r="X1951" t="s">
        <v>3553</v>
      </c>
      <c r="AM1951" t="s">
        <v>317</v>
      </c>
      <c r="AN1951" t="s">
        <v>259</v>
      </c>
      <c r="AO1951" t="s">
        <v>260</v>
      </c>
      <c r="AQ1951" t="s">
        <v>261</v>
      </c>
      <c r="AS1951">
        <v>630</v>
      </c>
      <c r="AX1951" t="s">
        <v>262</v>
      </c>
      <c r="BO1951" t="s">
        <v>261</v>
      </c>
      <c r="BQ1951">
        <v>0.63</v>
      </c>
      <c r="BV1951" t="s">
        <v>263</v>
      </c>
      <c r="CM1951" t="s">
        <v>264</v>
      </c>
      <c r="CN1951" t="s">
        <v>264</v>
      </c>
      <c r="CP1951" t="s">
        <v>265</v>
      </c>
      <c r="CQ1951" t="s">
        <v>890</v>
      </c>
      <c r="DB1951">
        <v>2</v>
      </c>
      <c r="DG1951" t="s">
        <v>267</v>
      </c>
      <c r="DI1951">
        <v>48</v>
      </c>
      <c r="DN1951" t="s">
        <v>268</v>
      </c>
      <c r="DS1951">
        <v>4655</v>
      </c>
      <c r="EW1951" t="s">
        <v>271</v>
      </c>
      <c r="HH1951" t="s">
        <v>272</v>
      </c>
      <c r="IE1951" t="s">
        <v>3527</v>
      </c>
      <c r="IF1951">
        <v>15300</v>
      </c>
      <c r="IG1951" t="s">
        <v>3528</v>
      </c>
      <c r="IH1951" t="s">
        <v>3529</v>
      </c>
      <c r="II1951">
        <v>1979</v>
      </c>
      <c r="IJ1951" t="s">
        <v>3530</v>
      </c>
    </row>
    <row r="1952" spans="1:244" x14ac:dyDescent="0.45">
      <c r="A1952">
        <v>1182130</v>
      </c>
      <c r="B1952">
        <v>160033</v>
      </c>
      <c r="C1952">
        <v>10108642</v>
      </c>
      <c r="D1952" t="s">
        <v>3523</v>
      </c>
      <c r="E1952" t="s">
        <v>439</v>
      </c>
      <c r="F1952" t="s">
        <v>245</v>
      </c>
      <c r="G1952" t="s">
        <v>246</v>
      </c>
      <c r="N1952" t="s">
        <v>345</v>
      </c>
      <c r="O1952" t="s">
        <v>346</v>
      </c>
      <c r="P1952" t="s">
        <v>249</v>
      </c>
      <c r="Q1952" t="s">
        <v>250</v>
      </c>
      <c r="R1952" t="s">
        <v>251</v>
      </c>
      <c r="T1952" t="s">
        <v>347</v>
      </c>
      <c r="U1952" t="s">
        <v>348</v>
      </c>
      <c r="V1952" t="s">
        <v>349</v>
      </c>
      <c r="W1952" t="s">
        <v>350</v>
      </c>
      <c r="X1952" t="s">
        <v>351</v>
      </c>
      <c r="Z1952" t="s">
        <v>1034</v>
      </c>
      <c r="AL1952" t="s">
        <v>2663</v>
      </c>
      <c r="AM1952" t="s">
        <v>317</v>
      </c>
      <c r="AN1952" t="s">
        <v>259</v>
      </c>
      <c r="AO1952" t="s">
        <v>260</v>
      </c>
      <c r="AQ1952" t="s">
        <v>261</v>
      </c>
      <c r="AS1952">
        <v>368000</v>
      </c>
      <c r="AX1952" t="s">
        <v>262</v>
      </c>
      <c r="BO1952" t="s">
        <v>261</v>
      </c>
      <c r="BQ1952">
        <v>368</v>
      </c>
      <c r="BV1952" t="s">
        <v>263</v>
      </c>
      <c r="CM1952" t="s">
        <v>264</v>
      </c>
      <c r="CN1952" t="s">
        <v>264</v>
      </c>
      <c r="CP1952" t="s">
        <v>265</v>
      </c>
      <c r="DB1952">
        <v>2</v>
      </c>
      <c r="DG1952" t="s">
        <v>267</v>
      </c>
      <c r="DI1952">
        <v>48</v>
      </c>
      <c r="DN1952" t="s">
        <v>268</v>
      </c>
      <c r="DR1952">
        <v>6660</v>
      </c>
      <c r="DS1952">
        <v>421</v>
      </c>
      <c r="DT1952" t="s">
        <v>2665</v>
      </c>
      <c r="EW1952" t="s">
        <v>293</v>
      </c>
      <c r="FA1952" t="s">
        <v>2789</v>
      </c>
      <c r="FM1952">
        <v>25</v>
      </c>
      <c r="FR1952" t="s">
        <v>295</v>
      </c>
      <c r="GU1952">
        <v>35</v>
      </c>
      <c r="GZ1952" t="s">
        <v>296</v>
      </c>
      <c r="HH1952" t="s">
        <v>272</v>
      </c>
      <c r="IE1952" t="s">
        <v>2667</v>
      </c>
      <c r="IF1952">
        <v>16031</v>
      </c>
      <c r="IG1952" t="s">
        <v>2668</v>
      </c>
      <c r="IH1952" t="s">
        <v>2669</v>
      </c>
      <c r="II1952">
        <v>1995</v>
      </c>
      <c r="IJ1952" t="s">
        <v>2670</v>
      </c>
    </row>
    <row r="1953" spans="1:244" x14ac:dyDescent="0.45">
      <c r="A1953">
        <v>1271710</v>
      </c>
      <c r="B1953">
        <v>723008</v>
      </c>
      <c r="C1953">
        <v>10108642</v>
      </c>
      <c r="D1953" t="s">
        <v>3523</v>
      </c>
      <c r="F1953" t="s">
        <v>245</v>
      </c>
      <c r="G1953" t="s">
        <v>246</v>
      </c>
      <c r="N1953" t="s">
        <v>2315</v>
      </c>
      <c r="O1953" t="s">
        <v>2316</v>
      </c>
      <c r="P1953" t="s">
        <v>249</v>
      </c>
      <c r="Q1953" t="s">
        <v>250</v>
      </c>
      <c r="R1953" t="s">
        <v>251</v>
      </c>
      <c r="T1953" t="s">
        <v>252</v>
      </c>
      <c r="U1953" t="s">
        <v>253</v>
      </c>
      <c r="V1953" t="s">
        <v>418</v>
      </c>
      <c r="W1953" t="s">
        <v>946</v>
      </c>
      <c r="X1953" t="s">
        <v>2317</v>
      </c>
      <c r="Z1953" t="s">
        <v>284</v>
      </c>
      <c r="AL1953" t="s">
        <v>2318</v>
      </c>
      <c r="AM1953" t="s">
        <v>317</v>
      </c>
      <c r="AN1953" t="s">
        <v>259</v>
      </c>
      <c r="AO1953" t="s">
        <v>260</v>
      </c>
      <c r="AP1953">
        <v>8</v>
      </c>
      <c r="AQ1953" t="s">
        <v>261</v>
      </c>
      <c r="AS1953">
        <v>0.18</v>
      </c>
      <c r="AU1953">
        <v>7.0000000000000007E-2</v>
      </c>
      <c r="AW1953">
        <v>0.48</v>
      </c>
      <c r="AX1953" t="s">
        <v>356</v>
      </c>
      <c r="BO1953" t="s">
        <v>261</v>
      </c>
      <c r="BQ1953">
        <v>0.18</v>
      </c>
      <c r="BS1953">
        <v>7.0000000000000007E-2</v>
      </c>
      <c r="BU1953">
        <v>0.48</v>
      </c>
      <c r="BV1953" t="s">
        <v>263</v>
      </c>
      <c r="CM1953" t="s">
        <v>264</v>
      </c>
      <c r="CN1953" t="s">
        <v>264</v>
      </c>
      <c r="CP1953" t="s">
        <v>265</v>
      </c>
      <c r="CQ1953" t="s">
        <v>890</v>
      </c>
      <c r="DB1953">
        <v>4</v>
      </c>
      <c r="DG1953" t="s">
        <v>267</v>
      </c>
      <c r="DI1953">
        <v>96</v>
      </c>
      <c r="DN1953" t="s">
        <v>268</v>
      </c>
      <c r="DP1953" t="s">
        <v>3628</v>
      </c>
      <c r="DR1953">
        <v>122378</v>
      </c>
      <c r="DS1953">
        <v>18497</v>
      </c>
      <c r="DT1953" t="s">
        <v>2319</v>
      </c>
      <c r="EW1953" t="s">
        <v>293</v>
      </c>
      <c r="FK1953" t="s">
        <v>3629</v>
      </c>
      <c r="FM1953">
        <v>25</v>
      </c>
      <c r="FR1953" t="s">
        <v>295</v>
      </c>
      <c r="GJ1953">
        <v>6.2</v>
      </c>
      <c r="GL1953">
        <v>6.33</v>
      </c>
      <c r="GM1953" t="s">
        <v>356</v>
      </c>
      <c r="GQ1953">
        <v>8.1999999999999993</v>
      </c>
      <c r="GS1953">
        <v>8.2200000000000006</v>
      </c>
      <c r="GU1953">
        <v>36</v>
      </c>
      <c r="GZ1953" t="s">
        <v>296</v>
      </c>
      <c r="HH1953" t="s">
        <v>272</v>
      </c>
      <c r="ID1953" t="s">
        <v>3630</v>
      </c>
      <c r="IE1953" t="s">
        <v>2322</v>
      </c>
      <c r="IF1953">
        <v>101373</v>
      </c>
      <c r="IG1953" t="s">
        <v>2323</v>
      </c>
      <c r="IH1953" t="s">
        <v>2324</v>
      </c>
      <c r="II1953">
        <v>2007</v>
      </c>
      <c r="IJ1953" t="s">
        <v>2325</v>
      </c>
    </row>
    <row r="1954" spans="1:244" x14ac:dyDescent="0.45">
      <c r="A1954">
        <v>1304338</v>
      </c>
      <c r="B1954">
        <v>760909</v>
      </c>
      <c r="C1954">
        <v>10108642</v>
      </c>
      <c r="D1954" t="s">
        <v>3523</v>
      </c>
      <c r="F1954" t="s">
        <v>245</v>
      </c>
      <c r="G1954" t="s">
        <v>246</v>
      </c>
      <c r="N1954" t="s">
        <v>2444</v>
      </c>
      <c r="O1954" t="s">
        <v>2445</v>
      </c>
      <c r="P1954" t="s">
        <v>249</v>
      </c>
      <c r="Q1954" t="s">
        <v>250</v>
      </c>
      <c r="R1954" t="s">
        <v>251</v>
      </c>
      <c r="T1954" t="s">
        <v>252</v>
      </c>
      <c r="U1954" t="s">
        <v>253</v>
      </c>
      <c r="V1954" t="s">
        <v>418</v>
      </c>
      <c r="W1954" t="s">
        <v>847</v>
      </c>
      <c r="X1954" t="s">
        <v>351</v>
      </c>
      <c r="AL1954" t="s">
        <v>2749</v>
      </c>
      <c r="AM1954" t="s">
        <v>258</v>
      </c>
      <c r="AN1954" t="s">
        <v>259</v>
      </c>
      <c r="AO1954" t="s">
        <v>260</v>
      </c>
      <c r="AP1954" t="s">
        <v>2368</v>
      </c>
      <c r="AQ1954" t="s">
        <v>261</v>
      </c>
      <c r="AS1954">
        <v>7.07</v>
      </c>
      <c r="AX1954" t="s">
        <v>356</v>
      </c>
      <c r="BO1954" t="s">
        <v>261</v>
      </c>
      <c r="BQ1954">
        <v>7.07</v>
      </c>
      <c r="BV1954" t="s">
        <v>263</v>
      </c>
      <c r="CM1954" t="s">
        <v>264</v>
      </c>
      <c r="CN1954" t="s">
        <v>264</v>
      </c>
      <c r="CP1954" t="s">
        <v>265</v>
      </c>
      <c r="CQ1954" t="s">
        <v>890</v>
      </c>
      <c r="DB1954">
        <v>2</v>
      </c>
      <c r="DG1954" t="s">
        <v>267</v>
      </c>
      <c r="DI1954">
        <v>48</v>
      </c>
      <c r="DN1954" t="s">
        <v>268</v>
      </c>
      <c r="DP1954" t="s">
        <v>3608</v>
      </c>
      <c r="DR1954">
        <v>32277</v>
      </c>
      <c r="DS1954">
        <v>18738</v>
      </c>
      <c r="EW1954" t="s">
        <v>293</v>
      </c>
      <c r="FK1954" t="s">
        <v>3657</v>
      </c>
      <c r="FM1954">
        <v>27</v>
      </c>
      <c r="FR1954" t="s">
        <v>295</v>
      </c>
      <c r="GO1954">
        <v>8.1</v>
      </c>
      <c r="GU1954">
        <v>34.85</v>
      </c>
      <c r="GZ1954" t="s">
        <v>296</v>
      </c>
      <c r="HH1954" t="s">
        <v>272</v>
      </c>
      <c r="ID1954" t="s">
        <v>3658</v>
      </c>
      <c r="IE1954" t="s">
        <v>2372</v>
      </c>
      <c r="IF1954">
        <v>62226</v>
      </c>
      <c r="IG1954" t="s">
        <v>2373</v>
      </c>
      <c r="IH1954" t="s">
        <v>2374</v>
      </c>
      <c r="II1954">
        <v>1999</v>
      </c>
      <c r="IJ1954" t="s">
        <v>2375</v>
      </c>
    </row>
    <row r="1955" spans="1:244" x14ac:dyDescent="0.45">
      <c r="A1955">
        <v>1176466</v>
      </c>
      <c r="B1955">
        <v>131567</v>
      </c>
      <c r="C1955">
        <v>10108642</v>
      </c>
      <c r="D1955" t="s">
        <v>3523</v>
      </c>
      <c r="F1955" t="s">
        <v>245</v>
      </c>
      <c r="G1955" t="s">
        <v>246</v>
      </c>
      <c r="N1955" t="s">
        <v>3524</v>
      </c>
      <c r="O1955" t="s">
        <v>498</v>
      </c>
      <c r="P1955" t="s">
        <v>249</v>
      </c>
      <c r="Q1955" t="s">
        <v>250</v>
      </c>
      <c r="R1955" t="s">
        <v>251</v>
      </c>
      <c r="T1955" t="s">
        <v>252</v>
      </c>
      <c r="U1955" t="s">
        <v>1244</v>
      </c>
      <c r="V1955" t="s">
        <v>1314</v>
      </c>
      <c r="W1955" t="s">
        <v>3525</v>
      </c>
      <c r="X1955" t="s">
        <v>3526</v>
      </c>
      <c r="Z1955" t="s">
        <v>1677</v>
      </c>
      <c r="AL1955" t="s">
        <v>3574</v>
      </c>
      <c r="AM1955" t="s">
        <v>317</v>
      </c>
      <c r="AN1955" t="s">
        <v>259</v>
      </c>
      <c r="AO1955" t="s">
        <v>260</v>
      </c>
      <c r="AQ1955" t="s">
        <v>261</v>
      </c>
      <c r="AS1955">
        <v>2330</v>
      </c>
      <c r="AX1955" t="s">
        <v>262</v>
      </c>
      <c r="BO1955" t="s">
        <v>261</v>
      </c>
      <c r="BQ1955">
        <v>2.33</v>
      </c>
      <c r="BV1955" t="s">
        <v>263</v>
      </c>
      <c r="CM1955" t="s">
        <v>264</v>
      </c>
      <c r="CN1955" t="s">
        <v>264</v>
      </c>
      <c r="CP1955" t="s">
        <v>265</v>
      </c>
      <c r="CQ1955" t="s">
        <v>890</v>
      </c>
      <c r="DB1955">
        <v>4</v>
      </c>
      <c r="DG1955" t="s">
        <v>267</v>
      </c>
      <c r="DI1955">
        <v>96</v>
      </c>
      <c r="DN1955" t="s">
        <v>268</v>
      </c>
      <c r="DR1955">
        <v>1131516</v>
      </c>
      <c r="DS1955">
        <v>4704</v>
      </c>
      <c r="EW1955" t="s">
        <v>271</v>
      </c>
      <c r="HH1955" t="s">
        <v>272</v>
      </c>
      <c r="IE1955" t="s">
        <v>3527</v>
      </c>
      <c r="IF1955">
        <v>15300</v>
      </c>
      <c r="IG1955" t="s">
        <v>3528</v>
      </c>
      <c r="IH1955" t="s">
        <v>3529</v>
      </c>
      <c r="II1955">
        <v>1979</v>
      </c>
      <c r="IJ1955" t="s">
        <v>3530</v>
      </c>
    </row>
    <row r="1956" spans="1:244" x14ac:dyDescent="0.45">
      <c r="A1956">
        <v>1299773</v>
      </c>
      <c r="B1956">
        <v>755372</v>
      </c>
      <c r="C1956">
        <v>10108642</v>
      </c>
      <c r="D1956" t="s">
        <v>3523</v>
      </c>
      <c r="F1956" t="s">
        <v>245</v>
      </c>
      <c r="G1956" t="s">
        <v>246</v>
      </c>
      <c r="N1956" t="s">
        <v>892</v>
      </c>
      <c r="O1956" t="s">
        <v>498</v>
      </c>
      <c r="P1956" t="s">
        <v>249</v>
      </c>
      <c r="Q1956" t="s">
        <v>250</v>
      </c>
      <c r="R1956" t="s">
        <v>251</v>
      </c>
      <c r="T1956" t="s">
        <v>252</v>
      </c>
      <c r="U1956" t="s">
        <v>499</v>
      </c>
      <c r="V1956" t="s">
        <v>500</v>
      </c>
      <c r="W1956" t="s">
        <v>893</v>
      </c>
      <c r="X1956" t="s">
        <v>894</v>
      </c>
      <c r="AL1956" t="s">
        <v>3659</v>
      </c>
      <c r="AM1956" t="s">
        <v>317</v>
      </c>
      <c r="AN1956" t="s">
        <v>259</v>
      </c>
      <c r="AO1956" t="s">
        <v>260</v>
      </c>
      <c r="AP1956">
        <v>5</v>
      </c>
      <c r="AQ1956" t="s">
        <v>261</v>
      </c>
      <c r="AT1956" t="s">
        <v>288</v>
      </c>
      <c r="AU1956">
        <v>0.5</v>
      </c>
      <c r="AV1956" t="s">
        <v>289</v>
      </c>
      <c r="AW1956">
        <v>1</v>
      </c>
      <c r="AX1956" t="s">
        <v>356</v>
      </c>
      <c r="BO1956" t="s">
        <v>261</v>
      </c>
      <c r="BR1956" t="s">
        <v>288</v>
      </c>
      <c r="BS1956">
        <v>0.5</v>
      </c>
      <c r="BT1956" t="s">
        <v>289</v>
      </c>
      <c r="BU1956">
        <v>1</v>
      </c>
      <c r="BV1956" t="s">
        <v>263</v>
      </c>
      <c r="CM1956" t="s">
        <v>264</v>
      </c>
      <c r="CN1956" t="s">
        <v>264</v>
      </c>
      <c r="CP1956" t="s">
        <v>265</v>
      </c>
      <c r="CQ1956" t="s">
        <v>890</v>
      </c>
      <c r="DB1956">
        <v>4</v>
      </c>
      <c r="DG1956" t="s">
        <v>267</v>
      </c>
      <c r="DI1956">
        <v>96</v>
      </c>
      <c r="DN1956" t="s">
        <v>268</v>
      </c>
      <c r="DP1956" t="s">
        <v>3628</v>
      </c>
      <c r="DR1956">
        <v>732107</v>
      </c>
      <c r="DS1956">
        <v>427</v>
      </c>
      <c r="DT1956" t="s">
        <v>1327</v>
      </c>
      <c r="EW1956" t="s">
        <v>293</v>
      </c>
      <c r="FK1956" t="s">
        <v>3660</v>
      </c>
      <c r="FM1956">
        <v>16</v>
      </c>
      <c r="FR1956" t="s">
        <v>295</v>
      </c>
      <c r="GJ1956">
        <v>8</v>
      </c>
      <c r="GL1956">
        <v>8.5</v>
      </c>
      <c r="GM1956" t="s">
        <v>356</v>
      </c>
      <c r="GQ1956">
        <v>7.9</v>
      </c>
      <c r="GS1956">
        <v>8.64</v>
      </c>
      <c r="GU1956">
        <v>36</v>
      </c>
      <c r="GZ1956" t="s">
        <v>296</v>
      </c>
      <c r="HH1956" t="s">
        <v>272</v>
      </c>
      <c r="ID1956" t="s">
        <v>3661</v>
      </c>
      <c r="IE1956" t="s">
        <v>1330</v>
      </c>
      <c r="IF1956">
        <v>116169</v>
      </c>
      <c r="IG1956" t="s">
        <v>1331</v>
      </c>
      <c r="IH1956" t="s">
        <v>1332</v>
      </c>
      <c r="II1956">
        <v>2005</v>
      </c>
      <c r="IJ1956" t="s">
        <v>1333</v>
      </c>
    </row>
    <row r="1957" spans="1:244" x14ac:dyDescent="0.45">
      <c r="A1957">
        <v>1282241</v>
      </c>
      <c r="B1957">
        <v>735860</v>
      </c>
      <c r="C1957">
        <v>10108642</v>
      </c>
      <c r="D1957" t="s">
        <v>3523</v>
      </c>
      <c r="E1957" t="s">
        <v>439</v>
      </c>
      <c r="F1957" t="s">
        <v>245</v>
      </c>
      <c r="G1957" t="s">
        <v>246</v>
      </c>
      <c r="N1957" t="s">
        <v>968</v>
      </c>
      <c r="O1957" t="s">
        <v>969</v>
      </c>
      <c r="P1957" t="s">
        <v>249</v>
      </c>
      <c r="Q1957" t="s">
        <v>250</v>
      </c>
      <c r="R1957" t="s">
        <v>251</v>
      </c>
      <c r="T1957" t="s">
        <v>252</v>
      </c>
      <c r="U1957" t="s">
        <v>253</v>
      </c>
      <c r="V1957" t="s">
        <v>418</v>
      </c>
      <c r="W1957" t="s">
        <v>419</v>
      </c>
      <c r="X1957" t="s">
        <v>970</v>
      </c>
      <c r="Z1957" t="s">
        <v>649</v>
      </c>
      <c r="AL1957" t="s">
        <v>1174</v>
      </c>
      <c r="AM1957" t="s">
        <v>258</v>
      </c>
      <c r="AN1957" t="s">
        <v>259</v>
      </c>
      <c r="AO1957" t="s">
        <v>260</v>
      </c>
      <c r="AQ1957" t="s">
        <v>261</v>
      </c>
      <c r="AS1957">
        <v>0.65</v>
      </c>
      <c r="AU1957">
        <v>0.42</v>
      </c>
      <c r="AW1957">
        <v>1.01</v>
      </c>
      <c r="AX1957" t="s">
        <v>356</v>
      </c>
      <c r="BO1957" t="s">
        <v>261</v>
      </c>
      <c r="BQ1957">
        <v>0.65</v>
      </c>
      <c r="BS1957">
        <v>0.42</v>
      </c>
      <c r="BU1957">
        <v>1.01</v>
      </c>
      <c r="BV1957" t="s">
        <v>263</v>
      </c>
      <c r="CM1957" t="s">
        <v>264</v>
      </c>
      <c r="CN1957" t="s">
        <v>264</v>
      </c>
      <c r="CP1957" t="s">
        <v>265</v>
      </c>
      <c r="CQ1957" t="s">
        <v>890</v>
      </c>
      <c r="DB1957">
        <v>4</v>
      </c>
      <c r="DG1957" t="s">
        <v>267</v>
      </c>
      <c r="DI1957">
        <v>96</v>
      </c>
      <c r="DN1957" t="s">
        <v>268</v>
      </c>
      <c r="DP1957" t="s">
        <v>3571</v>
      </c>
      <c r="DS1957">
        <v>1010</v>
      </c>
      <c r="DT1957" t="s">
        <v>1176</v>
      </c>
      <c r="EW1957" t="s">
        <v>293</v>
      </c>
      <c r="FK1957" t="s">
        <v>3662</v>
      </c>
      <c r="FM1957">
        <v>30</v>
      </c>
      <c r="FR1957" t="s">
        <v>295</v>
      </c>
      <c r="GG1957" t="s">
        <v>288</v>
      </c>
      <c r="GH1957">
        <v>90</v>
      </c>
      <c r="GM1957" t="s">
        <v>900</v>
      </c>
      <c r="GO1957">
        <v>8</v>
      </c>
      <c r="GU1957">
        <v>20</v>
      </c>
      <c r="GZ1957" t="s">
        <v>296</v>
      </c>
      <c r="HH1957" t="s">
        <v>272</v>
      </c>
      <c r="ID1957" t="s">
        <v>3663</v>
      </c>
      <c r="IE1957" t="s">
        <v>1179</v>
      </c>
      <c r="IF1957">
        <v>4973</v>
      </c>
      <c r="IG1957" t="s">
        <v>1180</v>
      </c>
      <c r="IH1957" t="s">
        <v>1181</v>
      </c>
      <c r="II1957">
        <v>1982</v>
      </c>
      <c r="IJ1957" t="s">
        <v>1182</v>
      </c>
    </row>
    <row r="1958" spans="1:244" x14ac:dyDescent="0.45">
      <c r="A1958">
        <v>1068790</v>
      </c>
      <c r="B1958">
        <v>40753</v>
      </c>
      <c r="C1958">
        <v>10108642</v>
      </c>
      <c r="D1958" t="s">
        <v>3523</v>
      </c>
      <c r="F1958" t="s">
        <v>272</v>
      </c>
      <c r="G1958" t="s">
        <v>246</v>
      </c>
      <c r="N1958" t="s">
        <v>1401</v>
      </c>
      <c r="O1958" t="s">
        <v>1299</v>
      </c>
      <c r="P1958" t="s">
        <v>249</v>
      </c>
      <c r="Q1958" t="s">
        <v>250</v>
      </c>
      <c r="R1958" t="s">
        <v>251</v>
      </c>
      <c r="T1958" t="s">
        <v>252</v>
      </c>
      <c r="U1958" t="s">
        <v>371</v>
      </c>
      <c r="V1958" t="s">
        <v>372</v>
      </c>
      <c r="W1958" t="s">
        <v>1402</v>
      </c>
      <c r="X1958" t="s">
        <v>1403</v>
      </c>
      <c r="AL1958" t="s">
        <v>1404</v>
      </c>
      <c r="AM1958" t="s">
        <v>287</v>
      </c>
      <c r="AN1958" t="s">
        <v>259</v>
      </c>
      <c r="AO1958" t="s">
        <v>260</v>
      </c>
      <c r="AQ1958" t="s">
        <v>261</v>
      </c>
      <c r="AS1958">
        <v>8</v>
      </c>
      <c r="AX1958" t="s">
        <v>262</v>
      </c>
      <c r="BO1958" t="s">
        <v>261</v>
      </c>
      <c r="BQ1958">
        <v>8.0000000000000002E-3</v>
      </c>
      <c r="BV1958" t="s">
        <v>263</v>
      </c>
      <c r="CM1958" t="s">
        <v>264</v>
      </c>
      <c r="CN1958" t="s">
        <v>264</v>
      </c>
      <c r="CP1958" t="s">
        <v>265</v>
      </c>
      <c r="DB1958">
        <v>4</v>
      </c>
      <c r="DG1958" t="s">
        <v>267</v>
      </c>
      <c r="DI1958">
        <v>96</v>
      </c>
      <c r="DN1958" t="s">
        <v>268</v>
      </c>
      <c r="DR1958">
        <v>236552</v>
      </c>
      <c r="DS1958">
        <v>59434</v>
      </c>
      <c r="EW1958" t="s">
        <v>333</v>
      </c>
      <c r="FM1958">
        <v>18.3</v>
      </c>
      <c r="FR1958" t="s">
        <v>295</v>
      </c>
      <c r="HH1958" t="s">
        <v>272</v>
      </c>
      <c r="IE1958" t="s">
        <v>1405</v>
      </c>
      <c r="IF1958">
        <v>5416</v>
      </c>
      <c r="IG1958" t="s">
        <v>1406</v>
      </c>
      <c r="IH1958" t="s">
        <v>1407</v>
      </c>
      <c r="II1958">
        <v>1988</v>
      </c>
      <c r="IJ1958" t="s">
        <v>1408</v>
      </c>
    </row>
    <row r="1959" spans="1:244" x14ac:dyDescent="0.45">
      <c r="A1959">
        <v>1139786</v>
      </c>
      <c r="B1959">
        <v>94088</v>
      </c>
      <c r="C1959">
        <v>10108642</v>
      </c>
      <c r="D1959" t="s">
        <v>3523</v>
      </c>
      <c r="F1959" t="s">
        <v>327</v>
      </c>
      <c r="G1959" t="s">
        <v>246</v>
      </c>
      <c r="N1959" t="s">
        <v>416</v>
      </c>
      <c r="O1959" t="s">
        <v>417</v>
      </c>
      <c r="P1959" t="s">
        <v>249</v>
      </c>
      <c r="Q1959" t="s">
        <v>250</v>
      </c>
      <c r="R1959" t="s">
        <v>251</v>
      </c>
      <c r="T1959" t="s">
        <v>252</v>
      </c>
      <c r="U1959" t="s">
        <v>253</v>
      </c>
      <c r="V1959" t="s">
        <v>418</v>
      </c>
      <c r="W1959" t="s">
        <v>419</v>
      </c>
      <c r="X1959" t="s">
        <v>420</v>
      </c>
      <c r="AM1959" t="s">
        <v>317</v>
      </c>
      <c r="AN1959" t="s">
        <v>259</v>
      </c>
      <c r="AO1959" t="s">
        <v>260</v>
      </c>
      <c r="AQ1959" t="s">
        <v>261</v>
      </c>
      <c r="AS1959">
        <v>2070</v>
      </c>
      <c r="AX1959" t="s">
        <v>262</v>
      </c>
      <c r="BO1959" t="s">
        <v>261</v>
      </c>
      <c r="BQ1959">
        <v>2.0699999999999998</v>
      </c>
      <c r="BV1959" t="s">
        <v>263</v>
      </c>
      <c r="CM1959" t="s">
        <v>264</v>
      </c>
      <c r="CN1959" t="s">
        <v>264</v>
      </c>
      <c r="CP1959" t="s">
        <v>265</v>
      </c>
      <c r="CQ1959" t="s">
        <v>890</v>
      </c>
      <c r="DB1959">
        <v>4</v>
      </c>
      <c r="DG1959" t="s">
        <v>267</v>
      </c>
      <c r="DI1959">
        <v>96</v>
      </c>
      <c r="DN1959" t="s">
        <v>268</v>
      </c>
      <c r="DS1959">
        <v>1009</v>
      </c>
      <c r="EW1959" t="s">
        <v>271</v>
      </c>
      <c r="GU1959">
        <v>35</v>
      </c>
      <c r="GZ1959" t="s">
        <v>296</v>
      </c>
      <c r="HH1959" t="s">
        <v>272</v>
      </c>
      <c r="IE1959" t="s">
        <v>1747</v>
      </c>
      <c r="IF1959">
        <v>11646</v>
      </c>
      <c r="IG1959" t="s">
        <v>1748</v>
      </c>
      <c r="IH1959" t="s">
        <v>1749</v>
      </c>
      <c r="II1959">
        <v>1984</v>
      </c>
      <c r="IJ1959" t="s">
        <v>1750</v>
      </c>
    </row>
    <row r="1960" spans="1:244" x14ac:dyDescent="0.45">
      <c r="A1960">
        <v>1054063</v>
      </c>
      <c r="B1960">
        <v>124126</v>
      </c>
      <c r="C1960">
        <v>10108642</v>
      </c>
      <c r="D1960" t="s">
        <v>3523</v>
      </c>
      <c r="F1960" t="s">
        <v>327</v>
      </c>
      <c r="G1960" t="s">
        <v>246</v>
      </c>
      <c r="N1960" t="s">
        <v>3618</v>
      </c>
      <c r="O1960" t="s">
        <v>3619</v>
      </c>
      <c r="P1960" t="s">
        <v>249</v>
      </c>
      <c r="Q1960" t="s">
        <v>250</v>
      </c>
      <c r="R1960" t="s">
        <v>251</v>
      </c>
      <c r="T1960" t="s">
        <v>252</v>
      </c>
      <c r="U1960" t="s">
        <v>253</v>
      </c>
      <c r="V1960" t="s">
        <v>281</v>
      </c>
      <c r="W1960" t="s">
        <v>282</v>
      </c>
      <c r="X1960" t="s">
        <v>3620</v>
      </c>
      <c r="Z1960" t="s">
        <v>284</v>
      </c>
      <c r="AM1960" t="s">
        <v>307</v>
      </c>
      <c r="AN1960" t="s">
        <v>259</v>
      </c>
      <c r="AO1960" t="s">
        <v>260</v>
      </c>
      <c r="AQ1960" t="s">
        <v>261</v>
      </c>
      <c r="AS1960">
        <v>250</v>
      </c>
      <c r="AX1960" t="s">
        <v>262</v>
      </c>
      <c r="BO1960" t="s">
        <v>261</v>
      </c>
      <c r="BQ1960">
        <v>0.25</v>
      </c>
      <c r="BV1960" t="s">
        <v>263</v>
      </c>
      <c r="CM1960" t="s">
        <v>264</v>
      </c>
      <c r="CN1960" t="s">
        <v>264</v>
      </c>
      <c r="CP1960" t="s">
        <v>265</v>
      </c>
      <c r="CQ1960" t="s">
        <v>890</v>
      </c>
      <c r="DB1960">
        <v>4</v>
      </c>
      <c r="DG1960" t="s">
        <v>267</v>
      </c>
      <c r="DI1960">
        <v>96</v>
      </c>
      <c r="DN1960" t="s">
        <v>268</v>
      </c>
      <c r="DQ1960" t="s">
        <v>3621</v>
      </c>
      <c r="DR1960">
        <v>6756</v>
      </c>
      <c r="DS1960">
        <v>1495</v>
      </c>
      <c r="EW1960" t="s">
        <v>333</v>
      </c>
      <c r="FK1960" t="s">
        <v>3622</v>
      </c>
      <c r="GU1960">
        <v>30</v>
      </c>
      <c r="GZ1960" t="s">
        <v>296</v>
      </c>
      <c r="HH1960" t="s">
        <v>272</v>
      </c>
      <c r="ID1960" t="s">
        <v>3623</v>
      </c>
      <c r="IE1960" t="s">
        <v>3624</v>
      </c>
      <c r="IF1960">
        <v>3764</v>
      </c>
      <c r="IG1960" t="s">
        <v>3625</v>
      </c>
      <c r="IH1960" t="s">
        <v>3626</v>
      </c>
      <c r="II1960">
        <v>1982</v>
      </c>
      <c r="IJ1960" t="s">
        <v>3627</v>
      </c>
    </row>
    <row r="1961" spans="1:244" x14ac:dyDescent="0.45">
      <c r="A1961">
        <v>1273552</v>
      </c>
      <c r="B1961">
        <v>724871</v>
      </c>
      <c r="C1961">
        <v>10108642</v>
      </c>
      <c r="D1961" t="s">
        <v>3523</v>
      </c>
      <c r="F1961" t="s">
        <v>245</v>
      </c>
      <c r="G1961" t="s">
        <v>246</v>
      </c>
      <c r="N1961" t="s">
        <v>1967</v>
      </c>
      <c r="O1961" t="s">
        <v>1968</v>
      </c>
      <c r="P1961" t="s">
        <v>249</v>
      </c>
      <c r="Q1961" t="s">
        <v>250</v>
      </c>
      <c r="R1961" t="s">
        <v>251</v>
      </c>
      <c r="T1961" t="s">
        <v>252</v>
      </c>
      <c r="U1961" t="s">
        <v>253</v>
      </c>
      <c r="V1961" t="s">
        <v>1969</v>
      </c>
      <c r="W1961" t="s">
        <v>1970</v>
      </c>
      <c r="X1961" t="s">
        <v>1971</v>
      </c>
      <c r="Z1961" t="s">
        <v>1046</v>
      </c>
      <c r="AB1961">
        <v>1</v>
      </c>
      <c r="AG1961" t="s">
        <v>267</v>
      </c>
      <c r="AM1961" t="s">
        <v>258</v>
      </c>
      <c r="AN1961" t="s">
        <v>259</v>
      </c>
      <c r="AO1961" t="s">
        <v>260</v>
      </c>
      <c r="AP1961">
        <v>6</v>
      </c>
      <c r="AQ1961" t="s">
        <v>261</v>
      </c>
      <c r="AS1961">
        <v>4.37</v>
      </c>
      <c r="AU1961">
        <v>3.63</v>
      </c>
      <c r="AW1961">
        <v>5.18</v>
      </c>
      <c r="AX1961" t="s">
        <v>356</v>
      </c>
      <c r="BO1961" t="s">
        <v>261</v>
      </c>
      <c r="BQ1961">
        <v>4.37</v>
      </c>
      <c r="BS1961">
        <v>3.63</v>
      </c>
      <c r="BU1961">
        <v>5.18</v>
      </c>
      <c r="BV1961" t="s">
        <v>263</v>
      </c>
      <c r="CM1961" t="s">
        <v>264</v>
      </c>
      <c r="CN1961" t="s">
        <v>264</v>
      </c>
      <c r="CP1961" t="s">
        <v>265</v>
      </c>
      <c r="CQ1961" t="s">
        <v>890</v>
      </c>
      <c r="DB1961">
        <v>2</v>
      </c>
      <c r="DG1961" t="s">
        <v>267</v>
      </c>
      <c r="DI1961">
        <v>48</v>
      </c>
      <c r="DN1961" t="s">
        <v>268</v>
      </c>
      <c r="DP1961" t="s">
        <v>3597</v>
      </c>
      <c r="DR1961">
        <v>174394</v>
      </c>
      <c r="DS1961">
        <v>18619</v>
      </c>
      <c r="DT1961" t="s">
        <v>1972</v>
      </c>
      <c r="EW1961" t="s">
        <v>293</v>
      </c>
      <c r="FA1961" t="s">
        <v>1973</v>
      </c>
      <c r="FK1961" t="s">
        <v>3616</v>
      </c>
      <c r="FM1961">
        <v>7.5</v>
      </c>
      <c r="FR1961" t="s">
        <v>295</v>
      </c>
      <c r="GU1961">
        <v>28</v>
      </c>
      <c r="GZ1961" t="s">
        <v>356</v>
      </c>
      <c r="HH1961" t="s">
        <v>272</v>
      </c>
      <c r="ID1961" t="s">
        <v>3617</v>
      </c>
      <c r="IE1961" t="s">
        <v>1976</v>
      </c>
      <c r="IF1961">
        <v>71687</v>
      </c>
      <c r="IG1961" t="s">
        <v>1977</v>
      </c>
      <c r="IH1961" t="s">
        <v>1978</v>
      </c>
      <c r="II1961">
        <v>2003</v>
      </c>
      <c r="IJ1961" t="s">
        <v>1979</v>
      </c>
    </row>
    <row r="1962" spans="1:244" x14ac:dyDescent="0.45">
      <c r="A1962">
        <v>1139086</v>
      </c>
      <c r="B1962">
        <v>232045</v>
      </c>
      <c r="C1962">
        <v>10108642</v>
      </c>
      <c r="D1962" t="s">
        <v>3523</v>
      </c>
      <c r="E1962" t="s">
        <v>3539</v>
      </c>
      <c r="F1962" t="s">
        <v>327</v>
      </c>
      <c r="G1962" t="s">
        <v>246</v>
      </c>
      <c r="N1962" t="s">
        <v>3540</v>
      </c>
      <c r="O1962" t="s">
        <v>248</v>
      </c>
      <c r="P1962" t="s">
        <v>249</v>
      </c>
      <c r="Q1962" t="s">
        <v>250</v>
      </c>
      <c r="R1962" t="s">
        <v>251</v>
      </c>
      <c r="T1962" t="s">
        <v>252</v>
      </c>
      <c r="U1962" t="s">
        <v>253</v>
      </c>
      <c r="V1962" t="s">
        <v>1231</v>
      </c>
      <c r="W1962" t="s">
        <v>3541</v>
      </c>
      <c r="X1962" t="s">
        <v>3542</v>
      </c>
      <c r="AJ1962" t="s">
        <v>285</v>
      </c>
      <c r="AL1962" t="s">
        <v>3543</v>
      </c>
      <c r="AM1962" t="s">
        <v>317</v>
      </c>
      <c r="AN1962" t="s">
        <v>259</v>
      </c>
      <c r="AO1962" t="s">
        <v>260</v>
      </c>
      <c r="AQ1962" t="s">
        <v>261</v>
      </c>
      <c r="AS1962">
        <v>33.299999999999997</v>
      </c>
      <c r="AU1962">
        <v>31.4</v>
      </c>
      <c r="AW1962">
        <v>35.299999999999997</v>
      </c>
      <c r="AX1962" t="s">
        <v>356</v>
      </c>
      <c r="BO1962" t="s">
        <v>261</v>
      </c>
      <c r="BQ1962">
        <v>33.299999999999997</v>
      </c>
      <c r="BS1962">
        <v>31.4</v>
      </c>
      <c r="BU1962">
        <v>35.299999999999997</v>
      </c>
      <c r="BV1962" t="s">
        <v>263</v>
      </c>
      <c r="CM1962" t="s">
        <v>264</v>
      </c>
      <c r="CN1962" t="s">
        <v>264</v>
      </c>
      <c r="CP1962" t="s">
        <v>265</v>
      </c>
      <c r="CQ1962" t="s">
        <v>890</v>
      </c>
      <c r="DB1962">
        <v>4</v>
      </c>
      <c r="DG1962" t="s">
        <v>267</v>
      </c>
      <c r="DI1962">
        <v>96</v>
      </c>
      <c r="DN1962" t="s">
        <v>268</v>
      </c>
      <c r="DR1962">
        <v>151182</v>
      </c>
      <c r="DS1962">
        <v>11260</v>
      </c>
      <c r="EW1962" t="s">
        <v>272</v>
      </c>
      <c r="FK1962" t="s">
        <v>3606</v>
      </c>
      <c r="FM1962">
        <v>32</v>
      </c>
      <c r="FR1962" t="s">
        <v>295</v>
      </c>
      <c r="GU1962">
        <v>20</v>
      </c>
      <c r="GZ1962" t="s">
        <v>900</v>
      </c>
      <c r="HH1962" t="s">
        <v>272</v>
      </c>
      <c r="ID1962" t="s">
        <v>3607</v>
      </c>
      <c r="IE1962" t="s">
        <v>3546</v>
      </c>
      <c r="IF1962">
        <v>11524</v>
      </c>
      <c r="IG1962" t="s">
        <v>3547</v>
      </c>
      <c r="IH1962" t="s">
        <v>3548</v>
      </c>
      <c r="II1962">
        <v>1983</v>
      </c>
      <c r="IJ1962" t="s">
        <v>3549</v>
      </c>
    </row>
    <row r="1963" spans="1:244" x14ac:dyDescent="0.45">
      <c r="A1963">
        <v>1277730</v>
      </c>
      <c r="B1963">
        <v>730950</v>
      </c>
      <c r="C1963">
        <v>10108642</v>
      </c>
      <c r="D1963" t="s">
        <v>3523</v>
      </c>
      <c r="E1963" t="s">
        <v>439</v>
      </c>
      <c r="F1963" t="s">
        <v>245</v>
      </c>
      <c r="G1963" t="s">
        <v>246</v>
      </c>
      <c r="N1963" t="s">
        <v>968</v>
      </c>
      <c r="O1963" t="s">
        <v>969</v>
      </c>
      <c r="P1963" t="s">
        <v>249</v>
      </c>
      <c r="Q1963" t="s">
        <v>250</v>
      </c>
      <c r="R1963" t="s">
        <v>251</v>
      </c>
      <c r="T1963" t="s">
        <v>252</v>
      </c>
      <c r="U1963" t="s">
        <v>253</v>
      </c>
      <c r="V1963" t="s">
        <v>418</v>
      </c>
      <c r="W1963" t="s">
        <v>419</v>
      </c>
      <c r="X1963" t="s">
        <v>970</v>
      </c>
      <c r="Z1963" t="s">
        <v>649</v>
      </c>
      <c r="AL1963" t="s">
        <v>1174</v>
      </c>
      <c r="AM1963" t="s">
        <v>258</v>
      </c>
      <c r="AN1963" t="s">
        <v>259</v>
      </c>
      <c r="AO1963" t="s">
        <v>260</v>
      </c>
      <c r="AQ1963" t="s">
        <v>261</v>
      </c>
      <c r="AS1963">
        <v>0.15</v>
      </c>
      <c r="AU1963">
        <v>0.06</v>
      </c>
      <c r="AW1963">
        <v>0.34</v>
      </c>
      <c r="AX1963" t="s">
        <v>356</v>
      </c>
      <c r="BO1963" t="s">
        <v>261</v>
      </c>
      <c r="BQ1963">
        <v>0.15</v>
      </c>
      <c r="BS1963">
        <v>0.06</v>
      </c>
      <c r="BU1963">
        <v>0.34</v>
      </c>
      <c r="BV1963" t="s">
        <v>263</v>
      </c>
      <c r="CM1963" t="s">
        <v>264</v>
      </c>
      <c r="CN1963" t="s">
        <v>264</v>
      </c>
      <c r="CP1963" t="s">
        <v>265</v>
      </c>
      <c r="CQ1963" t="s">
        <v>890</v>
      </c>
      <c r="DB1963">
        <v>4</v>
      </c>
      <c r="DG1963" t="s">
        <v>267</v>
      </c>
      <c r="DI1963">
        <v>96</v>
      </c>
      <c r="DN1963" t="s">
        <v>268</v>
      </c>
      <c r="DP1963" t="s">
        <v>3571</v>
      </c>
      <c r="DS1963">
        <v>1010</v>
      </c>
      <c r="DT1963" t="s">
        <v>1176</v>
      </c>
      <c r="EW1963" t="s">
        <v>293</v>
      </c>
      <c r="FK1963" t="s">
        <v>3664</v>
      </c>
      <c r="FM1963">
        <v>35</v>
      </c>
      <c r="FR1963" t="s">
        <v>295</v>
      </c>
      <c r="GG1963" t="s">
        <v>288</v>
      </c>
      <c r="GH1963">
        <v>90</v>
      </c>
      <c r="GM1963" t="s">
        <v>900</v>
      </c>
      <c r="GO1963">
        <v>8</v>
      </c>
      <c r="GU1963">
        <v>36</v>
      </c>
      <c r="GZ1963" t="s">
        <v>296</v>
      </c>
      <c r="HH1963" t="s">
        <v>272</v>
      </c>
      <c r="ID1963" t="s">
        <v>3665</v>
      </c>
      <c r="IE1963" t="s">
        <v>1179</v>
      </c>
      <c r="IF1963">
        <v>4973</v>
      </c>
      <c r="IG1963" t="s">
        <v>1180</v>
      </c>
      <c r="IH1963" t="s">
        <v>1181</v>
      </c>
      <c r="II1963">
        <v>1982</v>
      </c>
      <c r="IJ1963" t="s">
        <v>1182</v>
      </c>
    </row>
    <row r="1964" spans="1:244" x14ac:dyDescent="0.45">
      <c r="A1964">
        <v>1111536</v>
      </c>
      <c r="B1964">
        <v>73193</v>
      </c>
      <c r="C1964">
        <v>10108642</v>
      </c>
      <c r="D1964" t="s">
        <v>3523</v>
      </c>
      <c r="F1964" t="s">
        <v>245</v>
      </c>
      <c r="G1964" t="s">
        <v>246</v>
      </c>
      <c r="N1964" t="s">
        <v>3565</v>
      </c>
      <c r="O1964" t="s">
        <v>1783</v>
      </c>
      <c r="P1964" t="s">
        <v>249</v>
      </c>
      <c r="Q1964" t="s">
        <v>250</v>
      </c>
      <c r="R1964" t="s">
        <v>251</v>
      </c>
      <c r="T1964" t="s">
        <v>252</v>
      </c>
      <c r="U1964" t="s">
        <v>253</v>
      </c>
      <c r="V1964" t="s">
        <v>1735</v>
      </c>
      <c r="W1964" t="s">
        <v>1784</v>
      </c>
      <c r="X1964" t="s">
        <v>1984</v>
      </c>
      <c r="Z1964" t="s">
        <v>315</v>
      </c>
      <c r="AL1964" t="s">
        <v>3566</v>
      </c>
      <c r="AM1964" t="s">
        <v>258</v>
      </c>
      <c r="AN1964" t="s">
        <v>259</v>
      </c>
      <c r="AO1964" t="s">
        <v>260</v>
      </c>
      <c r="AQ1964" t="s">
        <v>261</v>
      </c>
      <c r="AS1964">
        <v>46600</v>
      </c>
      <c r="AX1964" t="s">
        <v>262</v>
      </c>
      <c r="BO1964" t="s">
        <v>261</v>
      </c>
      <c r="BQ1964">
        <v>46.6</v>
      </c>
      <c r="BV1964" t="s">
        <v>263</v>
      </c>
      <c r="CM1964" t="s">
        <v>264</v>
      </c>
      <c r="CN1964" t="s">
        <v>264</v>
      </c>
      <c r="CP1964" t="s">
        <v>265</v>
      </c>
      <c r="CQ1964" t="s">
        <v>890</v>
      </c>
      <c r="DB1964">
        <v>4</v>
      </c>
      <c r="DG1964" t="s">
        <v>267</v>
      </c>
      <c r="DI1964">
        <v>96</v>
      </c>
      <c r="DN1964" t="s">
        <v>268</v>
      </c>
      <c r="DP1964" t="s">
        <v>570</v>
      </c>
      <c r="DR1964">
        <v>6772</v>
      </c>
      <c r="DS1964">
        <v>745</v>
      </c>
      <c r="EW1964" t="s">
        <v>271</v>
      </c>
      <c r="FM1964">
        <v>20</v>
      </c>
      <c r="FR1964" t="s">
        <v>295</v>
      </c>
      <c r="GU1964">
        <v>20</v>
      </c>
      <c r="GZ1964" t="s">
        <v>296</v>
      </c>
      <c r="HH1964" t="s">
        <v>272</v>
      </c>
      <c r="IE1964" t="s">
        <v>3567</v>
      </c>
      <c r="IF1964">
        <v>8412</v>
      </c>
      <c r="IG1964" t="s">
        <v>3568</v>
      </c>
      <c r="IH1964" t="s">
        <v>3569</v>
      </c>
      <c r="II1964">
        <v>1973</v>
      </c>
      <c r="IJ1964" t="s">
        <v>3570</v>
      </c>
    </row>
    <row r="1965" spans="1:244" x14ac:dyDescent="0.45">
      <c r="A1965">
        <v>1282242</v>
      </c>
      <c r="B1965">
        <v>735861</v>
      </c>
      <c r="C1965">
        <v>10108642</v>
      </c>
      <c r="D1965" t="s">
        <v>3523</v>
      </c>
      <c r="E1965" t="s">
        <v>439</v>
      </c>
      <c r="F1965" t="s">
        <v>245</v>
      </c>
      <c r="G1965" t="s">
        <v>246</v>
      </c>
      <c r="N1965" t="s">
        <v>968</v>
      </c>
      <c r="O1965" t="s">
        <v>969</v>
      </c>
      <c r="P1965" t="s">
        <v>249</v>
      </c>
      <c r="Q1965" t="s">
        <v>250</v>
      </c>
      <c r="R1965" t="s">
        <v>251</v>
      </c>
      <c r="T1965" t="s">
        <v>252</v>
      </c>
      <c r="U1965" t="s">
        <v>253</v>
      </c>
      <c r="V1965" t="s">
        <v>418</v>
      </c>
      <c r="W1965" t="s">
        <v>419</v>
      </c>
      <c r="X1965" t="s">
        <v>970</v>
      </c>
      <c r="Z1965" t="s">
        <v>649</v>
      </c>
      <c r="AL1965" t="s">
        <v>1174</v>
      </c>
      <c r="AM1965" t="s">
        <v>258</v>
      </c>
      <c r="AN1965" t="s">
        <v>259</v>
      </c>
      <c r="AO1965" t="s">
        <v>260</v>
      </c>
      <c r="AQ1965" t="s">
        <v>261</v>
      </c>
      <c r="AS1965">
        <v>1.85</v>
      </c>
      <c r="AU1965">
        <v>1.06</v>
      </c>
      <c r="AW1965">
        <v>3.24</v>
      </c>
      <c r="AX1965" t="s">
        <v>356</v>
      </c>
      <c r="BO1965" t="s">
        <v>261</v>
      </c>
      <c r="BQ1965">
        <v>1.85</v>
      </c>
      <c r="BS1965">
        <v>1.06</v>
      </c>
      <c r="BU1965">
        <v>3.24</v>
      </c>
      <c r="BV1965" t="s">
        <v>263</v>
      </c>
      <c r="CM1965" t="s">
        <v>264</v>
      </c>
      <c r="CN1965" t="s">
        <v>264</v>
      </c>
      <c r="CP1965" t="s">
        <v>265</v>
      </c>
      <c r="CQ1965" t="s">
        <v>890</v>
      </c>
      <c r="DB1965">
        <v>4</v>
      </c>
      <c r="DG1965" t="s">
        <v>267</v>
      </c>
      <c r="DI1965">
        <v>96</v>
      </c>
      <c r="DN1965" t="s">
        <v>268</v>
      </c>
      <c r="DP1965" t="s">
        <v>3571</v>
      </c>
      <c r="DS1965">
        <v>1010</v>
      </c>
      <c r="DT1965" t="s">
        <v>1176</v>
      </c>
      <c r="EW1965" t="s">
        <v>293</v>
      </c>
      <c r="FK1965" t="s">
        <v>3666</v>
      </c>
      <c r="FM1965">
        <v>20</v>
      </c>
      <c r="FR1965" t="s">
        <v>295</v>
      </c>
      <c r="GG1965" t="s">
        <v>288</v>
      </c>
      <c r="GH1965">
        <v>90</v>
      </c>
      <c r="GM1965" t="s">
        <v>900</v>
      </c>
      <c r="GO1965">
        <v>8</v>
      </c>
      <c r="GU1965">
        <v>36</v>
      </c>
      <c r="GZ1965" t="s">
        <v>296</v>
      </c>
      <c r="HH1965" t="s">
        <v>272</v>
      </c>
      <c r="ID1965" t="s">
        <v>3667</v>
      </c>
      <c r="IE1965" t="s">
        <v>1179</v>
      </c>
      <c r="IF1965">
        <v>4973</v>
      </c>
      <c r="IG1965" t="s">
        <v>1180</v>
      </c>
      <c r="IH1965" t="s">
        <v>1181</v>
      </c>
      <c r="II1965">
        <v>1982</v>
      </c>
      <c r="IJ1965" t="s">
        <v>1182</v>
      </c>
    </row>
    <row r="1966" spans="1:244" x14ac:dyDescent="0.45">
      <c r="A1966">
        <v>1211928</v>
      </c>
      <c r="B1966">
        <v>181864</v>
      </c>
      <c r="C1966">
        <v>10108642</v>
      </c>
      <c r="D1966" t="s">
        <v>3523</v>
      </c>
      <c r="F1966" t="s">
        <v>245</v>
      </c>
      <c r="G1966" t="s">
        <v>246</v>
      </c>
      <c r="N1966" t="s">
        <v>1230</v>
      </c>
      <c r="O1966" t="s">
        <v>248</v>
      </c>
      <c r="P1966" t="s">
        <v>249</v>
      </c>
      <c r="Q1966" t="s">
        <v>250</v>
      </c>
      <c r="R1966" t="s">
        <v>251</v>
      </c>
      <c r="T1966" t="s">
        <v>252</v>
      </c>
      <c r="U1966" t="s">
        <v>253</v>
      </c>
      <c r="V1966" t="s">
        <v>1231</v>
      </c>
      <c r="W1966" t="s">
        <v>1232</v>
      </c>
      <c r="X1966" t="s">
        <v>1233</v>
      </c>
      <c r="Z1966" t="s">
        <v>315</v>
      </c>
      <c r="AL1966" t="s">
        <v>3668</v>
      </c>
      <c r="AM1966" t="s">
        <v>317</v>
      </c>
      <c r="AN1966" t="s">
        <v>259</v>
      </c>
      <c r="AO1966" t="s">
        <v>260</v>
      </c>
      <c r="AQ1966" t="s">
        <v>261</v>
      </c>
      <c r="AR1966" t="s">
        <v>288</v>
      </c>
      <c r="AS1966">
        <v>50000</v>
      </c>
      <c r="AX1966" t="s">
        <v>262</v>
      </c>
      <c r="BO1966" t="s">
        <v>261</v>
      </c>
      <c r="BP1966" t="s">
        <v>288</v>
      </c>
      <c r="BQ1966">
        <v>50</v>
      </c>
      <c r="BV1966" t="s">
        <v>263</v>
      </c>
      <c r="CM1966" t="s">
        <v>264</v>
      </c>
      <c r="CN1966" t="s">
        <v>264</v>
      </c>
      <c r="CP1966" t="s">
        <v>265</v>
      </c>
      <c r="DB1966">
        <v>4</v>
      </c>
      <c r="DG1966" t="s">
        <v>267</v>
      </c>
      <c r="DI1966">
        <v>96</v>
      </c>
      <c r="DN1966" t="s">
        <v>268</v>
      </c>
      <c r="DS1966">
        <v>4771</v>
      </c>
      <c r="EW1966" t="s">
        <v>360</v>
      </c>
      <c r="FM1966">
        <v>20</v>
      </c>
      <c r="FR1966" t="s">
        <v>295</v>
      </c>
      <c r="GU1966">
        <v>30</v>
      </c>
      <c r="GZ1966" t="s">
        <v>296</v>
      </c>
      <c r="HH1966" t="s">
        <v>272</v>
      </c>
      <c r="IE1966" t="s">
        <v>3669</v>
      </c>
      <c r="IF1966">
        <v>19662</v>
      </c>
      <c r="IG1966" t="s">
        <v>3670</v>
      </c>
      <c r="IH1966" t="s">
        <v>3671</v>
      </c>
      <c r="II1966">
        <v>1999</v>
      </c>
      <c r="IJ1966" t="s">
        <v>3672</v>
      </c>
    </row>
    <row r="1967" spans="1:244" x14ac:dyDescent="0.45">
      <c r="A1967">
        <v>1204031</v>
      </c>
      <c r="B1967">
        <v>183890</v>
      </c>
      <c r="C1967">
        <v>10108642</v>
      </c>
      <c r="D1967" t="s">
        <v>3523</v>
      </c>
      <c r="F1967" t="s">
        <v>245</v>
      </c>
      <c r="G1967" t="s">
        <v>246</v>
      </c>
      <c r="N1967" t="s">
        <v>1183</v>
      </c>
      <c r="O1967" t="s">
        <v>1184</v>
      </c>
      <c r="P1967" t="s">
        <v>249</v>
      </c>
      <c r="Q1967" t="s">
        <v>250</v>
      </c>
      <c r="R1967" t="s">
        <v>251</v>
      </c>
      <c r="T1967" t="s">
        <v>252</v>
      </c>
      <c r="U1967" t="s">
        <v>253</v>
      </c>
      <c r="V1967" t="s">
        <v>418</v>
      </c>
      <c r="W1967" t="s">
        <v>419</v>
      </c>
      <c r="X1967" t="s">
        <v>393</v>
      </c>
      <c r="Z1967" t="s">
        <v>525</v>
      </c>
      <c r="AM1967" t="s">
        <v>258</v>
      </c>
      <c r="AN1967" t="s">
        <v>259</v>
      </c>
      <c r="AO1967" t="s">
        <v>260</v>
      </c>
      <c r="AQ1967" t="s">
        <v>261</v>
      </c>
      <c r="AS1967">
        <v>667</v>
      </c>
      <c r="AX1967" t="s">
        <v>262</v>
      </c>
      <c r="BO1967" t="s">
        <v>261</v>
      </c>
      <c r="BQ1967">
        <v>0.66700000000000004</v>
      </c>
      <c r="BV1967" t="s">
        <v>263</v>
      </c>
      <c r="CM1967" t="s">
        <v>264</v>
      </c>
      <c r="CN1967" t="s">
        <v>264</v>
      </c>
      <c r="CP1967" t="s">
        <v>265</v>
      </c>
      <c r="CQ1967" t="s">
        <v>890</v>
      </c>
      <c r="DB1967">
        <v>1</v>
      </c>
      <c r="DG1967" t="s">
        <v>267</v>
      </c>
      <c r="DI1967">
        <v>24</v>
      </c>
      <c r="DN1967" t="s">
        <v>268</v>
      </c>
      <c r="DS1967">
        <v>388</v>
      </c>
      <c r="DT1967" t="s">
        <v>3584</v>
      </c>
      <c r="EW1967" t="s">
        <v>293</v>
      </c>
      <c r="FM1967">
        <v>25</v>
      </c>
      <c r="FR1967" t="s">
        <v>295</v>
      </c>
      <c r="GU1967">
        <v>36</v>
      </c>
      <c r="GZ1967" t="s">
        <v>296</v>
      </c>
      <c r="HH1967" t="s">
        <v>272</v>
      </c>
      <c r="IE1967" t="s">
        <v>3585</v>
      </c>
      <c r="IF1967">
        <v>18546</v>
      </c>
      <c r="IG1967" t="s">
        <v>3586</v>
      </c>
      <c r="IH1967" t="s">
        <v>3587</v>
      </c>
      <c r="II1967">
        <v>1995</v>
      </c>
      <c r="IJ1967" t="s">
        <v>3588</v>
      </c>
    </row>
    <row r="1968" spans="1:244" x14ac:dyDescent="0.45">
      <c r="A1968">
        <v>1176483</v>
      </c>
      <c r="B1968">
        <v>156501</v>
      </c>
      <c r="C1968">
        <v>10108642</v>
      </c>
      <c r="D1968" t="s">
        <v>3523</v>
      </c>
      <c r="F1968" t="s">
        <v>245</v>
      </c>
      <c r="G1968" t="s">
        <v>246</v>
      </c>
      <c r="N1968" t="s">
        <v>3550</v>
      </c>
      <c r="O1968" t="s">
        <v>578</v>
      </c>
      <c r="P1968" t="s">
        <v>249</v>
      </c>
      <c r="Q1968" t="s">
        <v>250</v>
      </c>
      <c r="R1968" t="s">
        <v>251</v>
      </c>
      <c r="T1968" t="s">
        <v>252</v>
      </c>
      <c r="U1968" t="s">
        <v>499</v>
      </c>
      <c r="V1968" t="s">
        <v>3551</v>
      </c>
      <c r="W1968" t="s">
        <v>3552</v>
      </c>
      <c r="X1968" t="s">
        <v>3553</v>
      </c>
      <c r="AM1968" t="s">
        <v>317</v>
      </c>
      <c r="AN1968" t="s">
        <v>259</v>
      </c>
      <c r="AO1968" t="s">
        <v>260</v>
      </c>
      <c r="AQ1968" t="s">
        <v>261</v>
      </c>
      <c r="AS1968">
        <v>530</v>
      </c>
      <c r="AX1968" t="s">
        <v>262</v>
      </c>
      <c r="BO1968" t="s">
        <v>261</v>
      </c>
      <c r="BQ1968">
        <v>0.53</v>
      </c>
      <c r="BV1968" t="s">
        <v>263</v>
      </c>
      <c r="CM1968" t="s">
        <v>264</v>
      </c>
      <c r="CN1968" t="s">
        <v>264</v>
      </c>
      <c r="CP1968" t="s">
        <v>265</v>
      </c>
      <c r="CQ1968" t="s">
        <v>890</v>
      </c>
      <c r="DB1968">
        <v>3</v>
      </c>
      <c r="DG1968" t="s">
        <v>267</v>
      </c>
      <c r="DI1968">
        <v>72</v>
      </c>
      <c r="DN1968" t="s">
        <v>268</v>
      </c>
      <c r="DS1968">
        <v>4655</v>
      </c>
      <c r="EW1968" t="s">
        <v>271</v>
      </c>
      <c r="HH1968" t="s">
        <v>272</v>
      </c>
      <c r="IE1968" t="s">
        <v>3527</v>
      </c>
      <c r="IF1968">
        <v>15300</v>
      </c>
      <c r="IG1968" t="s">
        <v>3528</v>
      </c>
      <c r="IH1968" t="s">
        <v>3529</v>
      </c>
      <c r="II1968">
        <v>1979</v>
      </c>
      <c r="IJ1968" t="s">
        <v>3530</v>
      </c>
    </row>
    <row r="1969" spans="1:244" x14ac:dyDescent="0.45">
      <c r="A1969">
        <v>1304653</v>
      </c>
      <c r="B1969">
        <v>761301</v>
      </c>
      <c r="C1969">
        <v>10108642</v>
      </c>
      <c r="D1969" t="s">
        <v>3523</v>
      </c>
      <c r="F1969" t="s">
        <v>245</v>
      </c>
      <c r="G1969" t="s">
        <v>246</v>
      </c>
      <c r="N1969" t="s">
        <v>1230</v>
      </c>
      <c r="O1969" t="s">
        <v>248</v>
      </c>
      <c r="P1969" t="s">
        <v>249</v>
      </c>
      <c r="Q1969" t="s">
        <v>250</v>
      </c>
      <c r="R1969" t="s">
        <v>251</v>
      </c>
      <c r="T1969" t="s">
        <v>252</v>
      </c>
      <c r="U1969" t="s">
        <v>253</v>
      </c>
      <c r="V1969" t="s">
        <v>1231</v>
      </c>
      <c r="W1969" t="s">
        <v>1232</v>
      </c>
      <c r="X1969" t="s">
        <v>1233</v>
      </c>
      <c r="Z1969" t="s">
        <v>919</v>
      </c>
      <c r="AM1969" t="s">
        <v>258</v>
      </c>
      <c r="AN1969" t="s">
        <v>259</v>
      </c>
      <c r="AO1969" t="s">
        <v>260</v>
      </c>
      <c r="AP1969">
        <v>7</v>
      </c>
      <c r="AQ1969" t="s">
        <v>261</v>
      </c>
      <c r="AS1969">
        <v>64.599999999999994</v>
      </c>
      <c r="AU1969">
        <v>54.2</v>
      </c>
      <c r="AW1969">
        <v>77</v>
      </c>
      <c r="AX1969" t="s">
        <v>356</v>
      </c>
      <c r="BO1969" t="s">
        <v>261</v>
      </c>
      <c r="BQ1969">
        <v>64.599999999999994</v>
      </c>
      <c r="BS1969">
        <v>54.2</v>
      </c>
      <c r="BU1969">
        <v>77</v>
      </c>
      <c r="BV1969" t="s">
        <v>263</v>
      </c>
      <c r="CM1969" t="s">
        <v>264</v>
      </c>
      <c r="CN1969" t="s">
        <v>264</v>
      </c>
      <c r="CP1969" t="s">
        <v>265</v>
      </c>
      <c r="CQ1969" t="s">
        <v>890</v>
      </c>
      <c r="DB1969">
        <v>3</v>
      </c>
      <c r="DG1969" t="s">
        <v>267</v>
      </c>
      <c r="DI1969">
        <v>72</v>
      </c>
      <c r="DN1969" t="s">
        <v>268</v>
      </c>
      <c r="DP1969" t="s">
        <v>3608</v>
      </c>
      <c r="DS1969">
        <v>4771</v>
      </c>
      <c r="DT1969" t="s">
        <v>1235</v>
      </c>
      <c r="EW1969" t="s">
        <v>293</v>
      </c>
      <c r="FA1969" t="s">
        <v>397</v>
      </c>
      <c r="FK1969" t="s">
        <v>3649</v>
      </c>
      <c r="FM1969">
        <v>22</v>
      </c>
      <c r="FR1969" t="s">
        <v>295</v>
      </c>
      <c r="GO1969">
        <v>8</v>
      </c>
      <c r="GU1969">
        <v>35</v>
      </c>
      <c r="GZ1969" t="s">
        <v>362</v>
      </c>
      <c r="HH1969" t="s">
        <v>272</v>
      </c>
      <c r="ID1969" t="s">
        <v>3650</v>
      </c>
      <c r="IE1969" t="s">
        <v>1238</v>
      </c>
      <c r="IF1969">
        <v>97270</v>
      </c>
      <c r="IG1969" t="s">
        <v>1239</v>
      </c>
      <c r="IH1969" t="s">
        <v>1240</v>
      </c>
      <c r="II1969">
        <v>2006</v>
      </c>
      <c r="IJ1969" t="s">
        <v>1241</v>
      </c>
    </row>
    <row r="1970" spans="1:244" x14ac:dyDescent="0.45">
      <c r="A1970">
        <v>1111530</v>
      </c>
      <c r="B1970">
        <v>73187</v>
      </c>
      <c r="C1970">
        <v>10108642</v>
      </c>
      <c r="D1970" t="s">
        <v>3523</v>
      </c>
      <c r="F1970" t="s">
        <v>245</v>
      </c>
      <c r="G1970" t="s">
        <v>246</v>
      </c>
      <c r="N1970" t="s">
        <v>3565</v>
      </c>
      <c r="O1970" t="s">
        <v>1783</v>
      </c>
      <c r="P1970" t="s">
        <v>249</v>
      </c>
      <c r="Q1970" t="s">
        <v>250</v>
      </c>
      <c r="R1970" t="s">
        <v>251</v>
      </c>
      <c r="T1970" t="s">
        <v>252</v>
      </c>
      <c r="U1970" t="s">
        <v>253</v>
      </c>
      <c r="V1970" t="s">
        <v>1735</v>
      </c>
      <c r="W1970" t="s">
        <v>1784</v>
      </c>
      <c r="X1970" t="s">
        <v>1984</v>
      </c>
      <c r="Z1970" t="s">
        <v>315</v>
      </c>
      <c r="AL1970" t="s">
        <v>3566</v>
      </c>
      <c r="AM1970" t="s">
        <v>258</v>
      </c>
      <c r="AN1970" t="s">
        <v>259</v>
      </c>
      <c r="AO1970" t="s">
        <v>260</v>
      </c>
      <c r="AQ1970" t="s">
        <v>261</v>
      </c>
      <c r="AS1970">
        <v>6800</v>
      </c>
      <c r="AX1970" t="s">
        <v>262</v>
      </c>
      <c r="BO1970" t="s">
        <v>261</v>
      </c>
      <c r="BQ1970">
        <v>6.8</v>
      </c>
      <c r="BV1970" t="s">
        <v>263</v>
      </c>
      <c r="CM1970" t="s">
        <v>264</v>
      </c>
      <c r="CN1970" t="s">
        <v>264</v>
      </c>
      <c r="CP1970" t="s">
        <v>265</v>
      </c>
      <c r="CQ1970" t="s">
        <v>890</v>
      </c>
      <c r="DB1970">
        <v>4</v>
      </c>
      <c r="DG1970" t="s">
        <v>267</v>
      </c>
      <c r="DI1970">
        <v>96</v>
      </c>
      <c r="DN1970" t="s">
        <v>268</v>
      </c>
      <c r="DP1970" t="s">
        <v>570</v>
      </c>
      <c r="DR1970">
        <v>6772</v>
      </c>
      <c r="DS1970">
        <v>745</v>
      </c>
      <c r="EW1970" t="s">
        <v>271</v>
      </c>
      <c r="FM1970">
        <v>30</v>
      </c>
      <c r="FR1970" t="s">
        <v>295</v>
      </c>
      <c r="GU1970">
        <v>10</v>
      </c>
      <c r="GZ1970" t="s">
        <v>296</v>
      </c>
      <c r="HH1970" t="s">
        <v>272</v>
      </c>
      <c r="IE1970" t="s">
        <v>3567</v>
      </c>
      <c r="IF1970">
        <v>8412</v>
      </c>
      <c r="IG1970" t="s">
        <v>3568</v>
      </c>
      <c r="IH1970" t="s">
        <v>3569</v>
      </c>
      <c r="II1970">
        <v>1973</v>
      </c>
      <c r="IJ1970" t="s">
        <v>3570</v>
      </c>
    </row>
    <row r="1971" spans="1:244" x14ac:dyDescent="0.45">
      <c r="A1971">
        <v>1059684</v>
      </c>
      <c r="B1971">
        <v>13971</v>
      </c>
      <c r="C1971">
        <v>10108642</v>
      </c>
      <c r="D1971" t="s">
        <v>3523</v>
      </c>
      <c r="E1971" t="s">
        <v>622</v>
      </c>
      <c r="F1971" t="s">
        <v>245</v>
      </c>
      <c r="G1971" t="s">
        <v>246</v>
      </c>
      <c r="N1971" t="s">
        <v>1426</v>
      </c>
      <c r="O1971" t="s">
        <v>370</v>
      </c>
      <c r="P1971" t="s">
        <v>249</v>
      </c>
      <c r="Q1971" t="s">
        <v>250</v>
      </c>
      <c r="R1971" t="s">
        <v>251</v>
      </c>
      <c r="T1971" t="s">
        <v>252</v>
      </c>
      <c r="U1971" t="s">
        <v>371</v>
      </c>
      <c r="V1971" t="s">
        <v>372</v>
      </c>
      <c r="W1971" t="s">
        <v>1427</v>
      </c>
      <c r="X1971" t="s">
        <v>1428</v>
      </c>
      <c r="Z1971" t="s">
        <v>315</v>
      </c>
      <c r="AM1971" t="s">
        <v>258</v>
      </c>
      <c r="AN1971" t="s">
        <v>259</v>
      </c>
      <c r="AO1971" t="s">
        <v>260</v>
      </c>
      <c r="AQ1971" t="s">
        <v>261</v>
      </c>
      <c r="AS1971">
        <v>2.4300000000000002</v>
      </c>
      <c r="AU1971">
        <v>0.88</v>
      </c>
      <c r="AW1971">
        <v>6.73</v>
      </c>
      <c r="AX1971" t="s">
        <v>262</v>
      </c>
      <c r="BO1971" t="s">
        <v>261</v>
      </c>
      <c r="BQ1971">
        <v>2.4299999999999999E-3</v>
      </c>
      <c r="BS1971">
        <v>8.8000000000000003E-4</v>
      </c>
      <c r="BU1971">
        <v>6.7299999999999999E-3</v>
      </c>
      <c r="BV1971" t="s">
        <v>263</v>
      </c>
      <c r="CM1971" t="s">
        <v>264</v>
      </c>
      <c r="CN1971" t="s">
        <v>264</v>
      </c>
      <c r="CO1971" t="s">
        <v>3673</v>
      </c>
      <c r="CP1971" t="s">
        <v>265</v>
      </c>
      <c r="CQ1971" t="s">
        <v>890</v>
      </c>
      <c r="DB1971">
        <v>4</v>
      </c>
      <c r="DG1971" t="s">
        <v>267</v>
      </c>
      <c r="DI1971">
        <v>96</v>
      </c>
      <c r="DN1971" t="s">
        <v>268</v>
      </c>
      <c r="DR1971">
        <v>223650</v>
      </c>
      <c r="DS1971">
        <v>1577</v>
      </c>
      <c r="DT1971" t="s">
        <v>3674</v>
      </c>
      <c r="EW1971" t="s">
        <v>271</v>
      </c>
      <c r="FM1971">
        <v>25</v>
      </c>
      <c r="FR1971" t="s">
        <v>295</v>
      </c>
      <c r="GU1971">
        <v>20</v>
      </c>
      <c r="GZ1971" t="s">
        <v>296</v>
      </c>
      <c r="HH1971" t="s">
        <v>272</v>
      </c>
      <c r="IE1971" t="s">
        <v>3675</v>
      </c>
      <c r="IF1971">
        <v>4439</v>
      </c>
      <c r="IG1971" t="s">
        <v>3676</v>
      </c>
      <c r="IH1971" t="s">
        <v>3677</v>
      </c>
      <c r="II1971">
        <v>1994</v>
      </c>
      <c r="IJ1971" t="s">
        <v>3678</v>
      </c>
    </row>
    <row r="1972" spans="1:244" x14ac:dyDescent="0.45">
      <c r="A1972">
        <v>1142669</v>
      </c>
      <c r="B1972">
        <v>160854</v>
      </c>
      <c r="C1972">
        <v>10108642</v>
      </c>
      <c r="D1972" t="s">
        <v>3523</v>
      </c>
      <c r="F1972" t="s">
        <v>245</v>
      </c>
      <c r="G1972" t="s">
        <v>246</v>
      </c>
      <c r="N1972" t="s">
        <v>1734</v>
      </c>
      <c r="O1972" t="s">
        <v>248</v>
      </c>
      <c r="P1972" t="s">
        <v>249</v>
      </c>
      <c r="Q1972" t="s">
        <v>250</v>
      </c>
      <c r="R1972" t="s">
        <v>251</v>
      </c>
      <c r="T1972" t="s">
        <v>252</v>
      </c>
      <c r="U1972" t="s">
        <v>253</v>
      </c>
      <c r="V1972" t="s">
        <v>1735</v>
      </c>
      <c r="W1972" t="s">
        <v>1736</v>
      </c>
      <c r="X1972" t="s">
        <v>1737</v>
      </c>
      <c r="AL1972" t="s">
        <v>3679</v>
      </c>
      <c r="AM1972" t="s">
        <v>317</v>
      </c>
      <c r="AN1972" t="s">
        <v>259</v>
      </c>
      <c r="AO1972" t="s">
        <v>260</v>
      </c>
      <c r="AQ1972" t="s">
        <v>261</v>
      </c>
      <c r="AS1972">
        <v>22000</v>
      </c>
      <c r="AU1972">
        <v>16920</v>
      </c>
      <c r="AW1972">
        <v>28600</v>
      </c>
      <c r="AX1972" t="s">
        <v>262</v>
      </c>
      <c r="BO1972" t="s">
        <v>261</v>
      </c>
      <c r="BQ1972">
        <v>22</v>
      </c>
      <c r="BS1972">
        <v>16.920000000000002</v>
      </c>
      <c r="BU1972">
        <v>28.6</v>
      </c>
      <c r="BV1972" t="s">
        <v>263</v>
      </c>
      <c r="CM1972" t="s">
        <v>264</v>
      </c>
      <c r="CN1972" t="s">
        <v>264</v>
      </c>
      <c r="CP1972" t="s">
        <v>265</v>
      </c>
      <c r="DB1972">
        <v>4</v>
      </c>
      <c r="DG1972" t="s">
        <v>267</v>
      </c>
      <c r="DI1972">
        <v>96</v>
      </c>
      <c r="DN1972" t="s">
        <v>268</v>
      </c>
      <c r="DP1972" t="s">
        <v>3589</v>
      </c>
      <c r="DR1972">
        <v>345020</v>
      </c>
      <c r="DS1972">
        <v>5935</v>
      </c>
      <c r="EW1972" t="s">
        <v>272</v>
      </c>
      <c r="GH1972">
        <v>4.5</v>
      </c>
      <c r="GM1972" t="s">
        <v>356</v>
      </c>
      <c r="GO1972">
        <v>7.2</v>
      </c>
      <c r="GU1972">
        <v>36</v>
      </c>
      <c r="GZ1972" t="s">
        <v>296</v>
      </c>
      <c r="HH1972" t="s">
        <v>872</v>
      </c>
      <c r="HJ1972">
        <v>2.25</v>
      </c>
      <c r="HO1972" t="s">
        <v>900</v>
      </c>
      <c r="IE1972" t="s">
        <v>3590</v>
      </c>
      <c r="IF1972">
        <v>11937</v>
      </c>
      <c r="IG1972" t="s">
        <v>3591</v>
      </c>
      <c r="IH1972" t="s">
        <v>3592</v>
      </c>
      <c r="II1972">
        <v>1985</v>
      </c>
      <c r="IJ1972" t="s">
        <v>3593</v>
      </c>
    </row>
    <row r="1973" spans="1:244" x14ac:dyDescent="0.45">
      <c r="A1973">
        <v>1036896</v>
      </c>
      <c r="B1973">
        <v>112306</v>
      </c>
      <c r="C1973">
        <v>10108642</v>
      </c>
      <c r="D1973" t="s">
        <v>3523</v>
      </c>
      <c r="F1973" t="s">
        <v>245</v>
      </c>
      <c r="G1973" t="s">
        <v>246</v>
      </c>
      <c r="N1973" t="s">
        <v>1724</v>
      </c>
      <c r="O1973" t="s">
        <v>1725</v>
      </c>
      <c r="P1973" t="s">
        <v>249</v>
      </c>
      <c r="Q1973" t="s">
        <v>250</v>
      </c>
      <c r="R1973" t="s">
        <v>251</v>
      </c>
      <c r="T1973" t="s">
        <v>252</v>
      </c>
      <c r="U1973" t="s">
        <v>253</v>
      </c>
      <c r="V1973" t="s">
        <v>1726</v>
      </c>
      <c r="W1973" t="s">
        <v>1727</v>
      </c>
      <c r="X1973" t="s">
        <v>1728</v>
      </c>
      <c r="Z1973" t="s">
        <v>315</v>
      </c>
      <c r="AM1973" t="s">
        <v>317</v>
      </c>
      <c r="AN1973" t="s">
        <v>259</v>
      </c>
      <c r="AO1973" t="s">
        <v>260</v>
      </c>
      <c r="AQ1973" t="s">
        <v>261</v>
      </c>
      <c r="AS1973">
        <v>15000</v>
      </c>
      <c r="AX1973" t="s">
        <v>262</v>
      </c>
      <c r="BO1973" t="s">
        <v>261</v>
      </c>
      <c r="BQ1973">
        <v>15</v>
      </c>
      <c r="BV1973" t="s">
        <v>263</v>
      </c>
      <c r="CM1973" t="s">
        <v>264</v>
      </c>
      <c r="CN1973" t="s">
        <v>264</v>
      </c>
      <c r="CP1973" t="s">
        <v>265</v>
      </c>
      <c r="CQ1973" t="s">
        <v>890</v>
      </c>
      <c r="DB1973">
        <v>1</v>
      </c>
      <c r="DG1973" t="s">
        <v>267</v>
      </c>
      <c r="DI1973">
        <v>24</v>
      </c>
      <c r="DN1973" t="s">
        <v>268</v>
      </c>
      <c r="DP1973" t="s">
        <v>570</v>
      </c>
      <c r="DR1973">
        <v>111067</v>
      </c>
      <c r="DS1973">
        <v>490</v>
      </c>
      <c r="DT1973" t="s">
        <v>1729</v>
      </c>
      <c r="EW1973" t="s">
        <v>333</v>
      </c>
      <c r="FM1973">
        <v>20</v>
      </c>
      <c r="FR1973" t="s">
        <v>295</v>
      </c>
      <c r="GG1973" t="s">
        <v>288</v>
      </c>
      <c r="GH1973">
        <v>4</v>
      </c>
      <c r="GM1973" t="s">
        <v>356</v>
      </c>
      <c r="GU1973">
        <v>20</v>
      </c>
      <c r="GZ1973" t="s">
        <v>296</v>
      </c>
      <c r="HH1973" t="s">
        <v>272</v>
      </c>
      <c r="IE1973" t="s">
        <v>1730</v>
      </c>
      <c r="IF1973">
        <v>2253</v>
      </c>
      <c r="IG1973" t="s">
        <v>1731</v>
      </c>
      <c r="IH1973" t="s">
        <v>1732</v>
      </c>
      <c r="II1973">
        <v>1977</v>
      </c>
      <c r="IJ1973" t="s">
        <v>1733</v>
      </c>
    </row>
    <row r="1974" spans="1:244" x14ac:dyDescent="0.45">
      <c r="A1974">
        <v>1142670</v>
      </c>
      <c r="B1974">
        <v>160855</v>
      </c>
      <c r="C1974">
        <v>10108642</v>
      </c>
      <c r="D1974" t="s">
        <v>3523</v>
      </c>
      <c r="F1974" t="s">
        <v>245</v>
      </c>
      <c r="G1974" t="s">
        <v>246</v>
      </c>
      <c r="N1974" t="s">
        <v>1734</v>
      </c>
      <c r="O1974" t="s">
        <v>248</v>
      </c>
      <c r="P1974" t="s">
        <v>249</v>
      </c>
      <c r="Q1974" t="s">
        <v>250</v>
      </c>
      <c r="R1974" t="s">
        <v>251</v>
      </c>
      <c r="T1974" t="s">
        <v>252</v>
      </c>
      <c r="U1974" t="s">
        <v>253</v>
      </c>
      <c r="V1974" t="s">
        <v>1735</v>
      </c>
      <c r="W1974" t="s">
        <v>1736</v>
      </c>
      <c r="X1974" t="s">
        <v>1737</v>
      </c>
      <c r="AL1974" t="s">
        <v>3680</v>
      </c>
      <c r="AM1974" t="s">
        <v>317</v>
      </c>
      <c r="AN1974" t="s">
        <v>259</v>
      </c>
      <c r="AO1974" t="s">
        <v>260</v>
      </c>
      <c r="AQ1974" t="s">
        <v>261</v>
      </c>
      <c r="AS1974">
        <v>27500</v>
      </c>
      <c r="AU1974">
        <v>22000</v>
      </c>
      <c r="AW1974">
        <v>34340</v>
      </c>
      <c r="AX1974" t="s">
        <v>262</v>
      </c>
      <c r="BO1974" t="s">
        <v>261</v>
      </c>
      <c r="BQ1974">
        <v>27.5</v>
      </c>
      <c r="BS1974">
        <v>22</v>
      </c>
      <c r="BU1974">
        <v>34.340000000000003</v>
      </c>
      <c r="BV1974" t="s">
        <v>263</v>
      </c>
      <c r="CM1974" t="s">
        <v>264</v>
      </c>
      <c r="CN1974" t="s">
        <v>264</v>
      </c>
      <c r="CP1974" t="s">
        <v>265</v>
      </c>
      <c r="DB1974">
        <v>4</v>
      </c>
      <c r="DG1974" t="s">
        <v>267</v>
      </c>
      <c r="DI1974">
        <v>96</v>
      </c>
      <c r="DN1974" t="s">
        <v>268</v>
      </c>
      <c r="DP1974" t="s">
        <v>3589</v>
      </c>
      <c r="DR1974">
        <v>345020</v>
      </c>
      <c r="DS1974">
        <v>5935</v>
      </c>
      <c r="EW1974" t="s">
        <v>272</v>
      </c>
      <c r="GH1974">
        <v>4.5</v>
      </c>
      <c r="GM1974" t="s">
        <v>356</v>
      </c>
      <c r="GO1974">
        <v>7.2</v>
      </c>
      <c r="GU1974">
        <v>36</v>
      </c>
      <c r="GZ1974" t="s">
        <v>296</v>
      </c>
      <c r="HH1974" t="s">
        <v>872</v>
      </c>
      <c r="HJ1974">
        <v>2.25</v>
      </c>
      <c r="HO1974" t="s">
        <v>900</v>
      </c>
      <c r="IE1974" t="s">
        <v>3590</v>
      </c>
      <c r="IF1974">
        <v>11937</v>
      </c>
      <c r="IG1974" t="s">
        <v>3591</v>
      </c>
      <c r="IH1974" t="s">
        <v>3592</v>
      </c>
      <c r="II1974">
        <v>1985</v>
      </c>
      <c r="IJ1974" t="s">
        <v>3593</v>
      </c>
    </row>
    <row r="1975" spans="1:244" x14ac:dyDescent="0.45">
      <c r="A1975">
        <v>1176465</v>
      </c>
      <c r="B1975">
        <v>131566</v>
      </c>
      <c r="C1975">
        <v>10108642</v>
      </c>
      <c r="D1975" t="s">
        <v>3523</v>
      </c>
      <c r="F1975" t="s">
        <v>245</v>
      </c>
      <c r="G1975" t="s">
        <v>246</v>
      </c>
      <c r="N1975" t="s">
        <v>3524</v>
      </c>
      <c r="O1975" t="s">
        <v>498</v>
      </c>
      <c r="P1975" t="s">
        <v>249</v>
      </c>
      <c r="Q1975" t="s">
        <v>250</v>
      </c>
      <c r="R1975" t="s">
        <v>251</v>
      </c>
      <c r="T1975" t="s">
        <v>252</v>
      </c>
      <c r="U1975" t="s">
        <v>1244</v>
      </c>
      <c r="V1975" t="s">
        <v>1314</v>
      </c>
      <c r="W1975" t="s">
        <v>3525</v>
      </c>
      <c r="X1975" t="s">
        <v>3526</v>
      </c>
      <c r="AL1975" t="s">
        <v>2223</v>
      </c>
      <c r="AM1975" t="s">
        <v>317</v>
      </c>
      <c r="AN1975" t="s">
        <v>259</v>
      </c>
      <c r="AO1975" t="s">
        <v>260</v>
      </c>
      <c r="AQ1975" t="s">
        <v>261</v>
      </c>
      <c r="AS1975">
        <v>1370</v>
      </c>
      <c r="AX1975" t="s">
        <v>262</v>
      </c>
      <c r="BO1975" t="s">
        <v>261</v>
      </c>
      <c r="BQ1975">
        <v>1.37</v>
      </c>
      <c r="BV1975" t="s">
        <v>263</v>
      </c>
      <c r="CM1975" t="s">
        <v>264</v>
      </c>
      <c r="CN1975" t="s">
        <v>264</v>
      </c>
      <c r="CP1975" t="s">
        <v>265</v>
      </c>
      <c r="CQ1975" t="s">
        <v>890</v>
      </c>
      <c r="DB1975">
        <v>4</v>
      </c>
      <c r="DG1975" t="s">
        <v>267</v>
      </c>
      <c r="DI1975">
        <v>96</v>
      </c>
      <c r="DN1975" t="s">
        <v>268</v>
      </c>
      <c r="DR1975">
        <v>1131516</v>
      </c>
      <c r="DS1975">
        <v>4704</v>
      </c>
      <c r="EW1975" t="s">
        <v>271</v>
      </c>
      <c r="HH1975" t="s">
        <v>272</v>
      </c>
      <c r="IE1975" t="s">
        <v>3527</v>
      </c>
      <c r="IF1975">
        <v>15300</v>
      </c>
      <c r="IG1975" t="s">
        <v>3528</v>
      </c>
      <c r="IH1975" t="s">
        <v>3529</v>
      </c>
      <c r="II1975">
        <v>1979</v>
      </c>
      <c r="IJ1975" t="s">
        <v>3530</v>
      </c>
    </row>
    <row r="1976" spans="1:244" x14ac:dyDescent="0.45">
      <c r="A1976">
        <v>1041012</v>
      </c>
      <c r="B1976">
        <v>25245</v>
      </c>
      <c r="C1976">
        <v>10108642</v>
      </c>
      <c r="D1976" t="s">
        <v>3523</v>
      </c>
      <c r="F1976" t="s">
        <v>245</v>
      </c>
      <c r="G1976" t="s">
        <v>246</v>
      </c>
      <c r="N1976" t="s">
        <v>1837</v>
      </c>
      <c r="O1976" t="s">
        <v>1783</v>
      </c>
      <c r="P1976" t="s">
        <v>249</v>
      </c>
      <c r="Q1976" t="s">
        <v>250</v>
      </c>
      <c r="R1976" t="s">
        <v>251</v>
      </c>
      <c r="T1976" t="s">
        <v>252</v>
      </c>
      <c r="U1976" t="s">
        <v>253</v>
      </c>
      <c r="V1976" t="s">
        <v>1735</v>
      </c>
      <c r="W1976" t="s">
        <v>1784</v>
      </c>
      <c r="X1976" t="s">
        <v>1838</v>
      </c>
      <c r="Z1976" t="s">
        <v>1677</v>
      </c>
      <c r="AL1976" t="s">
        <v>1786</v>
      </c>
      <c r="AM1976" t="s">
        <v>258</v>
      </c>
      <c r="AN1976" t="s">
        <v>259</v>
      </c>
      <c r="AO1976" t="s">
        <v>260</v>
      </c>
      <c r="AQ1976" t="s">
        <v>261</v>
      </c>
      <c r="AS1976">
        <v>15910</v>
      </c>
      <c r="AU1976">
        <v>10860</v>
      </c>
      <c r="AW1976">
        <v>20960</v>
      </c>
      <c r="AX1976" t="s">
        <v>262</v>
      </c>
      <c r="BO1976" t="s">
        <v>261</v>
      </c>
      <c r="BQ1976">
        <v>15.91</v>
      </c>
      <c r="BS1976">
        <v>10.86</v>
      </c>
      <c r="BU1976">
        <v>20.96</v>
      </c>
      <c r="BV1976" t="s">
        <v>263</v>
      </c>
      <c r="CM1976" t="s">
        <v>264</v>
      </c>
      <c r="CN1976" t="s">
        <v>264</v>
      </c>
      <c r="CP1976" t="s">
        <v>265</v>
      </c>
      <c r="CQ1976" t="s">
        <v>890</v>
      </c>
      <c r="DB1976">
        <v>2</v>
      </c>
      <c r="DG1976" t="s">
        <v>267</v>
      </c>
      <c r="DI1976">
        <v>48</v>
      </c>
      <c r="DN1976" t="s">
        <v>268</v>
      </c>
      <c r="DP1976" t="s">
        <v>977</v>
      </c>
      <c r="DS1976">
        <v>2899</v>
      </c>
      <c r="DT1976" t="s">
        <v>1787</v>
      </c>
      <c r="EW1976" t="s">
        <v>333</v>
      </c>
      <c r="FM1976">
        <v>29</v>
      </c>
      <c r="FR1976" t="s">
        <v>295</v>
      </c>
      <c r="GU1976">
        <v>25</v>
      </c>
      <c r="GZ1976" t="s">
        <v>296</v>
      </c>
      <c r="HH1976" t="s">
        <v>272</v>
      </c>
      <c r="IE1976" t="s">
        <v>1788</v>
      </c>
      <c r="IF1976">
        <v>2602</v>
      </c>
      <c r="IG1976" t="s">
        <v>1789</v>
      </c>
      <c r="IH1976" t="s">
        <v>1790</v>
      </c>
      <c r="II1976">
        <v>1987</v>
      </c>
      <c r="IJ1976" t="s">
        <v>1791</v>
      </c>
    </row>
    <row r="1977" spans="1:244" x14ac:dyDescent="0.45">
      <c r="A1977">
        <v>1188890</v>
      </c>
      <c r="B1977">
        <v>161829</v>
      </c>
      <c r="C1977">
        <v>10108642</v>
      </c>
      <c r="D1977" t="s">
        <v>3523</v>
      </c>
      <c r="F1977" t="s">
        <v>245</v>
      </c>
      <c r="G1977" t="s">
        <v>246</v>
      </c>
      <c r="N1977" t="s">
        <v>3681</v>
      </c>
      <c r="O1977" t="s">
        <v>1299</v>
      </c>
      <c r="P1977" t="s">
        <v>249</v>
      </c>
      <c r="Q1977" t="s">
        <v>250</v>
      </c>
      <c r="R1977" t="s">
        <v>251</v>
      </c>
      <c r="T1977" t="s">
        <v>252</v>
      </c>
      <c r="U1977" t="s">
        <v>371</v>
      </c>
      <c r="V1977" t="s">
        <v>372</v>
      </c>
      <c r="W1977" t="s">
        <v>3682</v>
      </c>
      <c r="X1977" t="s">
        <v>3683</v>
      </c>
      <c r="Z1977" t="s">
        <v>649</v>
      </c>
      <c r="AB1977">
        <v>1</v>
      </c>
      <c r="AG1977" t="s">
        <v>598</v>
      </c>
      <c r="AM1977" t="s">
        <v>258</v>
      </c>
      <c r="AN1977" t="s">
        <v>259</v>
      </c>
      <c r="AO1977" t="s">
        <v>260</v>
      </c>
      <c r="AQ1977" t="s">
        <v>2247</v>
      </c>
      <c r="AS1977">
        <v>39.5</v>
      </c>
      <c r="AU1977">
        <v>21.5</v>
      </c>
      <c r="AW1977">
        <v>72</v>
      </c>
      <c r="AX1977" t="s">
        <v>262</v>
      </c>
      <c r="BO1977" t="s">
        <v>2247</v>
      </c>
      <c r="BQ1977">
        <v>3.95E-2</v>
      </c>
      <c r="BS1977">
        <v>2.1499999999999998E-2</v>
      </c>
      <c r="BU1977">
        <v>7.1999999999999995E-2</v>
      </c>
      <c r="BV1977" t="s">
        <v>263</v>
      </c>
      <c r="CM1977" t="s">
        <v>264</v>
      </c>
      <c r="CN1977" t="s">
        <v>264</v>
      </c>
      <c r="CP1977" t="s">
        <v>265</v>
      </c>
      <c r="CQ1977" t="s">
        <v>890</v>
      </c>
      <c r="DB1977">
        <v>4</v>
      </c>
      <c r="DG1977" t="s">
        <v>267</v>
      </c>
      <c r="DI1977">
        <v>96</v>
      </c>
      <c r="DN1977" t="s">
        <v>268</v>
      </c>
      <c r="DR1977">
        <v>236578</v>
      </c>
      <c r="DS1977">
        <v>5984</v>
      </c>
      <c r="DT1977" t="s">
        <v>3684</v>
      </c>
      <c r="EW1977" t="s">
        <v>293</v>
      </c>
      <c r="FM1977">
        <v>18</v>
      </c>
      <c r="FR1977" t="s">
        <v>295</v>
      </c>
      <c r="GU1977">
        <v>38</v>
      </c>
      <c r="GZ1977" t="s">
        <v>296</v>
      </c>
      <c r="HH1977" t="s">
        <v>272</v>
      </c>
      <c r="IE1977" t="s">
        <v>3685</v>
      </c>
      <c r="IF1977">
        <v>16897</v>
      </c>
      <c r="IG1977" t="s">
        <v>3686</v>
      </c>
      <c r="IH1977" t="s">
        <v>3687</v>
      </c>
      <c r="II1977">
        <v>1995</v>
      </c>
      <c r="IJ1977" t="s">
        <v>3688</v>
      </c>
    </row>
    <row r="1978" spans="1:244" x14ac:dyDescent="0.45">
      <c r="A1978">
        <v>1204319</v>
      </c>
      <c r="B1978">
        <v>209170</v>
      </c>
      <c r="C1978">
        <v>10108642</v>
      </c>
      <c r="D1978" t="s">
        <v>3523</v>
      </c>
      <c r="E1978" t="s">
        <v>622</v>
      </c>
      <c r="F1978" t="s">
        <v>245</v>
      </c>
      <c r="G1978" t="s">
        <v>246</v>
      </c>
      <c r="N1978" t="s">
        <v>1817</v>
      </c>
      <c r="O1978" t="s">
        <v>248</v>
      </c>
      <c r="P1978" t="s">
        <v>249</v>
      </c>
      <c r="Q1978" t="s">
        <v>250</v>
      </c>
      <c r="R1978" t="s">
        <v>251</v>
      </c>
      <c r="T1978" t="s">
        <v>252</v>
      </c>
      <c r="U1978" t="s">
        <v>253</v>
      </c>
      <c r="V1978" t="s">
        <v>1231</v>
      </c>
      <c r="W1978" t="s">
        <v>1818</v>
      </c>
      <c r="X1978" t="s">
        <v>351</v>
      </c>
      <c r="Z1978" t="s">
        <v>284</v>
      </c>
      <c r="AA1978" t="s">
        <v>289</v>
      </c>
      <c r="AB1978">
        <v>8</v>
      </c>
      <c r="AG1978" t="s">
        <v>268</v>
      </c>
      <c r="AL1978" t="s">
        <v>1819</v>
      </c>
      <c r="AM1978" t="s">
        <v>258</v>
      </c>
      <c r="AN1978" t="s">
        <v>259</v>
      </c>
      <c r="AO1978" t="s">
        <v>260</v>
      </c>
      <c r="AQ1978" t="s">
        <v>261</v>
      </c>
      <c r="AS1978">
        <v>100</v>
      </c>
      <c r="AU1978">
        <v>54.05</v>
      </c>
      <c r="AW1978">
        <v>185</v>
      </c>
      <c r="AX1978" t="s">
        <v>262</v>
      </c>
      <c r="BO1978" t="s">
        <v>261</v>
      </c>
      <c r="BQ1978">
        <v>0.1</v>
      </c>
      <c r="BS1978">
        <v>5.4050000000000001E-2</v>
      </c>
      <c r="BU1978">
        <v>0.185</v>
      </c>
      <c r="BV1978" t="s">
        <v>263</v>
      </c>
      <c r="CM1978" t="s">
        <v>264</v>
      </c>
      <c r="CN1978" t="s">
        <v>264</v>
      </c>
      <c r="CP1978" t="s">
        <v>265</v>
      </c>
      <c r="DB1978">
        <v>4</v>
      </c>
      <c r="DG1978" t="s">
        <v>267</v>
      </c>
      <c r="DI1978">
        <v>96</v>
      </c>
      <c r="DN1978" t="s">
        <v>268</v>
      </c>
      <c r="DR1978">
        <v>1041454</v>
      </c>
      <c r="DS1978">
        <v>10965</v>
      </c>
      <c r="EW1978" t="s">
        <v>293</v>
      </c>
      <c r="GU1978">
        <v>25</v>
      </c>
      <c r="GZ1978" t="s">
        <v>296</v>
      </c>
      <c r="HH1978" t="s">
        <v>272</v>
      </c>
      <c r="IE1978" t="s">
        <v>1820</v>
      </c>
      <c r="IF1978">
        <v>18580</v>
      </c>
      <c r="IG1978" t="s">
        <v>1821</v>
      </c>
      <c r="IH1978" t="s">
        <v>1822</v>
      </c>
      <c r="II1978">
        <v>1996</v>
      </c>
      <c r="IJ1978" t="s">
        <v>1823</v>
      </c>
    </row>
    <row r="1979" spans="1:244" x14ac:dyDescent="0.45">
      <c r="A1979">
        <v>2307803</v>
      </c>
      <c r="B1979">
        <v>2748554</v>
      </c>
      <c r="C1979">
        <v>10108642</v>
      </c>
      <c r="D1979" t="s">
        <v>3523</v>
      </c>
      <c r="F1979" t="s">
        <v>327</v>
      </c>
      <c r="G1979" t="s">
        <v>2303</v>
      </c>
      <c r="N1979" t="s">
        <v>958</v>
      </c>
      <c r="O1979" t="s">
        <v>959</v>
      </c>
      <c r="P1979" t="s">
        <v>249</v>
      </c>
      <c r="Q1979" t="s">
        <v>250</v>
      </c>
      <c r="R1979" t="s">
        <v>251</v>
      </c>
      <c r="T1979" t="s">
        <v>252</v>
      </c>
      <c r="U1979" t="s">
        <v>253</v>
      </c>
      <c r="V1979" t="s">
        <v>418</v>
      </c>
      <c r="W1979" t="s">
        <v>419</v>
      </c>
      <c r="X1979" t="s">
        <v>960</v>
      </c>
      <c r="Z1979" t="s">
        <v>421</v>
      </c>
      <c r="AB1979">
        <v>14</v>
      </c>
      <c r="AG1979" t="s">
        <v>267</v>
      </c>
      <c r="AI1979">
        <v>2</v>
      </c>
      <c r="AJ1979" t="s">
        <v>354</v>
      </c>
      <c r="AM1979" t="s">
        <v>307</v>
      </c>
      <c r="AN1979" t="s">
        <v>259</v>
      </c>
      <c r="AO1979" t="s">
        <v>260</v>
      </c>
      <c r="AQ1979" t="s">
        <v>504</v>
      </c>
      <c r="AS1979">
        <v>2.57</v>
      </c>
      <c r="AX1979" t="s">
        <v>356</v>
      </c>
      <c r="BO1979" t="s">
        <v>504</v>
      </c>
      <c r="BQ1979">
        <v>2.57</v>
      </c>
      <c r="BV1979" t="s">
        <v>263</v>
      </c>
      <c r="CM1979" t="s">
        <v>264</v>
      </c>
      <c r="CN1979" t="s">
        <v>264</v>
      </c>
      <c r="CP1979" t="s">
        <v>265</v>
      </c>
      <c r="CQ1979" t="s">
        <v>890</v>
      </c>
      <c r="DB1979">
        <v>4</v>
      </c>
      <c r="DG1979" t="s">
        <v>267</v>
      </c>
      <c r="DI1979">
        <v>96</v>
      </c>
      <c r="DN1979" t="s">
        <v>268</v>
      </c>
      <c r="DR1979">
        <v>6687</v>
      </c>
      <c r="DS1979">
        <v>252</v>
      </c>
      <c r="DT1979" t="s">
        <v>2525</v>
      </c>
      <c r="DV1979">
        <v>96</v>
      </c>
      <c r="EA1979" t="s">
        <v>268</v>
      </c>
      <c r="EC1979">
        <v>4</v>
      </c>
      <c r="EH1979" t="s">
        <v>267</v>
      </c>
      <c r="EJ1979">
        <v>96</v>
      </c>
      <c r="EO1979" t="s">
        <v>268</v>
      </c>
      <c r="EQ1979">
        <v>4</v>
      </c>
      <c r="EV1979" t="s">
        <v>267</v>
      </c>
      <c r="EW1979" t="s">
        <v>293</v>
      </c>
      <c r="EY1979" t="s">
        <v>377</v>
      </c>
      <c r="EZ1979">
        <v>10</v>
      </c>
      <c r="FM1979">
        <v>26</v>
      </c>
      <c r="FR1979" t="s">
        <v>295</v>
      </c>
      <c r="GH1979">
        <v>4.8</v>
      </c>
      <c r="GM1979" t="s">
        <v>356</v>
      </c>
      <c r="GO1979">
        <v>7.8</v>
      </c>
      <c r="GU1979">
        <v>29.5</v>
      </c>
      <c r="GZ1979" t="s">
        <v>362</v>
      </c>
      <c r="HH1979" t="s">
        <v>272</v>
      </c>
      <c r="ID1979" t="s">
        <v>2544</v>
      </c>
      <c r="IE1979" t="s">
        <v>2528</v>
      </c>
      <c r="IF1979">
        <v>192310</v>
      </c>
      <c r="IG1979" t="s">
        <v>2529</v>
      </c>
      <c r="IH1979" t="s">
        <v>2530</v>
      </c>
      <c r="II1979">
        <v>2021</v>
      </c>
      <c r="IJ1979" t="s">
        <v>2531</v>
      </c>
    </row>
    <row r="1980" spans="1:244" x14ac:dyDescent="0.45">
      <c r="A1980">
        <v>1059683</v>
      </c>
      <c r="B1980">
        <v>13970</v>
      </c>
      <c r="C1980">
        <v>10108642</v>
      </c>
      <c r="D1980" t="s">
        <v>3523</v>
      </c>
      <c r="E1980" t="s">
        <v>622</v>
      </c>
      <c r="F1980" t="s">
        <v>245</v>
      </c>
      <c r="G1980" t="s">
        <v>246</v>
      </c>
      <c r="N1980" t="s">
        <v>1426</v>
      </c>
      <c r="O1980" t="s">
        <v>370</v>
      </c>
      <c r="P1980" t="s">
        <v>249</v>
      </c>
      <c r="Q1980" t="s">
        <v>250</v>
      </c>
      <c r="R1980" t="s">
        <v>251</v>
      </c>
      <c r="T1980" t="s">
        <v>252</v>
      </c>
      <c r="U1980" t="s">
        <v>371</v>
      </c>
      <c r="V1980" t="s">
        <v>372</v>
      </c>
      <c r="W1980" t="s">
        <v>1427</v>
      </c>
      <c r="X1980" t="s">
        <v>1428</v>
      </c>
      <c r="Z1980" t="s">
        <v>315</v>
      </c>
      <c r="AM1980" t="s">
        <v>258</v>
      </c>
      <c r="AN1980" t="s">
        <v>259</v>
      </c>
      <c r="AO1980" t="s">
        <v>260</v>
      </c>
      <c r="AQ1980" t="s">
        <v>261</v>
      </c>
      <c r="AS1980">
        <v>1.38</v>
      </c>
      <c r="AU1980">
        <v>0.47</v>
      </c>
      <c r="AW1980">
        <v>4.12</v>
      </c>
      <c r="AX1980" t="s">
        <v>262</v>
      </c>
      <c r="BO1980" t="s">
        <v>261</v>
      </c>
      <c r="BQ1980">
        <v>1.3799999999999999E-3</v>
      </c>
      <c r="BS1980">
        <v>4.6999999999999999E-4</v>
      </c>
      <c r="BU1980">
        <v>4.1200000000000004E-3</v>
      </c>
      <c r="BV1980" t="s">
        <v>263</v>
      </c>
      <c r="CM1980" t="s">
        <v>264</v>
      </c>
      <c r="CN1980" t="s">
        <v>264</v>
      </c>
      <c r="CO1980" t="s">
        <v>3673</v>
      </c>
      <c r="CP1980" t="s">
        <v>265</v>
      </c>
      <c r="CQ1980" t="s">
        <v>890</v>
      </c>
      <c r="DB1980">
        <v>4</v>
      </c>
      <c r="DG1980" t="s">
        <v>267</v>
      </c>
      <c r="DI1980">
        <v>96</v>
      </c>
      <c r="DN1980" t="s">
        <v>268</v>
      </c>
      <c r="DR1980">
        <v>223650</v>
      </c>
      <c r="DS1980">
        <v>1577</v>
      </c>
      <c r="DT1980" t="s">
        <v>3674</v>
      </c>
      <c r="EW1980" t="s">
        <v>271</v>
      </c>
      <c r="FM1980">
        <v>20</v>
      </c>
      <c r="FR1980" t="s">
        <v>295</v>
      </c>
      <c r="GU1980">
        <v>20</v>
      </c>
      <c r="GZ1980" t="s">
        <v>296</v>
      </c>
      <c r="HH1980" t="s">
        <v>272</v>
      </c>
      <c r="IE1980" t="s">
        <v>3675</v>
      </c>
      <c r="IF1980">
        <v>4439</v>
      </c>
      <c r="IG1980" t="s">
        <v>3676</v>
      </c>
      <c r="IH1980" t="s">
        <v>3677</v>
      </c>
      <c r="II1980">
        <v>1994</v>
      </c>
      <c r="IJ1980" t="s">
        <v>3678</v>
      </c>
    </row>
    <row r="1981" spans="1:244" x14ac:dyDescent="0.45">
      <c r="A1981">
        <v>1070632</v>
      </c>
      <c r="B1981">
        <v>15837</v>
      </c>
      <c r="C1981">
        <v>10108642</v>
      </c>
      <c r="D1981" t="s">
        <v>3523</v>
      </c>
      <c r="F1981" t="s">
        <v>327</v>
      </c>
      <c r="G1981" t="s">
        <v>246</v>
      </c>
      <c r="N1981" t="s">
        <v>2018</v>
      </c>
      <c r="O1981" t="s">
        <v>631</v>
      </c>
      <c r="P1981" t="s">
        <v>249</v>
      </c>
      <c r="Q1981" t="s">
        <v>250</v>
      </c>
      <c r="R1981" t="s">
        <v>251</v>
      </c>
      <c r="T1981" t="s">
        <v>389</v>
      </c>
      <c r="U1981" t="s">
        <v>632</v>
      </c>
      <c r="V1981" t="s">
        <v>633</v>
      </c>
      <c r="W1981" t="s">
        <v>634</v>
      </c>
      <c r="X1981" t="s">
        <v>2019</v>
      </c>
      <c r="Z1981" t="s">
        <v>1034</v>
      </c>
      <c r="AL1981" t="s">
        <v>1943</v>
      </c>
      <c r="AM1981" t="s">
        <v>317</v>
      </c>
      <c r="AN1981" t="s">
        <v>259</v>
      </c>
      <c r="AO1981" t="s">
        <v>260</v>
      </c>
      <c r="AQ1981" t="s">
        <v>261</v>
      </c>
      <c r="AS1981">
        <v>1370</v>
      </c>
      <c r="AU1981">
        <v>1050</v>
      </c>
      <c r="AW1981">
        <v>1760</v>
      </c>
      <c r="AX1981" t="s">
        <v>262</v>
      </c>
      <c r="BO1981" t="s">
        <v>261</v>
      </c>
      <c r="BQ1981">
        <v>1.37</v>
      </c>
      <c r="BS1981">
        <v>1.05</v>
      </c>
      <c r="BU1981">
        <v>1.76</v>
      </c>
      <c r="BV1981" t="s">
        <v>263</v>
      </c>
      <c r="CM1981" t="s">
        <v>264</v>
      </c>
      <c r="CN1981" t="s">
        <v>264</v>
      </c>
      <c r="CP1981" t="s">
        <v>265</v>
      </c>
      <c r="CQ1981" t="s">
        <v>890</v>
      </c>
      <c r="DB1981">
        <v>1</v>
      </c>
      <c r="DG1981" t="s">
        <v>267</v>
      </c>
      <c r="DI1981">
        <v>24</v>
      </c>
      <c r="DN1981" t="s">
        <v>268</v>
      </c>
      <c r="DS1981">
        <v>644</v>
      </c>
      <c r="DT1981" t="s">
        <v>1944</v>
      </c>
      <c r="EW1981" t="s">
        <v>638</v>
      </c>
      <c r="FK1981" t="s">
        <v>3689</v>
      </c>
      <c r="FM1981">
        <v>17</v>
      </c>
      <c r="FR1981" t="s">
        <v>295</v>
      </c>
      <c r="GW1981">
        <v>34.5</v>
      </c>
      <c r="GY1981">
        <v>35.5</v>
      </c>
      <c r="GZ1981" t="s">
        <v>296</v>
      </c>
      <c r="HH1981" t="s">
        <v>272</v>
      </c>
      <c r="ID1981" t="s">
        <v>3690</v>
      </c>
      <c r="IE1981" t="s">
        <v>1947</v>
      </c>
      <c r="IF1981">
        <v>5563</v>
      </c>
      <c r="IG1981" t="s">
        <v>1948</v>
      </c>
      <c r="IH1981" t="s">
        <v>1949</v>
      </c>
      <c r="II1981">
        <v>1979</v>
      </c>
      <c r="IJ1981" t="s">
        <v>1950</v>
      </c>
    </row>
    <row r="1982" spans="1:244" x14ac:dyDescent="0.45">
      <c r="A1982">
        <v>1157679</v>
      </c>
      <c r="B1982">
        <v>68448</v>
      </c>
      <c r="C1982">
        <v>10108642</v>
      </c>
      <c r="D1982" t="s">
        <v>3523</v>
      </c>
      <c r="F1982" t="s">
        <v>245</v>
      </c>
      <c r="G1982" t="s">
        <v>246</v>
      </c>
      <c r="N1982" t="s">
        <v>247</v>
      </c>
      <c r="O1982" t="s">
        <v>248</v>
      </c>
      <c r="P1982" t="s">
        <v>249</v>
      </c>
      <c r="Q1982" t="s">
        <v>250</v>
      </c>
      <c r="R1982" t="s">
        <v>251</v>
      </c>
      <c r="T1982" t="s">
        <v>252</v>
      </c>
      <c r="U1982" t="s">
        <v>253</v>
      </c>
      <c r="V1982" t="s">
        <v>254</v>
      </c>
      <c r="W1982" t="s">
        <v>255</v>
      </c>
      <c r="X1982" t="s">
        <v>256</v>
      </c>
      <c r="AL1982" t="s">
        <v>3691</v>
      </c>
      <c r="AM1982" t="s">
        <v>317</v>
      </c>
      <c r="AN1982" t="s">
        <v>259</v>
      </c>
      <c r="AO1982" t="s">
        <v>260</v>
      </c>
      <c r="AQ1982" t="s">
        <v>261</v>
      </c>
      <c r="AS1982">
        <v>25000</v>
      </c>
      <c r="AX1982" t="s">
        <v>262</v>
      </c>
      <c r="BO1982" t="s">
        <v>261</v>
      </c>
      <c r="BQ1982">
        <v>25</v>
      </c>
      <c r="BV1982" t="s">
        <v>263</v>
      </c>
      <c r="CM1982" t="s">
        <v>264</v>
      </c>
      <c r="CN1982" t="s">
        <v>264</v>
      </c>
      <c r="CP1982" t="s">
        <v>265</v>
      </c>
      <c r="DB1982">
        <v>2</v>
      </c>
      <c r="DG1982" t="s">
        <v>267</v>
      </c>
      <c r="DI1982">
        <v>48</v>
      </c>
      <c r="DN1982" t="s">
        <v>268</v>
      </c>
      <c r="DR1982">
        <v>6761</v>
      </c>
      <c r="DS1982">
        <v>2461</v>
      </c>
      <c r="DT1982" t="s">
        <v>3692</v>
      </c>
      <c r="EW1982" t="s">
        <v>272</v>
      </c>
      <c r="HH1982" t="s">
        <v>272</v>
      </c>
      <c r="IE1982" t="s">
        <v>3693</v>
      </c>
      <c r="IF1982">
        <v>13749</v>
      </c>
      <c r="IG1982" t="s">
        <v>3694</v>
      </c>
      <c r="IH1982" t="s">
        <v>3695</v>
      </c>
      <c r="II1982">
        <v>1994</v>
      </c>
      <c r="IJ1982" t="s">
        <v>3696</v>
      </c>
    </row>
    <row r="1983" spans="1:244" x14ac:dyDescent="0.45">
      <c r="A1983">
        <v>1271709</v>
      </c>
      <c r="B1983">
        <v>723007</v>
      </c>
      <c r="C1983">
        <v>10108642</v>
      </c>
      <c r="D1983" t="s">
        <v>3523</v>
      </c>
      <c r="F1983" t="s">
        <v>245</v>
      </c>
      <c r="G1983" t="s">
        <v>246</v>
      </c>
      <c r="N1983" t="s">
        <v>2315</v>
      </c>
      <c r="O1983" t="s">
        <v>2316</v>
      </c>
      <c r="P1983" t="s">
        <v>249</v>
      </c>
      <c r="Q1983" t="s">
        <v>250</v>
      </c>
      <c r="R1983" t="s">
        <v>251</v>
      </c>
      <c r="T1983" t="s">
        <v>252</v>
      </c>
      <c r="U1983" t="s">
        <v>253</v>
      </c>
      <c r="V1983" t="s">
        <v>418</v>
      </c>
      <c r="W1983" t="s">
        <v>946</v>
      </c>
      <c r="X1983" t="s">
        <v>2317</v>
      </c>
      <c r="Z1983" t="s">
        <v>284</v>
      </c>
      <c r="AL1983" t="s">
        <v>2318</v>
      </c>
      <c r="AM1983" t="s">
        <v>317</v>
      </c>
      <c r="AN1983" t="s">
        <v>259</v>
      </c>
      <c r="AO1983" t="s">
        <v>260</v>
      </c>
      <c r="AP1983">
        <v>8</v>
      </c>
      <c r="AQ1983" t="s">
        <v>261</v>
      </c>
      <c r="AS1983">
        <v>0.32</v>
      </c>
      <c r="AU1983">
        <v>0.16</v>
      </c>
      <c r="AW1983">
        <v>0.69</v>
      </c>
      <c r="AX1983" t="s">
        <v>356</v>
      </c>
      <c r="BO1983" t="s">
        <v>261</v>
      </c>
      <c r="BQ1983">
        <v>0.32</v>
      </c>
      <c r="BS1983">
        <v>0.16</v>
      </c>
      <c r="BU1983">
        <v>0.69</v>
      </c>
      <c r="BV1983" t="s">
        <v>263</v>
      </c>
      <c r="CM1983" t="s">
        <v>264</v>
      </c>
      <c r="CN1983" t="s">
        <v>264</v>
      </c>
      <c r="CP1983" t="s">
        <v>265</v>
      </c>
      <c r="CQ1983" t="s">
        <v>890</v>
      </c>
      <c r="DB1983">
        <v>3</v>
      </c>
      <c r="DG1983" t="s">
        <v>267</v>
      </c>
      <c r="DI1983">
        <v>72</v>
      </c>
      <c r="DN1983" t="s">
        <v>268</v>
      </c>
      <c r="DP1983" t="s">
        <v>3628</v>
      </c>
      <c r="DR1983">
        <v>122378</v>
      </c>
      <c r="DS1983">
        <v>18497</v>
      </c>
      <c r="DT1983" t="s">
        <v>2319</v>
      </c>
      <c r="EW1983" t="s">
        <v>293</v>
      </c>
      <c r="FK1983" t="s">
        <v>3629</v>
      </c>
      <c r="FM1983">
        <v>25</v>
      </c>
      <c r="FR1983" t="s">
        <v>295</v>
      </c>
      <c r="GJ1983">
        <v>6.2</v>
      </c>
      <c r="GL1983">
        <v>6.33</v>
      </c>
      <c r="GM1983" t="s">
        <v>356</v>
      </c>
      <c r="GQ1983">
        <v>8.1999999999999993</v>
      </c>
      <c r="GS1983">
        <v>8.2200000000000006</v>
      </c>
      <c r="GU1983">
        <v>36</v>
      </c>
      <c r="GZ1983" t="s">
        <v>296</v>
      </c>
      <c r="HH1983" t="s">
        <v>272</v>
      </c>
      <c r="ID1983" t="s">
        <v>3630</v>
      </c>
      <c r="IE1983" t="s">
        <v>2322</v>
      </c>
      <c r="IF1983">
        <v>101373</v>
      </c>
      <c r="IG1983" t="s">
        <v>2323</v>
      </c>
      <c r="IH1983" t="s">
        <v>2324</v>
      </c>
      <c r="II1983">
        <v>2007</v>
      </c>
      <c r="IJ1983" t="s">
        <v>2325</v>
      </c>
    </row>
    <row r="1984" spans="1:244" x14ac:dyDescent="0.45">
      <c r="A1984">
        <v>1204035</v>
      </c>
      <c r="B1984">
        <v>183894</v>
      </c>
      <c r="C1984">
        <v>10108642</v>
      </c>
      <c r="D1984" t="s">
        <v>3523</v>
      </c>
      <c r="F1984" t="s">
        <v>245</v>
      </c>
      <c r="G1984" t="s">
        <v>246</v>
      </c>
      <c r="N1984" t="s">
        <v>1183</v>
      </c>
      <c r="O1984" t="s">
        <v>1184</v>
      </c>
      <c r="P1984" t="s">
        <v>249</v>
      </c>
      <c r="Q1984" t="s">
        <v>250</v>
      </c>
      <c r="R1984" t="s">
        <v>251</v>
      </c>
      <c r="T1984" t="s">
        <v>252</v>
      </c>
      <c r="U1984" t="s">
        <v>253</v>
      </c>
      <c r="V1984" t="s">
        <v>418</v>
      </c>
      <c r="W1984" t="s">
        <v>419</v>
      </c>
      <c r="X1984" t="s">
        <v>393</v>
      </c>
      <c r="Z1984" t="s">
        <v>983</v>
      </c>
      <c r="AB1984">
        <v>2</v>
      </c>
      <c r="AG1984" t="s">
        <v>598</v>
      </c>
      <c r="AL1984" t="s">
        <v>3697</v>
      </c>
      <c r="AM1984" t="s">
        <v>258</v>
      </c>
      <c r="AN1984" t="s">
        <v>259</v>
      </c>
      <c r="AO1984" t="s">
        <v>260</v>
      </c>
      <c r="AQ1984" t="s">
        <v>261</v>
      </c>
      <c r="AS1984">
        <v>350</v>
      </c>
      <c r="AX1984" t="s">
        <v>262</v>
      </c>
      <c r="BO1984" t="s">
        <v>261</v>
      </c>
      <c r="BQ1984">
        <v>0.35</v>
      </c>
      <c r="BV1984" t="s">
        <v>263</v>
      </c>
      <c r="CM1984" t="s">
        <v>264</v>
      </c>
      <c r="CN1984" t="s">
        <v>264</v>
      </c>
      <c r="CP1984" t="s">
        <v>265</v>
      </c>
      <c r="CQ1984" t="s">
        <v>890</v>
      </c>
      <c r="DB1984">
        <v>2</v>
      </c>
      <c r="DG1984" t="s">
        <v>267</v>
      </c>
      <c r="DI1984">
        <v>48</v>
      </c>
      <c r="DN1984" t="s">
        <v>268</v>
      </c>
      <c r="DS1984">
        <v>388</v>
      </c>
      <c r="DT1984" t="s">
        <v>3584</v>
      </c>
      <c r="EW1984" t="s">
        <v>293</v>
      </c>
      <c r="FM1984">
        <v>25</v>
      </c>
      <c r="FR1984" t="s">
        <v>295</v>
      </c>
      <c r="GU1984">
        <v>36</v>
      </c>
      <c r="GZ1984" t="s">
        <v>296</v>
      </c>
      <c r="HH1984" t="s">
        <v>272</v>
      </c>
      <c r="IE1984" t="s">
        <v>3585</v>
      </c>
      <c r="IF1984">
        <v>18546</v>
      </c>
      <c r="IG1984" t="s">
        <v>3586</v>
      </c>
      <c r="IH1984" t="s">
        <v>3587</v>
      </c>
      <c r="II1984">
        <v>1995</v>
      </c>
      <c r="IJ1984" t="s">
        <v>3588</v>
      </c>
    </row>
    <row r="1985" spans="1:244" x14ac:dyDescent="0.45">
      <c r="A1985">
        <v>1226439</v>
      </c>
      <c r="B1985">
        <v>219615</v>
      </c>
      <c r="C1985">
        <v>10108642</v>
      </c>
      <c r="D1985" t="s">
        <v>3523</v>
      </c>
      <c r="E1985" t="s">
        <v>386</v>
      </c>
      <c r="F1985" t="s">
        <v>245</v>
      </c>
      <c r="G1985" t="s">
        <v>246</v>
      </c>
      <c r="N1985" t="s">
        <v>302</v>
      </c>
      <c r="O1985" t="s">
        <v>303</v>
      </c>
      <c r="P1985" t="s">
        <v>249</v>
      </c>
      <c r="Q1985" t="s">
        <v>250</v>
      </c>
      <c r="R1985" t="s">
        <v>251</v>
      </c>
      <c r="T1985" t="s">
        <v>252</v>
      </c>
      <c r="U1985" t="s">
        <v>253</v>
      </c>
      <c r="V1985" t="s">
        <v>304</v>
      </c>
      <c r="W1985" t="s">
        <v>305</v>
      </c>
      <c r="X1985" t="s">
        <v>306</v>
      </c>
      <c r="Z1985" t="s">
        <v>1057</v>
      </c>
      <c r="AL1985" t="s">
        <v>1324</v>
      </c>
      <c r="AM1985" t="s">
        <v>317</v>
      </c>
      <c r="AN1985" t="s">
        <v>259</v>
      </c>
      <c r="AO1985" t="s">
        <v>260</v>
      </c>
      <c r="AQ1985" t="s">
        <v>261</v>
      </c>
      <c r="AS1985">
        <v>8.91</v>
      </c>
      <c r="AX1985" t="s">
        <v>356</v>
      </c>
      <c r="BO1985" t="s">
        <v>261</v>
      </c>
      <c r="BQ1985">
        <v>8.91</v>
      </c>
      <c r="BV1985" t="s">
        <v>263</v>
      </c>
      <c r="CM1985" t="s">
        <v>264</v>
      </c>
      <c r="CN1985" t="s">
        <v>264</v>
      </c>
      <c r="CP1985" t="s">
        <v>265</v>
      </c>
      <c r="CQ1985" t="s">
        <v>890</v>
      </c>
      <c r="DB1985">
        <v>2</v>
      </c>
      <c r="DG1985" t="s">
        <v>267</v>
      </c>
      <c r="DI1985">
        <v>48</v>
      </c>
      <c r="DN1985" t="s">
        <v>268</v>
      </c>
      <c r="DR1985">
        <v>338212</v>
      </c>
      <c r="DS1985">
        <v>732</v>
      </c>
      <c r="DT1985" t="s">
        <v>1211</v>
      </c>
      <c r="EW1985" t="s">
        <v>293</v>
      </c>
      <c r="GU1985">
        <v>36</v>
      </c>
      <c r="GZ1985" t="s">
        <v>900</v>
      </c>
      <c r="HH1985" t="s">
        <v>272</v>
      </c>
      <c r="IE1985" t="s">
        <v>1212</v>
      </c>
      <c r="IF1985">
        <v>51641</v>
      </c>
      <c r="IG1985" t="s">
        <v>1213</v>
      </c>
      <c r="IH1985" t="s">
        <v>1214</v>
      </c>
      <c r="II1985">
        <v>2000</v>
      </c>
      <c r="IJ1985" t="s">
        <v>1215</v>
      </c>
    </row>
    <row r="1986" spans="1:244" x14ac:dyDescent="0.45">
      <c r="A1986">
        <v>1176450</v>
      </c>
      <c r="B1986">
        <v>131551</v>
      </c>
      <c r="C1986">
        <v>10108642</v>
      </c>
      <c r="D1986" t="s">
        <v>3523</v>
      </c>
      <c r="F1986" t="s">
        <v>245</v>
      </c>
      <c r="G1986" t="s">
        <v>246</v>
      </c>
      <c r="N1986" t="s">
        <v>3524</v>
      </c>
      <c r="O1986" t="s">
        <v>498</v>
      </c>
      <c r="P1986" t="s">
        <v>249</v>
      </c>
      <c r="Q1986" t="s">
        <v>250</v>
      </c>
      <c r="R1986" t="s">
        <v>251</v>
      </c>
      <c r="T1986" t="s">
        <v>252</v>
      </c>
      <c r="U1986" t="s">
        <v>1244</v>
      </c>
      <c r="V1986" t="s">
        <v>1314</v>
      </c>
      <c r="W1986" t="s">
        <v>3525</v>
      </c>
      <c r="X1986" t="s">
        <v>3526</v>
      </c>
      <c r="AM1986" t="s">
        <v>317</v>
      </c>
      <c r="AN1986" t="s">
        <v>259</v>
      </c>
      <c r="AO1986" t="s">
        <v>260</v>
      </c>
      <c r="AQ1986" t="s">
        <v>261</v>
      </c>
      <c r="AS1986">
        <v>28750</v>
      </c>
      <c r="AX1986" t="s">
        <v>262</v>
      </c>
      <c r="BO1986" t="s">
        <v>261</v>
      </c>
      <c r="BQ1986">
        <v>28.75</v>
      </c>
      <c r="BV1986" t="s">
        <v>263</v>
      </c>
      <c r="CM1986" t="s">
        <v>264</v>
      </c>
      <c r="CN1986" t="s">
        <v>264</v>
      </c>
      <c r="CP1986" t="s">
        <v>265</v>
      </c>
      <c r="CQ1986" t="s">
        <v>890</v>
      </c>
      <c r="DB1986">
        <v>4</v>
      </c>
      <c r="DG1986" t="s">
        <v>267</v>
      </c>
      <c r="DI1986">
        <v>96</v>
      </c>
      <c r="DN1986" t="s">
        <v>268</v>
      </c>
      <c r="DR1986">
        <v>1131516</v>
      </c>
      <c r="DS1986">
        <v>4704</v>
      </c>
      <c r="EW1986" t="s">
        <v>271</v>
      </c>
      <c r="HH1986" t="s">
        <v>272</v>
      </c>
      <c r="IE1986" t="s">
        <v>3527</v>
      </c>
      <c r="IF1986">
        <v>15300</v>
      </c>
      <c r="IG1986" t="s">
        <v>3528</v>
      </c>
      <c r="IH1986" t="s">
        <v>3529</v>
      </c>
      <c r="II1986">
        <v>1979</v>
      </c>
      <c r="IJ1986" t="s">
        <v>3530</v>
      </c>
    </row>
    <row r="1987" spans="1:244" x14ac:dyDescent="0.45">
      <c r="A1987">
        <v>1202555</v>
      </c>
      <c r="B1987">
        <v>206355</v>
      </c>
      <c r="C1987">
        <v>10108642</v>
      </c>
      <c r="D1987" t="s">
        <v>3523</v>
      </c>
      <c r="F1987" t="s">
        <v>272</v>
      </c>
      <c r="G1987" t="s">
        <v>246</v>
      </c>
      <c r="N1987" t="s">
        <v>3698</v>
      </c>
      <c r="O1987" t="s">
        <v>3699</v>
      </c>
      <c r="P1987" t="s">
        <v>249</v>
      </c>
      <c r="Q1987" t="s">
        <v>250</v>
      </c>
      <c r="R1987" t="s">
        <v>251</v>
      </c>
      <c r="T1987" t="s">
        <v>252</v>
      </c>
      <c r="U1987" t="s">
        <v>1244</v>
      </c>
      <c r="V1987" t="s">
        <v>2421</v>
      </c>
      <c r="W1987" t="s">
        <v>3700</v>
      </c>
      <c r="X1987" t="s">
        <v>351</v>
      </c>
      <c r="AL1987" t="s">
        <v>3701</v>
      </c>
      <c r="AM1987" t="s">
        <v>258</v>
      </c>
      <c r="AN1987" t="s">
        <v>259</v>
      </c>
      <c r="AO1987" t="s">
        <v>260</v>
      </c>
      <c r="AQ1987" t="s">
        <v>261</v>
      </c>
      <c r="AR1987" t="s">
        <v>288</v>
      </c>
      <c r="AS1987">
        <v>8000</v>
      </c>
      <c r="AX1987" t="s">
        <v>262</v>
      </c>
      <c r="BO1987" t="s">
        <v>261</v>
      </c>
      <c r="BP1987" t="s">
        <v>288</v>
      </c>
      <c r="BQ1987">
        <v>8</v>
      </c>
      <c r="BV1987" t="s">
        <v>263</v>
      </c>
      <c r="CM1987" t="s">
        <v>264</v>
      </c>
      <c r="CN1987" t="s">
        <v>264</v>
      </c>
      <c r="CP1987" t="s">
        <v>265</v>
      </c>
      <c r="CQ1987" t="s">
        <v>890</v>
      </c>
      <c r="DB1987">
        <v>4</v>
      </c>
      <c r="DG1987" t="s">
        <v>267</v>
      </c>
      <c r="DI1987">
        <v>4</v>
      </c>
      <c r="DN1987" t="s">
        <v>267</v>
      </c>
      <c r="DR1987">
        <v>142002</v>
      </c>
      <c r="DS1987">
        <v>11005</v>
      </c>
      <c r="DT1987" t="s">
        <v>3702</v>
      </c>
      <c r="EW1987" t="s">
        <v>293</v>
      </c>
      <c r="FA1987" t="s">
        <v>3703</v>
      </c>
      <c r="FM1987">
        <v>15</v>
      </c>
      <c r="FR1987" t="s">
        <v>295</v>
      </c>
      <c r="GU1987">
        <v>28</v>
      </c>
      <c r="GZ1987" t="s">
        <v>296</v>
      </c>
      <c r="HH1987" t="s">
        <v>272</v>
      </c>
      <c r="IE1987" t="s">
        <v>3704</v>
      </c>
      <c r="IF1987">
        <v>18408</v>
      </c>
      <c r="IG1987" t="s">
        <v>3705</v>
      </c>
      <c r="IH1987" t="s">
        <v>3706</v>
      </c>
      <c r="II1987">
        <v>1997</v>
      </c>
      <c r="IJ1987" t="s">
        <v>3707</v>
      </c>
    </row>
    <row r="1988" spans="1:244" x14ac:dyDescent="0.45">
      <c r="A1988">
        <v>1182134</v>
      </c>
      <c r="B1988">
        <v>160037</v>
      </c>
      <c r="C1988">
        <v>10108642</v>
      </c>
      <c r="D1988" t="s">
        <v>3523</v>
      </c>
      <c r="E1988" t="s">
        <v>439</v>
      </c>
      <c r="F1988" t="s">
        <v>245</v>
      </c>
      <c r="G1988" t="s">
        <v>246</v>
      </c>
      <c r="N1988" t="s">
        <v>345</v>
      </c>
      <c r="O1988" t="s">
        <v>346</v>
      </c>
      <c r="P1988" t="s">
        <v>249</v>
      </c>
      <c r="Q1988" t="s">
        <v>250</v>
      </c>
      <c r="R1988" t="s">
        <v>251</v>
      </c>
      <c r="T1988" t="s">
        <v>347</v>
      </c>
      <c r="U1988" t="s">
        <v>348</v>
      </c>
      <c r="V1988" t="s">
        <v>349</v>
      </c>
      <c r="W1988" t="s">
        <v>350</v>
      </c>
      <c r="X1988" t="s">
        <v>351</v>
      </c>
      <c r="Z1988" t="s">
        <v>1034</v>
      </c>
      <c r="AL1988" t="s">
        <v>2663</v>
      </c>
      <c r="AM1988" t="s">
        <v>317</v>
      </c>
      <c r="AN1988" t="s">
        <v>259</v>
      </c>
      <c r="AO1988" t="s">
        <v>260</v>
      </c>
      <c r="AQ1988" t="s">
        <v>261</v>
      </c>
      <c r="AS1988">
        <v>416000</v>
      </c>
      <c r="AX1988" t="s">
        <v>262</v>
      </c>
      <c r="BO1988" t="s">
        <v>261</v>
      </c>
      <c r="BQ1988">
        <v>416</v>
      </c>
      <c r="BV1988" t="s">
        <v>263</v>
      </c>
      <c r="CM1988" t="s">
        <v>264</v>
      </c>
      <c r="CN1988" t="s">
        <v>264</v>
      </c>
      <c r="CP1988" t="s">
        <v>265</v>
      </c>
      <c r="DB1988">
        <v>2</v>
      </c>
      <c r="DG1988" t="s">
        <v>267</v>
      </c>
      <c r="DI1988">
        <v>48</v>
      </c>
      <c r="DN1988" t="s">
        <v>268</v>
      </c>
      <c r="DR1988">
        <v>6660</v>
      </c>
      <c r="DS1988">
        <v>421</v>
      </c>
      <c r="DT1988" t="s">
        <v>2665</v>
      </c>
      <c r="EW1988" t="s">
        <v>293</v>
      </c>
      <c r="FA1988" t="s">
        <v>2666</v>
      </c>
      <c r="FM1988">
        <v>25</v>
      </c>
      <c r="FR1988" t="s">
        <v>295</v>
      </c>
      <c r="GU1988">
        <v>35</v>
      </c>
      <c r="GZ1988" t="s">
        <v>296</v>
      </c>
      <c r="HH1988" t="s">
        <v>272</v>
      </c>
      <c r="IE1988" t="s">
        <v>2667</v>
      </c>
      <c r="IF1988">
        <v>16031</v>
      </c>
      <c r="IG1988" t="s">
        <v>2668</v>
      </c>
      <c r="IH1988" t="s">
        <v>2669</v>
      </c>
      <c r="II1988">
        <v>1995</v>
      </c>
      <c r="IJ1988" t="s">
        <v>2670</v>
      </c>
    </row>
    <row r="1989" spans="1:244" x14ac:dyDescent="0.45">
      <c r="A1989">
        <v>1188891</v>
      </c>
      <c r="B1989">
        <v>161830</v>
      </c>
      <c r="C1989">
        <v>10108642</v>
      </c>
      <c r="D1989" t="s">
        <v>3523</v>
      </c>
      <c r="F1989" t="s">
        <v>245</v>
      </c>
      <c r="G1989" t="s">
        <v>246</v>
      </c>
      <c r="N1989" t="s">
        <v>3681</v>
      </c>
      <c r="O1989" t="s">
        <v>1299</v>
      </c>
      <c r="P1989" t="s">
        <v>249</v>
      </c>
      <c r="Q1989" t="s">
        <v>250</v>
      </c>
      <c r="R1989" t="s">
        <v>251</v>
      </c>
      <c r="T1989" t="s">
        <v>252</v>
      </c>
      <c r="U1989" t="s">
        <v>371</v>
      </c>
      <c r="V1989" t="s">
        <v>372</v>
      </c>
      <c r="W1989" t="s">
        <v>3682</v>
      </c>
      <c r="X1989" t="s">
        <v>3683</v>
      </c>
      <c r="Z1989" t="s">
        <v>315</v>
      </c>
      <c r="AM1989" t="s">
        <v>258</v>
      </c>
      <c r="AN1989" t="s">
        <v>259</v>
      </c>
      <c r="AO1989" t="s">
        <v>260</v>
      </c>
      <c r="AQ1989" t="s">
        <v>2247</v>
      </c>
      <c r="AS1989">
        <v>112</v>
      </c>
      <c r="AU1989">
        <v>86</v>
      </c>
      <c r="AW1989">
        <v>144</v>
      </c>
      <c r="AX1989" t="s">
        <v>262</v>
      </c>
      <c r="BO1989" t="s">
        <v>2247</v>
      </c>
      <c r="BQ1989">
        <v>0.112</v>
      </c>
      <c r="BS1989">
        <v>8.5999999999999993E-2</v>
      </c>
      <c r="BU1989">
        <v>0.14399999999999999</v>
      </c>
      <c r="BV1989" t="s">
        <v>263</v>
      </c>
      <c r="CM1989" t="s">
        <v>264</v>
      </c>
      <c r="CN1989" t="s">
        <v>264</v>
      </c>
      <c r="CP1989" t="s">
        <v>265</v>
      </c>
      <c r="CQ1989" t="s">
        <v>890</v>
      </c>
      <c r="DB1989">
        <v>4</v>
      </c>
      <c r="DG1989" t="s">
        <v>267</v>
      </c>
      <c r="DI1989">
        <v>96</v>
      </c>
      <c r="DN1989" t="s">
        <v>268</v>
      </c>
      <c r="DR1989">
        <v>236578</v>
      </c>
      <c r="DS1989">
        <v>5984</v>
      </c>
      <c r="DT1989" t="s">
        <v>3684</v>
      </c>
      <c r="EW1989" t="s">
        <v>293</v>
      </c>
      <c r="FM1989">
        <v>18</v>
      </c>
      <c r="FR1989" t="s">
        <v>295</v>
      </c>
      <c r="GU1989">
        <v>38</v>
      </c>
      <c r="GZ1989" t="s">
        <v>296</v>
      </c>
      <c r="HH1989" t="s">
        <v>272</v>
      </c>
      <c r="IE1989" t="s">
        <v>3685</v>
      </c>
      <c r="IF1989">
        <v>16897</v>
      </c>
      <c r="IG1989" t="s">
        <v>3686</v>
      </c>
      <c r="IH1989" t="s">
        <v>3687</v>
      </c>
      <c r="II1989">
        <v>1995</v>
      </c>
      <c r="IJ1989" t="s">
        <v>3688</v>
      </c>
    </row>
    <row r="1990" spans="1:244" x14ac:dyDescent="0.45">
      <c r="A1990">
        <v>1139073</v>
      </c>
      <c r="B1990">
        <v>232032</v>
      </c>
      <c r="C1990">
        <v>10108642</v>
      </c>
      <c r="D1990" t="s">
        <v>3523</v>
      </c>
      <c r="E1990" t="s">
        <v>3539</v>
      </c>
      <c r="F1990" t="s">
        <v>327</v>
      </c>
      <c r="G1990" t="s">
        <v>246</v>
      </c>
      <c r="N1990" t="s">
        <v>3540</v>
      </c>
      <c r="O1990" t="s">
        <v>248</v>
      </c>
      <c r="P1990" t="s">
        <v>249</v>
      </c>
      <c r="Q1990" t="s">
        <v>250</v>
      </c>
      <c r="R1990" t="s">
        <v>251</v>
      </c>
      <c r="T1990" t="s">
        <v>252</v>
      </c>
      <c r="U1990" t="s">
        <v>253</v>
      </c>
      <c r="V1990" t="s">
        <v>1231</v>
      </c>
      <c r="W1990" t="s">
        <v>3541</v>
      </c>
      <c r="X1990" t="s">
        <v>3542</v>
      </c>
      <c r="AJ1990" t="s">
        <v>285</v>
      </c>
      <c r="AL1990" t="s">
        <v>3543</v>
      </c>
      <c r="AM1990" t="s">
        <v>317</v>
      </c>
      <c r="AN1990" t="s">
        <v>259</v>
      </c>
      <c r="AO1990" t="s">
        <v>260</v>
      </c>
      <c r="AQ1990" t="s">
        <v>261</v>
      </c>
      <c r="AS1990">
        <v>71.5</v>
      </c>
      <c r="AU1990">
        <v>67.3</v>
      </c>
      <c r="AW1990">
        <v>74.2</v>
      </c>
      <c r="AX1990" t="s">
        <v>356</v>
      </c>
      <c r="BO1990" t="s">
        <v>261</v>
      </c>
      <c r="BQ1990">
        <v>71.5</v>
      </c>
      <c r="BS1990">
        <v>67.3</v>
      </c>
      <c r="BU1990">
        <v>74.2</v>
      </c>
      <c r="BV1990" t="s">
        <v>263</v>
      </c>
      <c r="CM1990" t="s">
        <v>264</v>
      </c>
      <c r="CN1990" t="s">
        <v>264</v>
      </c>
      <c r="CP1990" t="s">
        <v>265</v>
      </c>
      <c r="CQ1990" t="s">
        <v>890</v>
      </c>
      <c r="DB1990">
        <v>1</v>
      </c>
      <c r="DG1990" t="s">
        <v>267</v>
      </c>
      <c r="DI1990">
        <v>24</v>
      </c>
      <c r="DN1990" t="s">
        <v>268</v>
      </c>
      <c r="DR1990">
        <v>151182</v>
      </c>
      <c r="DS1990">
        <v>11260</v>
      </c>
      <c r="EW1990" t="s">
        <v>272</v>
      </c>
      <c r="FK1990" t="s">
        <v>3632</v>
      </c>
      <c r="FM1990">
        <v>15</v>
      </c>
      <c r="FR1990" t="s">
        <v>295</v>
      </c>
      <c r="GU1990">
        <v>20</v>
      </c>
      <c r="GZ1990" t="s">
        <v>900</v>
      </c>
      <c r="HH1990" t="s">
        <v>272</v>
      </c>
      <c r="ID1990" t="s">
        <v>3633</v>
      </c>
      <c r="IE1990" t="s">
        <v>3546</v>
      </c>
      <c r="IF1990">
        <v>11524</v>
      </c>
      <c r="IG1990" t="s">
        <v>3547</v>
      </c>
      <c r="IH1990" t="s">
        <v>3548</v>
      </c>
      <c r="II1990">
        <v>1983</v>
      </c>
      <c r="IJ1990" t="s">
        <v>3549</v>
      </c>
    </row>
    <row r="1991" spans="1:244" x14ac:dyDescent="0.45">
      <c r="A1991">
        <v>1176490</v>
      </c>
      <c r="B1991">
        <v>156508</v>
      </c>
      <c r="C1991">
        <v>10108642</v>
      </c>
      <c r="D1991" t="s">
        <v>3523</v>
      </c>
      <c r="F1991" t="s">
        <v>245</v>
      </c>
      <c r="G1991" t="s">
        <v>246</v>
      </c>
      <c r="N1991" t="s">
        <v>3550</v>
      </c>
      <c r="O1991" t="s">
        <v>578</v>
      </c>
      <c r="P1991" t="s">
        <v>249</v>
      </c>
      <c r="Q1991" t="s">
        <v>250</v>
      </c>
      <c r="R1991" t="s">
        <v>251</v>
      </c>
      <c r="T1991" t="s">
        <v>252</v>
      </c>
      <c r="U1991" t="s">
        <v>499</v>
      </c>
      <c r="V1991" t="s">
        <v>3551</v>
      </c>
      <c r="W1991" t="s">
        <v>3552</v>
      </c>
      <c r="X1991" t="s">
        <v>3553</v>
      </c>
      <c r="AM1991" t="s">
        <v>317</v>
      </c>
      <c r="AN1991" t="s">
        <v>259</v>
      </c>
      <c r="AO1991" t="s">
        <v>260</v>
      </c>
      <c r="AQ1991" t="s">
        <v>261</v>
      </c>
      <c r="AS1991">
        <v>920</v>
      </c>
      <c r="AX1991" t="s">
        <v>262</v>
      </c>
      <c r="BO1991" t="s">
        <v>261</v>
      </c>
      <c r="BQ1991">
        <v>0.92</v>
      </c>
      <c r="BV1991" t="s">
        <v>263</v>
      </c>
      <c r="CM1991" t="s">
        <v>264</v>
      </c>
      <c r="CN1991" t="s">
        <v>264</v>
      </c>
      <c r="CP1991" t="s">
        <v>265</v>
      </c>
      <c r="CQ1991" t="s">
        <v>890</v>
      </c>
      <c r="DB1991">
        <v>2</v>
      </c>
      <c r="DG1991" t="s">
        <v>267</v>
      </c>
      <c r="DI1991">
        <v>48</v>
      </c>
      <c r="DN1991" t="s">
        <v>268</v>
      </c>
      <c r="DS1991">
        <v>4655</v>
      </c>
      <c r="EW1991" t="s">
        <v>271</v>
      </c>
      <c r="HH1991" t="s">
        <v>272</v>
      </c>
      <c r="IE1991" t="s">
        <v>3527</v>
      </c>
      <c r="IF1991">
        <v>15300</v>
      </c>
      <c r="IG1991" t="s">
        <v>3528</v>
      </c>
      <c r="IH1991" t="s">
        <v>3529</v>
      </c>
      <c r="II1991">
        <v>1979</v>
      </c>
      <c r="IJ1991" t="s">
        <v>3530</v>
      </c>
    </row>
    <row r="1992" spans="1:244" x14ac:dyDescent="0.45">
      <c r="A1992">
        <v>1182133</v>
      </c>
      <c r="B1992">
        <v>160036</v>
      </c>
      <c r="C1992">
        <v>10108642</v>
      </c>
      <c r="D1992" t="s">
        <v>3523</v>
      </c>
      <c r="E1992" t="s">
        <v>439</v>
      </c>
      <c r="F1992" t="s">
        <v>245</v>
      </c>
      <c r="G1992" t="s">
        <v>246</v>
      </c>
      <c r="N1992" t="s">
        <v>345</v>
      </c>
      <c r="O1992" t="s">
        <v>346</v>
      </c>
      <c r="P1992" t="s">
        <v>249</v>
      </c>
      <c r="Q1992" t="s">
        <v>250</v>
      </c>
      <c r="R1992" t="s">
        <v>251</v>
      </c>
      <c r="T1992" t="s">
        <v>347</v>
      </c>
      <c r="U1992" t="s">
        <v>348</v>
      </c>
      <c r="V1992" t="s">
        <v>349</v>
      </c>
      <c r="W1992" t="s">
        <v>350</v>
      </c>
      <c r="X1992" t="s">
        <v>351</v>
      </c>
      <c r="Z1992" t="s">
        <v>1034</v>
      </c>
      <c r="AL1992" t="s">
        <v>2663</v>
      </c>
      <c r="AM1992" t="s">
        <v>317</v>
      </c>
      <c r="AN1992" t="s">
        <v>259</v>
      </c>
      <c r="AO1992" t="s">
        <v>260</v>
      </c>
      <c r="AQ1992" t="s">
        <v>261</v>
      </c>
      <c r="AS1992">
        <v>593000</v>
      </c>
      <c r="AX1992" t="s">
        <v>262</v>
      </c>
      <c r="BO1992" t="s">
        <v>261</v>
      </c>
      <c r="BQ1992">
        <v>593</v>
      </c>
      <c r="BV1992" t="s">
        <v>263</v>
      </c>
      <c r="CM1992" t="s">
        <v>264</v>
      </c>
      <c r="CN1992" t="s">
        <v>264</v>
      </c>
      <c r="CP1992" t="s">
        <v>265</v>
      </c>
      <c r="DB1992">
        <v>1</v>
      </c>
      <c r="DG1992" t="s">
        <v>267</v>
      </c>
      <c r="DI1992">
        <v>24</v>
      </c>
      <c r="DN1992" t="s">
        <v>268</v>
      </c>
      <c r="DR1992">
        <v>6660</v>
      </c>
      <c r="DS1992">
        <v>421</v>
      </c>
      <c r="DT1992" t="s">
        <v>2665</v>
      </c>
      <c r="EW1992" t="s">
        <v>293</v>
      </c>
      <c r="FA1992" t="s">
        <v>2666</v>
      </c>
      <c r="FM1992">
        <v>25</v>
      </c>
      <c r="FR1992" t="s">
        <v>295</v>
      </c>
      <c r="GU1992">
        <v>35</v>
      </c>
      <c r="GZ1992" t="s">
        <v>296</v>
      </c>
      <c r="HH1992" t="s">
        <v>272</v>
      </c>
      <c r="IE1992" t="s">
        <v>2667</v>
      </c>
      <c r="IF1992">
        <v>16031</v>
      </c>
      <c r="IG1992" t="s">
        <v>2668</v>
      </c>
      <c r="IH1992" t="s">
        <v>2669</v>
      </c>
      <c r="II1992">
        <v>1995</v>
      </c>
      <c r="IJ1992" t="s">
        <v>2670</v>
      </c>
    </row>
    <row r="1993" spans="1:244" x14ac:dyDescent="0.45">
      <c r="A1993">
        <v>1273554</v>
      </c>
      <c r="B1993">
        <v>724873</v>
      </c>
      <c r="C1993">
        <v>10108642</v>
      </c>
      <c r="D1993" t="s">
        <v>3523</v>
      </c>
      <c r="F1993" t="s">
        <v>245</v>
      </c>
      <c r="G1993" t="s">
        <v>246</v>
      </c>
      <c r="N1993" t="s">
        <v>1967</v>
      </c>
      <c r="O1993" t="s">
        <v>1968</v>
      </c>
      <c r="P1993" t="s">
        <v>249</v>
      </c>
      <c r="Q1993" t="s">
        <v>250</v>
      </c>
      <c r="R1993" t="s">
        <v>251</v>
      </c>
      <c r="T1993" t="s">
        <v>252</v>
      </c>
      <c r="U1993" t="s">
        <v>253</v>
      </c>
      <c r="V1993" t="s">
        <v>1969</v>
      </c>
      <c r="W1993" t="s">
        <v>1970</v>
      </c>
      <c r="X1993" t="s">
        <v>1971</v>
      </c>
      <c r="Z1993" t="s">
        <v>1046</v>
      </c>
      <c r="AB1993">
        <v>1</v>
      </c>
      <c r="AG1993" t="s">
        <v>267</v>
      </c>
      <c r="AM1993" t="s">
        <v>258</v>
      </c>
      <c r="AN1993" t="s">
        <v>259</v>
      </c>
      <c r="AO1993" t="s">
        <v>260</v>
      </c>
      <c r="AP1993">
        <v>6</v>
      </c>
      <c r="AQ1993" t="s">
        <v>261</v>
      </c>
      <c r="AS1993">
        <v>2.0699999999999998</v>
      </c>
      <c r="AU1993">
        <v>1.76</v>
      </c>
      <c r="AW1993">
        <v>2.4</v>
      </c>
      <c r="AX1993" t="s">
        <v>356</v>
      </c>
      <c r="BO1993" t="s">
        <v>261</v>
      </c>
      <c r="BQ1993">
        <v>2.0699999999999998</v>
      </c>
      <c r="BS1993">
        <v>1.76</v>
      </c>
      <c r="BU1993">
        <v>2.4</v>
      </c>
      <c r="BV1993" t="s">
        <v>263</v>
      </c>
      <c r="CM1993" t="s">
        <v>264</v>
      </c>
      <c r="CN1993" t="s">
        <v>264</v>
      </c>
      <c r="CP1993" t="s">
        <v>265</v>
      </c>
      <c r="CQ1993" t="s">
        <v>890</v>
      </c>
      <c r="DB1993">
        <v>4</v>
      </c>
      <c r="DG1993" t="s">
        <v>267</v>
      </c>
      <c r="DI1993">
        <v>96</v>
      </c>
      <c r="DN1993" t="s">
        <v>268</v>
      </c>
      <c r="DP1993" t="s">
        <v>3597</v>
      </c>
      <c r="DR1993">
        <v>174394</v>
      </c>
      <c r="DS1993">
        <v>18619</v>
      </c>
      <c r="DT1993" t="s">
        <v>1972</v>
      </c>
      <c r="EW1993" t="s">
        <v>293</v>
      </c>
      <c r="FA1993" t="s">
        <v>1973</v>
      </c>
      <c r="FK1993" t="s">
        <v>3616</v>
      </c>
      <c r="FM1993">
        <v>7.5</v>
      </c>
      <c r="FR1993" t="s">
        <v>295</v>
      </c>
      <c r="GU1993">
        <v>28</v>
      </c>
      <c r="GZ1993" t="s">
        <v>356</v>
      </c>
      <c r="HH1993" t="s">
        <v>272</v>
      </c>
      <c r="ID1993" t="s">
        <v>3617</v>
      </c>
      <c r="IE1993" t="s">
        <v>1976</v>
      </c>
      <c r="IF1993">
        <v>71687</v>
      </c>
      <c r="IG1993" t="s">
        <v>1977</v>
      </c>
      <c r="IH1993" t="s">
        <v>1978</v>
      </c>
      <c r="II1993">
        <v>2003</v>
      </c>
      <c r="IJ1993" t="s">
        <v>1979</v>
      </c>
    </row>
    <row r="1994" spans="1:244" x14ac:dyDescent="0.45">
      <c r="A1994">
        <v>1146883</v>
      </c>
      <c r="B1994">
        <v>104721</v>
      </c>
      <c r="C1994">
        <v>10108642</v>
      </c>
      <c r="D1994" t="s">
        <v>3523</v>
      </c>
      <c r="F1994" t="s">
        <v>245</v>
      </c>
      <c r="G1994" t="s">
        <v>246</v>
      </c>
      <c r="N1994" t="s">
        <v>247</v>
      </c>
      <c r="O1994" t="s">
        <v>248</v>
      </c>
      <c r="P1994" t="s">
        <v>249</v>
      </c>
      <c r="Q1994" t="s">
        <v>250</v>
      </c>
      <c r="R1994" t="s">
        <v>251</v>
      </c>
      <c r="T1994" t="s">
        <v>252</v>
      </c>
      <c r="U1994" t="s">
        <v>253</v>
      </c>
      <c r="V1994" t="s">
        <v>254</v>
      </c>
      <c r="W1994" t="s">
        <v>255</v>
      </c>
      <c r="X1994" t="s">
        <v>256</v>
      </c>
      <c r="AL1994" t="s">
        <v>257</v>
      </c>
      <c r="AM1994" t="s">
        <v>258</v>
      </c>
      <c r="AN1994" t="s">
        <v>259</v>
      </c>
      <c r="AO1994" t="s">
        <v>260</v>
      </c>
      <c r="AQ1994" t="s">
        <v>261</v>
      </c>
      <c r="AS1994">
        <v>38000</v>
      </c>
      <c r="AU1994">
        <v>29450</v>
      </c>
      <c r="AW1994">
        <v>49020</v>
      </c>
      <c r="AX1994" t="s">
        <v>262</v>
      </c>
      <c r="BO1994" t="s">
        <v>261</v>
      </c>
      <c r="BQ1994">
        <v>38</v>
      </c>
      <c r="BS1994">
        <v>29.45</v>
      </c>
      <c r="BU1994">
        <v>49.02</v>
      </c>
      <c r="BV1994" t="s">
        <v>263</v>
      </c>
      <c r="CM1994" t="s">
        <v>264</v>
      </c>
      <c r="CN1994" t="s">
        <v>264</v>
      </c>
      <c r="CP1994" t="s">
        <v>265</v>
      </c>
      <c r="CQ1994" t="s">
        <v>890</v>
      </c>
      <c r="DB1994">
        <v>2</v>
      </c>
      <c r="DG1994" t="s">
        <v>267</v>
      </c>
      <c r="DI1994">
        <v>48</v>
      </c>
      <c r="DN1994" t="s">
        <v>268</v>
      </c>
      <c r="DR1994">
        <v>6761</v>
      </c>
      <c r="DS1994">
        <v>2461</v>
      </c>
      <c r="DT1994" t="s">
        <v>270</v>
      </c>
      <c r="EW1994" t="s">
        <v>271</v>
      </c>
      <c r="HH1994" t="s">
        <v>272</v>
      </c>
      <c r="IE1994" t="s">
        <v>273</v>
      </c>
      <c r="IF1994">
        <v>12413</v>
      </c>
      <c r="IG1994" t="s">
        <v>274</v>
      </c>
      <c r="IH1994" t="s">
        <v>275</v>
      </c>
      <c r="II1994">
        <v>1987</v>
      </c>
      <c r="IJ1994" t="s">
        <v>276</v>
      </c>
    </row>
    <row r="1995" spans="1:244" x14ac:dyDescent="0.45">
      <c r="A1995">
        <v>1056741</v>
      </c>
      <c r="B1995">
        <v>17338</v>
      </c>
      <c r="C1995">
        <v>10108642</v>
      </c>
      <c r="D1995" t="s">
        <v>3523</v>
      </c>
      <c r="E1995" t="s">
        <v>622</v>
      </c>
      <c r="F1995" t="s">
        <v>245</v>
      </c>
      <c r="G1995" t="s">
        <v>246</v>
      </c>
      <c r="N1995" t="s">
        <v>1426</v>
      </c>
      <c r="O1995" t="s">
        <v>370</v>
      </c>
      <c r="P1995" t="s">
        <v>249</v>
      </c>
      <c r="Q1995" t="s">
        <v>250</v>
      </c>
      <c r="R1995" t="s">
        <v>251</v>
      </c>
      <c r="T1995" t="s">
        <v>252</v>
      </c>
      <c r="U1995" t="s">
        <v>371</v>
      </c>
      <c r="V1995" t="s">
        <v>372</v>
      </c>
      <c r="W1995" t="s">
        <v>1427</v>
      </c>
      <c r="X1995" t="s">
        <v>1428</v>
      </c>
      <c r="AM1995" t="s">
        <v>287</v>
      </c>
      <c r="AN1995" t="s">
        <v>259</v>
      </c>
      <c r="AO1995" t="s">
        <v>260</v>
      </c>
      <c r="AQ1995" t="s">
        <v>1569</v>
      </c>
      <c r="AS1995">
        <v>34.4</v>
      </c>
      <c r="AX1995" t="s">
        <v>262</v>
      </c>
      <c r="BO1995" t="s">
        <v>1569</v>
      </c>
      <c r="BQ1995">
        <v>3.44E-2</v>
      </c>
      <c r="BV1995" t="s">
        <v>263</v>
      </c>
      <c r="CM1995" t="s">
        <v>264</v>
      </c>
      <c r="CN1995" t="s">
        <v>264</v>
      </c>
      <c r="CP1995" t="s">
        <v>265</v>
      </c>
      <c r="CQ1995" t="s">
        <v>890</v>
      </c>
      <c r="DB1995">
        <v>4</v>
      </c>
      <c r="DG1995" t="s">
        <v>267</v>
      </c>
      <c r="DI1995">
        <v>96</v>
      </c>
      <c r="DN1995" t="s">
        <v>268</v>
      </c>
      <c r="DR1995">
        <v>223650</v>
      </c>
      <c r="DS1995">
        <v>1577</v>
      </c>
      <c r="DT1995" t="s">
        <v>3708</v>
      </c>
      <c r="EW1995" t="s">
        <v>293</v>
      </c>
      <c r="FA1995" t="s">
        <v>320</v>
      </c>
      <c r="FM1995">
        <v>15</v>
      </c>
      <c r="FR1995" t="s">
        <v>295</v>
      </c>
      <c r="GU1995">
        <v>20</v>
      </c>
      <c r="GZ1995" t="s">
        <v>296</v>
      </c>
      <c r="HH1995" t="s">
        <v>272</v>
      </c>
      <c r="IE1995" t="s">
        <v>3709</v>
      </c>
      <c r="IF1995">
        <v>4037</v>
      </c>
      <c r="IG1995" t="s">
        <v>3710</v>
      </c>
      <c r="IH1995" t="s">
        <v>3711</v>
      </c>
      <c r="II1995">
        <v>1998</v>
      </c>
      <c r="IJ1995" t="s">
        <v>3712</v>
      </c>
    </row>
    <row r="1996" spans="1:244" x14ac:dyDescent="0.45">
      <c r="A1996">
        <v>1041179</v>
      </c>
      <c r="B1996">
        <v>86288</v>
      </c>
      <c r="C1996">
        <v>10108642</v>
      </c>
      <c r="D1996" t="s">
        <v>3523</v>
      </c>
      <c r="F1996" t="s">
        <v>245</v>
      </c>
      <c r="G1996" t="s">
        <v>246</v>
      </c>
      <c r="N1996" t="s">
        <v>3713</v>
      </c>
      <c r="O1996" t="s">
        <v>3699</v>
      </c>
      <c r="P1996" t="s">
        <v>249</v>
      </c>
      <c r="Q1996" t="s">
        <v>250</v>
      </c>
      <c r="R1996" t="s">
        <v>251</v>
      </c>
      <c r="T1996" t="s">
        <v>252</v>
      </c>
      <c r="U1996" t="s">
        <v>1244</v>
      </c>
      <c r="V1996" t="s">
        <v>3714</v>
      </c>
      <c r="W1996" t="s">
        <v>3715</v>
      </c>
      <c r="X1996" t="s">
        <v>351</v>
      </c>
      <c r="AM1996" t="s">
        <v>317</v>
      </c>
      <c r="AN1996" t="s">
        <v>259</v>
      </c>
      <c r="AO1996" t="s">
        <v>260</v>
      </c>
      <c r="AQ1996" t="s">
        <v>261</v>
      </c>
      <c r="AS1996">
        <v>410</v>
      </c>
      <c r="AU1996">
        <v>260</v>
      </c>
      <c r="AW1996">
        <v>650</v>
      </c>
      <c r="AX1996" t="s">
        <v>262</v>
      </c>
      <c r="BO1996" t="s">
        <v>261</v>
      </c>
      <c r="BQ1996">
        <v>0.41</v>
      </c>
      <c r="BS1996">
        <v>0.26</v>
      </c>
      <c r="BU1996">
        <v>0.65</v>
      </c>
      <c r="BV1996" t="s">
        <v>263</v>
      </c>
      <c r="CM1996" t="s">
        <v>264</v>
      </c>
      <c r="CN1996" t="s">
        <v>264</v>
      </c>
      <c r="CP1996" t="s">
        <v>265</v>
      </c>
      <c r="DB1996">
        <v>4</v>
      </c>
      <c r="DG1996" t="s">
        <v>267</v>
      </c>
      <c r="DI1996">
        <v>96</v>
      </c>
      <c r="DN1996" t="s">
        <v>268</v>
      </c>
      <c r="DS1996">
        <v>2827</v>
      </c>
      <c r="DT1996" t="s">
        <v>3560</v>
      </c>
      <c r="EW1996" t="s">
        <v>293</v>
      </c>
      <c r="FM1996">
        <v>19.5</v>
      </c>
      <c r="FR1996" t="s">
        <v>295</v>
      </c>
      <c r="GG1996" t="s">
        <v>288</v>
      </c>
      <c r="GH1996">
        <v>7</v>
      </c>
      <c r="GM1996" t="s">
        <v>356</v>
      </c>
      <c r="GU1996">
        <v>35</v>
      </c>
      <c r="GZ1996" t="s">
        <v>296</v>
      </c>
      <c r="HH1996" t="s">
        <v>272</v>
      </c>
      <c r="IE1996" t="s">
        <v>3561</v>
      </c>
      <c r="IF1996">
        <v>2621</v>
      </c>
      <c r="IG1996" t="s">
        <v>3562</v>
      </c>
      <c r="IH1996" t="s">
        <v>3563</v>
      </c>
      <c r="II1996">
        <v>1987</v>
      </c>
      <c r="IJ1996" t="s">
        <v>3564</v>
      </c>
    </row>
    <row r="1997" spans="1:244" x14ac:dyDescent="0.45">
      <c r="A1997">
        <v>1299772</v>
      </c>
      <c r="B1997">
        <v>755371</v>
      </c>
      <c r="C1997">
        <v>10108642</v>
      </c>
      <c r="D1997" t="s">
        <v>3523</v>
      </c>
      <c r="F1997" t="s">
        <v>245</v>
      </c>
      <c r="G1997" t="s">
        <v>246</v>
      </c>
      <c r="N1997" t="s">
        <v>892</v>
      </c>
      <c r="O1997" t="s">
        <v>498</v>
      </c>
      <c r="P1997" t="s">
        <v>249</v>
      </c>
      <c r="Q1997" t="s">
        <v>250</v>
      </c>
      <c r="R1997" t="s">
        <v>251</v>
      </c>
      <c r="T1997" t="s">
        <v>252</v>
      </c>
      <c r="U1997" t="s">
        <v>499</v>
      </c>
      <c r="V1997" t="s">
        <v>500</v>
      </c>
      <c r="W1997" t="s">
        <v>893</v>
      </c>
      <c r="X1997" t="s">
        <v>894</v>
      </c>
      <c r="AL1997" t="s">
        <v>3716</v>
      </c>
      <c r="AM1997" t="s">
        <v>317</v>
      </c>
      <c r="AN1997" t="s">
        <v>259</v>
      </c>
      <c r="AO1997" t="s">
        <v>260</v>
      </c>
      <c r="AP1997">
        <v>5</v>
      </c>
      <c r="AQ1997" t="s">
        <v>261</v>
      </c>
      <c r="AT1997" t="s">
        <v>288</v>
      </c>
      <c r="AU1997">
        <v>0</v>
      </c>
      <c r="AV1997" t="s">
        <v>289</v>
      </c>
      <c r="AW1997">
        <v>0.5</v>
      </c>
      <c r="AX1997" t="s">
        <v>356</v>
      </c>
      <c r="BO1997" t="s">
        <v>261</v>
      </c>
      <c r="BR1997" t="s">
        <v>288</v>
      </c>
      <c r="BS1997">
        <v>0</v>
      </c>
      <c r="BT1997" t="s">
        <v>289</v>
      </c>
      <c r="BU1997">
        <v>0.5</v>
      </c>
      <c r="BV1997" t="s">
        <v>263</v>
      </c>
      <c r="CM1997" t="s">
        <v>264</v>
      </c>
      <c r="CN1997" t="s">
        <v>264</v>
      </c>
      <c r="CP1997" t="s">
        <v>265</v>
      </c>
      <c r="CQ1997" t="s">
        <v>890</v>
      </c>
      <c r="DB1997">
        <v>4</v>
      </c>
      <c r="DG1997" t="s">
        <v>267</v>
      </c>
      <c r="DI1997">
        <v>96</v>
      </c>
      <c r="DN1997" t="s">
        <v>268</v>
      </c>
      <c r="DP1997" t="s">
        <v>3628</v>
      </c>
      <c r="DR1997">
        <v>732107</v>
      </c>
      <c r="DS1997">
        <v>427</v>
      </c>
      <c r="DT1997" t="s">
        <v>1327</v>
      </c>
      <c r="EW1997" t="s">
        <v>293</v>
      </c>
      <c r="FK1997" t="s">
        <v>3717</v>
      </c>
      <c r="FM1997">
        <v>16</v>
      </c>
      <c r="FR1997" t="s">
        <v>295</v>
      </c>
      <c r="GJ1997">
        <v>8</v>
      </c>
      <c r="GL1997">
        <v>8.5</v>
      </c>
      <c r="GM1997" t="s">
        <v>356</v>
      </c>
      <c r="GQ1997">
        <v>7.9</v>
      </c>
      <c r="GS1997">
        <v>8.64</v>
      </c>
      <c r="GU1997">
        <v>36</v>
      </c>
      <c r="GZ1997" t="s">
        <v>296</v>
      </c>
      <c r="HH1997" t="s">
        <v>272</v>
      </c>
      <c r="ID1997" t="s">
        <v>3718</v>
      </c>
      <c r="IE1997" t="s">
        <v>1330</v>
      </c>
      <c r="IF1997">
        <v>116169</v>
      </c>
      <c r="IG1997" t="s">
        <v>1331</v>
      </c>
      <c r="IH1997" t="s">
        <v>1332</v>
      </c>
      <c r="II1997">
        <v>2005</v>
      </c>
      <c r="IJ1997" t="s">
        <v>1333</v>
      </c>
    </row>
    <row r="1998" spans="1:244" x14ac:dyDescent="0.45">
      <c r="A1998">
        <v>1277944</v>
      </c>
      <c r="B1998">
        <v>731187</v>
      </c>
      <c r="C1998">
        <v>10108642</v>
      </c>
      <c r="D1998" t="s">
        <v>3523</v>
      </c>
      <c r="E1998" t="s">
        <v>439</v>
      </c>
      <c r="F1998" t="s">
        <v>245</v>
      </c>
      <c r="G1998" t="s">
        <v>246</v>
      </c>
      <c r="N1998" t="s">
        <v>968</v>
      </c>
      <c r="O1998" t="s">
        <v>969</v>
      </c>
      <c r="P1998" t="s">
        <v>249</v>
      </c>
      <c r="Q1998" t="s">
        <v>250</v>
      </c>
      <c r="R1998" t="s">
        <v>251</v>
      </c>
      <c r="T1998" t="s">
        <v>252</v>
      </c>
      <c r="U1998" t="s">
        <v>253</v>
      </c>
      <c r="V1998" t="s">
        <v>418</v>
      </c>
      <c r="W1998" t="s">
        <v>419</v>
      </c>
      <c r="X1998" t="s">
        <v>970</v>
      </c>
      <c r="Z1998" t="s">
        <v>649</v>
      </c>
      <c r="AL1998" t="s">
        <v>1174</v>
      </c>
      <c r="AM1998" t="s">
        <v>258</v>
      </c>
      <c r="AN1998" t="s">
        <v>259</v>
      </c>
      <c r="AO1998" t="s">
        <v>260</v>
      </c>
      <c r="AQ1998" t="s">
        <v>261</v>
      </c>
      <c r="AS1998">
        <v>0.37</v>
      </c>
      <c r="AU1998">
        <v>0.19</v>
      </c>
      <c r="AW1998">
        <v>0.7</v>
      </c>
      <c r="AX1998" t="s">
        <v>356</v>
      </c>
      <c r="BO1998" t="s">
        <v>261</v>
      </c>
      <c r="BQ1998">
        <v>0.37</v>
      </c>
      <c r="BS1998">
        <v>0.19</v>
      </c>
      <c r="BU1998">
        <v>0.7</v>
      </c>
      <c r="BV1998" t="s">
        <v>263</v>
      </c>
      <c r="CM1998" t="s">
        <v>264</v>
      </c>
      <c r="CN1998" t="s">
        <v>264</v>
      </c>
      <c r="CP1998" t="s">
        <v>265</v>
      </c>
      <c r="CQ1998" t="s">
        <v>890</v>
      </c>
      <c r="DB1998">
        <v>4</v>
      </c>
      <c r="DG1998" t="s">
        <v>267</v>
      </c>
      <c r="DI1998">
        <v>96</v>
      </c>
      <c r="DN1998" t="s">
        <v>268</v>
      </c>
      <c r="DP1998" t="s">
        <v>3571</v>
      </c>
      <c r="DS1998">
        <v>1010</v>
      </c>
      <c r="DT1998" t="s">
        <v>1176</v>
      </c>
      <c r="EW1998" t="s">
        <v>293</v>
      </c>
      <c r="FK1998" t="s">
        <v>3719</v>
      </c>
      <c r="FM1998">
        <v>35</v>
      </c>
      <c r="FR1998" t="s">
        <v>295</v>
      </c>
      <c r="GG1998" t="s">
        <v>288</v>
      </c>
      <c r="GH1998">
        <v>90</v>
      </c>
      <c r="GM1998" t="s">
        <v>900</v>
      </c>
      <c r="GO1998">
        <v>8</v>
      </c>
      <c r="GU1998">
        <v>20</v>
      </c>
      <c r="GZ1998" t="s">
        <v>296</v>
      </c>
      <c r="HH1998" t="s">
        <v>272</v>
      </c>
      <c r="ID1998" t="s">
        <v>3720</v>
      </c>
      <c r="IE1998" t="s">
        <v>1179</v>
      </c>
      <c r="IF1998">
        <v>4973</v>
      </c>
      <c r="IG1998" t="s">
        <v>1180</v>
      </c>
      <c r="IH1998" t="s">
        <v>1181</v>
      </c>
      <c r="II1998">
        <v>1982</v>
      </c>
      <c r="IJ1998" t="s">
        <v>1182</v>
      </c>
    </row>
    <row r="1999" spans="1:244" x14ac:dyDescent="0.45">
      <c r="A1999">
        <v>1111540</v>
      </c>
      <c r="B1999">
        <v>73197</v>
      </c>
      <c r="C1999">
        <v>10108642</v>
      </c>
      <c r="D1999" t="s">
        <v>3523</v>
      </c>
      <c r="F1999" t="s">
        <v>245</v>
      </c>
      <c r="G1999" t="s">
        <v>246</v>
      </c>
      <c r="N1999" t="s">
        <v>3565</v>
      </c>
      <c r="O1999" t="s">
        <v>1783</v>
      </c>
      <c r="P1999" t="s">
        <v>249</v>
      </c>
      <c r="Q1999" t="s">
        <v>250</v>
      </c>
      <c r="R1999" t="s">
        <v>251</v>
      </c>
      <c r="T1999" t="s">
        <v>252</v>
      </c>
      <c r="U1999" t="s">
        <v>253</v>
      </c>
      <c r="V1999" t="s">
        <v>1735</v>
      </c>
      <c r="W1999" t="s">
        <v>1784</v>
      </c>
      <c r="X1999" t="s">
        <v>1984</v>
      </c>
      <c r="Z1999" t="s">
        <v>315</v>
      </c>
      <c r="AL1999" t="s">
        <v>3566</v>
      </c>
      <c r="AM1999" t="s">
        <v>258</v>
      </c>
      <c r="AN1999" t="s">
        <v>259</v>
      </c>
      <c r="AO1999" t="s">
        <v>260</v>
      </c>
      <c r="AQ1999" t="s">
        <v>261</v>
      </c>
      <c r="AS1999">
        <v>28000</v>
      </c>
      <c r="AX1999" t="s">
        <v>262</v>
      </c>
      <c r="BO1999" t="s">
        <v>261</v>
      </c>
      <c r="BQ1999">
        <v>28</v>
      </c>
      <c r="BV1999" t="s">
        <v>263</v>
      </c>
      <c r="CM1999" t="s">
        <v>264</v>
      </c>
      <c r="CN1999" t="s">
        <v>264</v>
      </c>
      <c r="CP1999" t="s">
        <v>265</v>
      </c>
      <c r="CQ1999" t="s">
        <v>890</v>
      </c>
      <c r="DB1999">
        <v>2</v>
      </c>
      <c r="DG1999" t="s">
        <v>267</v>
      </c>
      <c r="DI1999">
        <v>48</v>
      </c>
      <c r="DN1999" t="s">
        <v>268</v>
      </c>
      <c r="DP1999" t="s">
        <v>570</v>
      </c>
      <c r="DR1999">
        <v>6772</v>
      </c>
      <c r="DS1999">
        <v>745</v>
      </c>
      <c r="EW1999" t="s">
        <v>271</v>
      </c>
      <c r="FM1999">
        <v>30</v>
      </c>
      <c r="FR1999" t="s">
        <v>295</v>
      </c>
      <c r="GU1999">
        <v>20</v>
      </c>
      <c r="GZ1999" t="s">
        <v>296</v>
      </c>
      <c r="HH1999" t="s">
        <v>272</v>
      </c>
      <c r="IE1999" t="s">
        <v>3567</v>
      </c>
      <c r="IF1999">
        <v>8412</v>
      </c>
      <c r="IG1999" t="s">
        <v>3568</v>
      </c>
      <c r="IH1999" t="s">
        <v>3569</v>
      </c>
      <c r="II1999">
        <v>1973</v>
      </c>
      <c r="IJ1999" t="s">
        <v>3570</v>
      </c>
    </row>
    <row r="2000" spans="1:244" x14ac:dyDescent="0.45">
      <c r="A2000">
        <v>2307795</v>
      </c>
      <c r="B2000">
        <v>2748541</v>
      </c>
      <c r="C2000">
        <v>10108642</v>
      </c>
      <c r="D2000" t="s">
        <v>3523</v>
      </c>
      <c r="F2000" t="s">
        <v>327</v>
      </c>
      <c r="G2000" t="s">
        <v>2303</v>
      </c>
      <c r="N2000" t="s">
        <v>2523</v>
      </c>
      <c r="O2000" t="s">
        <v>631</v>
      </c>
      <c r="P2000" t="s">
        <v>249</v>
      </c>
      <c r="Q2000" t="s">
        <v>250</v>
      </c>
      <c r="R2000" t="s">
        <v>251</v>
      </c>
      <c r="T2000" t="s">
        <v>389</v>
      </c>
      <c r="U2000" t="s">
        <v>632</v>
      </c>
      <c r="V2000" t="s">
        <v>633</v>
      </c>
      <c r="W2000" t="s">
        <v>634</v>
      </c>
      <c r="X2000" t="s">
        <v>2524</v>
      </c>
      <c r="Z2000" t="s">
        <v>315</v>
      </c>
      <c r="AI2000">
        <v>1</v>
      </c>
      <c r="AJ2000" t="s">
        <v>354</v>
      </c>
      <c r="AM2000" t="s">
        <v>258</v>
      </c>
      <c r="AN2000" t="s">
        <v>259</v>
      </c>
      <c r="AO2000" t="s">
        <v>260</v>
      </c>
      <c r="AQ2000" t="s">
        <v>504</v>
      </c>
      <c r="AS2000">
        <v>3.2000000000000001E-2</v>
      </c>
      <c r="AX2000" t="s">
        <v>356</v>
      </c>
      <c r="BO2000" t="s">
        <v>504</v>
      </c>
      <c r="BQ2000">
        <v>3.2000000000000001E-2</v>
      </c>
      <c r="BV2000" t="s">
        <v>263</v>
      </c>
      <c r="CM2000" t="s">
        <v>264</v>
      </c>
      <c r="CN2000" t="s">
        <v>264</v>
      </c>
      <c r="CP2000" t="s">
        <v>265</v>
      </c>
      <c r="CQ2000" t="s">
        <v>890</v>
      </c>
      <c r="DB2000">
        <v>4</v>
      </c>
      <c r="DG2000" t="s">
        <v>267</v>
      </c>
      <c r="DI2000">
        <v>96</v>
      </c>
      <c r="DN2000" t="s">
        <v>268</v>
      </c>
      <c r="DR2000">
        <v>545071</v>
      </c>
      <c r="DS2000">
        <v>65169</v>
      </c>
      <c r="DT2000" t="s">
        <v>2525</v>
      </c>
      <c r="DV2000">
        <v>96</v>
      </c>
      <c r="EA2000" t="s">
        <v>268</v>
      </c>
      <c r="EC2000">
        <v>4</v>
      </c>
      <c r="EH2000" t="s">
        <v>267</v>
      </c>
      <c r="EJ2000">
        <v>96</v>
      </c>
      <c r="EO2000" t="s">
        <v>268</v>
      </c>
      <c r="EQ2000">
        <v>4</v>
      </c>
      <c r="EV2000" t="s">
        <v>267</v>
      </c>
      <c r="EW2000" t="s">
        <v>293</v>
      </c>
      <c r="EY2000" t="s">
        <v>377</v>
      </c>
      <c r="EZ2000">
        <v>20</v>
      </c>
      <c r="FM2000">
        <v>26</v>
      </c>
      <c r="FR2000" t="s">
        <v>295</v>
      </c>
      <c r="GH2000">
        <v>4.8</v>
      </c>
      <c r="GM2000" t="s">
        <v>356</v>
      </c>
      <c r="GO2000">
        <v>7.8</v>
      </c>
      <c r="GU2000">
        <v>29.5</v>
      </c>
      <c r="GZ2000" t="s">
        <v>362</v>
      </c>
      <c r="HH2000" t="s">
        <v>272</v>
      </c>
      <c r="ID2000" t="s">
        <v>2527</v>
      </c>
      <c r="IE2000" t="s">
        <v>2528</v>
      </c>
      <c r="IF2000">
        <v>192310</v>
      </c>
      <c r="IG2000" t="s">
        <v>2529</v>
      </c>
      <c r="IH2000" t="s">
        <v>2530</v>
      </c>
      <c r="II2000">
        <v>2021</v>
      </c>
      <c r="IJ2000" t="s">
        <v>2531</v>
      </c>
    </row>
    <row r="2001" spans="1:244" x14ac:dyDescent="0.45">
      <c r="A2001">
        <v>1040552</v>
      </c>
      <c r="B2001">
        <v>107765</v>
      </c>
      <c r="C2001">
        <v>10108642</v>
      </c>
      <c r="D2001" t="s">
        <v>3523</v>
      </c>
      <c r="F2001" t="s">
        <v>245</v>
      </c>
      <c r="G2001" t="s">
        <v>246</v>
      </c>
      <c r="N2001" t="s">
        <v>3324</v>
      </c>
      <c r="O2001" t="s">
        <v>3325</v>
      </c>
      <c r="P2001" t="s">
        <v>249</v>
      </c>
      <c r="Q2001" t="s">
        <v>250</v>
      </c>
      <c r="R2001" t="s">
        <v>251</v>
      </c>
      <c r="T2001" t="s">
        <v>252</v>
      </c>
      <c r="U2001" t="s">
        <v>253</v>
      </c>
      <c r="V2001" t="s">
        <v>254</v>
      </c>
      <c r="W2001" t="s">
        <v>1566</v>
      </c>
      <c r="X2001" t="s">
        <v>2540</v>
      </c>
      <c r="Z2001" t="s">
        <v>1057</v>
      </c>
      <c r="AL2001" t="s">
        <v>3326</v>
      </c>
      <c r="AM2001" t="s">
        <v>258</v>
      </c>
      <c r="AN2001" t="s">
        <v>259</v>
      </c>
      <c r="AO2001" t="s">
        <v>260</v>
      </c>
      <c r="AQ2001" t="s">
        <v>261</v>
      </c>
      <c r="AS2001">
        <v>6350</v>
      </c>
      <c r="AX2001" t="s">
        <v>262</v>
      </c>
      <c r="BO2001" t="s">
        <v>261</v>
      </c>
      <c r="BQ2001">
        <v>6.35</v>
      </c>
      <c r="BV2001" t="s">
        <v>263</v>
      </c>
      <c r="CM2001" t="s">
        <v>264</v>
      </c>
      <c r="CN2001" t="s">
        <v>264</v>
      </c>
      <c r="CP2001" t="s">
        <v>265</v>
      </c>
      <c r="CQ2001" t="s">
        <v>890</v>
      </c>
      <c r="DB2001">
        <v>4</v>
      </c>
      <c r="DG2001" t="s">
        <v>267</v>
      </c>
      <c r="DI2001">
        <v>96</v>
      </c>
      <c r="DN2001" t="s">
        <v>268</v>
      </c>
      <c r="DR2001">
        <v>53942</v>
      </c>
      <c r="DS2001">
        <v>2871</v>
      </c>
      <c r="DT2001" t="s">
        <v>3327</v>
      </c>
      <c r="EW2001" t="s">
        <v>271</v>
      </c>
      <c r="GU2001">
        <v>30</v>
      </c>
      <c r="GZ2001" t="s">
        <v>296</v>
      </c>
      <c r="HH2001" t="s">
        <v>272</v>
      </c>
      <c r="IE2001" t="s">
        <v>3328</v>
      </c>
      <c r="IF2001">
        <v>2549</v>
      </c>
      <c r="IG2001" t="s">
        <v>3329</v>
      </c>
      <c r="IH2001" t="s">
        <v>3330</v>
      </c>
      <c r="II2001">
        <v>1989</v>
      </c>
      <c r="IJ2001" t="s">
        <v>3331</v>
      </c>
    </row>
    <row r="2002" spans="1:244" x14ac:dyDescent="0.45">
      <c r="A2002">
        <v>2317096</v>
      </c>
      <c r="B2002">
        <v>2796459</v>
      </c>
      <c r="C2002">
        <v>10108642</v>
      </c>
      <c r="D2002" t="s">
        <v>3523</v>
      </c>
      <c r="E2002" t="s">
        <v>439</v>
      </c>
      <c r="F2002" t="s">
        <v>245</v>
      </c>
      <c r="G2002" t="s">
        <v>272</v>
      </c>
      <c r="N2002" t="s">
        <v>1492</v>
      </c>
      <c r="O2002" t="s">
        <v>1493</v>
      </c>
      <c r="P2002" t="s">
        <v>249</v>
      </c>
      <c r="Q2002" t="s">
        <v>250</v>
      </c>
      <c r="R2002" t="s">
        <v>251</v>
      </c>
      <c r="T2002" t="s">
        <v>252</v>
      </c>
      <c r="U2002" t="s">
        <v>253</v>
      </c>
      <c r="V2002" t="s">
        <v>281</v>
      </c>
      <c r="W2002" t="s">
        <v>282</v>
      </c>
      <c r="X2002" t="s">
        <v>1494</v>
      </c>
      <c r="Z2002" t="s">
        <v>1046</v>
      </c>
      <c r="AB2002">
        <v>1</v>
      </c>
      <c r="AG2002" t="s">
        <v>598</v>
      </c>
      <c r="AJ2002" t="s">
        <v>354</v>
      </c>
      <c r="AM2002" t="s">
        <v>287</v>
      </c>
      <c r="AN2002" t="s">
        <v>259</v>
      </c>
      <c r="AO2002" t="s">
        <v>260</v>
      </c>
      <c r="AQ2002" t="s">
        <v>261</v>
      </c>
      <c r="AS2002">
        <v>247</v>
      </c>
      <c r="AX2002" t="s">
        <v>262</v>
      </c>
      <c r="BO2002" t="s">
        <v>261</v>
      </c>
      <c r="BQ2002">
        <v>0.247</v>
      </c>
      <c r="BV2002" t="s">
        <v>263</v>
      </c>
      <c r="CM2002" t="s">
        <v>264</v>
      </c>
      <c r="CN2002" t="s">
        <v>264</v>
      </c>
      <c r="CP2002" t="s">
        <v>265</v>
      </c>
      <c r="CQ2002" t="s">
        <v>890</v>
      </c>
      <c r="DB2002">
        <v>4</v>
      </c>
      <c r="DG2002" t="s">
        <v>267</v>
      </c>
      <c r="DI2002">
        <v>96</v>
      </c>
      <c r="DN2002" t="s">
        <v>268</v>
      </c>
      <c r="DP2002" t="s">
        <v>3721</v>
      </c>
      <c r="DR2002">
        <v>29965</v>
      </c>
      <c r="DS2002">
        <v>339</v>
      </c>
      <c r="DT2002" t="s">
        <v>1771</v>
      </c>
      <c r="DV2002">
        <v>96</v>
      </c>
      <c r="EA2002" t="s">
        <v>268</v>
      </c>
      <c r="EC2002">
        <v>4</v>
      </c>
      <c r="EH2002" t="s">
        <v>267</v>
      </c>
      <c r="EJ2002">
        <v>96</v>
      </c>
      <c r="EO2002" t="s">
        <v>268</v>
      </c>
      <c r="EQ2002">
        <v>4</v>
      </c>
      <c r="EV2002" t="s">
        <v>267</v>
      </c>
      <c r="EW2002" t="s">
        <v>293</v>
      </c>
      <c r="EZ2002">
        <v>20</v>
      </c>
      <c r="FM2002">
        <v>15</v>
      </c>
      <c r="FR2002" t="s">
        <v>295</v>
      </c>
      <c r="GJ2002">
        <v>6.5</v>
      </c>
      <c r="GL2002">
        <v>8</v>
      </c>
      <c r="GM2002" t="s">
        <v>356</v>
      </c>
      <c r="GO2002">
        <v>8.1</v>
      </c>
      <c r="GU2002">
        <v>33.79</v>
      </c>
      <c r="GZ2002" t="s">
        <v>296</v>
      </c>
      <c r="HH2002" t="s">
        <v>272</v>
      </c>
      <c r="ID2002" t="s">
        <v>1772</v>
      </c>
      <c r="IE2002" t="s">
        <v>1773</v>
      </c>
      <c r="IF2002">
        <v>15497</v>
      </c>
      <c r="IG2002" t="s">
        <v>1774</v>
      </c>
      <c r="IH2002" t="s">
        <v>1775</v>
      </c>
      <c r="II2002">
        <v>1981</v>
      </c>
      <c r="IJ2002" t="s">
        <v>1776</v>
      </c>
    </row>
    <row r="2003" spans="1:244" x14ac:dyDescent="0.45">
      <c r="A2003">
        <v>1282239</v>
      </c>
      <c r="B2003">
        <v>735858</v>
      </c>
      <c r="C2003">
        <v>10108642</v>
      </c>
      <c r="D2003" t="s">
        <v>3523</v>
      </c>
      <c r="E2003" t="s">
        <v>439</v>
      </c>
      <c r="F2003" t="s">
        <v>245</v>
      </c>
      <c r="G2003" t="s">
        <v>246</v>
      </c>
      <c r="N2003" t="s">
        <v>968</v>
      </c>
      <c r="O2003" t="s">
        <v>969</v>
      </c>
      <c r="P2003" t="s">
        <v>249</v>
      </c>
      <c r="Q2003" t="s">
        <v>250</v>
      </c>
      <c r="R2003" t="s">
        <v>251</v>
      </c>
      <c r="T2003" t="s">
        <v>252</v>
      </c>
      <c r="U2003" t="s">
        <v>253</v>
      </c>
      <c r="V2003" t="s">
        <v>418</v>
      </c>
      <c r="W2003" t="s">
        <v>419</v>
      </c>
      <c r="X2003" t="s">
        <v>970</v>
      </c>
      <c r="Z2003" t="s">
        <v>649</v>
      </c>
      <c r="AL2003" t="s">
        <v>1174</v>
      </c>
      <c r="AM2003" t="s">
        <v>258</v>
      </c>
      <c r="AN2003" t="s">
        <v>259</v>
      </c>
      <c r="AO2003" t="s">
        <v>260</v>
      </c>
      <c r="AQ2003" t="s">
        <v>261</v>
      </c>
      <c r="AS2003">
        <v>1.2</v>
      </c>
      <c r="AU2003">
        <v>0.5</v>
      </c>
      <c r="AW2003">
        <v>2.6</v>
      </c>
      <c r="AX2003" t="s">
        <v>356</v>
      </c>
      <c r="BO2003" t="s">
        <v>261</v>
      </c>
      <c r="BQ2003">
        <v>1.2</v>
      </c>
      <c r="BS2003">
        <v>0.5</v>
      </c>
      <c r="BU2003">
        <v>2.6</v>
      </c>
      <c r="BV2003" t="s">
        <v>263</v>
      </c>
      <c r="CM2003" t="s">
        <v>264</v>
      </c>
      <c r="CN2003" t="s">
        <v>264</v>
      </c>
      <c r="CP2003" t="s">
        <v>265</v>
      </c>
      <c r="CQ2003" t="s">
        <v>890</v>
      </c>
      <c r="DB2003">
        <v>4</v>
      </c>
      <c r="DG2003" t="s">
        <v>267</v>
      </c>
      <c r="DI2003">
        <v>96</v>
      </c>
      <c r="DN2003" t="s">
        <v>268</v>
      </c>
      <c r="DP2003" t="s">
        <v>3571</v>
      </c>
      <c r="DS2003">
        <v>1010</v>
      </c>
      <c r="DT2003" t="s">
        <v>1176</v>
      </c>
      <c r="EW2003" t="s">
        <v>293</v>
      </c>
      <c r="FK2003" t="s">
        <v>3722</v>
      </c>
      <c r="FM2003">
        <v>30</v>
      </c>
      <c r="FR2003" t="s">
        <v>295</v>
      </c>
      <c r="GG2003" t="s">
        <v>288</v>
      </c>
      <c r="GH2003">
        <v>90</v>
      </c>
      <c r="GM2003" t="s">
        <v>900</v>
      </c>
      <c r="GO2003">
        <v>8</v>
      </c>
      <c r="GU2003">
        <v>36</v>
      </c>
      <c r="GZ2003" t="s">
        <v>296</v>
      </c>
      <c r="HH2003" t="s">
        <v>272</v>
      </c>
      <c r="ID2003" t="s">
        <v>3723</v>
      </c>
      <c r="IE2003" t="s">
        <v>1179</v>
      </c>
      <c r="IF2003">
        <v>4973</v>
      </c>
      <c r="IG2003" t="s">
        <v>1180</v>
      </c>
      <c r="IH2003" t="s">
        <v>1181</v>
      </c>
      <c r="II2003">
        <v>1982</v>
      </c>
      <c r="IJ2003" t="s">
        <v>1182</v>
      </c>
    </row>
    <row r="2004" spans="1:244" x14ac:dyDescent="0.45">
      <c r="A2004">
        <v>1125824</v>
      </c>
      <c r="B2004">
        <v>95003</v>
      </c>
      <c r="C2004">
        <v>10108642</v>
      </c>
      <c r="D2004" t="s">
        <v>3523</v>
      </c>
      <c r="F2004" t="s">
        <v>245</v>
      </c>
      <c r="G2004" t="s">
        <v>246</v>
      </c>
      <c r="N2004" t="s">
        <v>1931</v>
      </c>
      <c r="O2004" t="s">
        <v>248</v>
      </c>
      <c r="P2004" t="s">
        <v>249</v>
      </c>
      <c r="Q2004" t="s">
        <v>250</v>
      </c>
      <c r="R2004" t="s">
        <v>251</v>
      </c>
      <c r="T2004" t="s">
        <v>252</v>
      </c>
      <c r="U2004" t="s">
        <v>253</v>
      </c>
      <c r="V2004" t="s">
        <v>254</v>
      </c>
      <c r="W2004" t="s">
        <v>1932</v>
      </c>
      <c r="X2004" t="s">
        <v>1933</v>
      </c>
      <c r="Z2004" t="s">
        <v>284</v>
      </c>
      <c r="AA2004" t="s">
        <v>352</v>
      </c>
      <c r="AB2004">
        <v>12</v>
      </c>
      <c r="AG2004" t="s">
        <v>268</v>
      </c>
      <c r="AL2004" t="s">
        <v>1934</v>
      </c>
      <c r="AM2004" t="s">
        <v>317</v>
      </c>
      <c r="AN2004" t="s">
        <v>259</v>
      </c>
      <c r="AO2004" t="s">
        <v>260</v>
      </c>
      <c r="AQ2004" t="s">
        <v>261</v>
      </c>
      <c r="AS2004">
        <v>0.25</v>
      </c>
      <c r="AU2004">
        <v>0.21</v>
      </c>
      <c r="AW2004">
        <v>0.3</v>
      </c>
      <c r="AX2004" t="s">
        <v>356</v>
      </c>
      <c r="BO2004" t="s">
        <v>261</v>
      </c>
      <c r="BQ2004">
        <v>0.25</v>
      </c>
      <c r="BS2004">
        <v>0.21</v>
      </c>
      <c r="BU2004">
        <v>0.3</v>
      </c>
      <c r="BV2004" t="s">
        <v>263</v>
      </c>
      <c r="CM2004" t="s">
        <v>264</v>
      </c>
      <c r="CN2004" t="s">
        <v>264</v>
      </c>
      <c r="CP2004" t="s">
        <v>265</v>
      </c>
      <c r="DB2004">
        <v>2</v>
      </c>
      <c r="DG2004" t="s">
        <v>267</v>
      </c>
      <c r="DI2004">
        <v>48</v>
      </c>
      <c r="DN2004" t="s">
        <v>268</v>
      </c>
      <c r="DS2004">
        <v>2490</v>
      </c>
      <c r="DT2004" t="s">
        <v>1918</v>
      </c>
      <c r="EW2004" t="s">
        <v>333</v>
      </c>
      <c r="FK2004" t="s">
        <v>1935</v>
      </c>
      <c r="FM2004">
        <v>26</v>
      </c>
      <c r="FR2004" t="s">
        <v>295</v>
      </c>
      <c r="GU2004">
        <v>35</v>
      </c>
      <c r="GZ2004" t="s">
        <v>296</v>
      </c>
      <c r="HH2004" t="s">
        <v>272</v>
      </c>
      <c r="ID2004" t="s">
        <v>1936</v>
      </c>
      <c r="IE2004" t="s">
        <v>1921</v>
      </c>
      <c r="IF2004">
        <v>10063</v>
      </c>
      <c r="IG2004" t="s">
        <v>1922</v>
      </c>
      <c r="IH2004" t="s">
        <v>1923</v>
      </c>
      <c r="II2004">
        <v>1983</v>
      </c>
      <c r="IJ2004" t="s">
        <v>1924</v>
      </c>
    </row>
    <row r="2005" spans="1:244" x14ac:dyDescent="0.45">
      <c r="A2005">
        <v>1054827</v>
      </c>
      <c r="B2005">
        <v>12226</v>
      </c>
      <c r="C2005">
        <v>10108642</v>
      </c>
      <c r="D2005" t="s">
        <v>3523</v>
      </c>
      <c r="F2005" t="s">
        <v>245</v>
      </c>
      <c r="G2005" t="s">
        <v>246</v>
      </c>
      <c r="N2005" t="s">
        <v>3724</v>
      </c>
      <c r="O2005" t="s">
        <v>646</v>
      </c>
      <c r="P2005" t="s">
        <v>249</v>
      </c>
      <c r="Q2005" t="s">
        <v>250</v>
      </c>
      <c r="R2005" t="s">
        <v>251</v>
      </c>
      <c r="T2005" t="s">
        <v>252</v>
      </c>
      <c r="U2005" t="s">
        <v>371</v>
      </c>
      <c r="V2005" t="s">
        <v>372</v>
      </c>
      <c r="W2005" t="s">
        <v>3725</v>
      </c>
      <c r="X2005" t="s">
        <v>3726</v>
      </c>
      <c r="Z2005" t="s">
        <v>315</v>
      </c>
      <c r="AM2005" t="s">
        <v>317</v>
      </c>
      <c r="AN2005" t="s">
        <v>259</v>
      </c>
      <c r="AO2005" t="s">
        <v>260</v>
      </c>
      <c r="AQ2005" t="s">
        <v>261</v>
      </c>
      <c r="AU2005">
        <v>500</v>
      </c>
      <c r="AW2005">
        <v>1000</v>
      </c>
      <c r="AX2005" t="s">
        <v>262</v>
      </c>
      <c r="BO2005" t="s">
        <v>261</v>
      </c>
      <c r="BS2005">
        <v>0.5</v>
      </c>
      <c r="BU2005">
        <v>1</v>
      </c>
      <c r="BV2005" t="s">
        <v>263</v>
      </c>
      <c r="CM2005" t="s">
        <v>264</v>
      </c>
      <c r="CN2005" t="s">
        <v>264</v>
      </c>
      <c r="CP2005" t="s">
        <v>265</v>
      </c>
      <c r="CQ2005" t="s">
        <v>890</v>
      </c>
      <c r="DB2005">
        <v>2</v>
      </c>
      <c r="DG2005" t="s">
        <v>267</v>
      </c>
      <c r="DI2005">
        <v>48</v>
      </c>
      <c r="DN2005" t="s">
        <v>268</v>
      </c>
      <c r="DR2005">
        <v>236562</v>
      </c>
      <c r="DS2005">
        <v>3034</v>
      </c>
      <c r="DT2005" t="s">
        <v>3727</v>
      </c>
      <c r="EW2005" t="s">
        <v>271</v>
      </c>
      <c r="HH2005" t="s">
        <v>272</v>
      </c>
      <c r="IE2005" t="s">
        <v>3728</v>
      </c>
      <c r="IF2005">
        <v>3802</v>
      </c>
      <c r="IG2005" t="s">
        <v>3729</v>
      </c>
      <c r="IH2005" t="s">
        <v>3730</v>
      </c>
      <c r="II2005">
        <v>1991</v>
      </c>
      <c r="IJ2005" t="s">
        <v>3731</v>
      </c>
    </row>
    <row r="2006" spans="1:244" x14ac:dyDescent="0.45">
      <c r="A2006">
        <v>1204044</v>
      </c>
      <c r="B2006">
        <v>183903</v>
      </c>
      <c r="C2006">
        <v>10108642</v>
      </c>
      <c r="D2006" t="s">
        <v>3523</v>
      </c>
      <c r="F2006" t="s">
        <v>245</v>
      </c>
      <c r="G2006" t="s">
        <v>246</v>
      </c>
      <c r="N2006" t="s">
        <v>1183</v>
      </c>
      <c r="O2006" t="s">
        <v>1184</v>
      </c>
      <c r="P2006" t="s">
        <v>249</v>
      </c>
      <c r="Q2006" t="s">
        <v>250</v>
      </c>
      <c r="R2006" t="s">
        <v>251</v>
      </c>
      <c r="T2006" t="s">
        <v>252</v>
      </c>
      <c r="U2006" t="s">
        <v>253</v>
      </c>
      <c r="V2006" t="s">
        <v>418</v>
      </c>
      <c r="W2006" t="s">
        <v>419</v>
      </c>
      <c r="X2006" t="s">
        <v>393</v>
      </c>
      <c r="Z2006" t="s">
        <v>421</v>
      </c>
      <c r="AL2006" t="s">
        <v>3611</v>
      </c>
      <c r="AM2006" t="s">
        <v>258</v>
      </c>
      <c r="AN2006" t="s">
        <v>259</v>
      </c>
      <c r="AO2006" t="s">
        <v>260</v>
      </c>
      <c r="AQ2006" t="s">
        <v>261</v>
      </c>
      <c r="AS2006">
        <v>3405</v>
      </c>
      <c r="AX2006" t="s">
        <v>262</v>
      </c>
      <c r="BO2006" t="s">
        <v>261</v>
      </c>
      <c r="BQ2006">
        <v>3.4049999999999998</v>
      </c>
      <c r="BV2006" t="s">
        <v>263</v>
      </c>
      <c r="CM2006" t="s">
        <v>264</v>
      </c>
      <c r="CN2006" t="s">
        <v>264</v>
      </c>
      <c r="CP2006" t="s">
        <v>265</v>
      </c>
      <c r="CQ2006" t="s">
        <v>890</v>
      </c>
      <c r="DB2006">
        <v>4</v>
      </c>
      <c r="DG2006" t="s">
        <v>267</v>
      </c>
      <c r="DI2006">
        <v>96</v>
      </c>
      <c r="DN2006" t="s">
        <v>268</v>
      </c>
      <c r="DS2006">
        <v>388</v>
      </c>
      <c r="DT2006" t="s">
        <v>3584</v>
      </c>
      <c r="EW2006" t="s">
        <v>293</v>
      </c>
      <c r="FM2006">
        <v>25</v>
      </c>
      <c r="FR2006" t="s">
        <v>295</v>
      </c>
      <c r="GU2006">
        <v>36</v>
      </c>
      <c r="GZ2006" t="s">
        <v>296</v>
      </c>
      <c r="HH2006" t="s">
        <v>272</v>
      </c>
      <c r="IE2006" t="s">
        <v>3585</v>
      </c>
      <c r="IF2006">
        <v>18546</v>
      </c>
      <c r="IG2006" t="s">
        <v>3586</v>
      </c>
      <c r="IH2006" t="s">
        <v>3587</v>
      </c>
      <c r="II2006">
        <v>1995</v>
      </c>
      <c r="IJ2006" t="s">
        <v>3588</v>
      </c>
    </row>
    <row r="2007" spans="1:244" x14ac:dyDescent="0.45">
      <c r="A2007">
        <v>1304648</v>
      </c>
      <c r="B2007">
        <v>761296</v>
      </c>
      <c r="C2007">
        <v>10108642</v>
      </c>
      <c r="D2007" t="s">
        <v>3523</v>
      </c>
      <c r="F2007" t="s">
        <v>245</v>
      </c>
      <c r="G2007" t="s">
        <v>246</v>
      </c>
      <c r="N2007" t="s">
        <v>1230</v>
      </c>
      <c r="O2007" t="s">
        <v>248</v>
      </c>
      <c r="P2007" t="s">
        <v>249</v>
      </c>
      <c r="Q2007" t="s">
        <v>250</v>
      </c>
      <c r="R2007" t="s">
        <v>251</v>
      </c>
      <c r="T2007" t="s">
        <v>252</v>
      </c>
      <c r="U2007" t="s">
        <v>253</v>
      </c>
      <c r="V2007" t="s">
        <v>1231</v>
      </c>
      <c r="W2007" t="s">
        <v>1232</v>
      </c>
      <c r="X2007" t="s">
        <v>1233</v>
      </c>
      <c r="Z2007" t="s">
        <v>1046</v>
      </c>
      <c r="AA2007" t="s">
        <v>289</v>
      </c>
      <c r="AB2007">
        <v>8</v>
      </c>
      <c r="AG2007" t="s">
        <v>353</v>
      </c>
      <c r="AM2007" t="s">
        <v>258</v>
      </c>
      <c r="AN2007" t="s">
        <v>259</v>
      </c>
      <c r="AO2007" t="s">
        <v>260</v>
      </c>
      <c r="AP2007">
        <v>7</v>
      </c>
      <c r="AQ2007" t="s">
        <v>261</v>
      </c>
      <c r="AS2007">
        <v>66.8</v>
      </c>
      <c r="AU2007">
        <v>36.1</v>
      </c>
      <c r="AW2007">
        <v>117.3</v>
      </c>
      <c r="AX2007" t="s">
        <v>262</v>
      </c>
      <c r="BO2007" t="s">
        <v>261</v>
      </c>
      <c r="BQ2007">
        <v>6.6799999999999998E-2</v>
      </c>
      <c r="BS2007">
        <v>3.61E-2</v>
      </c>
      <c r="BU2007">
        <v>0.1173</v>
      </c>
      <c r="BV2007" t="s">
        <v>263</v>
      </c>
      <c r="CM2007" t="s">
        <v>264</v>
      </c>
      <c r="CN2007" t="s">
        <v>264</v>
      </c>
      <c r="CP2007" t="s">
        <v>265</v>
      </c>
      <c r="CQ2007" t="s">
        <v>890</v>
      </c>
      <c r="DB2007">
        <v>3</v>
      </c>
      <c r="DG2007" t="s">
        <v>267</v>
      </c>
      <c r="DI2007">
        <v>72</v>
      </c>
      <c r="DN2007" t="s">
        <v>268</v>
      </c>
      <c r="DP2007" t="s">
        <v>3608</v>
      </c>
      <c r="DS2007">
        <v>4771</v>
      </c>
      <c r="DT2007" t="s">
        <v>1235</v>
      </c>
      <c r="EW2007" t="s">
        <v>293</v>
      </c>
      <c r="FA2007" t="s">
        <v>397</v>
      </c>
      <c r="FK2007" t="s">
        <v>3609</v>
      </c>
      <c r="FM2007">
        <v>22</v>
      </c>
      <c r="FR2007" t="s">
        <v>295</v>
      </c>
      <c r="GO2007">
        <v>8</v>
      </c>
      <c r="GU2007">
        <v>35</v>
      </c>
      <c r="GZ2007" t="s">
        <v>362</v>
      </c>
      <c r="HH2007" t="s">
        <v>272</v>
      </c>
      <c r="ID2007" t="s">
        <v>3610</v>
      </c>
      <c r="IE2007" t="s">
        <v>1238</v>
      </c>
      <c r="IF2007">
        <v>97270</v>
      </c>
      <c r="IG2007" t="s">
        <v>1239</v>
      </c>
      <c r="IH2007" t="s">
        <v>1240</v>
      </c>
      <c r="II2007">
        <v>2006</v>
      </c>
      <c r="IJ2007" t="s">
        <v>1241</v>
      </c>
    </row>
    <row r="2008" spans="1:244" x14ac:dyDescent="0.45">
      <c r="A2008">
        <v>1139072</v>
      </c>
      <c r="B2008">
        <v>232031</v>
      </c>
      <c r="C2008">
        <v>10108642</v>
      </c>
      <c r="D2008" t="s">
        <v>3523</v>
      </c>
      <c r="E2008" t="s">
        <v>3539</v>
      </c>
      <c r="F2008" t="s">
        <v>327</v>
      </c>
      <c r="G2008" t="s">
        <v>246</v>
      </c>
      <c r="N2008" t="s">
        <v>3540</v>
      </c>
      <c r="O2008" t="s">
        <v>248</v>
      </c>
      <c r="P2008" t="s">
        <v>249</v>
      </c>
      <c r="Q2008" t="s">
        <v>250</v>
      </c>
      <c r="R2008" t="s">
        <v>251</v>
      </c>
      <c r="T2008" t="s">
        <v>252</v>
      </c>
      <c r="U2008" t="s">
        <v>253</v>
      </c>
      <c r="V2008" t="s">
        <v>1231</v>
      </c>
      <c r="W2008" t="s">
        <v>3541</v>
      </c>
      <c r="X2008" t="s">
        <v>3542</v>
      </c>
      <c r="AJ2008" t="s">
        <v>285</v>
      </c>
      <c r="AL2008" t="s">
        <v>3543</v>
      </c>
      <c r="AM2008" t="s">
        <v>317</v>
      </c>
      <c r="AN2008" t="s">
        <v>259</v>
      </c>
      <c r="AO2008" t="s">
        <v>260</v>
      </c>
      <c r="AQ2008" t="s">
        <v>261</v>
      </c>
      <c r="AS2008">
        <v>33.9</v>
      </c>
      <c r="AU2008">
        <v>31.8</v>
      </c>
      <c r="AW2008">
        <v>36.1</v>
      </c>
      <c r="AX2008" t="s">
        <v>356</v>
      </c>
      <c r="BO2008" t="s">
        <v>261</v>
      </c>
      <c r="BQ2008">
        <v>33.9</v>
      </c>
      <c r="BS2008">
        <v>31.8</v>
      </c>
      <c r="BU2008">
        <v>36.1</v>
      </c>
      <c r="BV2008" t="s">
        <v>263</v>
      </c>
      <c r="CM2008" t="s">
        <v>264</v>
      </c>
      <c r="CN2008" t="s">
        <v>264</v>
      </c>
      <c r="CP2008" t="s">
        <v>265</v>
      </c>
      <c r="CQ2008" t="s">
        <v>890</v>
      </c>
      <c r="DB2008">
        <v>4</v>
      </c>
      <c r="DG2008" t="s">
        <v>267</v>
      </c>
      <c r="DI2008">
        <v>96</v>
      </c>
      <c r="DN2008" t="s">
        <v>268</v>
      </c>
      <c r="DR2008">
        <v>151182</v>
      </c>
      <c r="DS2008">
        <v>11260</v>
      </c>
      <c r="EW2008" t="s">
        <v>272</v>
      </c>
      <c r="FK2008" t="s">
        <v>442</v>
      </c>
      <c r="FM2008">
        <v>15</v>
      </c>
      <c r="FR2008" t="s">
        <v>295</v>
      </c>
      <c r="GU2008">
        <v>32</v>
      </c>
      <c r="GZ2008" t="s">
        <v>900</v>
      </c>
      <c r="HH2008" t="s">
        <v>272</v>
      </c>
      <c r="ID2008" t="s">
        <v>443</v>
      </c>
      <c r="IE2008" t="s">
        <v>3546</v>
      </c>
      <c r="IF2008">
        <v>11524</v>
      </c>
      <c r="IG2008" t="s">
        <v>3547</v>
      </c>
      <c r="IH2008" t="s">
        <v>3548</v>
      </c>
      <c r="II2008">
        <v>1983</v>
      </c>
      <c r="IJ2008" t="s">
        <v>3549</v>
      </c>
    </row>
    <row r="2009" spans="1:244" x14ac:dyDescent="0.45">
      <c r="A2009">
        <v>1135991</v>
      </c>
      <c r="B2009">
        <v>90611</v>
      </c>
      <c r="C2009">
        <v>10108642</v>
      </c>
      <c r="D2009" t="s">
        <v>3523</v>
      </c>
      <c r="F2009" t="s">
        <v>245</v>
      </c>
      <c r="G2009" t="s">
        <v>246</v>
      </c>
      <c r="N2009" t="s">
        <v>471</v>
      </c>
      <c r="O2009" t="s">
        <v>388</v>
      </c>
      <c r="P2009" t="s">
        <v>249</v>
      </c>
      <c r="Q2009" t="s">
        <v>250</v>
      </c>
      <c r="R2009" t="s">
        <v>251</v>
      </c>
      <c r="T2009" t="s">
        <v>389</v>
      </c>
      <c r="U2009" t="s">
        <v>390</v>
      </c>
      <c r="V2009" t="s">
        <v>472</v>
      </c>
      <c r="W2009" t="s">
        <v>473</v>
      </c>
      <c r="X2009" t="s">
        <v>474</v>
      </c>
      <c r="Z2009" t="s">
        <v>2426</v>
      </c>
      <c r="AB2009">
        <v>10</v>
      </c>
      <c r="AG2009" t="s">
        <v>267</v>
      </c>
      <c r="AM2009" t="s">
        <v>317</v>
      </c>
      <c r="AN2009" t="s">
        <v>259</v>
      </c>
      <c r="AO2009" t="s">
        <v>260</v>
      </c>
      <c r="AQ2009" t="s">
        <v>261</v>
      </c>
      <c r="AS2009">
        <v>906.1</v>
      </c>
      <c r="AX2009" t="s">
        <v>262</v>
      </c>
      <c r="BO2009" t="s">
        <v>261</v>
      </c>
      <c r="BQ2009">
        <v>0.90610000000000002</v>
      </c>
      <c r="BV2009" t="s">
        <v>263</v>
      </c>
      <c r="CM2009" t="s">
        <v>264</v>
      </c>
      <c r="CN2009" t="s">
        <v>264</v>
      </c>
      <c r="CP2009" t="s">
        <v>265</v>
      </c>
      <c r="CQ2009" t="s">
        <v>890</v>
      </c>
      <c r="DB2009">
        <v>2</v>
      </c>
      <c r="DG2009" t="s">
        <v>267</v>
      </c>
      <c r="DI2009">
        <v>48</v>
      </c>
      <c r="DN2009" t="s">
        <v>268</v>
      </c>
      <c r="DR2009">
        <v>2056173</v>
      </c>
      <c r="DS2009">
        <v>1053</v>
      </c>
      <c r="DT2009" t="s">
        <v>2671</v>
      </c>
      <c r="EW2009" t="s">
        <v>271</v>
      </c>
      <c r="FA2009" t="s">
        <v>2672</v>
      </c>
      <c r="FM2009">
        <v>18</v>
      </c>
      <c r="FR2009" t="s">
        <v>295</v>
      </c>
      <c r="GU2009">
        <v>38</v>
      </c>
      <c r="GZ2009" t="s">
        <v>296</v>
      </c>
      <c r="HH2009" t="s">
        <v>272</v>
      </c>
      <c r="IE2009" t="s">
        <v>2299</v>
      </c>
      <c r="IF2009">
        <v>11097</v>
      </c>
      <c r="IG2009" t="s">
        <v>2673</v>
      </c>
      <c r="IH2009" t="s">
        <v>2674</v>
      </c>
      <c r="II2009">
        <v>1982</v>
      </c>
      <c r="IJ2009" t="s">
        <v>2675</v>
      </c>
    </row>
    <row r="2010" spans="1:244" x14ac:dyDescent="0.45">
      <c r="A2010">
        <v>1176454</v>
      </c>
      <c r="B2010">
        <v>131555</v>
      </c>
      <c r="C2010">
        <v>10108642</v>
      </c>
      <c r="D2010" t="s">
        <v>3523</v>
      </c>
      <c r="F2010" t="s">
        <v>245</v>
      </c>
      <c r="G2010" t="s">
        <v>246</v>
      </c>
      <c r="N2010" t="s">
        <v>3524</v>
      </c>
      <c r="O2010" t="s">
        <v>498</v>
      </c>
      <c r="P2010" t="s">
        <v>249</v>
      </c>
      <c r="Q2010" t="s">
        <v>250</v>
      </c>
      <c r="R2010" t="s">
        <v>251</v>
      </c>
      <c r="T2010" t="s">
        <v>252</v>
      </c>
      <c r="U2010" t="s">
        <v>1244</v>
      </c>
      <c r="V2010" t="s">
        <v>1314</v>
      </c>
      <c r="W2010" t="s">
        <v>3525</v>
      </c>
      <c r="X2010" t="s">
        <v>3526</v>
      </c>
      <c r="AM2010" t="s">
        <v>317</v>
      </c>
      <c r="AN2010" t="s">
        <v>259</v>
      </c>
      <c r="AO2010" t="s">
        <v>260</v>
      </c>
      <c r="AQ2010" t="s">
        <v>261</v>
      </c>
      <c r="AS2010">
        <v>2280</v>
      </c>
      <c r="AX2010" t="s">
        <v>262</v>
      </c>
      <c r="BO2010" t="s">
        <v>261</v>
      </c>
      <c r="BQ2010">
        <v>2.2799999999999998</v>
      </c>
      <c r="BV2010" t="s">
        <v>263</v>
      </c>
      <c r="CM2010" t="s">
        <v>264</v>
      </c>
      <c r="CN2010" t="s">
        <v>264</v>
      </c>
      <c r="CP2010" t="s">
        <v>265</v>
      </c>
      <c r="CQ2010" t="s">
        <v>890</v>
      </c>
      <c r="DB2010">
        <v>4</v>
      </c>
      <c r="DG2010" t="s">
        <v>267</v>
      </c>
      <c r="DI2010">
        <v>96</v>
      </c>
      <c r="DN2010" t="s">
        <v>268</v>
      </c>
      <c r="DR2010">
        <v>1131516</v>
      </c>
      <c r="DS2010">
        <v>4704</v>
      </c>
      <c r="EW2010" t="s">
        <v>271</v>
      </c>
      <c r="HH2010" t="s">
        <v>272</v>
      </c>
      <c r="IE2010" t="s">
        <v>3527</v>
      </c>
      <c r="IF2010">
        <v>15300</v>
      </c>
      <c r="IG2010" t="s">
        <v>3528</v>
      </c>
      <c r="IH2010" t="s">
        <v>3529</v>
      </c>
      <c r="II2010">
        <v>1979</v>
      </c>
      <c r="IJ2010" t="s">
        <v>3530</v>
      </c>
    </row>
    <row r="2011" spans="1:244" x14ac:dyDescent="0.45">
      <c r="A2011">
        <v>1212636</v>
      </c>
      <c r="B2011">
        <v>184650</v>
      </c>
      <c r="C2011">
        <v>10108642</v>
      </c>
      <c r="D2011" t="s">
        <v>3523</v>
      </c>
      <c r="E2011" t="s">
        <v>386</v>
      </c>
      <c r="F2011" t="s">
        <v>245</v>
      </c>
      <c r="G2011" t="s">
        <v>246</v>
      </c>
      <c r="N2011" t="s">
        <v>3732</v>
      </c>
      <c r="O2011" t="s">
        <v>498</v>
      </c>
      <c r="P2011" t="s">
        <v>249</v>
      </c>
      <c r="Q2011" t="s">
        <v>250</v>
      </c>
      <c r="R2011" t="s">
        <v>251</v>
      </c>
      <c r="T2011" t="s">
        <v>252</v>
      </c>
      <c r="U2011" t="s">
        <v>499</v>
      </c>
      <c r="V2011" t="s">
        <v>500</v>
      </c>
      <c r="W2011" t="s">
        <v>893</v>
      </c>
      <c r="X2011" t="s">
        <v>3733</v>
      </c>
      <c r="Z2011" t="s">
        <v>649</v>
      </c>
      <c r="AL2011" t="s">
        <v>3734</v>
      </c>
      <c r="AM2011" t="s">
        <v>287</v>
      </c>
      <c r="AN2011" t="s">
        <v>259</v>
      </c>
      <c r="AO2011" t="s">
        <v>260</v>
      </c>
      <c r="AQ2011" t="s">
        <v>261</v>
      </c>
      <c r="AS2011">
        <v>0.59</v>
      </c>
      <c r="AU2011">
        <v>0.43</v>
      </c>
      <c r="AW2011">
        <v>0.82</v>
      </c>
      <c r="AX2011" t="s">
        <v>356</v>
      </c>
      <c r="BO2011" t="s">
        <v>261</v>
      </c>
      <c r="BQ2011">
        <v>0.59</v>
      </c>
      <c r="BS2011">
        <v>0.43</v>
      </c>
      <c r="BU2011">
        <v>0.82</v>
      </c>
      <c r="BV2011" t="s">
        <v>263</v>
      </c>
      <c r="CM2011" t="s">
        <v>264</v>
      </c>
      <c r="CN2011" t="s">
        <v>264</v>
      </c>
      <c r="CP2011" t="s">
        <v>265</v>
      </c>
      <c r="CQ2011" t="s">
        <v>890</v>
      </c>
      <c r="DB2011">
        <v>4</v>
      </c>
      <c r="DG2011" t="s">
        <v>267</v>
      </c>
      <c r="DI2011">
        <v>96</v>
      </c>
      <c r="DN2011" t="s">
        <v>268</v>
      </c>
      <c r="DR2011">
        <v>65426</v>
      </c>
      <c r="DS2011">
        <v>712</v>
      </c>
      <c r="EW2011" t="s">
        <v>293</v>
      </c>
      <c r="FM2011">
        <v>15</v>
      </c>
      <c r="FR2011" t="s">
        <v>295</v>
      </c>
      <c r="GH2011">
        <v>8</v>
      </c>
      <c r="GM2011" t="s">
        <v>356</v>
      </c>
      <c r="GW2011">
        <v>33</v>
      </c>
      <c r="GY2011">
        <v>35</v>
      </c>
      <c r="GZ2011" t="s">
        <v>296</v>
      </c>
      <c r="HH2011" t="s">
        <v>272</v>
      </c>
      <c r="IE2011" t="s">
        <v>3735</v>
      </c>
      <c r="IF2011">
        <v>19838</v>
      </c>
      <c r="IG2011" t="s">
        <v>3736</v>
      </c>
      <c r="IH2011" t="s">
        <v>3737</v>
      </c>
      <c r="II2011">
        <v>1996</v>
      </c>
      <c r="IJ2011" t="s">
        <v>3738</v>
      </c>
    </row>
    <row r="2012" spans="1:244" x14ac:dyDescent="0.45">
      <c r="A2012">
        <v>1123277</v>
      </c>
      <c r="B2012">
        <v>145117</v>
      </c>
      <c r="C2012">
        <v>10108642</v>
      </c>
      <c r="D2012" t="s">
        <v>3523</v>
      </c>
      <c r="E2012" t="s">
        <v>386</v>
      </c>
      <c r="F2012" t="s">
        <v>245</v>
      </c>
      <c r="G2012" t="s">
        <v>246</v>
      </c>
      <c r="N2012" t="s">
        <v>1202</v>
      </c>
      <c r="O2012" t="s">
        <v>498</v>
      </c>
      <c r="P2012" t="s">
        <v>249</v>
      </c>
      <c r="Q2012" t="s">
        <v>250</v>
      </c>
      <c r="R2012" t="s">
        <v>251</v>
      </c>
      <c r="T2012" t="s">
        <v>252</v>
      </c>
      <c r="U2012" t="s">
        <v>499</v>
      </c>
      <c r="V2012" t="s">
        <v>500</v>
      </c>
      <c r="W2012" t="s">
        <v>501</v>
      </c>
      <c r="X2012" t="s">
        <v>1203</v>
      </c>
      <c r="AL2012" t="s">
        <v>1204</v>
      </c>
      <c r="AM2012" t="s">
        <v>287</v>
      </c>
      <c r="AN2012" t="s">
        <v>259</v>
      </c>
      <c r="AO2012" t="s">
        <v>260</v>
      </c>
      <c r="AQ2012" t="s">
        <v>261</v>
      </c>
      <c r="AS2012">
        <v>900</v>
      </c>
      <c r="AU2012">
        <v>600</v>
      </c>
      <c r="AW2012">
        <v>1300</v>
      </c>
      <c r="AX2012" t="s">
        <v>262</v>
      </c>
      <c r="BO2012" t="s">
        <v>261</v>
      </c>
      <c r="BQ2012">
        <v>0.9</v>
      </c>
      <c r="BS2012">
        <v>0.6</v>
      </c>
      <c r="BU2012">
        <v>1.3</v>
      </c>
      <c r="BV2012" t="s">
        <v>263</v>
      </c>
      <c r="CM2012" t="s">
        <v>264</v>
      </c>
      <c r="CN2012" t="s">
        <v>264</v>
      </c>
      <c r="CP2012" t="s">
        <v>265</v>
      </c>
      <c r="CQ2012" t="s">
        <v>890</v>
      </c>
      <c r="DB2012">
        <v>4</v>
      </c>
      <c r="DG2012" t="s">
        <v>267</v>
      </c>
      <c r="DI2012">
        <v>96</v>
      </c>
      <c r="DN2012" t="s">
        <v>268</v>
      </c>
      <c r="DS2012">
        <v>4697</v>
      </c>
      <c r="DT2012" t="s">
        <v>1205</v>
      </c>
      <c r="EW2012" t="s">
        <v>293</v>
      </c>
      <c r="FM2012">
        <v>19</v>
      </c>
      <c r="FR2012" t="s">
        <v>295</v>
      </c>
      <c r="HH2012" t="s">
        <v>272</v>
      </c>
      <c r="IE2012" t="s">
        <v>1206</v>
      </c>
      <c r="IF2012">
        <v>9755</v>
      </c>
      <c r="IG2012" t="s">
        <v>1207</v>
      </c>
      <c r="IH2012" t="s">
        <v>1208</v>
      </c>
      <c r="II2012">
        <v>1993</v>
      </c>
      <c r="IJ2012" t="s">
        <v>1209</v>
      </c>
    </row>
    <row r="2013" spans="1:244" x14ac:dyDescent="0.45">
      <c r="A2013">
        <v>1193478</v>
      </c>
      <c r="B2013">
        <v>170385</v>
      </c>
      <c r="C2013">
        <v>10108642</v>
      </c>
      <c r="D2013" t="s">
        <v>3523</v>
      </c>
      <c r="F2013" t="s">
        <v>245</v>
      </c>
      <c r="G2013" t="s">
        <v>246</v>
      </c>
      <c r="N2013" t="s">
        <v>3739</v>
      </c>
      <c r="O2013" t="s">
        <v>498</v>
      </c>
      <c r="P2013" t="s">
        <v>249</v>
      </c>
      <c r="Q2013" t="s">
        <v>250</v>
      </c>
      <c r="R2013" t="s">
        <v>251</v>
      </c>
      <c r="T2013" t="s">
        <v>252</v>
      </c>
      <c r="U2013" t="s">
        <v>499</v>
      </c>
      <c r="V2013" t="s">
        <v>3740</v>
      </c>
      <c r="W2013" t="s">
        <v>3741</v>
      </c>
      <c r="X2013" t="s">
        <v>3742</v>
      </c>
      <c r="Z2013" t="s">
        <v>649</v>
      </c>
      <c r="AL2013" t="s">
        <v>3743</v>
      </c>
      <c r="AM2013" t="s">
        <v>317</v>
      </c>
      <c r="AN2013" t="s">
        <v>259</v>
      </c>
      <c r="AO2013" t="s">
        <v>260</v>
      </c>
      <c r="AQ2013" t="s">
        <v>1569</v>
      </c>
      <c r="AR2013" t="s">
        <v>289</v>
      </c>
      <c r="AS2013">
        <v>20</v>
      </c>
      <c r="AX2013" t="s">
        <v>262</v>
      </c>
      <c r="AY2013" t="s">
        <v>261</v>
      </c>
      <c r="AZ2013" t="s">
        <v>289</v>
      </c>
      <c r="BA2013">
        <v>240</v>
      </c>
      <c r="BF2013" t="s">
        <v>262</v>
      </c>
      <c r="BO2013" t="s">
        <v>1569</v>
      </c>
      <c r="BP2013" t="s">
        <v>289</v>
      </c>
      <c r="BQ2013">
        <v>0.02</v>
      </c>
      <c r="BV2013" t="s">
        <v>263</v>
      </c>
      <c r="BW2013" t="s">
        <v>261</v>
      </c>
      <c r="BX2013" t="s">
        <v>289</v>
      </c>
      <c r="BY2013">
        <v>0.24</v>
      </c>
      <c r="CD2013" t="s">
        <v>263</v>
      </c>
      <c r="CM2013" t="s">
        <v>264</v>
      </c>
      <c r="CN2013" t="s">
        <v>264</v>
      </c>
      <c r="CP2013" t="s">
        <v>265</v>
      </c>
      <c r="CQ2013" t="s">
        <v>890</v>
      </c>
      <c r="CR2013" t="s">
        <v>890</v>
      </c>
      <c r="DB2013">
        <v>4</v>
      </c>
      <c r="DG2013" t="s">
        <v>267</v>
      </c>
      <c r="DI2013">
        <v>96</v>
      </c>
      <c r="DN2013" t="s">
        <v>268</v>
      </c>
      <c r="DS2013">
        <v>2312</v>
      </c>
      <c r="EW2013" t="s">
        <v>272</v>
      </c>
      <c r="FM2013">
        <v>15</v>
      </c>
      <c r="FR2013" t="s">
        <v>295</v>
      </c>
      <c r="GU2013">
        <v>20</v>
      </c>
      <c r="GZ2013" t="s">
        <v>296</v>
      </c>
      <c r="HH2013" t="s">
        <v>272</v>
      </c>
      <c r="IE2013" t="s">
        <v>3744</v>
      </c>
      <c r="IF2013">
        <v>17362</v>
      </c>
      <c r="IG2013" t="s">
        <v>3745</v>
      </c>
      <c r="IH2013" t="s">
        <v>3746</v>
      </c>
      <c r="II2013">
        <v>1992</v>
      </c>
      <c r="IJ2013" t="s">
        <v>3747</v>
      </c>
    </row>
    <row r="2014" spans="1:244" x14ac:dyDescent="0.45">
      <c r="A2014">
        <v>1135990</v>
      </c>
      <c r="B2014">
        <v>90610</v>
      </c>
      <c r="C2014">
        <v>10108642</v>
      </c>
      <c r="D2014" t="s">
        <v>3523</v>
      </c>
      <c r="F2014" t="s">
        <v>245</v>
      </c>
      <c r="G2014" t="s">
        <v>246</v>
      </c>
      <c r="N2014" t="s">
        <v>471</v>
      </c>
      <c r="O2014" t="s">
        <v>388</v>
      </c>
      <c r="P2014" t="s">
        <v>249</v>
      </c>
      <c r="Q2014" t="s">
        <v>250</v>
      </c>
      <c r="R2014" t="s">
        <v>251</v>
      </c>
      <c r="T2014" t="s">
        <v>389</v>
      </c>
      <c r="U2014" t="s">
        <v>390</v>
      </c>
      <c r="V2014" t="s">
        <v>472</v>
      </c>
      <c r="W2014" t="s">
        <v>473</v>
      </c>
      <c r="X2014" t="s">
        <v>474</v>
      </c>
      <c r="Z2014" t="s">
        <v>525</v>
      </c>
      <c r="AB2014">
        <v>5</v>
      </c>
      <c r="AG2014" t="s">
        <v>267</v>
      </c>
      <c r="AM2014" t="s">
        <v>317</v>
      </c>
      <c r="AN2014" t="s">
        <v>259</v>
      </c>
      <c r="AO2014" t="s">
        <v>260</v>
      </c>
      <c r="AQ2014" t="s">
        <v>261</v>
      </c>
      <c r="AS2014">
        <v>645</v>
      </c>
      <c r="AX2014" t="s">
        <v>262</v>
      </c>
      <c r="BO2014" t="s">
        <v>261</v>
      </c>
      <c r="BQ2014">
        <v>0.64500000000000002</v>
      </c>
      <c r="BV2014" t="s">
        <v>263</v>
      </c>
      <c r="CM2014" t="s">
        <v>264</v>
      </c>
      <c r="CN2014" t="s">
        <v>264</v>
      </c>
      <c r="CP2014" t="s">
        <v>265</v>
      </c>
      <c r="CQ2014" t="s">
        <v>890</v>
      </c>
      <c r="DB2014">
        <v>2</v>
      </c>
      <c r="DG2014" t="s">
        <v>267</v>
      </c>
      <c r="DI2014">
        <v>48</v>
      </c>
      <c r="DN2014" t="s">
        <v>268</v>
      </c>
      <c r="DR2014">
        <v>2056173</v>
      </c>
      <c r="DS2014">
        <v>1053</v>
      </c>
      <c r="DT2014" t="s">
        <v>2671</v>
      </c>
      <c r="EW2014" t="s">
        <v>271</v>
      </c>
      <c r="FA2014" t="s">
        <v>2672</v>
      </c>
      <c r="FM2014">
        <v>18</v>
      </c>
      <c r="FR2014" t="s">
        <v>295</v>
      </c>
      <c r="GU2014">
        <v>38</v>
      </c>
      <c r="GZ2014" t="s">
        <v>296</v>
      </c>
      <c r="HH2014" t="s">
        <v>272</v>
      </c>
      <c r="IE2014" t="s">
        <v>2299</v>
      </c>
      <c r="IF2014">
        <v>11097</v>
      </c>
      <c r="IG2014" t="s">
        <v>2673</v>
      </c>
      <c r="IH2014" t="s">
        <v>2674</v>
      </c>
      <c r="II2014">
        <v>1982</v>
      </c>
      <c r="IJ2014" t="s">
        <v>2675</v>
      </c>
    </row>
    <row r="2015" spans="1:244" x14ac:dyDescent="0.45">
      <c r="A2015">
        <v>1202543</v>
      </c>
      <c r="B2015">
        <v>161753</v>
      </c>
      <c r="C2015">
        <v>10108642</v>
      </c>
      <c r="D2015" t="s">
        <v>3523</v>
      </c>
      <c r="F2015" t="s">
        <v>272</v>
      </c>
      <c r="G2015" t="s">
        <v>246</v>
      </c>
      <c r="N2015" t="s">
        <v>1280</v>
      </c>
      <c r="O2015" t="s">
        <v>498</v>
      </c>
      <c r="P2015" t="s">
        <v>249</v>
      </c>
      <c r="Q2015" t="s">
        <v>250</v>
      </c>
      <c r="R2015" t="s">
        <v>251</v>
      </c>
      <c r="T2015" t="s">
        <v>252</v>
      </c>
      <c r="U2015" t="s">
        <v>499</v>
      </c>
      <c r="V2015" t="s">
        <v>1281</v>
      </c>
      <c r="W2015" t="s">
        <v>1282</v>
      </c>
      <c r="X2015" t="s">
        <v>1283</v>
      </c>
      <c r="AM2015" t="s">
        <v>258</v>
      </c>
      <c r="AN2015" t="s">
        <v>259</v>
      </c>
      <c r="AO2015" t="s">
        <v>260</v>
      </c>
      <c r="AQ2015" t="s">
        <v>261</v>
      </c>
      <c r="AS2015">
        <v>960</v>
      </c>
      <c r="AU2015">
        <v>750</v>
      </c>
      <c r="AW2015">
        <v>1240</v>
      </c>
      <c r="AX2015" t="s">
        <v>262</v>
      </c>
      <c r="BO2015" t="s">
        <v>261</v>
      </c>
      <c r="BQ2015">
        <v>0.96</v>
      </c>
      <c r="BS2015">
        <v>0.75</v>
      </c>
      <c r="BU2015">
        <v>1.24</v>
      </c>
      <c r="BV2015" t="s">
        <v>263</v>
      </c>
      <c r="CM2015" t="s">
        <v>264</v>
      </c>
      <c r="CN2015" t="s">
        <v>264</v>
      </c>
      <c r="CP2015" t="s">
        <v>265</v>
      </c>
      <c r="CQ2015" t="s">
        <v>890</v>
      </c>
      <c r="DB2015">
        <v>4</v>
      </c>
      <c r="DG2015" t="s">
        <v>267</v>
      </c>
      <c r="DI2015">
        <v>4</v>
      </c>
      <c r="DN2015" t="s">
        <v>267</v>
      </c>
      <c r="DS2015">
        <v>2851</v>
      </c>
      <c r="DT2015" t="s">
        <v>3702</v>
      </c>
      <c r="EW2015" t="s">
        <v>293</v>
      </c>
      <c r="FA2015" t="s">
        <v>3748</v>
      </c>
      <c r="FM2015">
        <v>20</v>
      </c>
      <c r="FR2015" t="s">
        <v>295</v>
      </c>
      <c r="GU2015">
        <v>28</v>
      </c>
      <c r="GZ2015" t="s">
        <v>296</v>
      </c>
      <c r="HH2015" t="s">
        <v>272</v>
      </c>
      <c r="IE2015" t="s">
        <v>3704</v>
      </c>
      <c r="IF2015">
        <v>18408</v>
      </c>
      <c r="IG2015" t="s">
        <v>3705</v>
      </c>
      <c r="IH2015" t="s">
        <v>3706</v>
      </c>
      <c r="II2015">
        <v>1997</v>
      </c>
      <c r="IJ2015" t="s">
        <v>3707</v>
      </c>
    </row>
    <row r="2016" spans="1:244" x14ac:dyDescent="0.45">
      <c r="A2016">
        <v>1197354</v>
      </c>
      <c r="B2016">
        <v>150994</v>
      </c>
      <c r="C2016">
        <v>10108642</v>
      </c>
      <c r="D2016" t="s">
        <v>3523</v>
      </c>
      <c r="F2016" t="s">
        <v>245</v>
      </c>
      <c r="G2016" t="s">
        <v>246</v>
      </c>
      <c r="N2016" t="s">
        <v>345</v>
      </c>
      <c r="O2016" t="s">
        <v>346</v>
      </c>
      <c r="P2016" t="s">
        <v>249</v>
      </c>
      <c r="Q2016" t="s">
        <v>250</v>
      </c>
      <c r="R2016" t="s">
        <v>251</v>
      </c>
      <c r="T2016" t="s">
        <v>347</v>
      </c>
      <c r="U2016" t="s">
        <v>348</v>
      </c>
      <c r="V2016" t="s">
        <v>349</v>
      </c>
      <c r="W2016" t="s">
        <v>350</v>
      </c>
      <c r="X2016" t="s">
        <v>351</v>
      </c>
      <c r="Z2016" t="s">
        <v>525</v>
      </c>
      <c r="AM2016" t="s">
        <v>317</v>
      </c>
      <c r="AN2016" t="s">
        <v>259</v>
      </c>
      <c r="AO2016" t="s">
        <v>260</v>
      </c>
      <c r="AQ2016" t="s">
        <v>261</v>
      </c>
      <c r="AS2016">
        <v>1500</v>
      </c>
      <c r="AX2016" t="s">
        <v>262</v>
      </c>
      <c r="BO2016" t="s">
        <v>261</v>
      </c>
      <c r="BQ2016">
        <v>1.5</v>
      </c>
      <c r="BV2016" t="s">
        <v>263</v>
      </c>
      <c r="CM2016" t="s">
        <v>264</v>
      </c>
      <c r="CN2016" t="s">
        <v>264</v>
      </c>
      <c r="CO2016" t="s">
        <v>1266</v>
      </c>
      <c r="CP2016" t="s">
        <v>265</v>
      </c>
      <c r="CQ2016" t="s">
        <v>890</v>
      </c>
      <c r="DB2016">
        <v>2</v>
      </c>
      <c r="DG2016" t="s">
        <v>267</v>
      </c>
      <c r="DI2016">
        <v>48</v>
      </c>
      <c r="DN2016" t="s">
        <v>268</v>
      </c>
      <c r="DR2016">
        <v>6660</v>
      </c>
      <c r="DS2016">
        <v>421</v>
      </c>
      <c r="EW2016" t="s">
        <v>293</v>
      </c>
      <c r="FM2016">
        <v>28</v>
      </c>
      <c r="FR2016" t="s">
        <v>295</v>
      </c>
      <c r="GJ2016">
        <v>4.66</v>
      </c>
      <c r="GL2016">
        <v>5.0999999999999996</v>
      </c>
      <c r="GM2016" t="s">
        <v>356</v>
      </c>
      <c r="GQ2016">
        <v>7.5</v>
      </c>
      <c r="GS2016">
        <v>8.4</v>
      </c>
      <c r="GW2016">
        <v>32.94</v>
      </c>
      <c r="GY2016">
        <v>33.53</v>
      </c>
      <c r="GZ2016" t="s">
        <v>296</v>
      </c>
      <c r="HH2016" t="s">
        <v>272</v>
      </c>
      <c r="IE2016" t="s">
        <v>1267</v>
      </c>
      <c r="IF2016">
        <v>17792</v>
      </c>
      <c r="IG2016" t="s">
        <v>1268</v>
      </c>
      <c r="IH2016" t="s">
        <v>1269</v>
      </c>
      <c r="II2016">
        <v>1990</v>
      </c>
      <c r="IJ2016" t="s">
        <v>1270</v>
      </c>
    </row>
    <row r="2017" spans="1:244" x14ac:dyDescent="0.45">
      <c r="A2017">
        <v>1142671</v>
      </c>
      <c r="B2017">
        <v>160856</v>
      </c>
      <c r="C2017">
        <v>10108642</v>
      </c>
      <c r="D2017" t="s">
        <v>3523</v>
      </c>
      <c r="F2017" t="s">
        <v>245</v>
      </c>
      <c r="G2017" t="s">
        <v>246</v>
      </c>
      <c r="N2017" t="s">
        <v>1734</v>
      </c>
      <c r="O2017" t="s">
        <v>248</v>
      </c>
      <c r="P2017" t="s">
        <v>249</v>
      </c>
      <c r="Q2017" t="s">
        <v>250</v>
      </c>
      <c r="R2017" t="s">
        <v>251</v>
      </c>
      <c r="T2017" t="s">
        <v>252</v>
      </c>
      <c r="U2017" t="s">
        <v>253</v>
      </c>
      <c r="V2017" t="s">
        <v>1735</v>
      </c>
      <c r="W2017" t="s">
        <v>1736</v>
      </c>
      <c r="X2017" t="s">
        <v>1737</v>
      </c>
      <c r="AL2017" t="s">
        <v>3749</v>
      </c>
      <c r="AM2017" t="s">
        <v>317</v>
      </c>
      <c r="AN2017" t="s">
        <v>259</v>
      </c>
      <c r="AO2017" t="s">
        <v>260</v>
      </c>
      <c r="AQ2017" t="s">
        <v>261</v>
      </c>
      <c r="AS2017">
        <v>21000</v>
      </c>
      <c r="AU2017">
        <v>12960</v>
      </c>
      <c r="AW2017">
        <v>23630</v>
      </c>
      <c r="AX2017" t="s">
        <v>262</v>
      </c>
      <c r="BO2017" t="s">
        <v>261</v>
      </c>
      <c r="BQ2017">
        <v>21</v>
      </c>
      <c r="BS2017">
        <v>12.96</v>
      </c>
      <c r="BU2017">
        <v>23.63</v>
      </c>
      <c r="BV2017" t="s">
        <v>263</v>
      </c>
      <c r="CM2017" t="s">
        <v>264</v>
      </c>
      <c r="CN2017" t="s">
        <v>264</v>
      </c>
      <c r="CP2017" t="s">
        <v>265</v>
      </c>
      <c r="DB2017">
        <v>4</v>
      </c>
      <c r="DG2017" t="s">
        <v>267</v>
      </c>
      <c r="DI2017">
        <v>96</v>
      </c>
      <c r="DN2017" t="s">
        <v>268</v>
      </c>
      <c r="DP2017" t="s">
        <v>3589</v>
      </c>
      <c r="DR2017">
        <v>345020</v>
      </c>
      <c r="DS2017">
        <v>5935</v>
      </c>
      <c r="EW2017" t="s">
        <v>272</v>
      </c>
      <c r="GH2017">
        <v>4.5</v>
      </c>
      <c r="GM2017" t="s">
        <v>356</v>
      </c>
      <c r="GO2017">
        <v>7.2</v>
      </c>
      <c r="GU2017">
        <v>36</v>
      </c>
      <c r="GZ2017" t="s">
        <v>296</v>
      </c>
      <c r="HH2017" t="s">
        <v>872</v>
      </c>
      <c r="HJ2017">
        <v>2.25</v>
      </c>
      <c r="HO2017" t="s">
        <v>900</v>
      </c>
      <c r="IE2017" t="s">
        <v>3590</v>
      </c>
      <c r="IF2017">
        <v>11937</v>
      </c>
      <c r="IG2017" t="s">
        <v>3591</v>
      </c>
      <c r="IH2017" t="s">
        <v>3592</v>
      </c>
      <c r="II2017">
        <v>1985</v>
      </c>
      <c r="IJ2017" t="s">
        <v>3593</v>
      </c>
    </row>
    <row r="2018" spans="1:244" x14ac:dyDescent="0.45">
      <c r="A2018">
        <v>1182129</v>
      </c>
      <c r="B2018">
        <v>160032</v>
      </c>
      <c r="C2018">
        <v>10108642</v>
      </c>
      <c r="D2018" t="s">
        <v>3523</v>
      </c>
      <c r="E2018" t="s">
        <v>439</v>
      </c>
      <c r="F2018" t="s">
        <v>245</v>
      </c>
      <c r="G2018" t="s">
        <v>246</v>
      </c>
      <c r="N2018" t="s">
        <v>345</v>
      </c>
      <c r="O2018" t="s">
        <v>346</v>
      </c>
      <c r="P2018" t="s">
        <v>249</v>
      </c>
      <c r="Q2018" t="s">
        <v>250</v>
      </c>
      <c r="R2018" t="s">
        <v>251</v>
      </c>
      <c r="T2018" t="s">
        <v>347</v>
      </c>
      <c r="U2018" t="s">
        <v>348</v>
      </c>
      <c r="V2018" t="s">
        <v>349</v>
      </c>
      <c r="W2018" t="s">
        <v>350</v>
      </c>
      <c r="X2018" t="s">
        <v>351</v>
      </c>
      <c r="Z2018" t="s">
        <v>1034</v>
      </c>
      <c r="AL2018" t="s">
        <v>2663</v>
      </c>
      <c r="AM2018" t="s">
        <v>317</v>
      </c>
      <c r="AN2018" t="s">
        <v>259</v>
      </c>
      <c r="AO2018" t="s">
        <v>260</v>
      </c>
      <c r="AQ2018" t="s">
        <v>261</v>
      </c>
      <c r="AS2018">
        <v>291000</v>
      </c>
      <c r="AX2018" t="s">
        <v>262</v>
      </c>
      <c r="BO2018" t="s">
        <v>261</v>
      </c>
      <c r="BQ2018">
        <v>291</v>
      </c>
      <c r="BV2018" t="s">
        <v>263</v>
      </c>
      <c r="CM2018" t="s">
        <v>264</v>
      </c>
      <c r="CN2018" t="s">
        <v>264</v>
      </c>
      <c r="CP2018" t="s">
        <v>265</v>
      </c>
      <c r="DB2018">
        <v>2</v>
      </c>
      <c r="DG2018" t="s">
        <v>267</v>
      </c>
      <c r="DI2018">
        <v>48</v>
      </c>
      <c r="DN2018" t="s">
        <v>268</v>
      </c>
      <c r="DR2018">
        <v>6660</v>
      </c>
      <c r="DS2018">
        <v>421</v>
      </c>
      <c r="DT2018" t="s">
        <v>2665</v>
      </c>
      <c r="EW2018" t="s">
        <v>293</v>
      </c>
      <c r="FA2018" t="s">
        <v>2789</v>
      </c>
      <c r="FM2018">
        <v>25</v>
      </c>
      <c r="FR2018" t="s">
        <v>295</v>
      </c>
      <c r="GU2018">
        <v>25</v>
      </c>
      <c r="GZ2018" t="s">
        <v>296</v>
      </c>
      <c r="HH2018" t="s">
        <v>272</v>
      </c>
      <c r="IE2018" t="s">
        <v>2667</v>
      </c>
      <c r="IF2018">
        <v>16031</v>
      </c>
      <c r="IG2018" t="s">
        <v>2668</v>
      </c>
      <c r="IH2018" t="s">
        <v>2669</v>
      </c>
      <c r="II2018">
        <v>1995</v>
      </c>
      <c r="IJ2018" t="s">
        <v>2670</v>
      </c>
    </row>
    <row r="2019" spans="1:244" x14ac:dyDescent="0.45">
      <c r="A2019">
        <v>2010802</v>
      </c>
      <c r="B2019">
        <v>2019079</v>
      </c>
      <c r="C2019">
        <v>10108642</v>
      </c>
      <c r="D2019" t="s">
        <v>3523</v>
      </c>
      <c r="F2019" t="s">
        <v>245</v>
      </c>
      <c r="G2019" t="s">
        <v>368</v>
      </c>
      <c r="N2019" t="s">
        <v>944</v>
      </c>
      <c r="O2019" t="s">
        <v>945</v>
      </c>
      <c r="P2019" t="s">
        <v>249</v>
      </c>
      <c r="Q2019" t="s">
        <v>250</v>
      </c>
      <c r="R2019" t="s">
        <v>251</v>
      </c>
      <c r="T2019" t="s">
        <v>252</v>
      </c>
      <c r="U2019" t="s">
        <v>253</v>
      </c>
      <c r="V2019" t="s">
        <v>418</v>
      </c>
      <c r="W2019" t="s">
        <v>946</v>
      </c>
      <c r="X2019" t="s">
        <v>947</v>
      </c>
      <c r="AI2019">
        <v>2</v>
      </c>
      <c r="AJ2019" t="s">
        <v>354</v>
      </c>
      <c r="AL2019" t="s">
        <v>3750</v>
      </c>
      <c r="AM2019" t="s">
        <v>317</v>
      </c>
      <c r="AN2019" t="s">
        <v>259</v>
      </c>
      <c r="AO2019" t="s">
        <v>260</v>
      </c>
      <c r="AP2019">
        <v>6</v>
      </c>
      <c r="AQ2019" t="s">
        <v>261</v>
      </c>
      <c r="AS2019">
        <v>8.5</v>
      </c>
      <c r="AX2019" t="s">
        <v>710</v>
      </c>
      <c r="BO2019" t="s">
        <v>261</v>
      </c>
      <c r="BQ2019">
        <v>1.5581860000000001</v>
      </c>
      <c r="BV2019" t="s">
        <v>263</v>
      </c>
      <c r="CM2019" t="s">
        <v>264</v>
      </c>
      <c r="CN2019" t="s">
        <v>264</v>
      </c>
      <c r="CP2019" t="s">
        <v>265</v>
      </c>
      <c r="CQ2019" t="s">
        <v>890</v>
      </c>
      <c r="DB2019">
        <v>1</v>
      </c>
      <c r="DG2019" t="s">
        <v>267</v>
      </c>
      <c r="DI2019">
        <v>24</v>
      </c>
      <c r="DN2019" t="s">
        <v>268</v>
      </c>
      <c r="DP2019" t="s">
        <v>3576</v>
      </c>
      <c r="DR2019">
        <v>6689</v>
      </c>
      <c r="DS2019">
        <v>11779</v>
      </c>
      <c r="DT2019" t="s">
        <v>3751</v>
      </c>
      <c r="DV2019">
        <v>24</v>
      </c>
      <c r="EA2019" t="s">
        <v>268</v>
      </c>
      <c r="EC2019">
        <v>1</v>
      </c>
      <c r="EH2019" t="s">
        <v>267</v>
      </c>
      <c r="EJ2019">
        <v>24</v>
      </c>
      <c r="EO2019" t="s">
        <v>268</v>
      </c>
      <c r="EQ2019">
        <v>1</v>
      </c>
      <c r="EV2019" t="s">
        <v>267</v>
      </c>
      <c r="EW2019" t="s">
        <v>293</v>
      </c>
      <c r="EY2019" t="s">
        <v>377</v>
      </c>
      <c r="EZ2019">
        <v>10</v>
      </c>
      <c r="FA2019" t="s">
        <v>1381</v>
      </c>
      <c r="FM2019">
        <v>25</v>
      </c>
      <c r="FR2019" t="s">
        <v>295</v>
      </c>
      <c r="GO2019">
        <v>8</v>
      </c>
      <c r="GU2019">
        <v>4</v>
      </c>
      <c r="GZ2019" t="s">
        <v>296</v>
      </c>
      <c r="HH2019" t="s">
        <v>272</v>
      </c>
      <c r="ID2019" t="s">
        <v>1028</v>
      </c>
      <c r="IE2019" t="s">
        <v>3752</v>
      </c>
      <c r="IF2019">
        <v>116636</v>
      </c>
      <c r="IG2019" t="s">
        <v>3753</v>
      </c>
      <c r="IH2019" t="s">
        <v>3754</v>
      </c>
      <c r="II2019">
        <v>2009</v>
      </c>
      <c r="IJ2019" t="s">
        <v>3755</v>
      </c>
    </row>
    <row r="2020" spans="1:244" x14ac:dyDescent="0.45">
      <c r="A2020">
        <v>1129765</v>
      </c>
      <c r="B2020">
        <v>85196</v>
      </c>
      <c r="C2020">
        <v>10108642</v>
      </c>
      <c r="D2020" t="s">
        <v>3523</v>
      </c>
      <c r="F2020" t="s">
        <v>327</v>
      </c>
      <c r="G2020" t="s">
        <v>246</v>
      </c>
      <c r="N2020" t="s">
        <v>3756</v>
      </c>
      <c r="O2020" t="s">
        <v>370</v>
      </c>
      <c r="P2020" t="s">
        <v>249</v>
      </c>
      <c r="Q2020" t="s">
        <v>250</v>
      </c>
      <c r="R2020" t="s">
        <v>251</v>
      </c>
      <c r="T2020" t="s">
        <v>252</v>
      </c>
      <c r="U2020" t="s">
        <v>371</v>
      </c>
      <c r="V2020" t="s">
        <v>372</v>
      </c>
      <c r="W2020" t="s">
        <v>1427</v>
      </c>
      <c r="X2020" t="s">
        <v>3757</v>
      </c>
      <c r="Z2020" t="s">
        <v>315</v>
      </c>
      <c r="AM2020" t="s">
        <v>317</v>
      </c>
      <c r="AN2020" t="s">
        <v>259</v>
      </c>
      <c r="AO2020" t="s">
        <v>260</v>
      </c>
      <c r="AQ2020" t="s">
        <v>261</v>
      </c>
      <c r="AS2020">
        <v>20</v>
      </c>
      <c r="AU2020">
        <v>15</v>
      </c>
      <c r="AW2020">
        <v>27</v>
      </c>
      <c r="AX2020" t="s">
        <v>262</v>
      </c>
      <c r="BO2020" t="s">
        <v>261</v>
      </c>
      <c r="BQ2020">
        <v>0.02</v>
      </c>
      <c r="BS2020">
        <v>1.4999999999999999E-2</v>
      </c>
      <c r="BU2020">
        <v>2.7E-2</v>
      </c>
      <c r="BV2020" t="s">
        <v>263</v>
      </c>
      <c r="CM2020" t="s">
        <v>264</v>
      </c>
      <c r="CN2020" t="s">
        <v>264</v>
      </c>
      <c r="CP2020" t="s">
        <v>265</v>
      </c>
      <c r="CQ2020" t="s">
        <v>890</v>
      </c>
      <c r="DB2020">
        <v>4</v>
      </c>
      <c r="DG2020" t="s">
        <v>267</v>
      </c>
      <c r="DI2020">
        <v>96</v>
      </c>
      <c r="DN2020" t="s">
        <v>268</v>
      </c>
      <c r="DR2020">
        <v>223651</v>
      </c>
      <c r="DS2020">
        <v>2109</v>
      </c>
      <c r="DT2020" t="s">
        <v>3758</v>
      </c>
      <c r="EW2020" t="s">
        <v>293</v>
      </c>
      <c r="FM2020">
        <v>22</v>
      </c>
      <c r="FR2020" t="s">
        <v>295</v>
      </c>
      <c r="GH2020">
        <v>5.2</v>
      </c>
      <c r="GM2020" t="s">
        <v>356</v>
      </c>
      <c r="GO2020">
        <v>7.8</v>
      </c>
      <c r="GU2020">
        <v>20</v>
      </c>
      <c r="GZ2020" t="s">
        <v>296</v>
      </c>
      <c r="HH2020" t="s">
        <v>272</v>
      </c>
      <c r="IE2020" t="s">
        <v>3759</v>
      </c>
      <c r="IF2020">
        <v>10443</v>
      </c>
      <c r="IG2020" t="s">
        <v>3760</v>
      </c>
      <c r="IH2020" t="s">
        <v>3761</v>
      </c>
      <c r="II2020">
        <v>1982</v>
      </c>
      <c r="IJ2020" t="s">
        <v>3762</v>
      </c>
    </row>
    <row r="2021" spans="1:244" x14ac:dyDescent="0.45">
      <c r="A2021">
        <v>1165807</v>
      </c>
      <c r="B2021">
        <v>189248</v>
      </c>
      <c r="C2021">
        <v>10108642</v>
      </c>
      <c r="D2021" t="s">
        <v>3523</v>
      </c>
      <c r="F2021" t="s">
        <v>245</v>
      </c>
      <c r="G2021" t="s">
        <v>246</v>
      </c>
      <c r="N2021" t="s">
        <v>798</v>
      </c>
      <c r="O2021" t="s">
        <v>631</v>
      </c>
      <c r="P2021" t="s">
        <v>249</v>
      </c>
      <c r="Q2021" t="s">
        <v>250</v>
      </c>
      <c r="R2021" t="s">
        <v>251</v>
      </c>
      <c r="T2021" t="s">
        <v>389</v>
      </c>
      <c r="U2021" t="s">
        <v>632</v>
      </c>
      <c r="V2021" t="s">
        <v>799</v>
      </c>
      <c r="W2021" t="s">
        <v>800</v>
      </c>
      <c r="X2021" t="s">
        <v>801</v>
      </c>
      <c r="Z2021" t="s">
        <v>315</v>
      </c>
      <c r="AM2021" t="s">
        <v>317</v>
      </c>
      <c r="AN2021" t="s">
        <v>259</v>
      </c>
      <c r="AO2021" t="s">
        <v>260</v>
      </c>
      <c r="AQ2021" t="s">
        <v>261</v>
      </c>
      <c r="AS2021">
        <v>1910</v>
      </c>
      <c r="AU2021">
        <v>1350</v>
      </c>
      <c r="AW2021">
        <v>2708</v>
      </c>
      <c r="AX2021" t="s">
        <v>262</v>
      </c>
      <c r="BO2021" t="s">
        <v>261</v>
      </c>
      <c r="BQ2021">
        <v>1.91</v>
      </c>
      <c r="BS2021">
        <v>1.35</v>
      </c>
      <c r="BU2021">
        <v>2.7080000000000002</v>
      </c>
      <c r="BV2021" t="s">
        <v>263</v>
      </c>
      <c r="CM2021" t="s">
        <v>264</v>
      </c>
      <c r="CN2021" t="s">
        <v>264</v>
      </c>
      <c r="CP2021" t="s">
        <v>265</v>
      </c>
      <c r="DB2021">
        <v>3</v>
      </c>
      <c r="DG2021" t="s">
        <v>267</v>
      </c>
      <c r="DI2021">
        <v>72</v>
      </c>
      <c r="DN2021" t="s">
        <v>268</v>
      </c>
      <c r="DR2021">
        <v>163476</v>
      </c>
      <c r="DS2021">
        <v>740</v>
      </c>
      <c r="EW2021" t="s">
        <v>293</v>
      </c>
      <c r="FA2021" t="s">
        <v>803</v>
      </c>
      <c r="FM2021">
        <v>15</v>
      </c>
      <c r="FR2021" t="s">
        <v>295</v>
      </c>
      <c r="GU2021">
        <v>30</v>
      </c>
      <c r="GZ2021" t="s">
        <v>296</v>
      </c>
      <c r="HH2021" t="s">
        <v>272</v>
      </c>
      <c r="IE2021" t="s">
        <v>725</v>
      </c>
      <c r="IF2021">
        <v>14601</v>
      </c>
      <c r="IG2021" t="s">
        <v>3763</v>
      </c>
      <c r="IH2021" t="s">
        <v>805</v>
      </c>
      <c r="II2021">
        <v>1985</v>
      </c>
      <c r="IJ2021" t="s">
        <v>3764</v>
      </c>
    </row>
    <row r="2022" spans="1:244" x14ac:dyDescent="0.45">
      <c r="A2022">
        <v>1142668</v>
      </c>
      <c r="B2022">
        <v>160853</v>
      </c>
      <c r="C2022">
        <v>10108642</v>
      </c>
      <c r="D2022" t="s">
        <v>3523</v>
      </c>
      <c r="F2022" t="s">
        <v>245</v>
      </c>
      <c r="G2022" t="s">
        <v>246</v>
      </c>
      <c r="N2022" t="s">
        <v>1734</v>
      </c>
      <c r="O2022" t="s">
        <v>248</v>
      </c>
      <c r="P2022" t="s">
        <v>249</v>
      </c>
      <c r="Q2022" t="s">
        <v>250</v>
      </c>
      <c r="R2022" t="s">
        <v>251</v>
      </c>
      <c r="T2022" t="s">
        <v>252</v>
      </c>
      <c r="U2022" t="s">
        <v>253</v>
      </c>
      <c r="V2022" t="s">
        <v>1735</v>
      </c>
      <c r="W2022" t="s">
        <v>1736</v>
      </c>
      <c r="X2022" t="s">
        <v>1737</v>
      </c>
      <c r="AL2022" t="s">
        <v>3765</v>
      </c>
      <c r="AM2022" t="s">
        <v>317</v>
      </c>
      <c r="AN2022" t="s">
        <v>259</v>
      </c>
      <c r="AO2022" t="s">
        <v>260</v>
      </c>
      <c r="AQ2022" t="s">
        <v>261</v>
      </c>
      <c r="AS2022">
        <v>20200</v>
      </c>
      <c r="AU2022">
        <v>15540</v>
      </c>
      <c r="AW2022">
        <v>26260</v>
      </c>
      <c r="AX2022" t="s">
        <v>262</v>
      </c>
      <c r="BO2022" t="s">
        <v>261</v>
      </c>
      <c r="BQ2022">
        <v>20.2</v>
      </c>
      <c r="BS2022">
        <v>15.54</v>
      </c>
      <c r="BU2022">
        <v>26.26</v>
      </c>
      <c r="BV2022" t="s">
        <v>263</v>
      </c>
      <c r="CM2022" t="s">
        <v>264</v>
      </c>
      <c r="CN2022" t="s">
        <v>264</v>
      </c>
      <c r="CP2022" t="s">
        <v>265</v>
      </c>
      <c r="DB2022">
        <v>4</v>
      </c>
      <c r="DG2022" t="s">
        <v>267</v>
      </c>
      <c r="DI2022">
        <v>96</v>
      </c>
      <c r="DN2022" t="s">
        <v>268</v>
      </c>
      <c r="DP2022" t="s">
        <v>3589</v>
      </c>
      <c r="DR2022">
        <v>345020</v>
      </c>
      <c r="DS2022">
        <v>5935</v>
      </c>
      <c r="EW2022" t="s">
        <v>272</v>
      </c>
      <c r="GH2022">
        <v>4.5</v>
      </c>
      <c r="GM2022" t="s">
        <v>356</v>
      </c>
      <c r="GO2022">
        <v>7.2</v>
      </c>
      <c r="GU2022">
        <v>36</v>
      </c>
      <c r="GZ2022" t="s">
        <v>296</v>
      </c>
      <c r="HH2022" t="s">
        <v>872</v>
      </c>
      <c r="HJ2022">
        <v>2.25</v>
      </c>
      <c r="HO2022" t="s">
        <v>900</v>
      </c>
      <c r="IE2022" t="s">
        <v>3590</v>
      </c>
      <c r="IF2022">
        <v>11937</v>
      </c>
      <c r="IG2022" t="s">
        <v>3591</v>
      </c>
      <c r="IH2022" t="s">
        <v>3592</v>
      </c>
      <c r="II2022">
        <v>1985</v>
      </c>
      <c r="IJ2022" t="s">
        <v>3593</v>
      </c>
    </row>
    <row r="2023" spans="1:244" x14ac:dyDescent="0.45">
      <c r="A2023">
        <v>1053925</v>
      </c>
      <c r="B2023">
        <v>194217</v>
      </c>
      <c r="C2023">
        <v>10108642</v>
      </c>
      <c r="D2023" t="s">
        <v>3523</v>
      </c>
      <c r="F2023" t="s">
        <v>245</v>
      </c>
      <c r="G2023" t="s">
        <v>246</v>
      </c>
      <c r="N2023" t="s">
        <v>1492</v>
      </c>
      <c r="O2023" t="s">
        <v>1493</v>
      </c>
      <c r="P2023" t="s">
        <v>249</v>
      </c>
      <c r="Q2023" t="s">
        <v>250</v>
      </c>
      <c r="R2023" t="s">
        <v>251</v>
      </c>
      <c r="T2023" t="s">
        <v>252</v>
      </c>
      <c r="U2023" t="s">
        <v>253</v>
      </c>
      <c r="V2023" t="s">
        <v>281</v>
      </c>
      <c r="W2023" t="s">
        <v>282</v>
      </c>
      <c r="X2023" t="s">
        <v>1494</v>
      </c>
      <c r="Z2023" t="s">
        <v>1046</v>
      </c>
      <c r="AB2023">
        <v>1</v>
      </c>
      <c r="AG2023" t="s">
        <v>598</v>
      </c>
      <c r="AM2023" t="s">
        <v>317</v>
      </c>
      <c r="AN2023" t="s">
        <v>259</v>
      </c>
      <c r="AO2023" t="s">
        <v>260</v>
      </c>
      <c r="AQ2023" t="s">
        <v>261</v>
      </c>
      <c r="AS2023">
        <v>0.25</v>
      </c>
      <c r="AU2023">
        <v>0.15</v>
      </c>
      <c r="AW2023">
        <v>0.44</v>
      </c>
      <c r="AX2023" t="s">
        <v>356</v>
      </c>
      <c r="BO2023" t="s">
        <v>261</v>
      </c>
      <c r="BQ2023">
        <v>0.25</v>
      </c>
      <c r="BS2023">
        <v>0.15</v>
      </c>
      <c r="BU2023">
        <v>0.44</v>
      </c>
      <c r="BV2023" t="s">
        <v>263</v>
      </c>
      <c r="CM2023" t="s">
        <v>264</v>
      </c>
      <c r="CN2023" t="s">
        <v>264</v>
      </c>
      <c r="CP2023" t="s">
        <v>265</v>
      </c>
      <c r="CQ2023" t="s">
        <v>890</v>
      </c>
      <c r="DB2023">
        <v>4</v>
      </c>
      <c r="DG2023" t="s">
        <v>267</v>
      </c>
      <c r="DI2023">
        <v>96</v>
      </c>
      <c r="DN2023" t="s">
        <v>268</v>
      </c>
      <c r="DR2023">
        <v>29965</v>
      </c>
      <c r="DS2023">
        <v>339</v>
      </c>
      <c r="EW2023" t="s">
        <v>293</v>
      </c>
      <c r="FM2023">
        <v>8.5</v>
      </c>
      <c r="FR2023" t="s">
        <v>295</v>
      </c>
      <c r="GO2023">
        <v>8.1</v>
      </c>
      <c r="GU2023">
        <v>30</v>
      </c>
      <c r="GZ2023" t="s">
        <v>296</v>
      </c>
      <c r="HH2023" t="s">
        <v>272</v>
      </c>
      <c r="IE2023" t="s">
        <v>1472</v>
      </c>
      <c r="IF2023">
        <v>3752</v>
      </c>
      <c r="IG2023" t="s">
        <v>1473</v>
      </c>
      <c r="IH2023" t="s">
        <v>1474</v>
      </c>
      <c r="II2023">
        <v>1983</v>
      </c>
      <c r="IJ2023" t="s">
        <v>1475</v>
      </c>
    </row>
    <row r="2024" spans="1:244" x14ac:dyDescent="0.45">
      <c r="A2024">
        <v>1146882</v>
      </c>
      <c r="B2024">
        <v>104720</v>
      </c>
      <c r="C2024">
        <v>10108642</v>
      </c>
      <c r="D2024" t="s">
        <v>3523</v>
      </c>
      <c r="F2024" t="s">
        <v>245</v>
      </c>
      <c r="G2024" t="s">
        <v>246</v>
      </c>
      <c r="N2024" t="s">
        <v>247</v>
      </c>
      <c r="O2024" t="s">
        <v>248</v>
      </c>
      <c r="P2024" t="s">
        <v>249</v>
      </c>
      <c r="Q2024" t="s">
        <v>250</v>
      </c>
      <c r="R2024" t="s">
        <v>251</v>
      </c>
      <c r="T2024" t="s">
        <v>252</v>
      </c>
      <c r="U2024" t="s">
        <v>253</v>
      </c>
      <c r="V2024" t="s">
        <v>254</v>
      </c>
      <c r="W2024" t="s">
        <v>255</v>
      </c>
      <c r="X2024" t="s">
        <v>256</v>
      </c>
      <c r="AL2024" t="s">
        <v>257</v>
      </c>
      <c r="AM2024" t="s">
        <v>258</v>
      </c>
      <c r="AN2024" t="s">
        <v>259</v>
      </c>
      <c r="AO2024" t="s">
        <v>260</v>
      </c>
      <c r="AQ2024" t="s">
        <v>261</v>
      </c>
      <c r="AS2024">
        <v>1.19</v>
      </c>
      <c r="AX2024" t="s">
        <v>262</v>
      </c>
      <c r="BO2024" t="s">
        <v>261</v>
      </c>
      <c r="BQ2024">
        <v>119</v>
      </c>
      <c r="BV2024" t="s">
        <v>263</v>
      </c>
      <c r="CM2024" t="s">
        <v>264</v>
      </c>
      <c r="CN2024" t="s">
        <v>264</v>
      </c>
      <c r="CP2024" t="s">
        <v>265</v>
      </c>
      <c r="CQ2024" t="s">
        <v>890</v>
      </c>
      <c r="DB2024">
        <v>1</v>
      </c>
      <c r="DG2024" t="s">
        <v>267</v>
      </c>
      <c r="DI2024">
        <v>24</v>
      </c>
      <c r="DN2024" t="s">
        <v>268</v>
      </c>
      <c r="DR2024">
        <v>6761</v>
      </c>
      <c r="DS2024">
        <v>2461</v>
      </c>
      <c r="DT2024" t="s">
        <v>270</v>
      </c>
      <c r="EW2024" t="s">
        <v>271</v>
      </c>
      <c r="HH2024" t="s">
        <v>272</v>
      </c>
      <c r="IE2024" t="s">
        <v>273</v>
      </c>
      <c r="IF2024">
        <v>12413</v>
      </c>
      <c r="IG2024" t="s">
        <v>274</v>
      </c>
      <c r="IH2024" t="s">
        <v>275</v>
      </c>
      <c r="II2024">
        <v>1987</v>
      </c>
      <c r="IJ2024" t="s">
        <v>276</v>
      </c>
    </row>
    <row r="2025" spans="1:244" x14ac:dyDescent="0.45">
      <c r="A2025">
        <v>1202558</v>
      </c>
      <c r="B2025">
        <v>206358</v>
      </c>
      <c r="C2025">
        <v>10108642</v>
      </c>
      <c r="D2025" t="s">
        <v>3523</v>
      </c>
      <c r="F2025" t="s">
        <v>272</v>
      </c>
      <c r="G2025" t="s">
        <v>246</v>
      </c>
      <c r="N2025" t="s">
        <v>1451</v>
      </c>
      <c r="O2025" t="s">
        <v>1452</v>
      </c>
      <c r="P2025" t="s">
        <v>249</v>
      </c>
      <c r="Q2025" t="s">
        <v>250</v>
      </c>
      <c r="R2025" t="s">
        <v>251</v>
      </c>
      <c r="T2025" t="s">
        <v>252</v>
      </c>
      <c r="U2025" t="s">
        <v>253</v>
      </c>
      <c r="V2025" t="s">
        <v>1453</v>
      </c>
      <c r="W2025" t="s">
        <v>1454</v>
      </c>
      <c r="X2025" t="s">
        <v>1455</v>
      </c>
      <c r="Z2025" t="s">
        <v>649</v>
      </c>
      <c r="AM2025" t="s">
        <v>258</v>
      </c>
      <c r="AN2025" t="s">
        <v>259</v>
      </c>
      <c r="AO2025" t="s">
        <v>260</v>
      </c>
      <c r="AQ2025" t="s">
        <v>261</v>
      </c>
      <c r="AS2025">
        <v>2110</v>
      </c>
      <c r="AU2025">
        <v>1680</v>
      </c>
      <c r="AW2025">
        <v>2640</v>
      </c>
      <c r="AX2025" t="s">
        <v>262</v>
      </c>
      <c r="BO2025" t="s">
        <v>261</v>
      </c>
      <c r="BQ2025">
        <v>2.11</v>
      </c>
      <c r="BS2025">
        <v>1.68</v>
      </c>
      <c r="BU2025">
        <v>2.64</v>
      </c>
      <c r="BV2025" t="s">
        <v>263</v>
      </c>
      <c r="CM2025" t="s">
        <v>264</v>
      </c>
      <c r="CN2025" t="s">
        <v>264</v>
      </c>
      <c r="CP2025" t="s">
        <v>265</v>
      </c>
      <c r="CQ2025" t="s">
        <v>890</v>
      </c>
      <c r="DB2025">
        <v>4</v>
      </c>
      <c r="DG2025" t="s">
        <v>267</v>
      </c>
      <c r="DI2025">
        <v>4</v>
      </c>
      <c r="DN2025" t="s">
        <v>267</v>
      </c>
      <c r="DR2025">
        <v>101204</v>
      </c>
      <c r="DS2025">
        <v>10767</v>
      </c>
      <c r="DT2025" t="s">
        <v>3702</v>
      </c>
      <c r="EW2025" t="s">
        <v>293</v>
      </c>
      <c r="FA2025" t="s">
        <v>3703</v>
      </c>
      <c r="FM2025">
        <v>15</v>
      </c>
      <c r="FR2025" t="s">
        <v>295</v>
      </c>
      <c r="GU2025">
        <v>28</v>
      </c>
      <c r="GZ2025" t="s">
        <v>296</v>
      </c>
      <c r="HH2025" t="s">
        <v>272</v>
      </c>
      <c r="IE2025" t="s">
        <v>3704</v>
      </c>
      <c r="IF2025">
        <v>18408</v>
      </c>
      <c r="IG2025" t="s">
        <v>3705</v>
      </c>
      <c r="IH2025" t="s">
        <v>3706</v>
      </c>
      <c r="II2025">
        <v>1997</v>
      </c>
      <c r="IJ2025" t="s">
        <v>3707</v>
      </c>
    </row>
    <row r="2026" spans="1:244" x14ac:dyDescent="0.45">
      <c r="A2026">
        <v>1226444</v>
      </c>
      <c r="B2026">
        <v>219620</v>
      </c>
      <c r="C2026">
        <v>10108642</v>
      </c>
      <c r="D2026" t="s">
        <v>3523</v>
      </c>
      <c r="E2026" t="s">
        <v>386</v>
      </c>
      <c r="F2026" t="s">
        <v>245</v>
      </c>
      <c r="G2026" t="s">
        <v>246</v>
      </c>
      <c r="N2026" t="s">
        <v>302</v>
      </c>
      <c r="O2026" t="s">
        <v>303</v>
      </c>
      <c r="P2026" t="s">
        <v>249</v>
      </c>
      <c r="Q2026" t="s">
        <v>250</v>
      </c>
      <c r="R2026" t="s">
        <v>251</v>
      </c>
      <c r="T2026" t="s">
        <v>252</v>
      </c>
      <c r="U2026" t="s">
        <v>253</v>
      </c>
      <c r="V2026" t="s">
        <v>304</v>
      </c>
      <c r="W2026" t="s">
        <v>305</v>
      </c>
      <c r="X2026" t="s">
        <v>306</v>
      </c>
      <c r="Z2026" t="s">
        <v>1057</v>
      </c>
      <c r="AL2026" t="s">
        <v>1210</v>
      </c>
      <c r="AM2026" t="s">
        <v>317</v>
      </c>
      <c r="AN2026" t="s">
        <v>259</v>
      </c>
      <c r="AO2026" t="s">
        <v>260</v>
      </c>
      <c r="AQ2026" t="s">
        <v>261</v>
      </c>
      <c r="AS2026">
        <v>18.190000000000001</v>
      </c>
      <c r="AX2026" t="s">
        <v>356</v>
      </c>
      <c r="BO2026" t="s">
        <v>261</v>
      </c>
      <c r="BQ2026">
        <v>18.190000000000001</v>
      </c>
      <c r="BV2026" t="s">
        <v>263</v>
      </c>
      <c r="CM2026" t="s">
        <v>264</v>
      </c>
      <c r="CN2026" t="s">
        <v>264</v>
      </c>
      <c r="CP2026" t="s">
        <v>265</v>
      </c>
      <c r="CQ2026" t="s">
        <v>890</v>
      </c>
      <c r="DB2026">
        <v>1</v>
      </c>
      <c r="DG2026" t="s">
        <v>267</v>
      </c>
      <c r="DI2026">
        <v>24</v>
      </c>
      <c r="DN2026" t="s">
        <v>268</v>
      </c>
      <c r="DR2026">
        <v>338212</v>
      </c>
      <c r="DS2026">
        <v>732</v>
      </c>
      <c r="DT2026" t="s">
        <v>1211</v>
      </c>
      <c r="EW2026" t="s">
        <v>293</v>
      </c>
      <c r="GU2026">
        <v>36</v>
      </c>
      <c r="GZ2026" t="s">
        <v>900</v>
      </c>
      <c r="HH2026" t="s">
        <v>272</v>
      </c>
      <c r="IE2026" t="s">
        <v>1212</v>
      </c>
      <c r="IF2026">
        <v>51641</v>
      </c>
      <c r="IG2026" t="s">
        <v>1213</v>
      </c>
      <c r="IH2026" t="s">
        <v>1214</v>
      </c>
      <c r="II2026">
        <v>2000</v>
      </c>
      <c r="IJ2026" t="s">
        <v>1215</v>
      </c>
    </row>
    <row r="2027" spans="1:244" x14ac:dyDescent="0.45">
      <c r="A2027">
        <v>1278752</v>
      </c>
      <c r="B2027">
        <v>732035</v>
      </c>
      <c r="C2027">
        <v>10108642</v>
      </c>
      <c r="D2027" t="s">
        <v>3523</v>
      </c>
      <c r="F2027" t="s">
        <v>245</v>
      </c>
      <c r="G2027" t="s">
        <v>246</v>
      </c>
      <c r="N2027" t="s">
        <v>535</v>
      </c>
      <c r="O2027" t="s">
        <v>536</v>
      </c>
      <c r="P2027" t="s">
        <v>249</v>
      </c>
      <c r="Q2027" t="s">
        <v>250</v>
      </c>
      <c r="R2027" t="s">
        <v>251</v>
      </c>
      <c r="T2027" t="s">
        <v>252</v>
      </c>
      <c r="U2027" t="s">
        <v>253</v>
      </c>
      <c r="V2027" t="s">
        <v>304</v>
      </c>
      <c r="W2027" t="s">
        <v>305</v>
      </c>
      <c r="X2027" t="s">
        <v>537</v>
      </c>
      <c r="AL2027" t="s">
        <v>2433</v>
      </c>
      <c r="AM2027" t="s">
        <v>317</v>
      </c>
      <c r="AN2027" t="s">
        <v>259</v>
      </c>
      <c r="AO2027" t="s">
        <v>260</v>
      </c>
      <c r="AP2027">
        <v>6</v>
      </c>
      <c r="AQ2027" t="s">
        <v>261</v>
      </c>
      <c r="AS2027">
        <v>6</v>
      </c>
      <c r="AX2027" t="s">
        <v>356</v>
      </c>
      <c r="BO2027" t="s">
        <v>261</v>
      </c>
      <c r="BQ2027">
        <v>6</v>
      </c>
      <c r="BV2027" t="s">
        <v>263</v>
      </c>
      <c r="CM2027" t="s">
        <v>264</v>
      </c>
      <c r="CN2027" t="s">
        <v>264</v>
      </c>
      <c r="CP2027" t="s">
        <v>265</v>
      </c>
      <c r="CQ2027" t="s">
        <v>890</v>
      </c>
      <c r="DB2027">
        <v>2</v>
      </c>
      <c r="DG2027" t="s">
        <v>267</v>
      </c>
      <c r="DI2027">
        <v>48</v>
      </c>
      <c r="DN2027" t="s">
        <v>268</v>
      </c>
      <c r="DP2027" t="s">
        <v>3597</v>
      </c>
      <c r="DR2027">
        <v>661414</v>
      </c>
      <c r="DS2027">
        <v>16591</v>
      </c>
      <c r="EW2027" t="s">
        <v>293</v>
      </c>
      <c r="FK2027" t="s">
        <v>3766</v>
      </c>
      <c r="FO2027">
        <v>25.6</v>
      </c>
      <c r="FQ2027">
        <v>27</v>
      </c>
      <c r="FR2027" t="s">
        <v>295</v>
      </c>
      <c r="GG2027" t="s">
        <v>288</v>
      </c>
      <c r="GH2027">
        <v>4</v>
      </c>
      <c r="GM2027" t="s">
        <v>422</v>
      </c>
      <c r="GQ2027">
        <v>7.85</v>
      </c>
      <c r="GS2027">
        <v>8</v>
      </c>
      <c r="GU2027">
        <v>36</v>
      </c>
      <c r="GZ2027" t="s">
        <v>296</v>
      </c>
      <c r="HH2027" t="s">
        <v>272</v>
      </c>
      <c r="ID2027" t="s">
        <v>3767</v>
      </c>
      <c r="IE2027" t="s">
        <v>542</v>
      </c>
      <c r="IF2027">
        <v>48249</v>
      </c>
      <c r="IG2027" t="s">
        <v>543</v>
      </c>
      <c r="IH2027" t="s">
        <v>544</v>
      </c>
      <c r="II2027">
        <v>1980</v>
      </c>
      <c r="IJ2027" t="s">
        <v>545</v>
      </c>
    </row>
    <row r="2028" spans="1:244" x14ac:dyDescent="0.45">
      <c r="A2028">
        <v>1226443</v>
      </c>
      <c r="B2028">
        <v>219619</v>
      </c>
      <c r="C2028">
        <v>10108642</v>
      </c>
      <c r="D2028" t="s">
        <v>3523</v>
      </c>
      <c r="E2028" t="s">
        <v>386</v>
      </c>
      <c r="F2028" t="s">
        <v>245</v>
      </c>
      <c r="G2028" t="s">
        <v>246</v>
      </c>
      <c r="N2028" t="s">
        <v>302</v>
      </c>
      <c r="O2028" t="s">
        <v>303</v>
      </c>
      <c r="P2028" t="s">
        <v>249</v>
      </c>
      <c r="Q2028" t="s">
        <v>250</v>
      </c>
      <c r="R2028" t="s">
        <v>251</v>
      </c>
      <c r="T2028" t="s">
        <v>252</v>
      </c>
      <c r="U2028" t="s">
        <v>253</v>
      </c>
      <c r="V2028" t="s">
        <v>304</v>
      </c>
      <c r="W2028" t="s">
        <v>305</v>
      </c>
      <c r="X2028" t="s">
        <v>306</v>
      </c>
      <c r="Z2028" t="s">
        <v>1057</v>
      </c>
      <c r="AL2028" t="s">
        <v>1440</v>
      </c>
      <c r="AM2028" t="s">
        <v>317</v>
      </c>
      <c r="AN2028" t="s">
        <v>259</v>
      </c>
      <c r="AO2028" t="s">
        <v>260</v>
      </c>
      <c r="AQ2028" t="s">
        <v>261</v>
      </c>
      <c r="AS2028">
        <v>1.17</v>
      </c>
      <c r="AX2028" t="s">
        <v>356</v>
      </c>
      <c r="BO2028" t="s">
        <v>261</v>
      </c>
      <c r="BQ2028">
        <v>1.17</v>
      </c>
      <c r="BV2028" t="s">
        <v>263</v>
      </c>
      <c r="CM2028" t="s">
        <v>264</v>
      </c>
      <c r="CN2028" t="s">
        <v>264</v>
      </c>
      <c r="CP2028" t="s">
        <v>265</v>
      </c>
      <c r="CQ2028" t="s">
        <v>890</v>
      </c>
      <c r="DB2028">
        <v>4</v>
      </c>
      <c r="DG2028" t="s">
        <v>267</v>
      </c>
      <c r="DI2028">
        <v>96</v>
      </c>
      <c r="DN2028" t="s">
        <v>268</v>
      </c>
      <c r="DR2028">
        <v>338212</v>
      </c>
      <c r="DS2028">
        <v>732</v>
      </c>
      <c r="DT2028" t="s">
        <v>1211</v>
      </c>
      <c r="EW2028" t="s">
        <v>293</v>
      </c>
      <c r="GU2028">
        <v>36</v>
      </c>
      <c r="GZ2028" t="s">
        <v>900</v>
      </c>
      <c r="HH2028" t="s">
        <v>272</v>
      </c>
      <c r="IE2028" t="s">
        <v>1212</v>
      </c>
      <c r="IF2028">
        <v>51641</v>
      </c>
      <c r="IG2028" t="s">
        <v>1213</v>
      </c>
      <c r="IH2028" t="s">
        <v>1214</v>
      </c>
      <c r="II2028">
        <v>2000</v>
      </c>
      <c r="IJ2028" t="s">
        <v>1215</v>
      </c>
    </row>
    <row r="2029" spans="1:244" x14ac:dyDescent="0.45">
      <c r="A2029">
        <v>1176460</v>
      </c>
      <c r="B2029">
        <v>131561</v>
      </c>
      <c r="C2029">
        <v>10108642</v>
      </c>
      <c r="D2029" t="s">
        <v>3523</v>
      </c>
      <c r="F2029" t="s">
        <v>245</v>
      </c>
      <c r="G2029" t="s">
        <v>246</v>
      </c>
      <c r="N2029" t="s">
        <v>3524</v>
      </c>
      <c r="O2029" t="s">
        <v>498</v>
      </c>
      <c r="P2029" t="s">
        <v>249</v>
      </c>
      <c r="Q2029" t="s">
        <v>250</v>
      </c>
      <c r="R2029" t="s">
        <v>251</v>
      </c>
      <c r="T2029" t="s">
        <v>252</v>
      </c>
      <c r="U2029" t="s">
        <v>1244</v>
      </c>
      <c r="V2029" t="s">
        <v>1314</v>
      </c>
      <c r="W2029" t="s">
        <v>3525</v>
      </c>
      <c r="X2029" t="s">
        <v>3526</v>
      </c>
      <c r="AM2029" t="s">
        <v>317</v>
      </c>
      <c r="AN2029" t="s">
        <v>259</v>
      </c>
      <c r="AO2029" t="s">
        <v>260</v>
      </c>
      <c r="AQ2029" t="s">
        <v>261</v>
      </c>
      <c r="AS2029">
        <v>7650</v>
      </c>
      <c r="AX2029" t="s">
        <v>262</v>
      </c>
      <c r="BO2029" t="s">
        <v>261</v>
      </c>
      <c r="BQ2029">
        <v>7.65</v>
      </c>
      <c r="BV2029" t="s">
        <v>263</v>
      </c>
      <c r="CM2029" t="s">
        <v>264</v>
      </c>
      <c r="CN2029" t="s">
        <v>264</v>
      </c>
      <c r="CP2029" t="s">
        <v>265</v>
      </c>
      <c r="CQ2029" t="s">
        <v>890</v>
      </c>
      <c r="DB2029">
        <v>2</v>
      </c>
      <c r="DG2029" t="s">
        <v>267</v>
      </c>
      <c r="DI2029">
        <v>48</v>
      </c>
      <c r="DN2029" t="s">
        <v>268</v>
      </c>
      <c r="DR2029">
        <v>1131516</v>
      </c>
      <c r="DS2029">
        <v>4704</v>
      </c>
      <c r="EW2029" t="s">
        <v>271</v>
      </c>
      <c r="HH2029" t="s">
        <v>272</v>
      </c>
      <c r="IE2029" t="s">
        <v>3527</v>
      </c>
      <c r="IF2029">
        <v>15300</v>
      </c>
      <c r="IG2029" t="s">
        <v>3528</v>
      </c>
      <c r="IH2029" t="s">
        <v>3529</v>
      </c>
      <c r="II2029">
        <v>1979</v>
      </c>
      <c r="IJ2029" t="s">
        <v>3530</v>
      </c>
    </row>
    <row r="2030" spans="1:244" x14ac:dyDescent="0.45">
      <c r="A2030">
        <v>1114498</v>
      </c>
      <c r="B2030">
        <v>190126</v>
      </c>
      <c r="C2030">
        <v>10108642</v>
      </c>
      <c r="D2030" t="s">
        <v>3523</v>
      </c>
      <c r="E2030" t="s">
        <v>2689</v>
      </c>
      <c r="F2030" t="s">
        <v>245</v>
      </c>
      <c r="G2030" t="s">
        <v>246</v>
      </c>
      <c r="N2030" t="s">
        <v>3768</v>
      </c>
      <c r="O2030" t="s">
        <v>935</v>
      </c>
      <c r="P2030" t="s">
        <v>249</v>
      </c>
      <c r="Q2030" t="s">
        <v>250</v>
      </c>
      <c r="R2030" t="s">
        <v>251</v>
      </c>
      <c r="T2030" t="s">
        <v>252</v>
      </c>
      <c r="U2030" t="s">
        <v>253</v>
      </c>
      <c r="V2030" t="s">
        <v>2364</v>
      </c>
      <c r="W2030" t="s">
        <v>3769</v>
      </c>
      <c r="X2030" t="s">
        <v>3770</v>
      </c>
      <c r="AL2030" t="s">
        <v>3771</v>
      </c>
      <c r="AM2030" t="s">
        <v>317</v>
      </c>
      <c r="AN2030" t="s">
        <v>259</v>
      </c>
      <c r="AO2030" t="s">
        <v>260</v>
      </c>
      <c r="AQ2030" t="s">
        <v>261</v>
      </c>
      <c r="AS2030">
        <v>4900</v>
      </c>
      <c r="AU2030">
        <v>3900</v>
      </c>
      <c r="AW2030">
        <v>5400</v>
      </c>
      <c r="AX2030" t="s">
        <v>262</v>
      </c>
      <c r="BO2030" t="s">
        <v>261</v>
      </c>
      <c r="BQ2030">
        <v>4.9000000000000004</v>
      </c>
      <c r="BS2030">
        <v>3.9</v>
      </c>
      <c r="BU2030">
        <v>5.4</v>
      </c>
      <c r="BV2030" t="s">
        <v>263</v>
      </c>
      <c r="CM2030" t="s">
        <v>264</v>
      </c>
      <c r="CN2030" t="s">
        <v>264</v>
      </c>
      <c r="CP2030" t="s">
        <v>265</v>
      </c>
      <c r="CQ2030" t="s">
        <v>890</v>
      </c>
      <c r="DB2030">
        <v>3</v>
      </c>
      <c r="DG2030" t="s">
        <v>267</v>
      </c>
      <c r="DI2030">
        <v>72</v>
      </c>
      <c r="DN2030" t="s">
        <v>268</v>
      </c>
      <c r="DR2030">
        <v>108111</v>
      </c>
      <c r="DS2030">
        <v>1506</v>
      </c>
      <c r="DT2030" t="s">
        <v>3772</v>
      </c>
      <c r="EW2030" t="s">
        <v>293</v>
      </c>
      <c r="FA2030" t="s">
        <v>3773</v>
      </c>
      <c r="FM2030">
        <v>21</v>
      </c>
      <c r="FR2030" t="s">
        <v>295</v>
      </c>
      <c r="GO2030">
        <v>7</v>
      </c>
      <c r="GU2030">
        <v>25</v>
      </c>
      <c r="GZ2030" t="s">
        <v>296</v>
      </c>
      <c r="HH2030" t="s">
        <v>272</v>
      </c>
      <c r="IE2030" t="s">
        <v>3774</v>
      </c>
      <c r="IF2030">
        <v>8800</v>
      </c>
      <c r="IG2030" t="s">
        <v>3775</v>
      </c>
      <c r="IH2030" t="s">
        <v>3776</v>
      </c>
      <c r="II2030">
        <v>1973</v>
      </c>
      <c r="IJ2030" t="s">
        <v>3777</v>
      </c>
    </row>
    <row r="2031" spans="1:244" x14ac:dyDescent="0.45">
      <c r="A2031">
        <v>1182131</v>
      </c>
      <c r="B2031">
        <v>160034</v>
      </c>
      <c r="C2031">
        <v>10108642</v>
      </c>
      <c r="D2031" t="s">
        <v>3523</v>
      </c>
      <c r="E2031" t="s">
        <v>439</v>
      </c>
      <c r="F2031" t="s">
        <v>245</v>
      </c>
      <c r="G2031" t="s">
        <v>246</v>
      </c>
      <c r="N2031" t="s">
        <v>345</v>
      </c>
      <c r="O2031" t="s">
        <v>346</v>
      </c>
      <c r="P2031" t="s">
        <v>249</v>
      </c>
      <c r="Q2031" t="s">
        <v>250</v>
      </c>
      <c r="R2031" t="s">
        <v>251</v>
      </c>
      <c r="T2031" t="s">
        <v>347</v>
      </c>
      <c r="U2031" t="s">
        <v>348</v>
      </c>
      <c r="V2031" t="s">
        <v>349</v>
      </c>
      <c r="W2031" t="s">
        <v>350</v>
      </c>
      <c r="X2031" t="s">
        <v>351</v>
      </c>
      <c r="Z2031" t="s">
        <v>1034</v>
      </c>
      <c r="AL2031" t="s">
        <v>2663</v>
      </c>
      <c r="AM2031" t="s">
        <v>317</v>
      </c>
      <c r="AN2031" t="s">
        <v>259</v>
      </c>
      <c r="AO2031" t="s">
        <v>260</v>
      </c>
      <c r="AQ2031" t="s">
        <v>261</v>
      </c>
      <c r="AS2031">
        <v>420000</v>
      </c>
      <c r="AX2031" t="s">
        <v>262</v>
      </c>
      <c r="BO2031" t="s">
        <v>261</v>
      </c>
      <c r="BQ2031">
        <v>420</v>
      </c>
      <c r="BV2031" t="s">
        <v>263</v>
      </c>
      <c r="CM2031" t="s">
        <v>264</v>
      </c>
      <c r="CN2031" t="s">
        <v>264</v>
      </c>
      <c r="CP2031" t="s">
        <v>265</v>
      </c>
      <c r="DB2031">
        <v>1</v>
      </c>
      <c r="DG2031" t="s">
        <v>267</v>
      </c>
      <c r="DI2031">
        <v>24</v>
      </c>
      <c r="DN2031" t="s">
        <v>268</v>
      </c>
      <c r="DR2031">
        <v>6660</v>
      </c>
      <c r="DS2031">
        <v>421</v>
      </c>
      <c r="DT2031" t="s">
        <v>2665</v>
      </c>
      <c r="EW2031" t="s">
        <v>293</v>
      </c>
      <c r="FA2031" t="s">
        <v>2666</v>
      </c>
      <c r="FM2031">
        <v>25</v>
      </c>
      <c r="FR2031" t="s">
        <v>295</v>
      </c>
      <c r="GU2031">
        <v>15</v>
      </c>
      <c r="GZ2031" t="s">
        <v>296</v>
      </c>
      <c r="HH2031" t="s">
        <v>272</v>
      </c>
      <c r="IE2031" t="s">
        <v>2667</v>
      </c>
      <c r="IF2031">
        <v>16031</v>
      </c>
      <c r="IG2031" t="s">
        <v>2668</v>
      </c>
      <c r="IH2031" t="s">
        <v>2669</v>
      </c>
      <c r="II2031">
        <v>1995</v>
      </c>
      <c r="IJ2031" t="s">
        <v>2670</v>
      </c>
    </row>
    <row r="2032" spans="1:244" x14ac:dyDescent="0.45">
      <c r="A2032">
        <v>1139077</v>
      </c>
      <c r="B2032">
        <v>232036</v>
      </c>
      <c r="C2032">
        <v>10108642</v>
      </c>
      <c r="D2032" t="s">
        <v>3523</v>
      </c>
      <c r="E2032" t="s">
        <v>3539</v>
      </c>
      <c r="F2032" t="s">
        <v>327</v>
      </c>
      <c r="G2032" t="s">
        <v>246</v>
      </c>
      <c r="N2032" t="s">
        <v>3540</v>
      </c>
      <c r="O2032" t="s">
        <v>248</v>
      </c>
      <c r="P2032" t="s">
        <v>249</v>
      </c>
      <c r="Q2032" t="s">
        <v>250</v>
      </c>
      <c r="R2032" t="s">
        <v>251</v>
      </c>
      <c r="T2032" t="s">
        <v>252</v>
      </c>
      <c r="U2032" t="s">
        <v>253</v>
      </c>
      <c r="V2032" t="s">
        <v>1231</v>
      </c>
      <c r="W2032" t="s">
        <v>3541</v>
      </c>
      <c r="X2032" t="s">
        <v>3542</v>
      </c>
      <c r="AJ2032" t="s">
        <v>285</v>
      </c>
      <c r="AL2032" t="s">
        <v>3543</v>
      </c>
      <c r="AM2032" t="s">
        <v>317</v>
      </c>
      <c r="AN2032" t="s">
        <v>259</v>
      </c>
      <c r="AO2032" t="s">
        <v>260</v>
      </c>
      <c r="AQ2032" t="s">
        <v>261</v>
      </c>
      <c r="AS2032">
        <v>60.6</v>
      </c>
      <c r="AU2032">
        <v>58.8</v>
      </c>
      <c r="AW2032">
        <v>62.4</v>
      </c>
      <c r="AX2032" t="s">
        <v>356</v>
      </c>
      <c r="BO2032" t="s">
        <v>261</v>
      </c>
      <c r="BQ2032">
        <v>60.6</v>
      </c>
      <c r="BS2032">
        <v>58.8</v>
      </c>
      <c r="BU2032">
        <v>62.4</v>
      </c>
      <c r="BV2032" t="s">
        <v>263</v>
      </c>
      <c r="CM2032" t="s">
        <v>264</v>
      </c>
      <c r="CN2032" t="s">
        <v>264</v>
      </c>
      <c r="CP2032" t="s">
        <v>265</v>
      </c>
      <c r="CQ2032" t="s">
        <v>890</v>
      </c>
      <c r="DB2032">
        <v>1</v>
      </c>
      <c r="DG2032" t="s">
        <v>267</v>
      </c>
      <c r="DI2032">
        <v>24</v>
      </c>
      <c r="DN2032" t="s">
        <v>268</v>
      </c>
      <c r="DR2032">
        <v>151182</v>
      </c>
      <c r="DS2032">
        <v>11260</v>
      </c>
      <c r="EW2032" t="s">
        <v>272</v>
      </c>
      <c r="FK2032" t="s">
        <v>3778</v>
      </c>
      <c r="FM2032">
        <v>25</v>
      </c>
      <c r="FR2032" t="s">
        <v>295</v>
      </c>
      <c r="GU2032">
        <v>32</v>
      </c>
      <c r="GZ2032" t="s">
        <v>900</v>
      </c>
      <c r="HH2032" t="s">
        <v>272</v>
      </c>
      <c r="ID2032" t="s">
        <v>3779</v>
      </c>
      <c r="IE2032" t="s">
        <v>3546</v>
      </c>
      <c r="IF2032">
        <v>11524</v>
      </c>
      <c r="IG2032" t="s">
        <v>3547</v>
      </c>
      <c r="IH2032" t="s">
        <v>3548</v>
      </c>
      <c r="II2032">
        <v>1983</v>
      </c>
      <c r="IJ2032" t="s">
        <v>3549</v>
      </c>
    </row>
    <row r="2033" spans="1:244" x14ac:dyDescent="0.45">
      <c r="A2033">
        <v>1299771</v>
      </c>
      <c r="B2033">
        <v>755370</v>
      </c>
      <c r="C2033">
        <v>10108642</v>
      </c>
      <c r="D2033" t="s">
        <v>3523</v>
      </c>
      <c r="F2033" t="s">
        <v>245</v>
      </c>
      <c r="G2033" t="s">
        <v>246</v>
      </c>
      <c r="N2033" t="s">
        <v>892</v>
      </c>
      <c r="O2033" t="s">
        <v>498</v>
      </c>
      <c r="P2033" t="s">
        <v>249</v>
      </c>
      <c r="Q2033" t="s">
        <v>250</v>
      </c>
      <c r="R2033" t="s">
        <v>251</v>
      </c>
      <c r="T2033" t="s">
        <v>252</v>
      </c>
      <c r="U2033" t="s">
        <v>499</v>
      </c>
      <c r="V2033" t="s">
        <v>500</v>
      </c>
      <c r="W2033" t="s">
        <v>893</v>
      </c>
      <c r="X2033" t="s">
        <v>894</v>
      </c>
      <c r="AL2033" t="s">
        <v>3780</v>
      </c>
      <c r="AM2033" t="s">
        <v>317</v>
      </c>
      <c r="AN2033" t="s">
        <v>259</v>
      </c>
      <c r="AO2033" t="s">
        <v>260</v>
      </c>
      <c r="AP2033">
        <v>5</v>
      </c>
      <c r="AQ2033" t="s">
        <v>261</v>
      </c>
      <c r="AT2033" t="s">
        <v>288</v>
      </c>
      <c r="AU2033">
        <v>2</v>
      </c>
      <c r="AV2033" t="s">
        <v>289</v>
      </c>
      <c r="AW2033">
        <v>2.5</v>
      </c>
      <c r="AX2033" t="s">
        <v>356</v>
      </c>
      <c r="BO2033" t="s">
        <v>261</v>
      </c>
      <c r="BR2033" t="s">
        <v>288</v>
      </c>
      <c r="BS2033">
        <v>2</v>
      </c>
      <c r="BT2033" t="s">
        <v>289</v>
      </c>
      <c r="BU2033">
        <v>2.5</v>
      </c>
      <c r="BV2033" t="s">
        <v>263</v>
      </c>
      <c r="CM2033" t="s">
        <v>264</v>
      </c>
      <c r="CN2033" t="s">
        <v>264</v>
      </c>
      <c r="CP2033" t="s">
        <v>265</v>
      </c>
      <c r="CQ2033" t="s">
        <v>890</v>
      </c>
      <c r="DB2033">
        <v>4</v>
      </c>
      <c r="DG2033" t="s">
        <v>267</v>
      </c>
      <c r="DI2033">
        <v>96</v>
      </c>
      <c r="DN2033" t="s">
        <v>268</v>
      </c>
      <c r="DP2033" t="s">
        <v>3628</v>
      </c>
      <c r="DR2033">
        <v>732107</v>
      </c>
      <c r="DS2033">
        <v>427</v>
      </c>
      <c r="DT2033" t="s">
        <v>1327</v>
      </c>
      <c r="EW2033" t="s">
        <v>293</v>
      </c>
      <c r="FK2033" t="s">
        <v>3781</v>
      </c>
      <c r="FM2033">
        <v>16</v>
      </c>
      <c r="FR2033" t="s">
        <v>295</v>
      </c>
      <c r="GJ2033">
        <v>8</v>
      </c>
      <c r="GL2033">
        <v>8.5</v>
      </c>
      <c r="GM2033" t="s">
        <v>356</v>
      </c>
      <c r="GQ2033">
        <v>7.9</v>
      </c>
      <c r="GS2033">
        <v>8.64</v>
      </c>
      <c r="GU2033">
        <v>36</v>
      </c>
      <c r="GZ2033" t="s">
        <v>296</v>
      </c>
      <c r="HH2033" t="s">
        <v>272</v>
      </c>
      <c r="ID2033" t="s">
        <v>3782</v>
      </c>
      <c r="IE2033" t="s">
        <v>1330</v>
      </c>
      <c r="IF2033">
        <v>116169</v>
      </c>
      <c r="IG2033" t="s">
        <v>1331</v>
      </c>
      <c r="IH2033" t="s">
        <v>1332</v>
      </c>
      <c r="II2033">
        <v>2005</v>
      </c>
      <c r="IJ2033" t="s">
        <v>1333</v>
      </c>
    </row>
    <row r="2034" spans="1:244" x14ac:dyDescent="0.45">
      <c r="A2034">
        <v>1198944</v>
      </c>
      <c r="B2034">
        <v>150573</v>
      </c>
      <c r="C2034">
        <v>10108642</v>
      </c>
      <c r="D2034" t="s">
        <v>3523</v>
      </c>
      <c r="F2034" t="s">
        <v>245</v>
      </c>
      <c r="G2034" t="s">
        <v>246</v>
      </c>
      <c r="N2034" t="s">
        <v>247</v>
      </c>
      <c r="O2034" t="s">
        <v>248</v>
      </c>
      <c r="P2034" t="s">
        <v>249</v>
      </c>
      <c r="Q2034" t="s">
        <v>250</v>
      </c>
      <c r="R2034" t="s">
        <v>251</v>
      </c>
      <c r="T2034" t="s">
        <v>252</v>
      </c>
      <c r="U2034" t="s">
        <v>253</v>
      </c>
      <c r="V2034" t="s">
        <v>254</v>
      </c>
      <c r="W2034" t="s">
        <v>255</v>
      </c>
      <c r="X2034" t="s">
        <v>256</v>
      </c>
      <c r="Z2034" t="s">
        <v>1046</v>
      </c>
      <c r="AD2034">
        <v>6</v>
      </c>
      <c r="AF2034">
        <v>8</v>
      </c>
      <c r="AG2034" t="s">
        <v>267</v>
      </c>
      <c r="AL2034" t="s">
        <v>3018</v>
      </c>
      <c r="AM2034" t="s">
        <v>287</v>
      </c>
      <c r="AN2034" t="s">
        <v>259</v>
      </c>
      <c r="AO2034" t="s">
        <v>260</v>
      </c>
      <c r="AQ2034" t="s">
        <v>261</v>
      </c>
      <c r="AS2034">
        <v>78</v>
      </c>
      <c r="AU2034">
        <v>66</v>
      </c>
      <c r="AW2034">
        <v>92</v>
      </c>
      <c r="AX2034" t="s">
        <v>262</v>
      </c>
      <c r="BO2034" t="s">
        <v>261</v>
      </c>
      <c r="BQ2034">
        <v>7.8E-2</v>
      </c>
      <c r="BS2034">
        <v>6.6000000000000003E-2</v>
      </c>
      <c r="BU2034">
        <v>9.1999999999999998E-2</v>
      </c>
      <c r="BV2034" t="s">
        <v>263</v>
      </c>
      <c r="CM2034" t="s">
        <v>264</v>
      </c>
      <c r="CN2034" t="s">
        <v>264</v>
      </c>
      <c r="CP2034" t="s">
        <v>265</v>
      </c>
      <c r="CQ2034" t="s">
        <v>890</v>
      </c>
      <c r="DB2034">
        <v>2</v>
      </c>
      <c r="DG2034" t="s">
        <v>267</v>
      </c>
      <c r="DI2034">
        <v>48</v>
      </c>
      <c r="DN2034" t="s">
        <v>268</v>
      </c>
      <c r="DR2034">
        <v>6761</v>
      </c>
      <c r="DS2034">
        <v>2461</v>
      </c>
      <c r="DT2034" t="s">
        <v>3019</v>
      </c>
      <c r="EW2034" t="s">
        <v>376</v>
      </c>
      <c r="GU2034">
        <v>30</v>
      </c>
      <c r="GZ2034" t="s">
        <v>296</v>
      </c>
      <c r="HH2034" t="s">
        <v>272</v>
      </c>
      <c r="IE2034" t="s">
        <v>3020</v>
      </c>
      <c r="IF2034">
        <v>17977</v>
      </c>
      <c r="IG2034" t="s">
        <v>3021</v>
      </c>
      <c r="IH2034" t="s">
        <v>3022</v>
      </c>
      <c r="II2034">
        <v>1997</v>
      </c>
      <c r="IJ2034" t="s">
        <v>3023</v>
      </c>
    </row>
    <row r="2035" spans="1:244" x14ac:dyDescent="0.45">
      <c r="A2035">
        <v>1176473</v>
      </c>
      <c r="B2035">
        <v>156491</v>
      </c>
      <c r="C2035">
        <v>10108642</v>
      </c>
      <c r="D2035" t="s">
        <v>3523</v>
      </c>
      <c r="F2035" t="s">
        <v>245</v>
      </c>
      <c r="G2035" t="s">
        <v>246</v>
      </c>
      <c r="N2035" t="s">
        <v>3550</v>
      </c>
      <c r="O2035" t="s">
        <v>578</v>
      </c>
      <c r="P2035" t="s">
        <v>249</v>
      </c>
      <c r="Q2035" t="s">
        <v>250</v>
      </c>
      <c r="R2035" t="s">
        <v>251</v>
      </c>
      <c r="T2035" t="s">
        <v>252</v>
      </c>
      <c r="U2035" t="s">
        <v>499</v>
      </c>
      <c r="V2035" t="s">
        <v>3551</v>
      </c>
      <c r="W2035" t="s">
        <v>3552</v>
      </c>
      <c r="X2035" t="s">
        <v>3553</v>
      </c>
      <c r="AM2035" t="s">
        <v>317</v>
      </c>
      <c r="AN2035" t="s">
        <v>259</v>
      </c>
      <c r="AO2035" t="s">
        <v>260</v>
      </c>
      <c r="AQ2035" t="s">
        <v>261</v>
      </c>
      <c r="AS2035">
        <v>1480</v>
      </c>
      <c r="AX2035" t="s">
        <v>262</v>
      </c>
      <c r="BO2035" t="s">
        <v>261</v>
      </c>
      <c r="BQ2035">
        <v>1.48</v>
      </c>
      <c r="BV2035" t="s">
        <v>263</v>
      </c>
      <c r="CM2035" t="s">
        <v>264</v>
      </c>
      <c r="CN2035" t="s">
        <v>264</v>
      </c>
      <c r="CP2035" t="s">
        <v>265</v>
      </c>
      <c r="CQ2035" t="s">
        <v>890</v>
      </c>
      <c r="DB2035">
        <v>4</v>
      </c>
      <c r="DG2035" t="s">
        <v>267</v>
      </c>
      <c r="DI2035">
        <v>96</v>
      </c>
      <c r="DN2035" t="s">
        <v>268</v>
      </c>
      <c r="DS2035">
        <v>4655</v>
      </c>
      <c r="EW2035" t="s">
        <v>271</v>
      </c>
      <c r="HH2035" t="s">
        <v>272</v>
      </c>
      <c r="IE2035" t="s">
        <v>3527</v>
      </c>
      <c r="IF2035">
        <v>15300</v>
      </c>
      <c r="IG2035" t="s">
        <v>3528</v>
      </c>
      <c r="IH2035" t="s">
        <v>3529</v>
      </c>
      <c r="II2035">
        <v>1979</v>
      </c>
      <c r="IJ2035" t="s">
        <v>3530</v>
      </c>
    </row>
    <row r="2036" spans="1:244" x14ac:dyDescent="0.45">
      <c r="A2036">
        <v>1176458</v>
      </c>
      <c r="B2036">
        <v>131559</v>
      </c>
      <c r="C2036">
        <v>10108642</v>
      </c>
      <c r="D2036" t="s">
        <v>3523</v>
      </c>
      <c r="F2036" t="s">
        <v>245</v>
      </c>
      <c r="G2036" t="s">
        <v>246</v>
      </c>
      <c r="N2036" t="s">
        <v>3524</v>
      </c>
      <c r="O2036" t="s">
        <v>498</v>
      </c>
      <c r="P2036" t="s">
        <v>249</v>
      </c>
      <c r="Q2036" t="s">
        <v>250</v>
      </c>
      <c r="R2036" t="s">
        <v>251</v>
      </c>
      <c r="T2036" t="s">
        <v>252</v>
      </c>
      <c r="U2036" t="s">
        <v>1244</v>
      </c>
      <c r="V2036" t="s">
        <v>1314</v>
      </c>
      <c r="W2036" t="s">
        <v>3525</v>
      </c>
      <c r="X2036" t="s">
        <v>3526</v>
      </c>
      <c r="AM2036" t="s">
        <v>317</v>
      </c>
      <c r="AN2036" t="s">
        <v>259</v>
      </c>
      <c r="AO2036" t="s">
        <v>260</v>
      </c>
      <c r="AQ2036" t="s">
        <v>261</v>
      </c>
      <c r="AS2036">
        <v>3270</v>
      </c>
      <c r="AX2036" t="s">
        <v>262</v>
      </c>
      <c r="BO2036" t="s">
        <v>261</v>
      </c>
      <c r="BQ2036">
        <v>3.27</v>
      </c>
      <c r="BV2036" t="s">
        <v>263</v>
      </c>
      <c r="CM2036" t="s">
        <v>264</v>
      </c>
      <c r="CN2036" t="s">
        <v>264</v>
      </c>
      <c r="CP2036" t="s">
        <v>265</v>
      </c>
      <c r="CQ2036" t="s">
        <v>890</v>
      </c>
      <c r="DB2036">
        <v>3</v>
      </c>
      <c r="DG2036" t="s">
        <v>267</v>
      </c>
      <c r="DI2036">
        <v>72</v>
      </c>
      <c r="DN2036" t="s">
        <v>268</v>
      </c>
      <c r="DR2036">
        <v>1131516</v>
      </c>
      <c r="DS2036">
        <v>4704</v>
      </c>
      <c r="EW2036" t="s">
        <v>271</v>
      </c>
      <c r="HH2036" t="s">
        <v>272</v>
      </c>
      <c r="IE2036" t="s">
        <v>3527</v>
      </c>
      <c r="IF2036">
        <v>15300</v>
      </c>
      <c r="IG2036" t="s">
        <v>3528</v>
      </c>
      <c r="IH2036" t="s">
        <v>3529</v>
      </c>
      <c r="II2036">
        <v>1979</v>
      </c>
      <c r="IJ2036" t="s">
        <v>3530</v>
      </c>
    </row>
    <row r="2037" spans="1:244" x14ac:dyDescent="0.45">
      <c r="A2037">
        <v>1297230</v>
      </c>
      <c r="B2037">
        <v>752589</v>
      </c>
      <c r="C2037">
        <v>10108642</v>
      </c>
      <c r="D2037" t="s">
        <v>3523</v>
      </c>
      <c r="F2037" t="s">
        <v>245</v>
      </c>
      <c r="G2037" t="s">
        <v>246</v>
      </c>
      <c r="N2037" t="s">
        <v>1280</v>
      </c>
      <c r="O2037" t="s">
        <v>498</v>
      </c>
      <c r="P2037" t="s">
        <v>249</v>
      </c>
      <c r="Q2037" t="s">
        <v>250</v>
      </c>
      <c r="R2037" t="s">
        <v>251</v>
      </c>
      <c r="T2037" t="s">
        <v>252</v>
      </c>
      <c r="U2037" t="s">
        <v>499</v>
      </c>
      <c r="V2037" t="s">
        <v>1281</v>
      </c>
      <c r="W2037" t="s">
        <v>1282</v>
      </c>
      <c r="X2037" t="s">
        <v>1283</v>
      </c>
      <c r="Z2037" t="s">
        <v>1248</v>
      </c>
      <c r="AL2037" t="s">
        <v>1249</v>
      </c>
      <c r="AM2037" t="s">
        <v>317</v>
      </c>
      <c r="AN2037" t="s">
        <v>259</v>
      </c>
      <c r="AO2037" t="s">
        <v>260</v>
      </c>
      <c r="AP2037">
        <v>6</v>
      </c>
      <c r="AQ2037" t="s">
        <v>261</v>
      </c>
      <c r="AS2037">
        <v>1.68</v>
      </c>
      <c r="AU2037">
        <v>0.94</v>
      </c>
      <c r="AW2037">
        <v>2.4</v>
      </c>
      <c r="AX2037" t="s">
        <v>356</v>
      </c>
      <c r="BO2037" t="s">
        <v>261</v>
      </c>
      <c r="BQ2037">
        <v>1.68</v>
      </c>
      <c r="BS2037">
        <v>0.94</v>
      </c>
      <c r="BU2037">
        <v>2.4</v>
      </c>
      <c r="BV2037" t="s">
        <v>263</v>
      </c>
      <c r="CM2037" t="s">
        <v>264</v>
      </c>
      <c r="CN2037" t="s">
        <v>264</v>
      </c>
      <c r="CP2037" t="s">
        <v>265</v>
      </c>
      <c r="CQ2037" t="s">
        <v>890</v>
      </c>
      <c r="DB2037">
        <v>4</v>
      </c>
      <c r="DG2037" t="s">
        <v>267</v>
      </c>
      <c r="DI2037">
        <v>96</v>
      </c>
      <c r="DN2037" t="s">
        <v>268</v>
      </c>
      <c r="DP2037" t="s">
        <v>3628</v>
      </c>
      <c r="DS2037">
        <v>2851</v>
      </c>
      <c r="DT2037" t="s">
        <v>1250</v>
      </c>
      <c r="EW2037" t="s">
        <v>293</v>
      </c>
      <c r="FA2037" t="s">
        <v>1222</v>
      </c>
      <c r="FK2037" t="s">
        <v>3783</v>
      </c>
      <c r="FM2037">
        <v>16</v>
      </c>
      <c r="FR2037" t="s">
        <v>295</v>
      </c>
      <c r="HH2037" t="s">
        <v>272</v>
      </c>
      <c r="ID2037" t="s">
        <v>3784</v>
      </c>
      <c r="IE2037" t="s">
        <v>1253</v>
      </c>
      <c r="IF2037">
        <v>115536</v>
      </c>
      <c r="IG2037" t="s">
        <v>1254</v>
      </c>
      <c r="IH2037" t="s">
        <v>1255</v>
      </c>
      <c r="II2037">
        <v>2007</v>
      </c>
      <c r="IJ2037" t="s">
        <v>1256</v>
      </c>
    </row>
    <row r="2038" spans="1:244" x14ac:dyDescent="0.45">
      <c r="A2038">
        <v>1176487</v>
      </c>
      <c r="B2038">
        <v>156505</v>
      </c>
      <c r="C2038">
        <v>10108642</v>
      </c>
      <c r="D2038" t="s">
        <v>3523</v>
      </c>
      <c r="F2038" t="s">
        <v>245</v>
      </c>
      <c r="G2038" t="s">
        <v>246</v>
      </c>
      <c r="N2038" t="s">
        <v>3550</v>
      </c>
      <c r="O2038" t="s">
        <v>578</v>
      </c>
      <c r="P2038" t="s">
        <v>249</v>
      </c>
      <c r="Q2038" t="s">
        <v>250</v>
      </c>
      <c r="R2038" t="s">
        <v>251</v>
      </c>
      <c r="T2038" t="s">
        <v>252</v>
      </c>
      <c r="U2038" t="s">
        <v>499</v>
      </c>
      <c r="V2038" t="s">
        <v>3551</v>
      </c>
      <c r="W2038" t="s">
        <v>3552</v>
      </c>
      <c r="X2038" t="s">
        <v>3553</v>
      </c>
      <c r="AM2038" t="s">
        <v>317</v>
      </c>
      <c r="AN2038" t="s">
        <v>259</v>
      </c>
      <c r="AO2038" t="s">
        <v>260</v>
      </c>
      <c r="AQ2038" t="s">
        <v>261</v>
      </c>
      <c r="AS2038">
        <v>1080</v>
      </c>
      <c r="AX2038" t="s">
        <v>262</v>
      </c>
      <c r="BO2038" t="s">
        <v>261</v>
      </c>
      <c r="BQ2038">
        <v>1.08</v>
      </c>
      <c r="BV2038" t="s">
        <v>263</v>
      </c>
      <c r="CM2038" t="s">
        <v>264</v>
      </c>
      <c r="CN2038" t="s">
        <v>264</v>
      </c>
      <c r="CP2038" t="s">
        <v>265</v>
      </c>
      <c r="CQ2038" t="s">
        <v>890</v>
      </c>
      <c r="DB2038">
        <v>2</v>
      </c>
      <c r="DG2038" t="s">
        <v>267</v>
      </c>
      <c r="DI2038">
        <v>48</v>
      </c>
      <c r="DN2038" t="s">
        <v>268</v>
      </c>
      <c r="DS2038">
        <v>4655</v>
      </c>
      <c r="EW2038" t="s">
        <v>271</v>
      </c>
      <c r="HH2038" t="s">
        <v>272</v>
      </c>
      <c r="IE2038" t="s">
        <v>3527</v>
      </c>
      <c r="IF2038">
        <v>15300</v>
      </c>
      <c r="IG2038" t="s">
        <v>3528</v>
      </c>
      <c r="IH2038" t="s">
        <v>3529</v>
      </c>
      <c r="II2038">
        <v>1979</v>
      </c>
      <c r="IJ2038" t="s">
        <v>3530</v>
      </c>
    </row>
    <row r="2039" spans="1:244" x14ac:dyDescent="0.45">
      <c r="A2039">
        <v>1176455</v>
      </c>
      <c r="B2039">
        <v>131556</v>
      </c>
      <c r="C2039">
        <v>10108642</v>
      </c>
      <c r="D2039" t="s">
        <v>3523</v>
      </c>
      <c r="F2039" t="s">
        <v>245</v>
      </c>
      <c r="G2039" t="s">
        <v>246</v>
      </c>
      <c r="N2039" t="s">
        <v>3524</v>
      </c>
      <c r="O2039" t="s">
        <v>498</v>
      </c>
      <c r="P2039" t="s">
        <v>249</v>
      </c>
      <c r="Q2039" t="s">
        <v>250</v>
      </c>
      <c r="R2039" t="s">
        <v>251</v>
      </c>
      <c r="T2039" t="s">
        <v>252</v>
      </c>
      <c r="U2039" t="s">
        <v>1244</v>
      </c>
      <c r="V2039" t="s">
        <v>1314</v>
      </c>
      <c r="W2039" t="s">
        <v>3525</v>
      </c>
      <c r="X2039" t="s">
        <v>3526</v>
      </c>
      <c r="AM2039" t="s">
        <v>317</v>
      </c>
      <c r="AN2039" t="s">
        <v>259</v>
      </c>
      <c r="AO2039" t="s">
        <v>260</v>
      </c>
      <c r="AQ2039" t="s">
        <v>261</v>
      </c>
      <c r="AS2039">
        <v>2020</v>
      </c>
      <c r="AX2039" t="s">
        <v>262</v>
      </c>
      <c r="BO2039" t="s">
        <v>261</v>
      </c>
      <c r="BQ2039">
        <v>2.02</v>
      </c>
      <c r="BV2039" t="s">
        <v>263</v>
      </c>
      <c r="CM2039" t="s">
        <v>264</v>
      </c>
      <c r="CN2039" t="s">
        <v>264</v>
      </c>
      <c r="CP2039" t="s">
        <v>265</v>
      </c>
      <c r="CQ2039" t="s">
        <v>890</v>
      </c>
      <c r="DB2039">
        <v>4</v>
      </c>
      <c r="DG2039" t="s">
        <v>267</v>
      </c>
      <c r="DI2039">
        <v>96</v>
      </c>
      <c r="DN2039" t="s">
        <v>268</v>
      </c>
      <c r="DR2039">
        <v>1131516</v>
      </c>
      <c r="DS2039">
        <v>4704</v>
      </c>
      <c r="EW2039" t="s">
        <v>271</v>
      </c>
      <c r="HH2039" t="s">
        <v>272</v>
      </c>
      <c r="IE2039" t="s">
        <v>3527</v>
      </c>
      <c r="IF2039">
        <v>15300</v>
      </c>
      <c r="IG2039" t="s">
        <v>3528</v>
      </c>
      <c r="IH2039" t="s">
        <v>3529</v>
      </c>
      <c r="II2039">
        <v>1979</v>
      </c>
      <c r="IJ2039" t="s">
        <v>3530</v>
      </c>
    </row>
    <row r="2040" spans="1:244" x14ac:dyDescent="0.45">
      <c r="A2040">
        <v>1182136</v>
      </c>
      <c r="B2040">
        <v>160039</v>
      </c>
      <c r="C2040">
        <v>10108642</v>
      </c>
      <c r="D2040" t="s">
        <v>3523</v>
      </c>
      <c r="E2040" t="s">
        <v>439</v>
      </c>
      <c r="F2040" t="s">
        <v>245</v>
      </c>
      <c r="G2040" t="s">
        <v>246</v>
      </c>
      <c r="N2040" t="s">
        <v>345</v>
      </c>
      <c r="O2040" t="s">
        <v>346</v>
      </c>
      <c r="P2040" t="s">
        <v>249</v>
      </c>
      <c r="Q2040" t="s">
        <v>250</v>
      </c>
      <c r="R2040" t="s">
        <v>251</v>
      </c>
      <c r="T2040" t="s">
        <v>347</v>
      </c>
      <c r="U2040" t="s">
        <v>348</v>
      </c>
      <c r="V2040" t="s">
        <v>349</v>
      </c>
      <c r="W2040" t="s">
        <v>350</v>
      </c>
      <c r="X2040" t="s">
        <v>351</v>
      </c>
      <c r="Z2040" t="s">
        <v>1034</v>
      </c>
      <c r="AL2040" t="s">
        <v>2663</v>
      </c>
      <c r="AM2040" t="s">
        <v>317</v>
      </c>
      <c r="AN2040" t="s">
        <v>259</v>
      </c>
      <c r="AO2040" t="s">
        <v>260</v>
      </c>
      <c r="AQ2040" t="s">
        <v>261</v>
      </c>
      <c r="AS2040">
        <v>247000</v>
      </c>
      <c r="AX2040" t="s">
        <v>262</v>
      </c>
      <c r="BO2040" t="s">
        <v>261</v>
      </c>
      <c r="BQ2040">
        <v>247</v>
      </c>
      <c r="BV2040" t="s">
        <v>263</v>
      </c>
      <c r="CM2040" t="s">
        <v>264</v>
      </c>
      <c r="CN2040" t="s">
        <v>264</v>
      </c>
      <c r="CP2040" t="s">
        <v>265</v>
      </c>
      <c r="DB2040">
        <v>2</v>
      </c>
      <c r="DG2040" t="s">
        <v>267</v>
      </c>
      <c r="DI2040">
        <v>48</v>
      </c>
      <c r="DN2040" t="s">
        <v>268</v>
      </c>
      <c r="DR2040">
        <v>6660</v>
      </c>
      <c r="DS2040">
        <v>421</v>
      </c>
      <c r="DT2040" t="s">
        <v>2665</v>
      </c>
      <c r="EW2040" t="s">
        <v>293</v>
      </c>
      <c r="FA2040" t="s">
        <v>2666</v>
      </c>
      <c r="FM2040">
        <v>25</v>
      </c>
      <c r="FR2040" t="s">
        <v>295</v>
      </c>
      <c r="GU2040">
        <v>15</v>
      </c>
      <c r="GZ2040" t="s">
        <v>296</v>
      </c>
      <c r="HH2040" t="s">
        <v>272</v>
      </c>
      <c r="IE2040" t="s">
        <v>2667</v>
      </c>
      <c r="IF2040">
        <v>16031</v>
      </c>
      <c r="IG2040" t="s">
        <v>2668</v>
      </c>
      <c r="IH2040" t="s">
        <v>2669</v>
      </c>
      <c r="II2040">
        <v>1995</v>
      </c>
      <c r="IJ2040" t="s">
        <v>2670</v>
      </c>
    </row>
    <row r="2041" spans="1:244" x14ac:dyDescent="0.45">
      <c r="A2041">
        <v>1122238</v>
      </c>
      <c r="B2041">
        <v>126277</v>
      </c>
      <c r="C2041">
        <v>10108642</v>
      </c>
      <c r="D2041" t="s">
        <v>3523</v>
      </c>
      <c r="F2041" t="s">
        <v>245</v>
      </c>
      <c r="G2041" t="s">
        <v>246</v>
      </c>
      <c r="N2041" t="s">
        <v>1705</v>
      </c>
      <c r="O2041" t="s">
        <v>1706</v>
      </c>
      <c r="P2041" t="s">
        <v>249</v>
      </c>
      <c r="Q2041" t="s">
        <v>250</v>
      </c>
      <c r="R2041" t="s">
        <v>251</v>
      </c>
      <c r="T2041" t="s">
        <v>347</v>
      </c>
      <c r="U2041" t="s">
        <v>1707</v>
      </c>
      <c r="V2041" t="s">
        <v>1708</v>
      </c>
      <c r="W2041" t="s">
        <v>1709</v>
      </c>
      <c r="X2041" t="s">
        <v>1710</v>
      </c>
      <c r="AM2041" t="s">
        <v>287</v>
      </c>
      <c r="AN2041" t="s">
        <v>259</v>
      </c>
      <c r="AO2041" t="s">
        <v>260</v>
      </c>
      <c r="AQ2041" t="s">
        <v>261</v>
      </c>
      <c r="AS2041">
        <v>6520</v>
      </c>
      <c r="AU2041">
        <v>4620</v>
      </c>
      <c r="AW2041">
        <v>9200</v>
      </c>
      <c r="AX2041" t="s">
        <v>262</v>
      </c>
      <c r="BO2041" t="s">
        <v>261</v>
      </c>
      <c r="BQ2041">
        <v>6.52</v>
      </c>
      <c r="BS2041">
        <v>4.62</v>
      </c>
      <c r="BU2041">
        <v>9.1999999999999993</v>
      </c>
      <c r="BV2041" t="s">
        <v>263</v>
      </c>
      <c r="CM2041" t="s">
        <v>264</v>
      </c>
      <c r="CN2041" t="s">
        <v>264</v>
      </c>
      <c r="CP2041" t="s">
        <v>265</v>
      </c>
      <c r="CQ2041" t="s">
        <v>890</v>
      </c>
      <c r="DB2041">
        <v>1</v>
      </c>
      <c r="DG2041" t="s">
        <v>267</v>
      </c>
      <c r="DI2041">
        <v>24</v>
      </c>
      <c r="DN2041" t="s">
        <v>268</v>
      </c>
      <c r="DR2041">
        <v>700594</v>
      </c>
      <c r="DS2041">
        <v>4630</v>
      </c>
      <c r="EW2041" t="s">
        <v>271</v>
      </c>
      <c r="FM2041">
        <v>25</v>
      </c>
      <c r="FR2041" t="s">
        <v>295</v>
      </c>
      <c r="GO2041">
        <v>7.85</v>
      </c>
      <c r="GU2041">
        <v>31.7</v>
      </c>
      <c r="GZ2041" t="s">
        <v>296</v>
      </c>
      <c r="HH2041" t="s">
        <v>272</v>
      </c>
      <c r="IE2041" t="s">
        <v>1711</v>
      </c>
      <c r="IF2041">
        <v>9624</v>
      </c>
      <c r="IG2041" t="s">
        <v>1712</v>
      </c>
      <c r="IH2041" t="s">
        <v>1713</v>
      </c>
      <c r="II2041">
        <v>1991</v>
      </c>
      <c r="IJ2041" t="s">
        <v>1714</v>
      </c>
    </row>
    <row r="2042" spans="1:244" x14ac:dyDescent="0.45">
      <c r="A2042">
        <v>1298592</v>
      </c>
      <c r="B2042">
        <v>754098</v>
      </c>
      <c r="C2042">
        <v>10108642</v>
      </c>
      <c r="D2042" t="s">
        <v>3523</v>
      </c>
      <c r="F2042" t="s">
        <v>245</v>
      </c>
      <c r="G2042" t="s">
        <v>246</v>
      </c>
      <c r="N2042" t="s">
        <v>1341</v>
      </c>
      <c r="O2042" t="s">
        <v>578</v>
      </c>
      <c r="P2042" t="s">
        <v>249</v>
      </c>
      <c r="Q2042" t="s">
        <v>250</v>
      </c>
      <c r="R2042" t="s">
        <v>251</v>
      </c>
      <c r="T2042" t="s">
        <v>252</v>
      </c>
      <c r="U2042" t="s">
        <v>499</v>
      </c>
      <c r="V2042" t="s">
        <v>1342</v>
      </c>
      <c r="W2042" t="s">
        <v>1343</v>
      </c>
      <c r="X2042" t="s">
        <v>1344</v>
      </c>
      <c r="Z2042" t="s">
        <v>315</v>
      </c>
      <c r="AL2042" t="s">
        <v>1345</v>
      </c>
      <c r="AM2042" t="s">
        <v>317</v>
      </c>
      <c r="AN2042" t="s">
        <v>259</v>
      </c>
      <c r="AO2042" t="s">
        <v>260</v>
      </c>
      <c r="AP2042">
        <v>7</v>
      </c>
      <c r="AQ2042" t="s">
        <v>261</v>
      </c>
      <c r="AS2042">
        <v>27.66</v>
      </c>
      <c r="AU2042">
        <v>16.600000000000001</v>
      </c>
      <c r="AW2042">
        <v>46</v>
      </c>
      <c r="AX2042" t="s">
        <v>422</v>
      </c>
      <c r="BO2042" t="s">
        <v>261</v>
      </c>
      <c r="BQ2042">
        <v>27.66</v>
      </c>
      <c r="BS2042">
        <v>16.600000000000001</v>
      </c>
      <c r="BU2042">
        <v>46</v>
      </c>
      <c r="BV2042" t="s">
        <v>263</v>
      </c>
      <c r="CM2042" t="s">
        <v>264</v>
      </c>
      <c r="CN2042" t="s">
        <v>264</v>
      </c>
      <c r="CP2042" t="s">
        <v>265</v>
      </c>
      <c r="CQ2042" t="s">
        <v>890</v>
      </c>
      <c r="DB2042">
        <v>4</v>
      </c>
      <c r="DG2042" t="s">
        <v>267</v>
      </c>
      <c r="DI2042">
        <v>96</v>
      </c>
      <c r="DN2042" t="s">
        <v>268</v>
      </c>
      <c r="DP2042" t="s">
        <v>3628</v>
      </c>
      <c r="DR2042">
        <v>191375</v>
      </c>
      <c r="DS2042">
        <v>20130</v>
      </c>
      <c r="DT2042" t="s">
        <v>1346</v>
      </c>
      <c r="EW2042" t="s">
        <v>293</v>
      </c>
      <c r="FK2042" t="s">
        <v>3785</v>
      </c>
      <c r="FM2042">
        <v>14.5</v>
      </c>
      <c r="FR2042" t="s">
        <v>295</v>
      </c>
      <c r="GU2042">
        <v>33</v>
      </c>
      <c r="GZ2042" t="s">
        <v>296</v>
      </c>
      <c r="HH2042" t="s">
        <v>272</v>
      </c>
      <c r="ID2042" t="s">
        <v>3786</v>
      </c>
      <c r="IE2042" t="s">
        <v>1349</v>
      </c>
      <c r="IF2042">
        <v>115864</v>
      </c>
      <c r="IG2042" t="s">
        <v>1350</v>
      </c>
      <c r="IH2042" t="s">
        <v>1351</v>
      </c>
      <c r="II2042">
        <v>2009</v>
      </c>
      <c r="IJ2042" t="s">
        <v>1352</v>
      </c>
    </row>
    <row r="2043" spans="1:244" x14ac:dyDescent="0.45">
      <c r="A2043">
        <v>1176459</v>
      </c>
      <c r="B2043">
        <v>131560</v>
      </c>
      <c r="C2043">
        <v>10108642</v>
      </c>
      <c r="D2043" t="s">
        <v>3523</v>
      </c>
      <c r="F2043" t="s">
        <v>245</v>
      </c>
      <c r="G2043" t="s">
        <v>246</v>
      </c>
      <c r="N2043" t="s">
        <v>3524</v>
      </c>
      <c r="O2043" t="s">
        <v>498</v>
      </c>
      <c r="P2043" t="s">
        <v>249</v>
      </c>
      <c r="Q2043" t="s">
        <v>250</v>
      </c>
      <c r="R2043" t="s">
        <v>251</v>
      </c>
      <c r="T2043" t="s">
        <v>252</v>
      </c>
      <c r="U2043" t="s">
        <v>1244</v>
      </c>
      <c r="V2043" t="s">
        <v>1314</v>
      </c>
      <c r="W2043" t="s">
        <v>3525</v>
      </c>
      <c r="X2043" t="s">
        <v>3526</v>
      </c>
      <c r="AM2043" t="s">
        <v>317</v>
      </c>
      <c r="AN2043" t="s">
        <v>259</v>
      </c>
      <c r="AO2043" t="s">
        <v>260</v>
      </c>
      <c r="AQ2043" t="s">
        <v>261</v>
      </c>
      <c r="AS2043">
        <v>2370</v>
      </c>
      <c r="AX2043" t="s">
        <v>262</v>
      </c>
      <c r="BO2043" t="s">
        <v>261</v>
      </c>
      <c r="BQ2043">
        <v>2.37</v>
      </c>
      <c r="BV2043" t="s">
        <v>263</v>
      </c>
      <c r="CM2043" t="s">
        <v>264</v>
      </c>
      <c r="CN2043" t="s">
        <v>264</v>
      </c>
      <c r="CP2043" t="s">
        <v>265</v>
      </c>
      <c r="CQ2043" t="s">
        <v>890</v>
      </c>
      <c r="DB2043">
        <v>3</v>
      </c>
      <c r="DG2043" t="s">
        <v>267</v>
      </c>
      <c r="DI2043">
        <v>72</v>
      </c>
      <c r="DN2043" t="s">
        <v>268</v>
      </c>
      <c r="DR2043">
        <v>1131516</v>
      </c>
      <c r="DS2043">
        <v>4704</v>
      </c>
      <c r="EW2043" t="s">
        <v>271</v>
      </c>
      <c r="HH2043" t="s">
        <v>272</v>
      </c>
      <c r="IE2043" t="s">
        <v>3527</v>
      </c>
      <c r="IF2043">
        <v>15300</v>
      </c>
      <c r="IG2043" t="s">
        <v>3528</v>
      </c>
      <c r="IH2043" t="s">
        <v>3529</v>
      </c>
      <c r="II2043">
        <v>1979</v>
      </c>
      <c r="IJ2043" t="s">
        <v>3530</v>
      </c>
    </row>
    <row r="2044" spans="1:244" x14ac:dyDescent="0.45">
      <c r="A2044">
        <v>1176472</v>
      </c>
      <c r="B2044">
        <v>131573</v>
      </c>
      <c r="C2044">
        <v>10108642</v>
      </c>
      <c r="D2044" t="s">
        <v>3523</v>
      </c>
      <c r="F2044" t="s">
        <v>245</v>
      </c>
      <c r="G2044" t="s">
        <v>246</v>
      </c>
      <c r="N2044" t="s">
        <v>3524</v>
      </c>
      <c r="O2044" t="s">
        <v>498</v>
      </c>
      <c r="P2044" t="s">
        <v>249</v>
      </c>
      <c r="Q2044" t="s">
        <v>250</v>
      </c>
      <c r="R2044" t="s">
        <v>251</v>
      </c>
      <c r="T2044" t="s">
        <v>252</v>
      </c>
      <c r="U2044" t="s">
        <v>1244</v>
      </c>
      <c r="V2044" t="s">
        <v>1314</v>
      </c>
      <c r="W2044" t="s">
        <v>3525</v>
      </c>
      <c r="X2044" t="s">
        <v>3526</v>
      </c>
      <c r="Z2044" t="s">
        <v>1677</v>
      </c>
      <c r="AL2044" t="s">
        <v>3574</v>
      </c>
      <c r="AM2044" t="s">
        <v>317</v>
      </c>
      <c r="AN2044" t="s">
        <v>259</v>
      </c>
      <c r="AO2044" t="s">
        <v>260</v>
      </c>
      <c r="AQ2044" t="s">
        <v>261</v>
      </c>
      <c r="AS2044">
        <v>2490</v>
      </c>
      <c r="AX2044" t="s">
        <v>262</v>
      </c>
      <c r="BO2044" t="s">
        <v>261</v>
      </c>
      <c r="BQ2044">
        <v>2.4900000000000002</v>
      </c>
      <c r="BV2044" t="s">
        <v>263</v>
      </c>
      <c r="CM2044" t="s">
        <v>264</v>
      </c>
      <c r="CN2044" t="s">
        <v>264</v>
      </c>
      <c r="CP2044" t="s">
        <v>265</v>
      </c>
      <c r="CQ2044" t="s">
        <v>890</v>
      </c>
      <c r="DB2044">
        <v>3</v>
      </c>
      <c r="DG2044" t="s">
        <v>267</v>
      </c>
      <c r="DI2044">
        <v>72</v>
      </c>
      <c r="DN2044" t="s">
        <v>268</v>
      </c>
      <c r="DR2044">
        <v>1131516</v>
      </c>
      <c r="DS2044">
        <v>4704</v>
      </c>
      <c r="EW2044" t="s">
        <v>271</v>
      </c>
      <c r="HH2044" t="s">
        <v>272</v>
      </c>
      <c r="IE2044" t="s">
        <v>3527</v>
      </c>
      <c r="IF2044">
        <v>15300</v>
      </c>
      <c r="IG2044" t="s">
        <v>3528</v>
      </c>
      <c r="IH2044" t="s">
        <v>3529</v>
      </c>
      <c r="II2044">
        <v>1979</v>
      </c>
      <c r="IJ2044" t="s">
        <v>3530</v>
      </c>
    </row>
    <row r="2045" spans="1:244" x14ac:dyDescent="0.45">
      <c r="A2045">
        <v>1122239</v>
      </c>
      <c r="B2045">
        <v>126278</v>
      </c>
      <c r="C2045">
        <v>10108642</v>
      </c>
      <c r="D2045" t="s">
        <v>3523</v>
      </c>
      <c r="F2045" t="s">
        <v>245</v>
      </c>
      <c r="G2045" t="s">
        <v>246</v>
      </c>
      <c r="N2045" t="s">
        <v>1705</v>
      </c>
      <c r="O2045" t="s">
        <v>1706</v>
      </c>
      <c r="P2045" t="s">
        <v>249</v>
      </c>
      <c r="Q2045" t="s">
        <v>250</v>
      </c>
      <c r="R2045" t="s">
        <v>251</v>
      </c>
      <c r="T2045" t="s">
        <v>347</v>
      </c>
      <c r="U2045" t="s">
        <v>1707</v>
      </c>
      <c r="V2045" t="s">
        <v>1708</v>
      </c>
      <c r="W2045" t="s">
        <v>1709</v>
      </c>
      <c r="X2045" t="s">
        <v>1710</v>
      </c>
      <c r="AM2045" t="s">
        <v>287</v>
      </c>
      <c r="AN2045" t="s">
        <v>259</v>
      </c>
      <c r="AO2045" t="s">
        <v>260</v>
      </c>
      <c r="AQ2045" t="s">
        <v>261</v>
      </c>
      <c r="AS2045">
        <v>3890</v>
      </c>
      <c r="AU2045">
        <v>2820</v>
      </c>
      <c r="AW2045">
        <v>5370</v>
      </c>
      <c r="AX2045" t="s">
        <v>262</v>
      </c>
      <c r="BO2045" t="s">
        <v>261</v>
      </c>
      <c r="BQ2045">
        <v>3.89</v>
      </c>
      <c r="BS2045">
        <v>2.82</v>
      </c>
      <c r="BU2045">
        <v>5.37</v>
      </c>
      <c r="BV2045" t="s">
        <v>263</v>
      </c>
      <c r="CM2045" t="s">
        <v>264</v>
      </c>
      <c r="CN2045" t="s">
        <v>264</v>
      </c>
      <c r="CP2045" t="s">
        <v>265</v>
      </c>
      <c r="CQ2045" t="s">
        <v>890</v>
      </c>
      <c r="DB2045">
        <v>2</v>
      </c>
      <c r="DG2045" t="s">
        <v>267</v>
      </c>
      <c r="DI2045">
        <v>48</v>
      </c>
      <c r="DN2045" t="s">
        <v>268</v>
      </c>
      <c r="DR2045">
        <v>700594</v>
      </c>
      <c r="DS2045">
        <v>4630</v>
      </c>
      <c r="EW2045" t="s">
        <v>271</v>
      </c>
      <c r="FM2045">
        <v>25</v>
      </c>
      <c r="FR2045" t="s">
        <v>295</v>
      </c>
      <c r="GO2045">
        <v>7.85</v>
      </c>
      <c r="GU2045">
        <v>31.7</v>
      </c>
      <c r="GZ2045" t="s">
        <v>296</v>
      </c>
      <c r="HH2045" t="s">
        <v>272</v>
      </c>
      <c r="IE2045" t="s">
        <v>1711</v>
      </c>
      <c r="IF2045">
        <v>9624</v>
      </c>
      <c r="IG2045" t="s">
        <v>1712</v>
      </c>
      <c r="IH2045" t="s">
        <v>1713</v>
      </c>
      <c r="II2045">
        <v>1991</v>
      </c>
      <c r="IJ2045" t="s">
        <v>1714</v>
      </c>
    </row>
    <row r="2046" spans="1:244" x14ac:dyDescent="0.45">
      <c r="A2046">
        <v>1111529</v>
      </c>
      <c r="B2046">
        <v>73186</v>
      </c>
      <c r="C2046">
        <v>10108642</v>
      </c>
      <c r="D2046" t="s">
        <v>3523</v>
      </c>
      <c r="F2046" t="s">
        <v>245</v>
      </c>
      <c r="G2046" t="s">
        <v>246</v>
      </c>
      <c r="N2046" t="s">
        <v>3565</v>
      </c>
      <c r="O2046" t="s">
        <v>1783</v>
      </c>
      <c r="P2046" t="s">
        <v>249</v>
      </c>
      <c r="Q2046" t="s">
        <v>250</v>
      </c>
      <c r="R2046" t="s">
        <v>251</v>
      </c>
      <c r="T2046" t="s">
        <v>252</v>
      </c>
      <c r="U2046" t="s">
        <v>253</v>
      </c>
      <c r="V2046" t="s">
        <v>1735</v>
      </c>
      <c r="W2046" t="s">
        <v>1784</v>
      </c>
      <c r="X2046" t="s">
        <v>1984</v>
      </c>
      <c r="Z2046" t="s">
        <v>315</v>
      </c>
      <c r="AL2046" t="s">
        <v>3566</v>
      </c>
      <c r="AM2046" t="s">
        <v>258</v>
      </c>
      <c r="AN2046" t="s">
        <v>259</v>
      </c>
      <c r="AO2046" t="s">
        <v>260</v>
      </c>
      <c r="AQ2046" t="s">
        <v>261</v>
      </c>
      <c r="AS2046">
        <v>11000</v>
      </c>
      <c r="AX2046" t="s">
        <v>262</v>
      </c>
      <c r="BO2046" t="s">
        <v>261</v>
      </c>
      <c r="BQ2046">
        <v>11</v>
      </c>
      <c r="BV2046" t="s">
        <v>263</v>
      </c>
      <c r="CM2046" t="s">
        <v>264</v>
      </c>
      <c r="CN2046" t="s">
        <v>264</v>
      </c>
      <c r="CP2046" t="s">
        <v>265</v>
      </c>
      <c r="CQ2046" t="s">
        <v>890</v>
      </c>
      <c r="DB2046">
        <v>2</v>
      </c>
      <c r="DG2046" t="s">
        <v>267</v>
      </c>
      <c r="DI2046">
        <v>48</v>
      </c>
      <c r="DN2046" t="s">
        <v>268</v>
      </c>
      <c r="DP2046" t="s">
        <v>570</v>
      </c>
      <c r="DR2046">
        <v>6772</v>
      </c>
      <c r="DS2046">
        <v>745</v>
      </c>
      <c r="EW2046" t="s">
        <v>271</v>
      </c>
      <c r="FM2046">
        <v>30</v>
      </c>
      <c r="FR2046" t="s">
        <v>295</v>
      </c>
      <c r="GU2046">
        <v>10</v>
      </c>
      <c r="GZ2046" t="s">
        <v>296</v>
      </c>
      <c r="HH2046" t="s">
        <v>272</v>
      </c>
      <c r="IE2046" t="s">
        <v>3567</v>
      </c>
      <c r="IF2046">
        <v>8412</v>
      </c>
      <c r="IG2046" t="s">
        <v>3568</v>
      </c>
      <c r="IH2046" t="s">
        <v>3569</v>
      </c>
      <c r="II2046">
        <v>1973</v>
      </c>
      <c r="IJ2046" t="s">
        <v>3570</v>
      </c>
    </row>
    <row r="2047" spans="1:244" x14ac:dyDescent="0.45">
      <c r="A2047">
        <v>1053930</v>
      </c>
      <c r="B2047">
        <v>194222</v>
      </c>
      <c r="C2047">
        <v>10108642</v>
      </c>
      <c r="D2047" t="s">
        <v>3523</v>
      </c>
      <c r="F2047" t="s">
        <v>245</v>
      </c>
      <c r="G2047" t="s">
        <v>246</v>
      </c>
      <c r="N2047" t="s">
        <v>1364</v>
      </c>
      <c r="O2047" t="s">
        <v>1365</v>
      </c>
      <c r="P2047" t="s">
        <v>249</v>
      </c>
      <c r="Q2047" t="s">
        <v>250</v>
      </c>
      <c r="R2047" t="s">
        <v>251</v>
      </c>
      <c r="T2047" t="s">
        <v>252</v>
      </c>
      <c r="U2047" t="s">
        <v>253</v>
      </c>
      <c r="V2047" t="s">
        <v>548</v>
      </c>
      <c r="W2047" t="s">
        <v>549</v>
      </c>
      <c r="X2047" t="s">
        <v>351</v>
      </c>
      <c r="Z2047" t="s">
        <v>315</v>
      </c>
      <c r="AL2047" t="s">
        <v>3787</v>
      </c>
      <c r="AM2047" t="s">
        <v>307</v>
      </c>
      <c r="AN2047" t="s">
        <v>259</v>
      </c>
      <c r="AO2047" t="s">
        <v>260</v>
      </c>
      <c r="AQ2047" t="s">
        <v>261</v>
      </c>
      <c r="AS2047">
        <v>2.2599999999999998</v>
      </c>
      <c r="AU2047">
        <v>1.74</v>
      </c>
      <c r="AW2047">
        <v>5.14</v>
      </c>
      <c r="AX2047" t="s">
        <v>356</v>
      </c>
      <c r="BO2047" t="s">
        <v>261</v>
      </c>
      <c r="BQ2047">
        <v>2.2599999999999998</v>
      </c>
      <c r="BS2047">
        <v>1.74</v>
      </c>
      <c r="BU2047">
        <v>5.14</v>
      </c>
      <c r="BV2047" t="s">
        <v>263</v>
      </c>
      <c r="CM2047" t="s">
        <v>264</v>
      </c>
      <c r="CN2047" t="s">
        <v>264</v>
      </c>
      <c r="CP2047" t="s">
        <v>265</v>
      </c>
      <c r="CQ2047" t="s">
        <v>890</v>
      </c>
      <c r="DB2047">
        <v>4</v>
      </c>
      <c r="DG2047" t="s">
        <v>267</v>
      </c>
      <c r="DI2047">
        <v>96</v>
      </c>
      <c r="DN2047" t="s">
        <v>268</v>
      </c>
      <c r="DR2047">
        <v>98082</v>
      </c>
      <c r="DS2047">
        <v>2125</v>
      </c>
      <c r="EW2047" t="s">
        <v>293</v>
      </c>
      <c r="FM2047">
        <v>10.199999999999999</v>
      </c>
      <c r="FR2047" t="s">
        <v>295</v>
      </c>
      <c r="GH2047">
        <v>7.7</v>
      </c>
      <c r="GM2047" t="s">
        <v>356</v>
      </c>
      <c r="GO2047">
        <v>7.9</v>
      </c>
      <c r="GU2047">
        <v>28.6</v>
      </c>
      <c r="GZ2047" t="s">
        <v>296</v>
      </c>
      <c r="HH2047" t="s">
        <v>272</v>
      </c>
      <c r="IE2047" t="s">
        <v>1472</v>
      </c>
      <c r="IF2047">
        <v>3752</v>
      </c>
      <c r="IG2047" t="s">
        <v>1473</v>
      </c>
      <c r="IH2047" t="s">
        <v>1474</v>
      </c>
      <c r="II2047">
        <v>1983</v>
      </c>
      <c r="IJ2047" t="s">
        <v>1475</v>
      </c>
    </row>
    <row r="2048" spans="1:244" x14ac:dyDescent="0.45">
      <c r="A2048">
        <v>1125822</v>
      </c>
      <c r="B2048">
        <v>95001</v>
      </c>
      <c r="C2048">
        <v>10108642</v>
      </c>
      <c r="D2048" t="s">
        <v>3523</v>
      </c>
      <c r="F2048" t="s">
        <v>245</v>
      </c>
      <c r="G2048" t="s">
        <v>246</v>
      </c>
      <c r="N2048" t="s">
        <v>1914</v>
      </c>
      <c r="O2048" t="s">
        <v>248</v>
      </c>
      <c r="P2048" t="s">
        <v>249</v>
      </c>
      <c r="Q2048" t="s">
        <v>250</v>
      </c>
      <c r="R2048" t="s">
        <v>251</v>
      </c>
      <c r="T2048" t="s">
        <v>252</v>
      </c>
      <c r="U2048" t="s">
        <v>253</v>
      </c>
      <c r="V2048" t="s">
        <v>254</v>
      </c>
      <c r="W2048" t="s">
        <v>1915</v>
      </c>
      <c r="X2048" t="s">
        <v>1916</v>
      </c>
      <c r="Z2048" t="s">
        <v>284</v>
      </c>
      <c r="AA2048" t="s">
        <v>352</v>
      </c>
      <c r="AB2048">
        <v>12</v>
      </c>
      <c r="AG2048" t="s">
        <v>268</v>
      </c>
      <c r="AL2048" t="s">
        <v>1917</v>
      </c>
      <c r="AM2048" t="s">
        <v>317</v>
      </c>
      <c r="AN2048" t="s">
        <v>259</v>
      </c>
      <c r="AO2048" t="s">
        <v>260</v>
      </c>
      <c r="AQ2048" t="s">
        <v>261</v>
      </c>
      <c r="AS2048">
        <v>0.38</v>
      </c>
      <c r="AU2048">
        <v>0.17</v>
      </c>
      <c r="AW2048">
        <v>0.85</v>
      </c>
      <c r="AX2048" t="s">
        <v>356</v>
      </c>
      <c r="BO2048" t="s">
        <v>261</v>
      </c>
      <c r="BQ2048">
        <v>0.38</v>
      </c>
      <c r="BS2048">
        <v>0.17</v>
      </c>
      <c r="BU2048">
        <v>0.85</v>
      </c>
      <c r="BV2048" t="s">
        <v>263</v>
      </c>
      <c r="CM2048" t="s">
        <v>264</v>
      </c>
      <c r="CN2048" t="s">
        <v>264</v>
      </c>
      <c r="CP2048" t="s">
        <v>265</v>
      </c>
      <c r="DB2048">
        <v>2</v>
      </c>
      <c r="DG2048" t="s">
        <v>267</v>
      </c>
      <c r="DI2048">
        <v>48</v>
      </c>
      <c r="DN2048" t="s">
        <v>268</v>
      </c>
      <c r="DR2048">
        <v>80836</v>
      </c>
      <c r="DS2048">
        <v>2488</v>
      </c>
      <c r="DT2048" t="s">
        <v>1918</v>
      </c>
      <c r="EW2048" t="s">
        <v>333</v>
      </c>
      <c r="FK2048" t="s">
        <v>2012</v>
      </c>
      <c r="FM2048">
        <v>26</v>
      </c>
      <c r="FR2048" t="s">
        <v>295</v>
      </c>
      <c r="GU2048">
        <v>35</v>
      </c>
      <c r="GZ2048" t="s">
        <v>296</v>
      </c>
      <c r="HH2048" t="s">
        <v>272</v>
      </c>
      <c r="ID2048" t="s">
        <v>2013</v>
      </c>
      <c r="IE2048" t="s">
        <v>1921</v>
      </c>
      <c r="IF2048">
        <v>10063</v>
      </c>
      <c r="IG2048" t="s">
        <v>1922</v>
      </c>
      <c r="IH2048" t="s">
        <v>1923</v>
      </c>
      <c r="II2048">
        <v>1983</v>
      </c>
      <c r="IJ2048" t="s">
        <v>1924</v>
      </c>
    </row>
    <row r="2049" spans="1:244" x14ac:dyDescent="0.45">
      <c r="A2049">
        <v>1040747</v>
      </c>
      <c r="B2049">
        <v>70479</v>
      </c>
      <c r="C2049">
        <v>10108642</v>
      </c>
      <c r="D2049" t="s">
        <v>3523</v>
      </c>
      <c r="F2049" t="s">
        <v>327</v>
      </c>
      <c r="G2049" t="s">
        <v>246</v>
      </c>
      <c r="N2049" t="s">
        <v>527</v>
      </c>
      <c r="O2049" t="s">
        <v>461</v>
      </c>
      <c r="P2049" t="s">
        <v>249</v>
      </c>
      <c r="Q2049" t="s">
        <v>250</v>
      </c>
      <c r="R2049" t="s">
        <v>251</v>
      </c>
      <c r="T2049" t="s">
        <v>389</v>
      </c>
      <c r="U2049" t="s">
        <v>462</v>
      </c>
      <c r="V2049" t="s">
        <v>463</v>
      </c>
      <c r="W2049" t="s">
        <v>464</v>
      </c>
      <c r="X2049" t="s">
        <v>528</v>
      </c>
      <c r="Z2049" t="s">
        <v>1034</v>
      </c>
      <c r="AB2049">
        <v>2</v>
      </c>
      <c r="AG2049" t="s">
        <v>598</v>
      </c>
      <c r="AL2049" t="s">
        <v>3788</v>
      </c>
      <c r="AM2049" t="s">
        <v>258</v>
      </c>
      <c r="AN2049" t="s">
        <v>259</v>
      </c>
      <c r="AO2049" t="s">
        <v>260</v>
      </c>
      <c r="AQ2049" t="s">
        <v>261</v>
      </c>
      <c r="AS2049">
        <v>160</v>
      </c>
      <c r="AX2049" t="s">
        <v>262</v>
      </c>
      <c r="BO2049" t="s">
        <v>261</v>
      </c>
      <c r="BQ2049">
        <v>0.16</v>
      </c>
      <c r="BV2049" t="s">
        <v>263</v>
      </c>
      <c r="CM2049" t="s">
        <v>264</v>
      </c>
      <c r="CN2049" t="s">
        <v>264</v>
      </c>
      <c r="CP2049" t="s">
        <v>265</v>
      </c>
      <c r="DB2049">
        <v>4</v>
      </c>
      <c r="DG2049" t="s">
        <v>267</v>
      </c>
      <c r="DI2049">
        <v>96</v>
      </c>
      <c r="DN2049" t="s">
        <v>268</v>
      </c>
      <c r="DR2049">
        <v>1220549</v>
      </c>
      <c r="DS2049">
        <v>771</v>
      </c>
      <c r="EW2049" t="s">
        <v>333</v>
      </c>
      <c r="FK2049" t="s">
        <v>3789</v>
      </c>
      <c r="FM2049">
        <v>15</v>
      </c>
      <c r="FR2049" t="s">
        <v>295</v>
      </c>
      <c r="GU2049">
        <v>15</v>
      </c>
      <c r="GZ2049" t="s">
        <v>296</v>
      </c>
      <c r="HH2049" t="s">
        <v>272</v>
      </c>
      <c r="ID2049" t="s">
        <v>3790</v>
      </c>
      <c r="IE2049" t="s">
        <v>3791</v>
      </c>
      <c r="IF2049">
        <v>2579</v>
      </c>
      <c r="IG2049" t="s">
        <v>3792</v>
      </c>
      <c r="IH2049" t="s">
        <v>3793</v>
      </c>
      <c r="II2049">
        <v>1981</v>
      </c>
      <c r="IJ2049" t="s">
        <v>3794</v>
      </c>
    </row>
    <row r="2050" spans="1:244" x14ac:dyDescent="0.45">
      <c r="A2050">
        <v>1036897</v>
      </c>
      <c r="B2050">
        <v>112307</v>
      </c>
      <c r="C2050">
        <v>10108642</v>
      </c>
      <c r="D2050" t="s">
        <v>3523</v>
      </c>
      <c r="F2050" t="s">
        <v>245</v>
      </c>
      <c r="G2050" t="s">
        <v>246</v>
      </c>
      <c r="N2050" t="s">
        <v>1724</v>
      </c>
      <c r="O2050" t="s">
        <v>1725</v>
      </c>
      <c r="P2050" t="s">
        <v>249</v>
      </c>
      <c r="Q2050" t="s">
        <v>250</v>
      </c>
      <c r="R2050" t="s">
        <v>251</v>
      </c>
      <c r="T2050" t="s">
        <v>252</v>
      </c>
      <c r="U2050" t="s">
        <v>253</v>
      </c>
      <c r="V2050" t="s">
        <v>1726</v>
      </c>
      <c r="W2050" t="s">
        <v>1727</v>
      </c>
      <c r="X2050" t="s">
        <v>1728</v>
      </c>
      <c r="Z2050" t="s">
        <v>315</v>
      </c>
      <c r="AM2050" t="s">
        <v>317</v>
      </c>
      <c r="AN2050" t="s">
        <v>259</v>
      </c>
      <c r="AO2050" t="s">
        <v>260</v>
      </c>
      <c r="AQ2050" t="s">
        <v>261</v>
      </c>
      <c r="AS2050">
        <v>1300</v>
      </c>
      <c r="AX2050" t="s">
        <v>262</v>
      </c>
      <c r="BO2050" t="s">
        <v>261</v>
      </c>
      <c r="BQ2050">
        <v>1.3</v>
      </c>
      <c r="BV2050" t="s">
        <v>263</v>
      </c>
      <c r="CM2050" t="s">
        <v>264</v>
      </c>
      <c r="CN2050" t="s">
        <v>264</v>
      </c>
      <c r="CP2050" t="s">
        <v>265</v>
      </c>
      <c r="CQ2050" t="s">
        <v>890</v>
      </c>
      <c r="DB2050">
        <v>4</v>
      </c>
      <c r="DG2050" t="s">
        <v>267</v>
      </c>
      <c r="DI2050">
        <v>96</v>
      </c>
      <c r="DN2050" t="s">
        <v>268</v>
      </c>
      <c r="DP2050" t="s">
        <v>570</v>
      </c>
      <c r="DR2050">
        <v>111067</v>
      </c>
      <c r="DS2050">
        <v>490</v>
      </c>
      <c r="DT2050" t="s">
        <v>1729</v>
      </c>
      <c r="EW2050" t="s">
        <v>333</v>
      </c>
      <c r="FM2050">
        <v>20</v>
      </c>
      <c r="FR2050" t="s">
        <v>295</v>
      </c>
      <c r="GG2050" t="s">
        <v>288</v>
      </c>
      <c r="GH2050">
        <v>4</v>
      </c>
      <c r="GM2050" t="s">
        <v>356</v>
      </c>
      <c r="GU2050">
        <v>20</v>
      </c>
      <c r="GZ2050" t="s">
        <v>296</v>
      </c>
      <c r="HH2050" t="s">
        <v>272</v>
      </c>
      <c r="IE2050" t="s">
        <v>1730</v>
      </c>
      <c r="IF2050">
        <v>2253</v>
      </c>
      <c r="IG2050" t="s">
        <v>1731</v>
      </c>
      <c r="IH2050" t="s">
        <v>1732</v>
      </c>
      <c r="II2050">
        <v>1977</v>
      </c>
      <c r="IJ2050" t="s">
        <v>1733</v>
      </c>
    </row>
    <row r="2051" spans="1:244" x14ac:dyDescent="0.45">
      <c r="A2051">
        <v>1139075</v>
      </c>
      <c r="B2051">
        <v>232034</v>
      </c>
      <c r="C2051">
        <v>10108642</v>
      </c>
      <c r="D2051" t="s">
        <v>3523</v>
      </c>
      <c r="E2051" t="s">
        <v>3539</v>
      </c>
      <c r="F2051" t="s">
        <v>327</v>
      </c>
      <c r="G2051" t="s">
        <v>246</v>
      </c>
      <c r="N2051" t="s">
        <v>3540</v>
      </c>
      <c r="O2051" t="s">
        <v>248</v>
      </c>
      <c r="P2051" t="s">
        <v>249</v>
      </c>
      <c r="Q2051" t="s">
        <v>250</v>
      </c>
      <c r="R2051" t="s">
        <v>251</v>
      </c>
      <c r="T2051" t="s">
        <v>252</v>
      </c>
      <c r="U2051" t="s">
        <v>253</v>
      </c>
      <c r="V2051" t="s">
        <v>1231</v>
      </c>
      <c r="W2051" t="s">
        <v>3541</v>
      </c>
      <c r="X2051" t="s">
        <v>3542</v>
      </c>
      <c r="AJ2051" t="s">
        <v>285</v>
      </c>
      <c r="AL2051" t="s">
        <v>3543</v>
      </c>
      <c r="AM2051" t="s">
        <v>317</v>
      </c>
      <c r="AN2051" t="s">
        <v>259</v>
      </c>
      <c r="AO2051" t="s">
        <v>260</v>
      </c>
      <c r="AQ2051" t="s">
        <v>261</v>
      </c>
      <c r="AS2051">
        <v>60.2</v>
      </c>
      <c r="AU2051">
        <v>57.9</v>
      </c>
      <c r="AW2051">
        <v>62.6</v>
      </c>
      <c r="AX2051" t="s">
        <v>356</v>
      </c>
      <c r="BO2051" t="s">
        <v>261</v>
      </c>
      <c r="BQ2051">
        <v>60.2</v>
      </c>
      <c r="BS2051">
        <v>57.9</v>
      </c>
      <c r="BU2051">
        <v>62.6</v>
      </c>
      <c r="BV2051" t="s">
        <v>263</v>
      </c>
      <c r="CM2051" t="s">
        <v>264</v>
      </c>
      <c r="CN2051" t="s">
        <v>264</v>
      </c>
      <c r="CP2051" t="s">
        <v>265</v>
      </c>
      <c r="CQ2051" t="s">
        <v>890</v>
      </c>
      <c r="DB2051">
        <v>1</v>
      </c>
      <c r="DG2051" t="s">
        <v>267</v>
      </c>
      <c r="DI2051">
        <v>24</v>
      </c>
      <c r="DN2051" t="s">
        <v>268</v>
      </c>
      <c r="DR2051">
        <v>151182</v>
      </c>
      <c r="DS2051">
        <v>11260</v>
      </c>
      <c r="EW2051" t="s">
        <v>272</v>
      </c>
      <c r="FK2051" t="s">
        <v>3653</v>
      </c>
      <c r="FM2051">
        <v>15</v>
      </c>
      <c r="FR2051" t="s">
        <v>295</v>
      </c>
      <c r="GU2051">
        <v>10</v>
      </c>
      <c r="GZ2051" t="s">
        <v>900</v>
      </c>
      <c r="HH2051" t="s">
        <v>272</v>
      </c>
      <c r="ID2051" t="s">
        <v>3654</v>
      </c>
      <c r="IE2051" t="s">
        <v>3546</v>
      </c>
      <c r="IF2051">
        <v>11524</v>
      </c>
      <c r="IG2051" t="s">
        <v>3547</v>
      </c>
      <c r="IH2051" t="s">
        <v>3548</v>
      </c>
      <c r="II2051">
        <v>1983</v>
      </c>
      <c r="IJ2051" t="s">
        <v>3549</v>
      </c>
    </row>
    <row r="2052" spans="1:244" x14ac:dyDescent="0.45">
      <c r="A2052">
        <v>1137074</v>
      </c>
      <c r="B2052">
        <v>89376</v>
      </c>
      <c r="C2052">
        <v>10108642</v>
      </c>
      <c r="D2052" t="s">
        <v>3523</v>
      </c>
      <c r="F2052" t="s">
        <v>245</v>
      </c>
      <c r="G2052" t="s">
        <v>246</v>
      </c>
      <c r="N2052" t="s">
        <v>452</v>
      </c>
      <c r="O2052" t="s">
        <v>346</v>
      </c>
      <c r="P2052" t="s">
        <v>249</v>
      </c>
      <c r="Q2052" t="s">
        <v>250</v>
      </c>
      <c r="R2052" t="s">
        <v>251</v>
      </c>
      <c r="T2052" t="s">
        <v>347</v>
      </c>
      <c r="U2052" t="s">
        <v>348</v>
      </c>
      <c r="V2052" t="s">
        <v>349</v>
      </c>
      <c r="W2052" t="s">
        <v>350</v>
      </c>
      <c r="X2052" t="s">
        <v>453</v>
      </c>
      <c r="Z2052" t="s">
        <v>525</v>
      </c>
      <c r="AB2052">
        <v>3</v>
      </c>
      <c r="AG2052" t="s">
        <v>267</v>
      </c>
      <c r="AM2052" t="s">
        <v>317</v>
      </c>
      <c r="AN2052" t="s">
        <v>259</v>
      </c>
      <c r="AO2052" t="s">
        <v>260</v>
      </c>
      <c r="AQ2052" t="s">
        <v>261</v>
      </c>
      <c r="AS2052">
        <v>159611</v>
      </c>
      <c r="AX2052" t="s">
        <v>262</v>
      </c>
      <c r="BO2052" t="s">
        <v>261</v>
      </c>
      <c r="BQ2052">
        <v>159.61099999999999</v>
      </c>
      <c r="BV2052" t="s">
        <v>263</v>
      </c>
      <c r="CM2052" t="s">
        <v>264</v>
      </c>
      <c r="CN2052" t="s">
        <v>264</v>
      </c>
      <c r="CP2052" t="s">
        <v>265</v>
      </c>
      <c r="CQ2052" t="s">
        <v>890</v>
      </c>
      <c r="DB2052">
        <v>2</v>
      </c>
      <c r="DG2052" t="s">
        <v>267</v>
      </c>
      <c r="DI2052">
        <v>48</v>
      </c>
      <c r="DN2052" t="s">
        <v>268</v>
      </c>
      <c r="DR2052">
        <v>85549</v>
      </c>
      <c r="DS2052">
        <v>366</v>
      </c>
      <c r="DT2052" t="s">
        <v>3242</v>
      </c>
      <c r="EW2052" t="s">
        <v>333</v>
      </c>
      <c r="FK2052" t="s">
        <v>3243</v>
      </c>
      <c r="FM2052">
        <v>24</v>
      </c>
      <c r="FR2052" t="s">
        <v>295</v>
      </c>
      <c r="HH2052" t="s">
        <v>272</v>
      </c>
      <c r="ID2052" t="s">
        <v>3244</v>
      </c>
      <c r="IE2052" t="s">
        <v>3245</v>
      </c>
      <c r="IF2052">
        <v>11259</v>
      </c>
      <c r="IG2052" t="s">
        <v>3246</v>
      </c>
      <c r="IH2052" t="s">
        <v>3247</v>
      </c>
      <c r="II2052">
        <v>1984</v>
      </c>
      <c r="IJ2052" t="s">
        <v>3248</v>
      </c>
    </row>
    <row r="2053" spans="1:244" x14ac:dyDescent="0.45">
      <c r="A2053">
        <v>1176486</v>
      </c>
      <c r="B2053">
        <v>156504</v>
      </c>
      <c r="C2053">
        <v>10108642</v>
      </c>
      <c r="D2053" t="s">
        <v>3523</v>
      </c>
      <c r="F2053" t="s">
        <v>245</v>
      </c>
      <c r="G2053" t="s">
        <v>246</v>
      </c>
      <c r="N2053" t="s">
        <v>3550</v>
      </c>
      <c r="O2053" t="s">
        <v>578</v>
      </c>
      <c r="P2053" t="s">
        <v>249</v>
      </c>
      <c r="Q2053" t="s">
        <v>250</v>
      </c>
      <c r="R2053" t="s">
        <v>251</v>
      </c>
      <c r="T2053" t="s">
        <v>252</v>
      </c>
      <c r="U2053" t="s">
        <v>499</v>
      </c>
      <c r="V2053" t="s">
        <v>3551</v>
      </c>
      <c r="W2053" t="s">
        <v>3552</v>
      </c>
      <c r="X2053" t="s">
        <v>3553</v>
      </c>
      <c r="AM2053" t="s">
        <v>317</v>
      </c>
      <c r="AN2053" t="s">
        <v>259</v>
      </c>
      <c r="AO2053" t="s">
        <v>260</v>
      </c>
      <c r="AQ2053" t="s">
        <v>261</v>
      </c>
      <c r="AS2053">
        <v>2650</v>
      </c>
      <c r="AX2053" t="s">
        <v>262</v>
      </c>
      <c r="BO2053" t="s">
        <v>261</v>
      </c>
      <c r="BQ2053">
        <v>2.65</v>
      </c>
      <c r="BV2053" t="s">
        <v>263</v>
      </c>
      <c r="CM2053" t="s">
        <v>264</v>
      </c>
      <c r="CN2053" t="s">
        <v>264</v>
      </c>
      <c r="CP2053" t="s">
        <v>265</v>
      </c>
      <c r="CQ2053" t="s">
        <v>890</v>
      </c>
      <c r="DB2053">
        <v>2</v>
      </c>
      <c r="DG2053" t="s">
        <v>267</v>
      </c>
      <c r="DI2053">
        <v>48</v>
      </c>
      <c r="DN2053" t="s">
        <v>268</v>
      </c>
      <c r="DS2053">
        <v>4655</v>
      </c>
      <c r="EW2053" t="s">
        <v>271</v>
      </c>
      <c r="HH2053" t="s">
        <v>272</v>
      </c>
      <c r="IE2053" t="s">
        <v>3527</v>
      </c>
      <c r="IF2053">
        <v>15300</v>
      </c>
      <c r="IG2053" t="s">
        <v>3528</v>
      </c>
      <c r="IH2053" t="s">
        <v>3529</v>
      </c>
      <c r="II2053">
        <v>1979</v>
      </c>
      <c r="IJ2053" t="s">
        <v>3530</v>
      </c>
    </row>
    <row r="2054" spans="1:244" x14ac:dyDescent="0.45">
      <c r="A2054">
        <v>1325402</v>
      </c>
      <c r="B2054">
        <v>784707</v>
      </c>
      <c r="C2054">
        <v>10108642</v>
      </c>
      <c r="D2054" t="s">
        <v>3523</v>
      </c>
      <c r="E2054" t="s">
        <v>622</v>
      </c>
      <c r="F2054" t="s">
        <v>245</v>
      </c>
      <c r="G2054" t="s">
        <v>246</v>
      </c>
      <c r="I2054">
        <v>99</v>
      </c>
      <c r="N2054" t="s">
        <v>1298</v>
      </c>
      <c r="O2054" t="s">
        <v>1299</v>
      </c>
      <c r="P2054" t="s">
        <v>249</v>
      </c>
      <c r="Q2054" t="s">
        <v>250</v>
      </c>
      <c r="R2054" t="s">
        <v>251</v>
      </c>
      <c r="T2054" t="s">
        <v>252</v>
      </c>
      <c r="U2054" t="s">
        <v>371</v>
      </c>
      <c r="V2054" t="s">
        <v>372</v>
      </c>
      <c r="W2054" t="s">
        <v>1300</v>
      </c>
      <c r="X2054" t="s">
        <v>1301</v>
      </c>
      <c r="Z2054" t="s">
        <v>649</v>
      </c>
      <c r="AD2054">
        <v>2</v>
      </c>
      <c r="AF2054">
        <v>3</v>
      </c>
      <c r="AG2054" t="s">
        <v>267</v>
      </c>
      <c r="AM2054" t="s">
        <v>317</v>
      </c>
      <c r="AN2054" t="s">
        <v>259</v>
      </c>
      <c r="AO2054" t="s">
        <v>260</v>
      </c>
      <c r="AP2054" t="s">
        <v>559</v>
      </c>
      <c r="AQ2054" t="s">
        <v>261</v>
      </c>
      <c r="AS2054">
        <v>7.0000000000000007E-2</v>
      </c>
      <c r="AX2054" t="s">
        <v>356</v>
      </c>
      <c r="BO2054" t="s">
        <v>261</v>
      </c>
      <c r="BQ2054">
        <v>7.0000000000000007E-2</v>
      </c>
      <c r="BV2054" t="s">
        <v>263</v>
      </c>
      <c r="CM2054" t="s">
        <v>264</v>
      </c>
      <c r="CN2054" t="s">
        <v>264</v>
      </c>
      <c r="CP2054" t="s">
        <v>265</v>
      </c>
      <c r="CQ2054" t="s">
        <v>890</v>
      </c>
      <c r="DB2054">
        <v>4</v>
      </c>
      <c r="DG2054" t="s">
        <v>267</v>
      </c>
      <c r="DI2054">
        <v>96</v>
      </c>
      <c r="DN2054" t="s">
        <v>268</v>
      </c>
      <c r="DO2054" t="s">
        <v>1587</v>
      </c>
      <c r="DP2054" t="s">
        <v>3612</v>
      </c>
      <c r="DS2054">
        <v>20391</v>
      </c>
      <c r="DT2054" t="s">
        <v>1302</v>
      </c>
      <c r="EW2054" t="s">
        <v>293</v>
      </c>
      <c r="FA2054" t="s">
        <v>3352</v>
      </c>
      <c r="FK2054" t="s">
        <v>3795</v>
      </c>
      <c r="FM2054">
        <v>25</v>
      </c>
      <c r="FR2054" t="s">
        <v>295</v>
      </c>
      <c r="GG2054" t="s">
        <v>288</v>
      </c>
      <c r="GH2054">
        <v>80</v>
      </c>
      <c r="GM2054" t="s">
        <v>1224</v>
      </c>
      <c r="GQ2054">
        <v>7.5</v>
      </c>
      <c r="GS2054">
        <v>8.5</v>
      </c>
      <c r="GU2054">
        <v>25</v>
      </c>
      <c r="GZ2054" t="s">
        <v>900</v>
      </c>
      <c r="HH2054" t="s">
        <v>272</v>
      </c>
      <c r="ID2054" t="s">
        <v>3796</v>
      </c>
      <c r="IE2054" t="s">
        <v>1306</v>
      </c>
      <c r="IF2054">
        <v>117932</v>
      </c>
      <c r="IG2054" t="s">
        <v>1307</v>
      </c>
      <c r="IH2054" t="s">
        <v>1308</v>
      </c>
      <c r="II2054">
        <v>2008</v>
      </c>
      <c r="IJ2054" t="s">
        <v>1309</v>
      </c>
    </row>
    <row r="2055" spans="1:244" x14ac:dyDescent="0.45">
      <c r="A2055">
        <v>1139081</v>
      </c>
      <c r="B2055">
        <v>232040</v>
      </c>
      <c r="C2055">
        <v>10108642</v>
      </c>
      <c r="D2055" t="s">
        <v>3523</v>
      </c>
      <c r="E2055" t="s">
        <v>3539</v>
      </c>
      <c r="F2055" t="s">
        <v>327</v>
      </c>
      <c r="G2055" t="s">
        <v>246</v>
      </c>
      <c r="N2055" t="s">
        <v>3540</v>
      </c>
      <c r="O2055" t="s">
        <v>248</v>
      </c>
      <c r="P2055" t="s">
        <v>249</v>
      </c>
      <c r="Q2055" t="s">
        <v>250</v>
      </c>
      <c r="R2055" t="s">
        <v>251</v>
      </c>
      <c r="T2055" t="s">
        <v>252</v>
      </c>
      <c r="U2055" t="s">
        <v>253</v>
      </c>
      <c r="V2055" t="s">
        <v>1231</v>
      </c>
      <c r="W2055" t="s">
        <v>3541</v>
      </c>
      <c r="X2055" t="s">
        <v>3542</v>
      </c>
      <c r="AJ2055" t="s">
        <v>285</v>
      </c>
      <c r="AL2055" t="s">
        <v>3543</v>
      </c>
      <c r="AM2055" t="s">
        <v>317</v>
      </c>
      <c r="AN2055" t="s">
        <v>259</v>
      </c>
      <c r="AO2055" t="s">
        <v>260</v>
      </c>
      <c r="AQ2055" t="s">
        <v>261</v>
      </c>
      <c r="AS2055">
        <v>74.3</v>
      </c>
      <c r="AU2055">
        <v>72.599999999999994</v>
      </c>
      <c r="AW2055">
        <v>76</v>
      </c>
      <c r="AX2055" t="s">
        <v>356</v>
      </c>
      <c r="BO2055" t="s">
        <v>261</v>
      </c>
      <c r="BQ2055">
        <v>74.3</v>
      </c>
      <c r="BS2055">
        <v>72.599999999999994</v>
      </c>
      <c r="BU2055">
        <v>76</v>
      </c>
      <c r="BV2055" t="s">
        <v>263</v>
      </c>
      <c r="CM2055" t="s">
        <v>264</v>
      </c>
      <c r="CN2055" t="s">
        <v>264</v>
      </c>
      <c r="CP2055" t="s">
        <v>265</v>
      </c>
      <c r="CQ2055" t="s">
        <v>890</v>
      </c>
      <c r="DB2055">
        <v>1</v>
      </c>
      <c r="DG2055" t="s">
        <v>267</v>
      </c>
      <c r="DI2055">
        <v>24</v>
      </c>
      <c r="DN2055" t="s">
        <v>268</v>
      </c>
      <c r="DR2055">
        <v>151182</v>
      </c>
      <c r="DS2055">
        <v>11260</v>
      </c>
      <c r="EW2055" t="s">
        <v>272</v>
      </c>
      <c r="FK2055" t="s">
        <v>3797</v>
      </c>
      <c r="FM2055">
        <v>25</v>
      </c>
      <c r="FR2055" t="s">
        <v>295</v>
      </c>
      <c r="GU2055">
        <v>10</v>
      </c>
      <c r="GZ2055" t="s">
        <v>900</v>
      </c>
      <c r="HH2055" t="s">
        <v>272</v>
      </c>
      <c r="ID2055" t="s">
        <v>3798</v>
      </c>
      <c r="IE2055" t="s">
        <v>3546</v>
      </c>
      <c r="IF2055">
        <v>11524</v>
      </c>
      <c r="IG2055" t="s">
        <v>3547</v>
      </c>
      <c r="IH2055" t="s">
        <v>3548</v>
      </c>
      <c r="II2055">
        <v>1983</v>
      </c>
      <c r="IJ2055" t="s">
        <v>3549</v>
      </c>
    </row>
    <row r="2056" spans="1:244" x14ac:dyDescent="0.45">
      <c r="A2056">
        <v>1226445</v>
      </c>
      <c r="B2056">
        <v>219621</v>
      </c>
      <c r="C2056">
        <v>10108642</v>
      </c>
      <c r="D2056" t="s">
        <v>3523</v>
      </c>
      <c r="E2056" t="s">
        <v>386</v>
      </c>
      <c r="F2056" t="s">
        <v>245</v>
      </c>
      <c r="G2056" t="s">
        <v>246</v>
      </c>
      <c r="N2056" t="s">
        <v>302</v>
      </c>
      <c r="O2056" t="s">
        <v>303</v>
      </c>
      <c r="P2056" t="s">
        <v>249</v>
      </c>
      <c r="Q2056" t="s">
        <v>250</v>
      </c>
      <c r="R2056" t="s">
        <v>251</v>
      </c>
      <c r="T2056" t="s">
        <v>252</v>
      </c>
      <c r="U2056" t="s">
        <v>253</v>
      </c>
      <c r="V2056" t="s">
        <v>304</v>
      </c>
      <c r="W2056" t="s">
        <v>305</v>
      </c>
      <c r="X2056" t="s">
        <v>306</v>
      </c>
      <c r="Z2056" t="s">
        <v>1057</v>
      </c>
      <c r="AL2056" t="s">
        <v>1210</v>
      </c>
      <c r="AM2056" t="s">
        <v>317</v>
      </c>
      <c r="AN2056" t="s">
        <v>259</v>
      </c>
      <c r="AO2056" t="s">
        <v>260</v>
      </c>
      <c r="AQ2056" t="s">
        <v>261</v>
      </c>
      <c r="AS2056">
        <v>3.16</v>
      </c>
      <c r="AX2056" t="s">
        <v>356</v>
      </c>
      <c r="BO2056" t="s">
        <v>261</v>
      </c>
      <c r="BQ2056">
        <v>3.16</v>
      </c>
      <c r="BV2056" t="s">
        <v>263</v>
      </c>
      <c r="CM2056" t="s">
        <v>264</v>
      </c>
      <c r="CN2056" t="s">
        <v>264</v>
      </c>
      <c r="CP2056" t="s">
        <v>265</v>
      </c>
      <c r="CQ2056" t="s">
        <v>890</v>
      </c>
      <c r="DB2056">
        <v>2</v>
      </c>
      <c r="DG2056" t="s">
        <v>267</v>
      </c>
      <c r="DI2056">
        <v>48</v>
      </c>
      <c r="DN2056" t="s">
        <v>268</v>
      </c>
      <c r="DR2056">
        <v>338212</v>
      </c>
      <c r="DS2056">
        <v>732</v>
      </c>
      <c r="DT2056" t="s">
        <v>1211</v>
      </c>
      <c r="EW2056" t="s">
        <v>293</v>
      </c>
      <c r="GU2056">
        <v>36</v>
      </c>
      <c r="GZ2056" t="s">
        <v>900</v>
      </c>
      <c r="HH2056" t="s">
        <v>272</v>
      </c>
      <c r="IE2056" t="s">
        <v>1212</v>
      </c>
      <c r="IF2056">
        <v>51641</v>
      </c>
      <c r="IG2056" t="s">
        <v>1213</v>
      </c>
      <c r="IH2056" t="s">
        <v>1214</v>
      </c>
      <c r="II2056">
        <v>2000</v>
      </c>
      <c r="IJ2056" t="s">
        <v>1215</v>
      </c>
    </row>
    <row r="2057" spans="1:244" x14ac:dyDescent="0.45">
      <c r="A2057">
        <v>1204033</v>
      </c>
      <c r="B2057">
        <v>183892</v>
      </c>
      <c r="C2057">
        <v>10108642</v>
      </c>
      <c r="D2057" t="s">
        <v>3523</v>
      </c>
      <c r="F2057" t="s">
        <v>245</v>
      </c>
      <c r="G2057" t="s">
        <v>246</v>
      </c>
      <c r="N2057" t="s">
        <v>1183</v>
      </c>
      <c r="O2057" t="s">
        <v>1184</v>
      </c>
      <c r="P2057" t="s">
        <v>249</v>
      </c>
      <c r="Q2057" t="s">
        <v>250</v>
      </c>
      <c r="R2057" t="s">
        <v>251</v>
      </c>
      <c r="T2057" t="s">
        <v>252</v>
      </c>
      <c r="U2057" t="s">
        <v>253</v>
      </c>
      <c r="V2057" t="s">
        <v>418</v>
      </c>
      <c r="W2057" t="s">
        <v>419</v>
      </c>
      <c r="X2057" t="s">
        <v>393</v>
      </c>
      <c r="Z2057" t="s">
        <v>1046</v>
      </c>
      <c r="AB2057">
        <v>1</v>
      </c>
      <c r="AG2057" t="s">
        <v>598</v>
      </c>
      <c r="AL2057" t="s">
        <v>3799</v>
      </c>
      <c r="AM2057" t="s">
        <v>258</v>
      </c>
      <c r="AN2057" t="s">
        <v>259</v>
      </c>
      <c r="AO2057" t="s">
        <v>260</v>
      </c>
      <c r="AQ2057" t="s">
        <v>261</v>
      </c>
      <c r="AS2057">
        <v>240</v>
      </c>
      <c r="AX2057" t="s">
        <v>262</v>
      </c>
      <c r="BO2057" t="s">
        <v>261</v>
      </c>
      <c r="BQ2057">
        <v>0.24</v>
      </c>
      <c r="BV2057" t="s">
        <v>263</v>
      </c>
      <c r="CM2057" t="s">
        <v>264</v>
      </c>
      <c r="CN2057" t="s">
        <v>264</v>
      </c>
      <c r="CP2057" t="s">
        <v>265</v>
      </c>
      <c r="CQ2057" t="s">
        <v>890</v>
      </c>
      <c r="DB2057">
        <v>2</v>
      </c>
      <c r="DG2057" t="s">
        <v>267</v>
      </c>
      <c r="DI2057">
        <v>48</v>
      </c>
      <c r="DN2057" t="s">
        <v>268</v>
      </c>
      <c r="DS2057">
        <v>388</v>
      </c>
      <c r="DT2057" t="s">
        <v>3584</v>
      </c>
      <c r="EW2057" t="s">
        <v>293</v>
      </c>
      <c r="FM2057">
        <v>25</v>
      </c>
      <c r="FR2057" t="s">
        <v>295</v>
      </c>
      <c r="GU2057">
        <v>36</v>
      </c>
      <c r="GZ2057" t="s">
        <v>296</v>
      </c>
      <c r="HH2057" t="s">
        <v>272</v>
      </c>
      <c r="IE2057" t="s">
        <v>3585</v>
      </c>
      <c r="IF2057">
        <v>18546</v>
      </c>
      <c r="IG2057" t="s">
        <v>3586</v>
      </c>
      <c r="IH2057" t="s">
        <v>3587</v>
      </c>
      <c r="II2057">
        <v>1995</v>
      </c>
      <c r="IJ2057" t="s">
        <v>3588</v>
      </c>
    </row>
    <row r="2058" spans="1:244" x14ac:dyDescent="0.45">
      <c r="A2058">
        <v>1146884</v>
      </c>
      <c r="B2058">
        <v>104722</v>
      </c>
      <c r="C2058">
        <v>10108642</v>
      </c>
      <c r="D2058" t="s">
        <v>3523</v>
      </c>
      <c r="F2058" t="s">
        <v>245</v>
      </c>
      <c r="G2058" t="s">
        <v>246</v>
      </c>
      <c r="N2058" t="s">
        <v>247</v>
      </c>
      <c r="O2058" t="s">
        <v>248</v>
      </c>
      <c r="P2058" t="s">
        <v>249</v>
      </c>
      <c r="Q2058" t="s">
        <v>250</v>
      </c>
      <c r="R2058" t="s">
        <v>251</v>
      </c>
      <c r="T2058" t="s">
        <v>252</v>
      </c>
      <c r="U2058" t="s">
        <v>253</v>
      </c>
      <c r="V2058" t="s">
        <v>254</v>
      </c>
      <c r="W2058" t="s">
        <v>255</v>
      </c>
      <c r="X2058" t="s">
        <v>256</v>
      </c>
      <c r="AL2058" t="s">
        <v>257</v>
      </c>
      <c r="AM2058" t="s">
        <v>258</v>
      </c>
      <c r="AN2058" t="s">
        <v>259</v>
      </c>
      <c r="AO2058" t="s">
        <v>260</v>
      </c>
      <c r="AQ2058" t="s">
        <v>261</v>
      </c>
      <c r="AS2058">
        <v>24000</v>
      </c>
      <c r="AX2058" t="s">
        <v>262</v>
      </c>
      <c r="BO2058" t="s">
        <v>261</v>
      </c>
      <c r="BQ2058">
        <v>24</v>
      </c>
      <c r="BV2058" t="s">
        <v>263</v>
      </c>
      <c r="CM2058" t="s">
        <v>264</v>
      </c>
      <c r="CN2058" t="s">
        <v>264</v>
      </c>
      <c r="CP2058" t="s">
        <v>265</v>
      </c>
      <c r="CQ2058" t="s">
        <v>890</v>
      </c>
      <c r="DB2058">
        <v>3</v>
      </c>
      <c r="DG2058" t="s">
        <v>267</v>
      </c>
      <c r="DI2058">
        <v>72</v>
      </c>
      <c r="DN2058" t="s">
        <v>268</v>
      </c>
      <c r="DR2058">
        <v>6761</v>
      </c>
      <c r="DS2058">
        <v>2461</v>
      </c>
      <c r="DT2058" t="s">
        <v>270</v>
      </c>
      <c r="EW2058" t="s">
        <v>271</v>
      </c>
      <c r="HH2058" t="s">
        <v>272</v>
      </c>
      <c r="IE2058" t="s">
        <v>273</v>
      </c>
      <c r="IF2058">
        <v>12413</v>
      </c>
      <c r="IG2058" t="s">
        <v>274</v>
      </c>
      <c r="IH2058" t="s">
        <v>275</v>
      </c>
      <c r="II2058">
        <v>1987</v>
      </c>
      <c r="IJ2058" t="s">
        <v>276</v>
      </c>
    </row>
    <row r="2059" spans="1:244" x14ac:dyDescent="0.45">
      <c r="A2059">
        <v>1204038</v>
      </c>
      <c r="B2059">
        <v>183897</v>
      </c>
      <c r="C2059">
        <v>10108642</v>
      </c>
      <c r="D2059" t="s">
        <v>3523</v>
      </c>
      <c r="F2059" t="s">
        <v>245</v>
      </c>
      <c r="G2059" t="s">
        <v>246</v>
      </c>
      <c r="N2059" t="s">
        <v>1183</v>
      </c>
      <c r="O2059" t="s">
        <v>1184</v>
      </c>
      <c r="P2059" t="s">
        <v>249</v>
      </c>
      <c r="Q2059" t="s">
        <v>250</v>
      </c>
      <c r="R2059" t="s">
        <v>251</v>
      </c>
      <c r="T2059" t="s">
        <v>252</v>
      </c>
      <c r="U2059" t="s">
        <v>253</v>
      </c>
      <c r="V2059" t="s">
        <v>418</v>
      </c>
      <c r="W2059" t="s">
        <v>419</v>
      </c>
      <c r="X2059" t="s">
        <v>393</v>
      </c>
      <c r="Z2059" t="s">
        <v>983</v>
      </c>
      <c r="AB2059">
        <v>2</v>
      </c>
      <c r="AG2059" t="s">
        <v>598</v>
      </c>
      <c r="AL2059" t="s">
        <v>3697</v>
      </c>
      <c r="AM2059" t="s">
        <v>258</v>
      </c>
      <c r="AN2059" t="s">
        <v>259</v>
      </c>
      <c r="AO2059" t="s">
        <v>260</v>
      </c>
      <c r="AQ2059" t="s">
        <v>261</v>
      </c>
      <c r="AS2059">
        <v>284</v>
      </c>
      <c r="AX2059" t="s">
        <v>262</v>
      </c>
      <c r="BO2059" t="s">
        <v>261</v>
      </c>
      <c r="BQ2059">
        <v>0.28399999999999997</v>
      </c>
      <c r="BV2059" t="s">
        <v>263</v>
      </c>
      <c r="CM2059" t="s">
        <v>264</v>
      </c>
      <c r="CN2059" t="s">
        <v>264</v>
      </c>
      <c r="CP2059" t="s">
        <v>265</v>
      </c>
      <c r="CQ2059" t="s">
        <v>890</v>
      </c>
      <c r="DB2059">
        <v>4</v>
      </c>
      <c r="DG2059" t="s">
        <v>267</v>
      </c>
      <c r="DI2059">
        <v>96</v>
      </c>
      <c r="DN2059" t="s">
        <v>268</v>
      </c>
      <c r="DS2059">
        <v>388</v>
      </c>
      <c r="DT2059" t="s">
        <v>3584</v>
      </c>
      <c r="EW2059" t="s">
        <v>293</v>
      </c>
      <c r="FM2059">
        <v>25</v>
      </c>
      <c r="FR2059" t="s">
        <v>295</v>
      </c>
      <c r="GU2059">
        <v>36</v>
      </c>
      <c r="GZ2059" t="s">
        <v>296</v>
      </c>
      <c r="HH2059" t="s">
        <v>272</v>
      </c>
      <c r="IE2059" t="s">
        <v>3585</v>
      </c>
      <c r="IF2059">
        <v>18546</v>
      </c>
      <c r="IG2059" t="s">
        <v>3586</v>
      </c>
      <c r="IH2059" t="s">
        <v>3587</v>
      </c>
      <c r="II2059">
        <v>1995</v>
      </c>
      <c r="IJ2059" t="s">
        <v>3588</v>
      </c>
    </row>
    <row r="2060" spans="1:244" x14ac:dyDescent="0.45">
      <c r="A2060">
        <v>1204039</v>
      </c>
      <c r="B2060">
        <v>183898</v>
      </c>
      <c r="C2060">
        <v>10108642</v>
      </c>
      <c r="D2060" t="s">
        <v>3523</v>
      </c>
      <c r="F2060" t="s">
        <v>245</v>
      </c>
      <c r="G2060" t="s">
        <v>246</v>
      </c>
      <c r="N2060" t="s">
        <v>1183</v>
      </c>
      <c r="O2060" t="s">
        <v>1184</v>
      </c>
      <c r="P2060" t="s">
        <v>249</v>
      </c>
      <c r="Q2060" t="s">
        <v>250</v>
      </c>
      <c r="R2060" t="s">
        <v>251</v>
      </c>
      <c r="T2060" t="s">
        <v>252</v>
      </c>
      <c r="U2060" t="s">
        <v>253</v>
      </c>
      <c r="V2060" t="s">
        <v>418</v>
      </c>
      <c r="W2060" t="s">
        <v>419</v>
      </c>
      <c r="X2060" t="s">
        <v>393</v>
      </c>
      <c r="Z2060" t="s">
        <v>983</v>
      </c>
      <c r="AB2060">
        <v>3</v>
      </c>
      <c r="AG2060" t="s">
        <v>598</v>
      </c>
      <c r="AL2060" t="s">
        <v>3631</v>
      </c>
      <c r="AM2060" t="s">
        <v>258</v>
      </c>
      <c r="AN2060" t="s">
        <v>259</v>
      </c>
      <c r="AO2060" t="s">
        <v>260</v>
      </c>
      <c r="AQ2060" t="s">
        <v>261</v>
      </c>
      <c r="AS2060">
        <v>316</v>
      </c>
      <c r="AX2060" t="s">
        <v>262</v>
      </c>
      <c r="BO2060" t="s">
        <v>261</v>
      </c>
      <c r="BQ2060">
        <v>0.316</v>
      </c>
      <c r="BV2060" t="s">
        <v>263</v>
      </c>
      <c r="CM2060" t="s">
        <v>264</v>
      </c>
      <c r="CN2060" t="s">
        <v>264</v>
      </c>
      <c r="CP2060" t="s">
        <v>265</v>
      </c>
      <c r="CQ2060" t="s">
        <v>890</v>
      </c>
      <c r="DB2060">
        <v>4</v>
      </c>
      <c r="DG2060" t="s">
        <v>267</v>
      </c>
      <c r="DI2060">
        <v>96</v>
      </c>
      <c r="DN2060" t="s">
        <v>268</v>
      </c>
      <c r="DS2060">
        <v>388</v>
      </c>
      <c r="DT2060" t="s">
        <v>3584</v>
      </c>
      <c r="EW2060" t="s">
        <v>293</v>
      </c>
      <c r="FM2060">
        <v>25</v>
      </c>
      <c r="FR2060" t="s">
        <v>295</v>
      </c>
      <c r="GU2060">
        <v>36</v>
      </c>
      <c r="GZ2060" t="s">
        <v>296</v>
      </c>
      <c r="HH2060" t="s">
        <v>272</v>
      </c>
      <c r="IE2060" t="s">
        <v>3585</v>
      </c>
      <c r="IF2060">
        <v>18546</v>
      </c>
      <c r="IG2060" t="s">
        <v>3586</v>
      </c>
      <c r="IH2060" t="s">
        <v>3587</v>
      </c>
      <c r="II2060">
        <v>1995</v>
      </c>
      <c r="IJ2060" t="s">
        <v>3588</v>
      </c>
    </row>
    <row r="2061" spans="1:244" x14ac:dyDescent="0.45">
      <c r="A2061">
        <v>1176478</v>
      </c>
      <c r="B2061">
        <v>156496</v>
      </c>
      <c r="C2061">
        <v>10108642</v>
      </c>
      <c r="D2061" t="s">
        <v>3523</v>
      </c>
      <c r="F2061" t="s">
        <v>245</v>
      </c>
      <c r="G2061" t="s">
        <v>246</v>
      </c>
      <c r="N2061" t="s">
        <v>3550</v>
      </c>
      <c r="O2061" t="s">
        <v>578</v>
      </c>
      <c r="P2061" t="s">
        <v>249</v>
      </c>
      <c r="Q2061" t="s">
        <v>250</v>
      </c>
      <c r="R2061" t="s">
        <v>251</v>
      </c>
      <c r="T2061" t="s">
        <v>252</v>
      </c>
      <c r="U2061" t="s">
        <v>499</v>
      </c>
      <c r="V2061" t="s">
        <v>3551</v>
      </c>
      <c r="W2061" t="s">
        <v>3552</v>
      </c>
      <c r="X2061" t="s">
        <v>3553</v>
      </c>
      <c r="AM2061" t="s">
        <v>317</v>
      </c>
      <c r="AN2061" t="s">
        <v>259</v>
      </c>
      <c r="AO2061" t="s">
        <v>260</v>
      </c>
      <c r="AQ2061" t="s">
        <v>261</v>
      </c>
      <c r="AS2061">
        <v>290</v>
      </c>
      <c r="AX2061" t="s">
        <v>262</v>
      </c>
      <c r="BO2061" t="s">
        <v>261</v>
      </c>
      <c r="BQ2061">
        <v>0.28999999999999998</v>
      </c>
      <c r="BV2061" t="s">
        <v>263</v>
      </c>
      <c r="CM2061" t="s">
        <v>264</v>
      </c>
      <c r="CN2061" t="s">
        <v>264</v>
      </c>
      <c r="CP2061" t="s">
        <v>265</v>
      </c>
      <c r="CQ2061" t="s">
        <v>890</v>
      </c>
      <c r="DB2061">
        <v>4</v>
      </c>
      <c r="DG2061" t="s">
        <v>267</v>
      </c>
      <c r="DI2061">
        <v>96</v>
      </c>
      <c r="DN2061" t="s">
        <v>268</v>
      </c>
      <c r="DS2061">
        <v>4655</v>
      </c>
      <c r="EW2061" t="s">
        <v>271</v>
      </c>
      <c r="HH2061" t="s">
        <v>272</v>
      </c>
      <c r="IE2061" t="s">
        <v>3527</v>
      </c>
      <c r="IF2061">
        <v>15300</v>
      </c>
      <c r="IG2061" t="s">
        <v>3528</v>
      </c>
      <c r="IH2061" t="s">
        <v>3529</v>
      </c>
      <c r="II2061">
        <v>1979</v>
      </c>
      <c r="IJ2061" t="s">
        <v>3530</v>
      </c>
    </row>
    <row r="2062" spans="1:244" x14ac:dyDescent="0.45">
      <c r="A2062">
        <v>1135989</v>
      </c>
      <c r="B2062">
        <v>90609</v>
      </c>
      <c r="C2062">
        <v>10108642</v>
      </c>
      <c r="D2062" t="s">
        <v>3523</v>
      </c>
      <c r="F2062" t="s">
        <v>245</v>
      </c>
      <c r="G2062" t="s">
        <v>246</v>
      </c>
      <c r="N2062" t="s">
        <v>471</v>
      </c>
      <c r="O2062" t="s">
        <v>388</v>
      </c>
      <c r="P2062" t="s">
        <v>249</v>
      </c>
      <c r="Q2062" t="s">
        <v>250</v>
      </c>
      <c r="R2062" t="s">
        <v>251</v>
      </c>
      <c r="T2062" t="s">
        <v>389</v>
      </c>
      <c r="U2062" t="s">
        <v>390</v>
      </c>
      <c r="V2062" t="s">
        <v>472</v>
      </c>
      <c r="W2062" t="s">
        <v>473</v>
      </c>
      <c r="X2062" t="s">
        <v>474</v>
      </c>
      <c r="Z2062" t="s">
        <v>525</v>
      </c>
      <c r="AB2062">
        <v>1</v>
      </c>
      <c r="AG2062" t="s">
        <v>267</v>
      </c>
      <c r="AM2062" t="s">
        <v>317</v>
      </c>
      <c r="AN2062" t="s">
        <v>259</v>
      </c>
      <c r="AO2062" t="s">
        <v>260</v>
      </c>
      <c r="AQ2062" t="s">
        <v>261</v>
      </c>
      <c r="AS2062">
        <v>538.4</v>
      </c>
      <c r="AX2062" t="s">
        <v>262</v>
      </c>
      <c r="BO2062" t="s">
        <v>261</v>
      </c>
      <c r="BQ2062">
        <v>0.53839999999999999</v>
      </c>
      <c r="BV2062" t="s">
        <v>263</v>
      </c>
      <c r="CM2062" t="s">
        <v>264</v>
      </c>
      <c r="CN2062" t="s">
        <v>264</v>
      </c>
      <c r="CP2062" t="s">
        <v>265</v>
      </c>
      <c r="CQ2062" t="s">
        <v>890</v>
      </c>
      <c r="DB2062">
        <v>2</v>
      </c>
      <c r="DG2062" t="s">
        <v>267</v>
      </c>
      <c r="DI2062">
        <v>48</v>
      </c>
      <c r="DN2062" t="s">
        <v>268</v>
      </c>
      <c r="DR2062">
        <v>2056173</v>
      </c>
      <c r="DS2062">
        <v>1053</v>
      </c>
      <c r="DT2062" t="s">
        <v>2671</v>
      </c>
      <c r="EW2062" t="s">
        <v>271</v>
      </c>
      <c r="FA2062" t="s">
        <v>2672</v>
      </c>
      <c r="FM2062">
        <v>18</v>
      </c>
      <c r="FR2062" t="s">
        <v>295</v>
      </c>
      <c r="GU2062">
        <v>38</v>
      </c>
      <c r="GZ2062" t="s">
        <v>296</v>
      </c>
      <c r="HH2062" t="s">
        <v>272</v>
      </c>
      <c r="IE2062" t="s">
        <v>2299</v>
      </c>
      <c r="IF2062">
        <v>11097</v>
      </c>
      <c r="IG2062" t="s">
        <v>2673</v>
      </c>
      <c r="IH2062" t="s">
        <v>2674</v>
      </c>
      <c r="II2062">
        <v>1982</v>
      </c>
      <c r="IJ2062" t="s">
        <v>2675</v>
      </c>
    </row>
    <row r="2063" spans="1:244" x14ac:dyDescent="0.45">
      <c r="A2063">
        <v>1139078</v>
      </c>
      <c r="B2063">
        <v>232037</v>
      </c>
      <c r="C2063">
        <v>10108642</v>
      </c>
      <c r="D2063" t="s">
        <v>3523</v>
      </c>
      <c r="E2063" t="s">
        <v>3539</v>
      </c>
      <c r="F2063" t="s">
        <v>327</v>
      </c>
      <c r="G2063" t="s">
        <v>246</v>
      </c>
      <c r="N2063" t="s">
        <v>3540</v>
      </c>
      <c r="O2063" t="s">
        <v>248</v>
      </c>
      <c r="P2063" t="s">
        <v>249</v>
      </c>
      <c r="Q2063" t="s">
        <v>250</v>
      </c>
      <c r="R2063" t="s">
        <v>251</v>
      </c>
      <c r="T2063" t="s">
        <v>252</v>
      </c>
      <c r="U2063" t="s">
        <v>253</v>
      </c>
      <c r="V2063" t="s">
        <v>1231</v>
      </c>
      <c r="W2063" t="s">
        <v>3541</v>
      </c>
      <c r="X2063" t="s">
        <v>3542</v>
      </c>
      <c r="AJ2063" t="s">
        <v>285</v>
      </c>
      <c r="AL2063" t="s">
        <v>3543</v>
      </c>
      <c r="AM2063" t="s">
        <v>317</v>
      </c>
      <c r="AN2063" t="s">
        <v>259</v>
      </c>
      <c r="AO2063" t="s">
        <v>260</v>
      </c>
      <c r="AQ2063" t="s">
        <v>261</v>
      </c>
      <c r="AS2063">
        <v>32.200000000000003</v>
      </c>
      <c r="AU2063">
        <v>29.1</v>
      </c>
      <c r="AW2063">
        <v>35.1</v>
      </c>
      <c r="AX2063" t="s">
        <v>356</v>
      </c>
      <c r="BO2063" t="s">
        <v>261</v>
      </c>
      <c r="BQ2063">
        <v>32.200000000000003</v>
      </c>
      <c r="BS2063">
        <v>29.1</v>
      </c>
      <c r="BU2063">
        <v>35.1</v>
      </c>
      <c r="BV2063" t="s">
        <v>263</v>
      </c>
      <c r="CM2063" t="s">
        <v>264</v>
      </c>
      <c r="CN2063" t="s">
        <v>264</v>
      </c>
      <c r="CP2063" t="s">
        <v>265</v>
      </c>
      <c r="CQ2063" t="s">
        <v>890</v>
      </c>
      <c r="DB2063">
        <v>4</v>
      </c>
      <c r="DG2063" t="s">
        <v>267</v>
      </c>
      <c r="DI2063">
        <v>96</v>
      </c>
      <c r="DN2063" t="s">
        <v>268</v>
      </c>
      <c r="DR2063">
        <v>151182</v>
      </c>
      <c r="DS2063">
        <v>11260</v>
      </c>
      <c r="EW2063" t="s">
        <v>272</v>
      </c>
      <c r="FK2063" t="s">
        <v>3778</v>
      </c>
      <c r="FM2063">
        <v>25</v>
      </c>
      <c r="FR2063" t="s">
        <v>295</v>
      </c>
      <c r="GU2063">
        <v>32</v>
      </c>
      <c r="GZ2063" t="s">
        <v>900</v>
      </c>
      <c r="HH2063" t="s">
        <v>272</v>
      </c>
      <c r="ID2063" t="s">
        <v>3779</v>
      </c>
      <c r="IE2063" t="s">
        <v>3546</v>
      </c>
      <c r="IF2063">
        <v>11524</v>
      </c>
      <c r="IG2063" t="s">
        <v>3547</v>
      </c>
      <c r="IH2063" t="s">
        <v>3548</v>
      </c>
      <c r="II2063">
        <v>1983</v>
      </c>
      <c r="IJ2063" t="s">
        <v>3549</v>
      </c>
    </row>
    <row r="2064" spans="1:244" x14ac:dyDescent="0.45">
      <c r="A2064">
        <v>1210383</v>
      </c>
      <c r="B2064">
        <v>194519</v>
      </c>
      <c r="C2064">
        <v>10108642</v>
      </c>
      <c r="D2064" t="s">
        <v>3523</v>
      </c>
      <c r="F2064" t="s">
        <v>272</v>
      </c>
      <c r="G2064" t="s">
        <v>246</v>
      </c>
      <c r="N2064" t="s">
        <v>345</v>
      </c>
      <c r="O2064" t="s">
        <v>346</v>
      </c>
      <c r="P2064" t="s">
        <v>249</v>
      </c>
      <c r="Q2064" t="s">
        <v>250</v>
      </c>
      <c r="R2064" t="s">
        <v>251</v>
      </c>
      <c r="T2064" t="s">
        <v>347</v>
      </c>
      <c r="U2064" t="s">
        <v>348</v>
      </c>
      <c r="V2064" t="s">
        <v>349</v>
      </c>
      <c r="W2064" t="s">
        <v>350</v>
      </c>
      <c r="X2064" t="s">
        <v>351</v>
      </c>
      <c r="Z2064" t="s">
        <v>284</v>
      </c>
      <c r="AM2064" t="s">
        <v>287</v>
      </c>
      <c r="AN2064" t="s">
        <v>259</v>
      </c>
      <c r="AO2064" t="s">
        <v>260</v>
      </c>
      <c r="AQ2064" t="s">
        <v>261</v>
      </c>
      <c r="AS2064">
        <v>9.9499999999999993</v>
      </c>
      <c r="AU2064">
        <v>6.64</v>
      </c>
      <c r="AW2064">
        <v>14.9</v>
      </c>
      <c r="AX2064" t="s">
        <v>762</v>
      </c>
      <c r="BO2064" t="s">
        <v>261</v>
      </c>
      <c r="BQ2064">
        <v>9.9499999999999993</v>
      </c>
      <c r="BS2064">
        <v>6.64</v>
      </c>
      <c r="BU2064">
        <v>14.9</v>
      </c>
      <c r="BV2064" t="s">
        <v>263</v>
      </c>
      <c r="CM2064" t="s">
        <v>264</v>
      </c>
      <c r="CN2064" t="s">
        <v>264</v>
      </c>
      <c r="CP2064" t="s">
        <v>265</v>
      </c>
      <c r="DB2064">
        <v>4</v>
      </c>
      <c r="DG2064" t="s">
        <v>267</v>
      </c>
      <c r="DI2064">
        <v>96</v>
      </c>
      <c r="DN2064" t="s">
        <v>268</v>
      </c>
      <c r="DR2064">
        <v>6660</v>
      </c>
      <c r="DS2064">
        <v>421</v>
      </c>
      <c r="EW2064" t="s">
        <v>272</v>
      </c>
      <c r="FM2064">
        <v>25</v>
      </c>
      <c r="FR2064" t="s">
        <v>295</v>
      </c>
      <c r="GO2064">
        <v>8.1</v>
      </c>
      <c r="HH2064" t="s">
        <v>272</v>
      </c>
      <c r="IE2064" t="s">
        <v>763</v>
      </c>
      <c r="IF2064">
        <v>19318</v>
      </c>
      <c r="IG2064" t="s">
        <v>764</v>
      </c>
      <c r="IH2064" t="s">
        <v>765</v>
      </c>
      <c r="II2064">
        <v>1994</v>
      </c>
      <c r="IJ2064" t="s">
        <v>766</v>
      </c>
    </row>
    <row r="2065" spans="1:244" x14ac:dyDescent="0.45">
      <c r="A2065">
        <v>1182135</v>
      </c>
      <c r="B2065">
        <v>160038</v>
      </c>
      <c r="C2065">
        <v>10108642</v>
      </c>
      <c r="D2065" t="s">
        <v>3523</v>
      </c>
      <c r="E2065" t="s">
        <v>439</v>
      </c>
      <c r="F2065" t="s">
        <v>245</v>
      </c>
      <c r="G2065" t="s">
        <v>246</v>
      </c>
      <c r="N2065" t="s">
        <v>345</v>
      </c>
      <c r="O2065" t="s">
        <v>346</v>
      </c>
      <c r="P2065" t="s">
        <v>249</v>
      </c>
      <c r="Q2065" t="s">
        <v>250</v>
      </c>
      <c r="R2065" t="s">
        <v>251</v>
      </c>
      <c r="T2065" t="s">
        <v>347</v>
      </c>
      <c r="U2065" t="s">
        <v>348</v>
      </c>
      <c r="V2065" t="s">
        <v>349</v>
      </c>
      <c r="W2065" t="s">
        <v>350</v>
      </c>
      <c r="X2065" t="s">
        <v>351</v>
      </c>
      <c r="Z2065" t="s">
        <v>1034</v>
      </c>
      <c r="AL2065" t="s">
        <v>2663</v>
      </c>
      <c r="AM2065" t="s">
        <v>317</v>
      </c>
      <c r="AN2065" t="s">
        <v>259</v>
      </c>
      <c r="AO2065" t="s">
        <v>260</v>
      </c>
      <c r="AQ2065" t="s">
        <v>261</v>
      </c>
      <c r="AS2065">
        <v>305000</v>
      </c>
      <c r="AX2065" t="s">
        <v>262</v>
      </c>
      <c r="BO2065" t="s">
        <v>261</v>
      </c>
      <c r="BQ2065">
        <v>305</v>
      </c>
      <c r="BV2065" t="s">
        <v>263</v>
      </c>
      <c r="CM2065" t="s">
        <v>264</v>
      </c>
      <c r="CN2065" t="s">
        <v>264</v>
      </c>
      <c r="CP2065" t="s">
        <v>265</v>
      </c>
      <c r="DB2065">
        <v>2</v>
      </c>
      <c r="DG2065" t="s">
        <v>267</v>
      </c>
      <c r="DI2065">
        <v>48</v>
      </c>
      <c r="DN2065" t="s">
        <v>268</v>
      </c>
      <c r="DR2065">
        <v>6660</v>
      </c>
      <c r="DS2065">
        <v>421</v>
      </c>
      <c r="DT2065" t="s">
        <v>2665</v>
      </c>
      <c r="EW2065" t="s">
        <v>293</v>
      </c>
      <c r="FA2065" t="s">
        <v>2666</v>
      </c>
      <c r="FM2065">
        <v>25</v>
      </c>
      <c r="FR2065" t="s">
        <v>295</v>
      </c>
      <c r="GU2065">
        <v>25</v>
      </c>
      <c r="GZ2065" t="s">
        <v>296</v>
      </c>
      <c r="HH2065" t="s">
        <v>272</v>
      </c>
      <c r="IE2065" t="s">
        <v>2667</v>
      </c>
      <c r="IF2065">
        <v>16031</v>
      </c>
      <c r="IG2065" t="s">
        <v>2668</v>
      </c>
      <c r="IH2065" t="s">
        <v>2669</v>
      </c>
      <c r="II2065">
        <v>1995</v>
      </c>
      <c r="IJ2065" t="s">
        <v>2670</v>
      </c>
    </row>
    <row r="2066" spans="1:244" x14ac:dyDescent="0.45">
      <c r="A2066">
        <v>1026083</v>
      </c>
      <c r="B2066">
        <v>123829</v>
      </c>
      <c r="C2066">
        <v>10108642</v>
      </c>
      <c r="D2066" t="s">
        <v>3523</v>
      </c>
      <c r="F2066" t="s">
        <v>245</v>
      </c>
      <c r="G2066" t="s">
        <v>246</v>
      </c>
      <c r="N2066" t="s">
        <v>546</v>
      </c>
      <c r="O2066" t="s">
        <v>547</v>
      </c>
      <c r="P2066" t="s">
        <v>249</v>
      </c>
      <c r="Q2066" t="s">
        <v>250</v>
      </c>
      <c r="R2066" t="s">
        <v>251</v>
      </c>
      <c r="T2066" t="s">
        <v>252</v>
      </c>
      <c r="U2066" t="s">
        <v>253</v>
      </c>
      <c r="V2066" t="s">
        <v>548</v>
      </c>
      <c r="W2066" t="s">
        <v>549</v>
      </c>
      <c r="X2066" t="s">
        <v>550</v>
      </c>
      <c r="Z2066" t="s">
        <v>315</v>
      </c>
      <c r="AM2066" t="s">
        <v>258</v>
      </c>
      <c r="AN2066" t="s">
        <v>259</v>
      </c>
      <c r="AO2066" t="s">
        <v>260</v>
      </c>
      <c r="AQ2066" t="s">
        <v>261</v>
      </c>
      <c r="AS2066">
        <v>1000</v>
      </c>
      <c r="AX2066" t="s">
        <v>262</v>
      </c>
      <c r="BO2066" t="s">
        <v>261</v>
      </c>
      <c r="BQ2066">
        <v>1</v>
      </c>
      <c r="BV2066" t="s">
        <v>263</v>
      </c>
      <c r="CM2066" t="s">
        <v>264</v>
      </c>
      <c r="CN2066" t="s">
        <v>264</v>
      </c>
      <c r="CP2066" t="s">
        <v>265</v>
      </c>
      <c r="CQ2066" t="s">
        <v>890</v>
      </c>
      <c r="DB2066">
        <v>4</v>
      </c>
      <c r="DG2066" t="s">
        <v>267</v>
      </c>
      <c r="DI2066">
        <v>96</v>
      </c>
      <c r="DN2066" t="s">
        <v>268</v>
      </c>
      <c r="DR2066">
        <v>491138</v>
      </c>
      <c r="DS2066">
        <v>11</v>
      </c>
      <c r="EW2066" t="s">
        <v>360</v>
      </c>
      <c r="FM2066">
        <v>15</v>
      </c>
      <c r="FR2066" t="s">
        <v>295</v>
      </c>
      <c r="HH2066" t="s">
        <v>272</v>
      </c>
      <c r="IE2066" t="s">
        <v>552</v>
      </c>
      <c r="IF2066">
        <v>906</v>
      </c>
      <c r="IG2066" t="s">
        <v>553</v>
      </c>
      <c r="IH2066" t="s">
        <v>554</v>
      </c>
      <c r="II2066">
        <v>1971</v>
      </c>
      <c r="IJ2066" t="s">
        <v>555</v>
      </c>
    </row>
    <row r="2067" spans="1:244" x14ac:dyDescent="0.45">
      <c r="A2067">
        <v>2117922</v>
      </c>
      <c r="B2067">
        <v>2215408</v>
      </c>
      <c r="C2067">
        <v>10108642</v>
      </c>
      <c r="D2067" t="s">
        <v>3523</v>
      </c>
      <c r="F2067" t="s">
        <v>245</v>
      </c>
      <c r="G2067" t="s">
        <v>272</v>
      </c>
      <c r="N2067" t="s">
        <v>452</v>
      </c>
      <c r="O2067" t="s">
        <v>346</v>
      </c>
      <c r="P2067" t="s">
        <v>249</v>
      </c>
      <c r="Q2067" t="s">
        <v>250</v>
      </c>
      <c r="R2067" t="s">
        <v>251</v>
      </c>
      <c r="T2067" t="s">
        <v>347</v>
      </c>
      <c r="U2067" t="s">
        <v>348</v>
      </c>
      <c r="V2067" t="s">
        <v>349</v>
      </c>
      <c r="W2067" t="s">
        <v>350</v>
      </c>
      <c r="X2067" t="s">
        <v>453</v>
      </c>
      <c r="Z2067" t="s">
        <v>525</v>
      </c>
      <c r="AA2067" t="s">
        <v>515</v>
      </c>
      <c r="AB2067">
        <v>48</v>
      </c>
      <c r="AG2067" t="s">
        <v>268</v>
      </c>
      <c r="AM2067" t="s">
        <v>287</v>
      </c>
      <c r="AN2067" t="s">
        <v>259</v>
      </c>
      <c r="AO2067" t="s">
        <v>260</v>
      </c>
      <c r="AQ2067" t="s">
        <v>261</v>
      </c>
      <c r="AS2067">
        <v>143</v>
      </c>
      <c r="AU2067">
        <v>131.4</v>
      </c>
      <c r="AW2067">
        <v>155.80000000000001</v>
      </c>
      <c r="AX2067" t="s">
        <v>422</v>
      </c>
      <c r="BO2067" t="s">
        <v>261</v>
      </c>
      <c r="BQ2067">
        <v>143</v>
      </c>
      <c r="BS2067">
        <v>131.4</v>
      </c>
      <c r="BU2067">
        <v>155.80000000000001</v>
      </c>
      <c r="BV2067" t="s">
        <v>263</v>
      </c>
      <c r="CM2067" t="s">
        <v>264</v>
      </c>
      <c r="CN2067" t="s">
        <v>264</v>
      </c>
      <c r="CP2067" t="s">
        <v>265</v>
      </c>
      <c r="CQ2067" t="s">
        <v>890</v>
      </c>
      <c r="DB2067">
        <v>1</v>
      </c>
      <c r="DG2067" t="s">
        <v>267</v>
      </c>
      <c r="DI2067">
        <v>24</v>
      </c>
      <c r="DN2067" t="s">
        <v>268</v>
      </c>
      <c r="DP2067" t="s">
        <v>3600</v>
      </c>
      <c r="DR2067">
        <v>85549</v>
      </c>
      <c r="DS2067">
        <v>366</v>
      </c>
      <c r="DT2067" t="s">
        <v>3601</v>
      </c>
      <c r="DV2067">
        <v>24</v>
      </c>
      <c r="EA2067" t="s">
        <v>268</v>
      </c>
      <c r="EC2067">
        <v>1</v>
      </c>
      <c r="EH2067" t="s">
        <v>267</v>
      </c>
      <c r="EJ2067">
        <v>24</v>
      </c>
      <c r="EO2067" t="s">
        <v>268</v>
      </c>
      <c r="EQ2067">
        <v>1</v>
      </c>
      <c r="EV2067" t="s">
        <v>267</v>
      </c>
      <c r="EW2067" t="s">
        <v>293</v>
      </c>
      <c r="FA2067" t="s">
        <v>320</v>
      </c>
      <c r="HH2067" t="s">
        <v>272</v>
      </c>
      <c r="IE2067" t="s">
        <v>3602</v>
      </c>
      <c r="IF2067">
        <v>167231</v>
      </c>
      <c r="IG2067" t="s">
        <v>3603</v>
      </c>
      <c r="IH2067" t="s">
        <v>3604</v>
      </c>
      <c r="II2067">
        <v>1992</v>
      </c>
      <c r="IJ2067" t="s">
        <v>3605</v>
      </c>
    </row>
    <row r="2068" spans="1:244" x14ac:dyDescent="0.45">
      <c r="A2068">
        <v>1139080</v>
      </c>
      <c r="B2068">
        <v>232039</v>
      </c>
      <c r="C2068">
        <v>10108642</v>
      </c>
      <c r="D2068" t="s">
        <v>3523</v>
      </c>
      <c r="E2068" t="s">
        <v>3539</v>
      </c>
      <c r="F2068" t="s">
        <v>327</v>
      </c>
      <c r="G2068" t="s">
        <v>246</v>
      </c>
      <c r="N2068" t="s">
        <v>3540</v>
      </c>
      <c r="O2068" t="s">
        <v>248</v>
      </c>
      <c r="P2068" t="s">
        <v>249</v>
      </c>
      <c r="Q2068" t="s">
        <v>250</v>
      </c>
      <c r="R2068" t="s">
        <v>251</v>
      </c>
      <c r="T2068" t="s">
        <v>252</v>
      </c>
      <c r="U2068" t="s">
        <v>253</v>
      </c>
      <c r="V2068" t="s">
        <v>1231</v>
      </c>
      <c r="W2068" t="s">
        <v>3541</v>
      </c>
      <c r="X2068" t="s">
        <v>3542</v>
      </c>
      <c r="AJ2068" t="s">
        <v>285</v>
      </c>
      <c r="AL2068" t="s">
        <v>3543</v>
      </c>
      <c r="AM2068" t="s">
        <v>317</v>
      </c>
      <c r="AN2068" t="s">
        <v>259</v>
      </c>
      <c r="AO2068" t="s">
        <v>260</v>
      </c>
      <c r="AQ2068" t="s">
        <v>261</v>
      </c>
      <c r="AS2068">
        <v>46</v>
      </c>
      <c r="AU2068">
        <v>44.8</v>
      </c>
      <c r="AW2068">
        <v>48.8</v>
      </c>
      <c r="AX2068" t="s">
        <v>356</v>
      </c>
      <c r="BO2068" t="s">
        <v>261</v>
      </c>
      <c r="BQ2068">
        <v>46</v>
      </c>
      <c r="BS2068">
        <v>44.8</v>
      </c>
      <c r="BU2068">
        <v>48.8</v>
      </c>
      <c r="BV2068" t="s">
        <v>263</v>
      </c>
      <c r="CM2068" t="s">
        <v>264</v>
      </c>
      <c r="CN2068" t="s">
        <v>264</v>
      </c>
      <c r="CP2068" t="s">
        <v>265</v>
      </c>
      <c r="CQ2068" t="s">
        <v>890</v>
      </c>
      <c r="DB2068">
        <v>4</v>
      </c>
      <c r="DG2068" t="s">
        <v>267</v>
      </c>
      <c r="DI2068">
        <v>96</v>
      </c>
      <c r="DN2068" t="s">
        <v>268</v>
      </c>
      <c r="DR2068">
        <v>151182</v>
      </c>
      <c r="DS2068">
        <v>11260</v>
      </c>
      <c r="EW2068" t="s">
        <v>272</v>
      </c>
      <c r="FK2068" t="s">
        <v>3544</v>
      </c>
      <c r="FM2068">
        <v>25</v>
      </c>
      <c r="FR2068" t="s">
        <v>295</v>
      </c>
      <c r="GU2068">
        <v>20</v>
      </c>
      <c r="GZ2068" t="s">
        <v>900</v>
      </c>
      <c r="HH2068" t="s">
        <v>272</v>
      </c>
      <c r="ID2068" t="s">
        <v>3545</v>
      </c>
      <c r="IE2068" t="s">
        <v>3546</v>
      </c>
      <c r="IF2068">
        <v>11524</v>
      </c>
      <c r="IG2068" t="s">
        <v>3547</v>
      </c>
      <c r="IH2068" t="s">
        <v>3548</v>
      </c>
      <c r="II2068">
        <v>1983</v>
      </c>
      <c r="IJ2068" t="s">
        <v>3549</v>
      </c>
    </row>
    <row r="2069" spans="1:244" x14ac:dyDescent="0.45">
      <c r="A2069">
        <v>1121353</v>
      </c>
      <c r="B2069">
        <v>137698</v>
      </c>
      <c r="C2069">
        <v>10108642</v>
      </c>
      <c r="D2069" t="s">
        <v>3523</v>
      </c>
      <c r="F2069" t="s">
        <v>245</v>
      </c>
      <c r="G2069" t="s">
        <v>246</v>
      </c>
      <c r="N2069" t="s">
        <v>3800</v>
      </c>
      <c r="O2069" t="s">
        <v>498</v>
      </c>
      <c r="P2069" t="s">
        <v>249</v>
      </c>
      <c r="Q2069" t="s">
        <v>250</v>
      </c>
      <c r="R2069" t="s">
        <v>251</v>
      </c>
      <c r="T2069" t="s">
        <v>252</v>
      </c>
      <c r="U2069" t="s">
        <v>499</v>
      </c>
      <c r="V2069" t="s">
        <v>500</v>
      </c>
      <c r="W2069" t="s">
        <v>3801</v>
      </c>
      <c r="X2069" t="s">
        <v>3802</v>
      </c>
      <c r="Z2069" t="s">
        <v>315</v>
      </c>
      <c r="AM2069" t="s">
        <v>258</v>
      </c>
      <c r="AN2069" t="s">
        <v>259</v>
      </c>
      <c r="AO2069" t="s">
        <v>260</v>
      </c>
      <c r="AQ2069" t="s">
        <v>261</v>
      </c>
      <c r="AS2069">
        <v>13300</v>
      </c>
      <c r="AX2069" t="s">
        <v>262</v>
      </c>
      <c r="BO2069" t="s">
        <v>261</v>
      </c>
      <c r="BQ2069">
        <v>13.3</v>
      </c>
      <c r="BV2069" t="s">
        <v>263</v>
      </c>
      <c r="CM2069" t="s">
        <v>264</v>
      </c>
      <c r="CN2069" t="s">
        <v>264</v>
      </c>
      <c r="CP2069" t="s">
        <v>265</v>
      </c>
      <c r="CQ2069" t="s">
        <v>890</v>
      </c>
      <c r="DB2069">
        <v>4</v>
      </c>
      <c r="DG2069" t="s">
        <v>267</v>
      </c>
      <c r="DI2069">
        <v>96</v>
      </c>
      <c r="DN2069" t="s">
        <v>268</v>
      </c>
      <c r="DS2069">
        <v>2130</v>
      </c>
      <c r="DT2069" t="s">
        <v>3803</v>
      </c>
      <c r="EW2069" t="s">
        <v>293</v>
      </c>
      <c r="FM2069">
        <v>10</v>
      </c>
      <c r="FR2069" t="s">
        <v>295</v>
      </c>
      <c r="GO2069">
        <v>8.1</v>
      </c>
      <c r="HH2069" t="s">
        <v>272</v>
      </c>
      <c r="IE2069" t="s">
        <v>3804</v>
      </c>
      <c r="IF2069">
        <v>9508</v>
      </c>
      <c r="IG2069" t="s">
        <v>3805</v>
      </c>
      <c r="IH2069" t="s">
        <v>3806</v>
      </c>
      <c r="II2069">
        <v>1981</v>
      </c>
      <c r="IJ2069" t="s">
        <v>3807</v>
      </c>
    </row>
    <row r="2070" spans="1:244" x14ac:dyDescent="0.45">
      <c r="A2070">
        <v>1210382</v>
      </c>
      <c r="B2070">
        <v>194518</v>
      </c>
      <c r="C2070">
        <v>10108642</v>
      </c>
      <c r="D2070" t="s">
        <v>3523</v>
      </c>
      <c r="F2070" t="s">
        <v>272</v>
      </c>
      <c r="G2070" t="s">
        <v>246</v>
      </c>
      <c r="N2070" t="s">
        <v>345</v>
      </c>
      <c r="O2070" t="s">
        <v>346</v>
      </c>
      <c r="P2070" t="s">
        <v>249</v>
      </c>
      <c r="Q2070" t="s">
        <v>250</v>
      </c>
      <c r="R2070" t="s">
        <v>251</v>
      </c>
      <c r="T2070" t="s">
        <v>347</v>
      </c>
      <c r="U2070" t="s">
        <v>348</v>
      </c>
      <c r="V2070" t="s">
        <v>349</v>
      </c>
      <c r="W2070" t="s">
        <v>350</v>
      </c>
      <c r="X2070" t="s">
        <v>351</v>
      </c>
      <c r="Z2070" t="s">
        <v>284</v>
      </c>
      <c r="AM2070" t="s">
        <v>287</v>
      </c>
      <c r="AN2070" t="s">
        <v>259</v>
      </c>
      <c r="AO2070" t="s">
        <v>260</v>
      </c>
      <c r="AQ2070" t="s">
        <v>261</v>
      </c>
      <c r="AS2070">
        <v>46.8</v>
      </c>
      <c r="AU2070">
        <v>30.1</v>
      </c>
      <c r="AW2070">
        <v>72.7</v>
      </c>
      <c r="AX2070" t="s">
        <v>762</v>
      </c>
      <c r="BO2070" t="s">
        <v>261</v>
      </c>
      <c r="BQ2070">
        <v>46.8</v>
      </c>
      <c r="BS2070">
        <v>30.1</v>
      </c>
      <c r="BU2070">
        <v>72.7</v>
      </c>
      <c r="BV2070" t="s">
        <v>263</v>
      </c>
      <c r="CM2070" t="s">
        <v>264</v>
      </c>
      <c r="CN2070" t="s">
        <v>264</v>
      </c>
      <c r="CP2070" t="s">
        <v>265</v>
      </c>
      <c r="DB2070">
        <v>2</v>
      </c>
      <c r="DG2070" t="s">
        <v>267</v>
      </c>
      <c r="DI2070">
        <v>48</v>
      </c>
      <c r="DN2070" t="s">
        <v>268</v>
      </c>
      <c r="DR2070">
        <v>6660</v>
      </c>
      <c r="DS2070">
        <v>421</v>
      </c>
      <c r="EW2070" t="s">
        <v>272</v>
      </c>
      <c r="FM2070">
        <v>25</v>
      </c>
      <c r="FR2070" t="s">
        <v>295</v>
      </c>
      <c r="GO2070">
        <v>8.1</v>
      </c>
      <c r="HH2070" t="s">
        <v>272</v>
      </c>
      <c r="IE2070" t="s">
        <v>763</v>
      </c>
      <c r="IF2070">
        <v>19318</v>
      </c>
      <c r="IG2070" t="s">
        <v>764</v>
      </c>
      <c r="IH2070" t="s">
        <v>765</v>
      </c>
      <c r="II2070">
        <v>1994</v>
      </c>
      <c r="IJ2070" t="s">
        <v>766</v>
      </c>
    </row>
    <row r="2071" spans="1:244" x14ac:dyDescent="0.45">
      <c r="A2071">
        <v>1226442</v>
      </c>
      <c r="B2071">
        <v>219618</v>
      </c>
      <c r="C2071">
        <v>10108642</v>
      </c>
      <c r="D2071" t="s">
        <v>3523</v>
      </c>
      <c r="E2071" t="s">
        <v>386</v>
      </c>
      <c r="F2071" t="s">
        <v>245</v>
      </c>
      <c r="G2071" t="s">
        <v>246</v>
      </c>
      <c r="N2071" t="s">
        <v>302</v>
      </c>
      <c r="O2071" t="s">
        <v>303</v>
      </c>
      <c r="P2071" t="s">
        <v>249</v>
      </c>
      <c r="Q2071" t="s">
        <v>250</v>
      </c>
      <c r="R2071" t="s">
        <v>251</v>
      </c>
      <c r="T2071" t="s">
        <v>252</v>
      </c>
      <c r="U2071" t="s">
        <v>253</v>
      </c>
      <c r="V2071" t="s">
        <v>304</v>
      </c>
      <c r="W2071" t="s">
        <v>305</v>
      </c>
      <c r="X2071" t="s">
        <v>306</v>
      </c>
      <c r="Z2071" t="s">
        <v>1057</v>
      </c>
      <c r="AL2071" t="s">
        <v>1440</v>
      </c>
      <c r="AM2071" t="s">
        <v>317</v>
      </c>
      <c r="AN2071" t="s">
        <v>259</v>
      </c>
      <c r="AO2071" t="s">
        <v>260</v>
      </c>
      <c r="AQ2071" t="s">
        <v>261</v>
      </c>
      <c r="AS2071">
        <v>10.9</v>
      </c>
      <c r="AX2071" t="s">
        <v>356</v>
      </c>
      <c r="BO2071" t="s">
        <v>261</v>
      </c>
      <c r="BQ2071">
        <v>10.9</v>
      </c>
      <c r="BV2071" t="s">
        <v>263</v>
      </c>
      <c r="CM2071" t="s">
        <v>264</v>
      </c>
      <c r="CN2071" t="s">
        <v>264</v>
      </c>
      <c r="CP2071" t="s">
        <v>265</v>
      </c>
      <c r="CQ2071" t="s">
        <v>890</v>
      </c>
      <c r="DB2071">
        <v>2</v>
      </c>
      <c r="DG2071" t="s">
        <v>267</v>
      </c>
      <c r="DI2071">
        <v>48</v>
      </c>
      <c r="DN2071" t="s">
        <v>268</v>
      </c>
      <c r="DR2071">
        <v>338212</v>
      </c>
      <c r="DS2071">
        <v>732</v>
      </c>
      <c r="DT2071" t="s">
        <v>1211</v>
      </c>
      <c r="EW2071" t="s">
        <v>293</v>
      </c>
      <c r="GU2071">
        <v>36</v>
      </c>
      <c r="GZ2071" t="s">
        <v>900</v>
      </c>
      <c r="HH2071" t="s">
        <v>272</v>
      </c>
      <c r="IE2071" t="s">
        <v>1212</v>
      </c>
      <c r="IF2071">
        <v>51641</v>
      </c>
      <c r="IG2071" t="s">
        <v>1213</v>
      </c>
      <c r="IH2071" t="s">
        <v>1214</v>
      </c>
      <c r="II2071">
        <v>2000</v>
      </c>
      <c r="IJ2071" t="s">
        <v>1215</v>
      </c>
    </row>
    <row r="2072" spans="1:244" x14ac:dyDescent="0.45">
      <c r="A2072">
        <v>1202237</v>
      </c>
      <c r="B2072">
        <v>158926</v>
      </c>
      <c r="C2072">
        <v>10108642</v>
      </c>
      <c r="D2072" t="s">
        <v>3523</v>
      </c>
      <c r="F2072" t="s">
        <v>245</v>
      </c>
      <c r="G2072" t="s">
        <v>246</v>
      </c>
      <c r="N2072" t="s">
        <v>3808</v>
      </c>
      <c r="O2072" t="s">
        <v>1783</v>
      </c>
      <c r="P2072" t="s">
        <v>249</v>
      </c>
      <c r="Q2072" t="s">
        <v>250</v>
      </c>
      <c r="R2072" t="s">
        <v>251</v>
      </c>
      <c r="T2072" t="s">
        <v>252</v>
      </c>
      <c r="U2072" t="s">
        <v>253</v>
      </c>
      <c r="V2072" t="s">
        <v>1735</v>
      </c>
      <c r="W2072" t="s">
        <v>1784</v>
      </c>
      <c r="X2072" t="s">
        <v>502</v>
      </c>
      <c r="Z2072" t="s">
        <v>315</v>
      </c>
      <c r="AL2072" t="s">
        <v>3809</v>
      </c>
      <c r="AM2072" t="s">
        <v>258</v>
      </c>
      <c r="AN2072" t="s">
        <v>259</v>
      </c>
      <c r="AO2072" t="s">
        <v>260</v>
      </c>
      <c r="AQ2072" t="s">
        <v>261</v>
      </c>
      <c r="AS2072">
        <v>380</v>
      </c>
      <c r="AX2072" t="s">
        <v>710</v>
      </c>
      <c r="BO2072" t="s">
        <v>261</v>
      </c>
      <c r="BQ2072">
        <v>69.660079999999994</v>
      </c>
      <c r="BV2072" t="s">
        <v>263</v>
      </c>
      <c r="CM2072" t="s">
        <v>264</v>
      </c>
      <c r="CN2072" t="s">
        <v>264</v>
      </c>
      <c r="CP2072" t="s">
        <v>265</v>
      </c>
      <c r="CQ2072" t="s">
        <v>890</v>
      </c>
      <c r="DB2072">
        <v>4</v>
      </c>
      <c r="DG2072" t="s">
        <v>267</v>
      </c>
      <c r="DI2072">
        <v>96</v>
      </c>
      <c r="DN2072" t="s">
        <v>268</v>
      </c>
      <c r="DR2072">
        <v>1218286</v>
      </c>
      <c r="DS2072">
        <v>1627</v>
      </c>
      <c r="DT2072" t="s">
        <v>3810</v>
      </c>
      <c r="EW2072" t="s">
        <v>293</v>
      </c>
      <c r="FM2072">
        <v>23</v>
      </c>
      <c r="FR2072" t="s">
        <v>295</v>
      </c>
      <c r="GO2072">
        <v>8.0500000000000007</v>
      </c>
      <c r="GU2072">
        <v>75</v>
      </c>
      <c r="GZ2072" t="s">
        <v>900</v>
      </c>
      <c r="HH2072" t="s">
        <v>272</v>
      </c>
      <c r="IE2072" t="s">
        <v>3556</v>
      </c>
      <c r="IF2072">
        <v>18382</v>
      </c>
      <c r="IG2072" t="s">
        <v>3811</v>
      </c>
      <c r="IH2072" t="s">
        <v>3812</v>
      </c>
      <c r="II2072">
        <v>1996</v>
      </c>
      <c r="IJ2072" t="s">
        <v>3813</v>
      </c>
    </row>
    <row r="2073" spans="1:244" x14ac:dyDescent="0.45">
      <c r="A2073">
        <v>1269751</v>
      </c>
      <c r="B2073">
        <v>721049</v>
      </c>
      <c r="C2073">
        <v>10108642</v>
      </c>
      <c r="D2073" t="s">
        <v>3523</v>
      </c>
      <c r="F2073" t="s">
        <v>245</v>
      </c>
      <c r="G2073" t="s">
        <v>246</v>
      </c>
      <c r="N2073" t="s">
        <v>2157</v>
      </c>
      <c r="O2073" t="s">
        <v>578</v>
      </c>
      <c r="P2073" t="s">
        <v>249</v>
      </c>
      <c r="Q2073" t="s">
        <v>250</v>
      </c>
      <c r="R2073" t="s">
        <v>251</v>
      </c>
      <c r="T2073" t="s">
        <v>252</v>
      </c>
      <c r="U2073" t="s">
        <v>499</v>
      </c>
      <c r="V2073" t="s">
        <v>1217</v>
      </c>
      <c r="W2073" t="s">
        <v>1218</v>
      </c>
      <c r="X2073" t="s">
        <v>351</v>
      </c>
      <c r="Z2073" t="s">
        <v>315</v>
      </c>
      <c r="AD2073">
        <v>2</v>
      </c>
      <c r="AF2073">
        <v>3</v>
      </c>
      <c r="AG2073" t="s">
        <v>1271</v>
      </c>
      <c r="AL2073" t="s">
        <v>2158</v>
      </c>
      <c r="AM2073" t="s">
        <v>317</v>
      </c>
      <c r="AN2073" t="s">
        <v>259</v>
      </c>
      <c r="AO2073" t="s">
        <v>260</v>
      </c>
      <c r="AP2073">
        <v>5</v>
      </c>
      <c r="AQ2073" t="s">
        <v>504</v>
      </c>
      <c r="AS2073">
        <v>2280</v>
      </c>
      <c r="AU2073">
        <v>1750</v>
      </c>
      <c r="AW2073">
        <v>3710</v>
      </c>
      <c r="AX2073" t="s">
        <v>262</v>
      </c>
      <c r="BO2073" t="s">
        <v>504</v>
      </c>
      <c r="BQ2073">
        <v>2.2799999999999998</v>
      </c>
      <c r="BS2073">
        <v>1.75</v>
      </c>
      <c r="BU2073">
        <v>3.71</v>
      </c>
      <c r="BV2073" t="s">
        <v>263</v>
      </c>
      <c r="CM2073" t="s">
        <v>264</v>
      </c>
      <c r="CN2073" t="s">
        <v>264</v>
      </c>
      <c r="CP2073" t="s">
        <v>265</v>
      </c>
      <c r="CQ2073" t="s">
        <v>890</v>
      </c>
      <c r="DB2073">
        <v>4</v>
      </c>
      <c r="DG2073" t="s">
        <v>267</v>
      </c>
      <c r="DI2073">
        <v>96</v>
      </c>
      <c r="DN2073" t="s">
        <v>268</v>
      </c>
      <c r="DP2073" t="s">
        <v>3628</v>
      </c>
      <c r="DR2073">
        <v>315597</v>
      </c>
      <c r="DS2073">
        <v>18408</v>
      </c>
      <c r="DT2073" t="s">
        <v>2160</v>
      </c>
      <c r="EW2073" t="s">
        <v>293</v>
      </c>
      <c r="FA2073" t="s">
        <v>2161</v>
      </c>
      <c r="FK2073" t="s">
        <v>3814</v>
      </c>
      <c r="FO2073">
        <v>20.5</v>
      </c>
      <c r="FQ2073">
        <v>21.2</v>
      </c>
      <c r="FR2073" t="s">
        <v>295</v>
      </c>
      <c r="GG2073" t="s">
        <v>288</v>
      </c>
      <c r="GH2073">
        <v>95</v>
      </c>
      <c r="GM2073" t="s">
        <v>900</v>
      </c>
      <c r="GQ2073">
        <v>8</v>
      </c>
      <c r="GS2073">
        <v>8.1999999999999993</v>
      </c>
      <c r="GW2073">
        <v>30</v>
      </c>
      <c r="GY2073">
        <v>32</v>
      </c>
      <c r="GZ2073" t="s">
        <v>296</v>
      </c>
      <c r="HH2073" t="s">
        <v>272</v>
      </c>
      <c r="ID2073" t="s">
        <v>3815</v>
      </c>
      <c r="IE2073" t="s">
        <v>2164</v>
      </c>
      <c r="IF2073">
        <v>100591</v>
      </c>
      <c r="IG2073" t="s">
        <v>2165</v>
      </c>
      <c r="IH2073" t="s">
        <v>2166</v>
      </c>
      <c r="II2073">
        <v>2006</v>
      </c>
      <c r="IJ2073" t="s">
        <v>2167</v>
      </c>
    </row>
    <row r="2074" spans="1:244" x14ac:dyDescent="0.45">
      <c r="A2074">
        <v>1269761</v>
      </c>
      <c r="B2074">
        <v>721059</v>
      </c>
      <c r="C2074">
        <v>10108642</v>
      </c>
      <c r="D2074" t="s">
        <v>3523</v>
      </c>
      <c r="F2074" t="s">
        <v>245</v>
      </c>
      <c r="G2074" t="s">
        <v>246</v>
      </c>
      <c r="N2074" t="s">
        <v>2157</v>
      </c>
      <c r="O2074" t="s">
        <v>578</v>
      </c>
      <c r="P2074" t="s">
        <v>249</v>
      </c>
      <c r="Q2074" t="s">
        <v>250</v>
      </c>
      <c r="R2074" t="s">
        <v>251</v>
      </c>
      <c r="T2074" t="s">
        <v>252</v>
      </c>
      <c r="U2074" t="s">
        <v>499</v>
      </c>
      <c r="V2074" t="s">
        <v>1217</v>
      </c>
      <c r="W2074" t="s">
        <v>1218</v>
      </c>
      <c r="X2074" t="s">
        <v>351</v>
      </c>
      <c r="Z2074" t="s">
        <v>649</v>
      </c>
      <c r="AA2074" t="s">
        <v>289</v>
      </c>
      <c r="AB2074">
        <v>7</v>
      </c>
      <c r="AG2074" t="s">
        <v>267</v>
      </c>
      <c r="AL2074" t="s">
        <v>2178</v>
      </c>
      <c r="AM2074" t="s">
        <v>317</v>
      </c>
      <c r="AN2074" t="s">
        <v>259</v>
      </c>
      <c r="AO2074" t="s">
        <v>260</v>
      </c>
      <c r="AP2074">
        <v>5</v>
      </c>
      <c r="AQ2074" t="s">
        <v>504</v>
      </c>
      <c r="AS2074">
        <v>520</v>
      </c>
      <c r="AU2074">
        <v>330</v>
      </c>
      <c r="AW2074">
        <v>820</v>
      </c>
      <c r="AX2074" t="s">
        <v>262</v>
      </c>
      <c r="BO2074" t="s">
        <v>504</v>
      </c>
      <c r="BQ2074">
        <v>0.52</v>
      </c>
      <c r="BS2074">
        <v>0.33</v>
      </c>
      <c r="BU2074">
        <v>0.82</v>
      </c>
      <c r="BV2074" t="s">
        <v>263</v>
      </c>
      <c r="CM2074" t="s">
        <v>264</v>
      </c>
      <c r="CN2074" t="s">
        <v>264</v>
      </c>
      <c r="CP2074" t="s">
        <v>265</v>
      </c>
      <c r="CQ2074" t="s">
        <v>890</v>
      </c>
      <c r="DB2074">
        <v>4</v>
      </c>
      <c r="DG2074" t="s">
        <v>267</v>
      </c>
      <c r="DI2074">
        <v>96</v>
      </c>
      <c r="DN2074" t="s">
        <v>268</v>
      </c>
      <c r="DP2074" t="s">
        <v>3628</v>
      </c>
      <c r="DR2074">
        <v>315597</v>
      </c>
      <c r="DS2074">
        <v>18408</v>
      </c>
      <c r="DT2074" t="s">
        <v>2160</v>
      </c>
      <c r="EW2074" t="s">
        <v>293</v>
      </c>
      <c r="FA2074" t="s">
        <v>2161</v>
      </c>
      <c r="FK2074" t="s">
        <v>3816</v>
      </c>
      <c r="FO2074">
        <v>20.5</v>
      </c>
      <c r="FQ2074">
        <v>21.2</v>
      </c>
      <c r="FR2074" t="s">
        <v>295</v>
      </c>
      <c r="GG2074" t="s">
        <v>288</v>
      </c>
      <c r="GH2074">
        <v>95</v>
      </c>
      <c r="GM2074" t="s">
        <v>900</v>
      </c>
      <c r="GQ2074">
        <v>8</v>
      </c>
      <c r="GS2074">
        <v>8.1999999999999993</v>
      </c>
      <c r="GW2074">
        <v>30</v>
      </c>
      <c r="GY2074">
        <v>32</v>
      </c>
      <c r="GZ2074" t="s">
        <v>296</v>
      </c>
      <c r="HH2074" t="s">
        <v>272</v>
      </c>
      <c r="ID2074" t="s">
        <v>3817</v>
      </c>
      <c r="IE2074" t="s">
        <v>2164</v>
      </c>
      <c r="IF2074">
        <v>100591</v>
      </c>
      <c r="IG2074" t="s">
        <v>2165</v>
      </c>
      <c r="IH2074" t="s">
        <v>2166</v>
      </c>
      <c r="II2074">
        <v>2006</v>
      </c>
      <c r="IJ2074" t="s">
        <v>2167</v>
      </c>
    </row>
    <row r="2075" spans="1:244" x14ac:dyDescent="0.45">
      <c r="A2075">
        <v>2145813</v>
      </c>
      <c r="B2075">
        <v>2275520</v>
      </c>
      <c r="C2075">
        <v>10108642</v>
      </c>
      <c r="D2075" t="s">
        <v>3523</v>
      </c>
      <c r="F2075" t="s">
        <v>245</v>
      </c>
      <c r="G2075" t="s">
        <v>368</v>
      </c>
      <c r="N2075" t="s">
        <v>958</v>
      </c>
      <c r="O2075" t="s">
        <v>959</v>
      </c>
      <c r="P2075" t="s">
        <v>249</v>
      </c>
      <c r="Q2075" t="s">
        <v>250</v>
      </c>
      <c r="R2075" t="s">
        <v>251</v>
      </c>
      <c r="T2075" t="s">
        <v>252</v>
      </c>
      <c r="U2075" t="s">
        <v>253</v>
      </c>
      <c r="V2075" t="s">
        <v>418</v>
      </c>
      <c r="W2075" t="s">
        <v>419</v>
      </c>
      <c r="X2075" t="s">
        <v>960</v>
      </c>
      <c r="Z2075" t="s">
        <v>421</v>
      </c>
      <c r="AI2075">
        <v>2</v>
      </c>
      <c r="AJ2075" t="s">
        <v>285</v>
      </c>
      <c r="AL2075" t="s">
        <v>1380</v>
      </c>
      <c r="AM2075" t="s">
        <v>258</v>
      </c>
      <c r="AN2075" t="s">
        <v>259</v>
      </c>
      <c r="AO2075" t="s">
        <v>260</v>
      </c>
      <c r="AP2075">
        <v>6</v>
      </c>
      <c r="AQ2075" t="s">
        <v>261</v>
      </c>
      <c r="AS2075">
        <v>1.32</v>
      </c>
      <c r="AU2075">
        <v>0.73</v>
      </c>
      <c r="AW2075">
        <v>2.4</v>
      </c>
      <c r="AX2075" t="s">
        <v>356</v>
      </c>
      <c r="BO2075" t="s">
        <v>261</v>
      </c>
      <c r="BQ2075">
        <v>1.32</v>
      </c>
      <c r="BS2075">
        <v>0.73</v>
      </c>
      <c r="BU2075">
        <v>2.4</v>
      </c>
      <c r="BV2075" t="s">
        <v>263</v>
      </c>
      <c r="CM2075" t="s">
        <v>264</v>
      </c>
      <c r="CN2075" t="s">
        <v>264</v>
      </c>
      <c r="CP2075" t="s">
        <v>265</v>
      </c>
      <c r="CQ2075" t="s">
        <v>890</v>
      </c>
      <c r="DB2075">
        <v>4</v>
      </c>
      <c r="DG2075" t="s">
        <v>267</v>
      </c>
      <c r="DI2075">
        <v>96</v>
      </c>
      <c r="DN2075" t="s">
        <v>268</v>
      </c>
      <c r="DP2075" t="s">
        <v>3818</v>
      </c>
      <c r="DR2075">
        <v>6687</v>
      </c>
      <c r="DS2075">
        <v>252</v>
      </c>
      <c r="DV2075">
        <v>96</v>
      </c>
      <c r="EA2075" t="s">
        <v>268</v>
      </c>
      <c r="EC2075">
        <v>4</v>
      </c>
      <c r="EH2075" t="s">
        <v>267</v>
      </c>
      <c r="EJ2075">
        <v>96</v>
      </c>
      <c r="EO2075" t="s">
        <v>268</v>
      </c>
      <c r="EQ2075">
        <v>4</v>
      </c>
      <c r="EV2075" t="s">
        <v>267</v>
      </c>
      <c r="EW2075" t="s">
        <v>293</v>
      </c>
      <c r="EY2075" t="s">
        <v>377</v>
      </c>
      <c r="FA2075" t="s">
        <v>1381</v>
      </c>
      <c r="FM2075">
        <v>28</v>
      </c>
      <c r="FR2075" t="s">
        <v>295</v>
      </c>
      <c r="FV2075">
        <v>1550</v>
      </c>
      <c r="FX2075">
        <v>1786</v>
      </c>
      <c r="FY2075" t="s">
        <v>356</v>
      </c>
      <c r="GH2075">
        <v>4.9000000000000004</v>
      </c>
      <c r="GM2075" t="s">
        <v>356</v>
      </c>
      <c r="GO2075">
        <v>7.78</v>
      </c>
      <c r="GU2075">
        <v>28</v>
      </c>
      <c r="GZ2075" t="s">
        <v>362</v>
      </c>
      <c r="HH2075" t="s">
        <v>272</v>
      </c>
      <c r="IE2075" t="s">
        <v>1382</v>
      </c>
      <c r="IF2075">
        <v>169572</v>
      </c>
      <c r="IG2075" t="s">
        <v>1383</v>
      </c>
      <c r="IH2075" t="s">
        <v>1384</v>
      </c>
      <c r="II2075">
        <v>2012</v>
      </c>
      <c r="IJ2075" t="s">
        <v>1385</v>
      </c>
    </row>
    <row r="2076" spans="1:244" x14ac:dyDescent="0.45">
      <c r="A2076">
        <v>1176488</v>
      </c>
      <c r="B2076">
        <v>156506</v>
      </c>
      <c r="C2076">
        <v>10108642</v>
      </c>
      <c r="D2076" t="s">
        <v>3523</v>
      </c>
      <c r="F2076" t="s">
        <v>245</v>
      </c>
      <c r="G2076" t="s">
        <v>246</v>
      </c>
      <c r="N2076" t="s">
        <v>3550</v>
      </c>
      <c r="O2076" t="s">
        <v>578</v>
      </c>
      <c r="P2076" t="s">
        <v>249</v>
      </c>
      <c r="Q2076" t="s">
        <v>250</v>
      </c>
      <c r="R2076" t="s">
        <v>251</v>
      </c>
      <c r="T2076" t="s">
        <v>252</v>
      </c>
      <c r="U2076" t="s">
        <v>499</v>
      </c>
      <c r="V2076" t="s">
        <v>3551</v>
      </c>
      <c r="W2076" t="s">
        <v>3552</v>
      </c>
      <c r="X2076" t="s">
        <v>3553</v>
      </c>
      <c r="AM2076" t="s">
        <v>317</v>
      </c>
      <c r="AN2076" t="s">
        <v>259</v>
      </c>
      <c r="AO2076" t="s">
        <v>260</v>
      </c>
      <c r="AQ2076" t="s">
        <v>261</v>
      </c>
      <c r="AS2076">
        <v>1700</v>
      </c>
      <c r="AX2076" t="s">
        <v>262</v>
      </c>
      <c r="BO2076" t="s">
        <v>261</v>
      </c>
      <c r="BQ2076">
        <v>1.7</v>
      </c>
      <c r="BV2076" t="s">
        <v>263</v>
      </c>
      <c r="CM2076" t="s">
        <v>264</v>
      </c>
      <c r="CN2076" t="s">
        <v>264</v>
      </c>
      <c r="CP2076" t="s">
        <v>265</v>
      </c>
      <c r="CQ2076" t="s">
        <v>890</v>
      </c>
      <c r="DB2076">
        <v>2</v>
      </c>
      <c r="DG2076" t="s">
        <v>267</v>
      </c>
      <c r="DI2076">
        <v>48</v>
      </c>
      <c r="DN2076" t="s">
        <v>268</v>
      </c>
      <c r="DS2076">
        <v>4655</v>
      </c>
      <c r="EW2076" t="s">
        <v>271</v>
      </c>
      <c r="HH2076" t="s">
        <v>272</v>
      </c>
      <c r="IE2076" t="s">
        <v>3527</v>
      </c>
      <c r="IF2076">
        <v>15300</v>
      </c>
      <c r="IG2076" t="s">
        <v>3528</v>
      </c>
      <c r="IH2076" t="s">
        <v>3529</v>
      </c>
      <c r="II2076">
        <v>1979</v>
      </c>
      <c r="IJ2076" t="s">
        <v>3530</v>
      </c>
    </row>
    <row r="2077" spans="1:244" x14ac:dyDescent="0.45">
      <c r="A2077">
        <v>1176461</v>
      </c>
      <c r="B2077">
        <v>131562</v>
      </c>
      <c r="C2077">
        <v>10108642</v>
      </c>
      <c r="D2077" t="s">
        <v>3523</v>
      </c>
      <c r="F2077" t="s">
        <v>245</v>
      </c>
      <c r="G2077" t="s">
        <v>246</v>
      </c>
      <c r="N2077" t="s">
        <v>3524</v>
      </c>
      <c r="O2077" t="s">
        <v>498</v>
      </c>
      <c r="P2077" t="s">
        <v>249</v>
      </c>
      <c r="Q2077" t="s">
        <v>250</v>
      </c>
      <c r="R2077" t="s">
        <v>251</v>
      </c>
      <c r="T2077" t="s">
        <v>252</v>
      </c>
      <c r="U2077" t="s">
        <v>1244</v>
      </c>
      <c r="V2077" t="s">
        <v>1314</v>
      </c>
      <c r="W2077" t="s">
        <v>3525</v>
      </c>
      <c r="X2077" t="s">
        <v>3526</v>
      </c>
      <c r="AL2077" t="s">
        <v>2223</v>
      </c>
      <c r="AM2077" t="s">
        <v>317</v>
      </c>
      <c r="AN2077" t="s">
        <v>259</v>
      </c>
      <c r="AO2077" t="s">
        <v>260</v>
      </c>
      <c r="AQ2077" t="s">
        <v>261</v>
      </c>
      <c r="AS2077">
        <v>3750</v>
      </c>
      <c r="AX2077" t="s">
        <v>262</v>
      </c>
      <c r="BO2077" t="s">
        <v>261</v>
      </c>
      <c r="BQ2077">
        <v>3.75</v>
      </c>
      <c r="BV2077" t="s">
        <v>263</v>
      </c>
      <c r="CM2077" t="s">
        <v>264</v>
      </c>
      <c r="CN2077" t="s">
        <v>264</v>
      </c>
      <c r="CP2077" t="s">
        <v>265</v>
      </c>
      <c r="CQ2077" t="s">
        <v>890</v>
      </c>
      <c r="DB2077">
        <v>4</v>
      </c>
      <c r="DG2077" t="s">
        <v>267</v>
      </c>
      <c r="DI2077">
        <v>96</v>
      </c>
      <c r="DN2077" t="s">
        <v>268</v>
      </c>
      <c r="DR2077">
        <v>1131516</v>
      </c>
      <c r="DS2077">
        <v>4704</v>
      </c>
      <c r="EW2077" t="s">
        <v>271</v>
      </c>
      <c r="HH2077" t="s">
        <v>272</v>
      </c>
      <c r="IE2077" t="s">
        <v>3527</v>
      </c>
      <c r="IF2077">
        <v>15300</v>
      </c>
      <c r="IG2077" t="s">
        <v>3528</v>
      </c>
      <c r="IH2077" t="s">
        <v>3529</v>
      </c>
      <c r="II2077">
        <v>1979</v>
      </c>
      <c r="IJ2077" t="s">
        <v>3530</v>
      </c>
    </row>
    <row r="2078" spans="1:244" x14ac:dyDescent="0.45">
      <c r="A2078">
        <v>1119854</v>
      </c>
      <c r="B2078">
        <v>70064</v>
      </c>
      <c r="C2078">
        <v>10108642</v>
      </c>
      <c r="D2078" t="s">
        <v>3523</v>
      </c>
      <c r="F2078" t="s">
        <v>327</v>
      </c>
      <c r="G2078" t="s">
        <v>246</v>
      </c>
      <c r="N2078" t="s">
        <v>1724</v>
      </c>
      <c r="O2078" t="s">
        <v>1725</v>
      </c>
      <c r="P2078" t="s">
        <v>249</v>
      </c>
      <c r="Q2078" t="s">
        <v>250</v>
      </c>
      <c r="R2078" t="s">
        <v>251</v>
      </c>
      <c r="T2078" t="s">
        <v>252</v>
      </c>
      <c r="U2078" t="s">
        <v>253</v>
      </c>
      <c r="V2078" t="s">
        <v>1726</v>
      </c>
      <c r="W2078" t="s">
        <v>1727</v>
      </c>
      <c r="X2078" t="s">
        <v>1728</v>
      </c>
      <c r="AL2078" t="s">
        <v>3531</v>
      </c>
      <c r="AM2078" t="s">
        <v>317</v>
      </c>
      <c r="AN2078" t="s">
        <v>259</v>
      </c>
      <c r="AO2078" t="s">
        <v>260</v>
      </c>
      <c r="AQ2078" t="s">
        <v>261</v>
      </c>
      <c r="AR2078" t="s">
        <v>288</v>
      </c>
      <c r="AS2078">
        <v>200000</v>
      </c>
      <c r="AX2078" t="s">
        <v>262</v>
      </c>
      <c r="BO2078" t="s">
        <v>261</v>
      </c>
      <c r="BP2078" t="s">
        <v>288</v>
      </c>
      <c r="BQ2078">
        <v>200</v>
      </c>
      <c r="BV2078" t="s">
        <v>263</v>
      </c>
      <c r="CM2078" t="s">
        <v>264</v>
      </c>
      <c r="CN2078" t="s">
        <v>264</v>
      </c>
      <c r="CP2078" t="s">
        <v>265</v>
      </c>
      <c r="CQ2078" t="s">
        <v>890</v>
      </c>
      <c r="DB2078">
        <v>2</v>
      </c>
      <c r="DG2078" t="s">
        <v>267</v>
      </c>
      <c r="DI2078">
        <v>48</v>
      </c>
      <c r="DN2078" t="s">
        <v>268</v>
      </c>
      <c r="DP2078" t="s">
        <v>570</v>
      </c>
      <c r="DR2078">
        <v>111067</v>
      </c>
      <c r="DS2078">
        <v>490</v>
      </c>
      <c r="DT2078" t="s">
        <v>3532</v>
      </c>
      <c r="EW2078" t="s">
        <v>333</v>
      </c>
      <c r="FK2078" t="s">
        <v>3533</v>
      </c>
      <c r="FM2078">
        <v>20</v>
      </c>
      <c r="FR2078" t="s">
        <v>295</v>
      </c>
      <c r="GJ2078">
        <v>4</v>
      </c>
      <c r="GL2078">
        <v>6</v>
      </c>
      <c r="GM2078" t="s">
        <v>356</v>
      </c>
      <c r="GO2078">
        <v>8</v>
      </c>
      <c r="GU2078">
        <v>20</v>
      </c>
      <c r="GZ2078" t="s">
        <v>296</v>
      </c>
      <c r="HH2078" t="s">
        <v>272</v>
      </c>
      <c r="ID2078" t="s">
        <v>3534</v>
      </c>
      <c r="IE2078" t="s">
        <v>3535</v>
      </c>
      <c r="IF2078">
        <v>9316</v>
      </c>
      <c r="IG2078" t="s">
        <v>3536</v>
      </c>
      <c r="IH2078" t="s">
        <v>3537</v>
      </c>
      <c r="II2078">
        <v>1971</v>
      </c>
      <c r="IJ2078" t="s">
        <v>3538</v>
      </c>
    </row>
    <row r="2079" spans="1:244" x14ac:dyDescent="0.45">
      <c r="A2079">
        <v>1226438</v>
      </c>
      <c r="B2079">
        <v>219614</v>
      </c>
      <c r="C2079">
        <v>10108642</v>
      </c>
      <c r="D2079" t="s">
        <v>3523</v>
      </c>
      <c r="E2079" t="s">
        <v>386</v>
      </c>
      <c r="F2079" t="s">
        <v>245</v>
      </c>
      <c r="G2079" t="s">
        <v>246</v>
      </c>
      <c r="N2079" t="s">
        <v>302</v>
      </c>
      <c r="O2079" t="s">
        <v>303</v>
      </c>
      <c r="P2079" t="s">
        <v>249</v>
      </c>
      <c r="Q2079" t="s">
        <v>250</v>
      </c>
      <c r="R2079" t="s">
        <v>251</v>
      </c>
      <c r="T2079" t="s">
        <v>252</v>
      </c>
      <c r="U2079" t="s">
        <v>253</v>
      </c>
      <c r="V2079" t="s">
        <v>304</v>
      </c>
      <c r="W2079" t="s">
        <v>305</v>
      </c>
      <c r="X2079" t="s">
        <v>306</v>
      </c>
      <c r="Z2079" t="s">
        <v>1057</v>
      </c>
      <c r="AL2079" t="s">
        <v>1324</v>
      </c>
      <c r="AM2079" t="s">
        <v>317</v>
      </c>
      <c r="AN2079" t="s">
        <v>259</v>
      </c>
      <c r="AO2079" t="s">
        <v>260</v>
      </c>
      <c r="AQ2079" t="s">
        <v>261</v>
      </c>
      <c r="AS2079">
        <v>49.77</v>
      </c>
      <c r="AX2079" t="s">
        <v>356</v>
      </c>
      <c r="BO2079" t="s">
        <v>261</v>
      </c>
      <c r="BQ2079">
        <v>49.77</v>
      </c>
      <c r="BV2079" t="s">
        <v>263</v>
      </c>
      <c r="CM2079" t="s">
        <v>264</v>
      </c>
      <c r="CN2079" t="s">
        <v>264</v>
      </c>
      <c r="CP2079" t="s">
        <v>265</v>
      </c>
      <c r="CQ2079" t="s">
        <v>890</v>
      </c>
      <c r="DB2079">
        <v>1</v>
      </c>
      <c r="DG2079" t="s">
        <v>267</v>
      </c>
      <c r="DI2079">
        <v>24</v>
      </c>
      <c r="DN2079" t="s">
        <v>268</v>
      </c>
      <c r="DR2079">
        <v>338212</v>
      </c>
      <c r="DS2079">
        <v>732</v>
      </c>
      <c r="DT2079" t="s">
        <v>1211</v>
      </c>
      <c r="EW2079" t="s">
        <v>293</v>
      </c>
      <c r="GU2079">
        <v>36</v>
      </c>
      <c r="GZ2079" t="s">
        <v>900</v>
      </c>
      <c r="HH2079" t="s">
        <v>272</v>
      </c>
      <c r="IE2079" t="s">
        <v>1212</v>
      </c>
      <c r="IF2079">
        <v>51641</v>
      </c>
      <c r="IG2079" t="s">
        <v>1213</v>
      </c>
      <c r="IH2079" t="s">
        <v>1214</v>
      </c>
      <c r="II2079">
        <v>2000</v>
      </c>
      <c r="IJ2079" t="s">
        <v>1215</v>
      </c>
    </row>
    <row r="2080" spans="1:244" x14ac:dyDescent="0.45">
      <c r="A2080">
        <v>1041011</v>
      </c>
      <c r="B2080">
        <v>25223</v>
      </c>
      <c r="C2080">
        <v>10108642</v>
      </c>
      <c r="D2080" t="s">
        <v>3523</v>
      </c>
      <c r="F2080" t="s">
        <v>245</v>
      </c>
      <c r="G2080" t="s">
        <v>246</v>
      </c>
      <c r="N2080" t="s">
        <v>1837</v>
      </c>
      <c r="O2080" t="s">
        <v>1783</v>
      </c>
      <c r="P2080" t="s">
        <v>249</v>
      </c>
      <c r="Q2080" t="s">
        <v>250</v>
      </c>
      <c r="R2080" t="s">
        <v>251</v>
      </c>
      <c r="T2080" t="s">
        <v>252</v>
      </c>
      <c r="U2080" t="s">
        <v>253</v>
      </c>
      <c r="V2080" t="s">
        <v>1735</v>
      </c>
      <c r="W2080" t="s">
        <v>1784</v>
      </c>
      <c r="X2080" t="s">
        <v>1838</v>
      </c>
      <c r="Z2080" t="s">
        <v>1677</v>
      </c>
      <c r="AL2080" t="s">
        <v>1786</v>
      </c>
      <c r="AM2080" t="s">
        <v>258</v>
      </c>
      <c r="AN2080" t="s">
        <v>259</v>
      </c>
      <c r="AO2080" t="s">
        <v>260</v>
      </c>
      <c r="AQ2080" t="s">
        <v>261</v>
      </c>
      <c r="AS2080">
        <v>7660</v>
      </c>
      <c r="AU2080">
        <v>3350</v>
      </c>
      <c r="AW2080">
        <v>11970</v>
      </c>
      <c r="AX2080" t="s">
        <v>262</v>
      </c>
      <c r="BO2080" t="s">
        <v>261</v>
      </c>
      <c r="BQ2080">
        <v>7.66</v>
      </c>
      <c r="BS2080">
        <v>3.35</v>
      </c>
      <c r="BU2080">
        <v>11.97</v>
      </c>
      <c r="BV2080" t="s">
        <v>263</v>
      </c>
      <c r="CM2080" t="s">
        <v>264</v>
      </c>
      <c r="CN2080" t="s">
        <v>264</v>
      </c>
      <c r="CP2080" t="s">
        <v>265</v>
      </c>
      <c r="CQ2080" t="s">
        <v>890</v>
      </c>
      <c r="DB2080">
        <v>4</v>
      </c>
      <c r="DG2080" t="s">
        <v>267</v>
      </c>
      <c r="DI2080">
        <v>96</v>
      </c>
      <c r="DN2080" t="s">
        <v>268</v>
      </c>
      <c r="DP2080" t="s">
        <v>977</v>
      </c>
      <c r="DS2080">
        <v>2899</v>
      </c>
      <c r="DT2080" t="s">
        <v>1787</v>
      </c>
      <c r="EW2080" t="s">
        <v>333</v>
      </c>
      <c r="FM2080">
        <v>29</v>
      </c>
      <c r="FR2080" t="s">
        <v>295</v>
      </c>
      <c r="GU2080">
        <v>25</v>
      </c>
      <c r="GZ2080" t="s">
        <v>296</v>
      </c>
      <c r="HH2080" t="s">
        <v>272</v>
      </c>
      <c r="IE2080" t="s">
        <v>1788</v>
      </c>
      <c r="IF2080">
        <v>2602</v>
      </c>
      <c r="IG2080" t="s">
        <v>1789</v>
      </c>
      <c r="IH2080" t="s">
        <v>1790</v>
      </c>
      <c r="II2080">
        <v>1987</v>
      </c>
      <c r="IJ2080" t="s">
        <v>1791</v>
      </c>
    </row>
    <row r="2081" spans="1:244" x14ac:dyDescent="0.45">
      <c r="A2081">
        <v>1182126</v>
      </c>
      <c r="B2081">
        <v>160029</v>
      </c>
      <c r="C2081">
        <v>10108642</v>
      </c>
      <c r="D2081" t="s">
        <v>3523</v>
      </c>
      <c r="E2081" t="s">
        <v>439</v>
      </c>
      <c r="F2081" t="s">
        <v>245</v>
      </c>
      <c r="G2081" t="s">
        <v>246</v>
      </c>
      <c r="N2081" t="s">
        <v>345</v>
      </c>
      <c r="O2081" t="s">
        <v>346</v>
      </c>
      <c r="P2081" t="s">
        <v>249</v>
      </c>
      <c r="Q2081" t="s">
        <v>250</v>
      </c>
      <c r="R2081" t="s">
        <v>251</v>
      </c>
      <c r="T2081" t="s">
        <v>347</v>
      </c>
      <c r="U2081" t="s">
        <v>348</v>
      </c>
      <c r="V2081" t="s">
        <v>349</v>
      </c>
      <c r="W2081" t="s">
        <v>350</v>
      </c>
      <c r="X2081" t="s">
        <v>351</v>
      </c>
      <c r="Z2081" t="s">
        <v>1034</v>
      </c>
      <c r="AL2081" t="s">
        <v>2663</v>
      </c>
      <c r="AM2081" t="s">
        <v>317</v>
      </c>
      <c r="AN2081" t="s">
        <v>259</v>
      </c>
      <c r="AO2081" t="s">
        <v>260</v>
      </c>
      <c r="AQ2081" t="s">
        <v>261</v>
      </c>
      <c r="AS2081">
        <v>439000</v>
      </c>
      <c r="AX2081" t="s">
        <v>262</v>
      </c>
      <c r="BO2081" t="s">
        <v>261</v>
      </c>
      <c r="BQ2081">
        <v>439</v>
      </c>
      <c r="BV2081" t="s">
        <v>263</v>
      </c>
      <c r="CM2081" t="s">
        <v>264</v>
      </c>
      <c r="CN2081" t="s">
        <v>264</v>
      </c>
      <c r="CP2081" t="s">
        <v>265</v>
      </c>
      <c r="DB2081">
        <v>1</v>
      </c>
      <c r="DG2081" t="s">
        <v>267</v>
      </c>
      <c r="DI2081">
        <v>24</v>
      </c>
      <c r="DN2081" t="s">
        <v>268</v>
      </c>
      <c r="DR2081">
        <v>6660</v>
      </c>
      <c r="DS2081">
        <v>421</v>
      </c>
      <c r="DT2081" t="s">
        <v>2665</v>
      </c>
      <c r="EW2081" t="s">
        <v>293</v>
      </c>
      <c r="FA2081" t="s">
        <v>2789</v>
      </c>
      <c r="FM2081">
        <v>25</v>
      </c>
      <c r="FR2081" t="s">
        <v>295</v>
      </c>
      <c r="GU2081">
        <v>25</v>
      </c>
      <c r="GZ2081" t="s">
        <v>296</v>
      </c>
      <c r="HH2081" t="s">
        <v>272</v>
      </c>
      <c r="IE2081" t="s">
        <v>2667</v>
      </c>
      <c r="IF2081">
        <v>16031</v>
      </c>
      <c r="IG2081" t="s">
        <v>2668</v>
      </c>
      <c r="IH2081" t="s">
        <v>2669</v>
      </c>
      <c r="II2081">
        <v>1995</v>
      </c>
      <c r="IJ2081" t="s">
        <v>2670</v>
      </c>
    </row>
    <row r="2082" spans="1:244" x14ac:dyDescent="0.45">
      <c r="A2082">
        <v>1271702</v>
      </c>
      <c r="B2082">
        <v>723000</v>
      </c>
      <c r="C2082">
        <v>10108642</v>
      </c>
      <c r="D2082" t="s">
        <v>3523</v>
      </c>
      <c r="F2082" t="s">
        <v>245</v>
      </c>
      <c r="G2082" t="s">
        <v>246</v>
      </c>
      <c r="N2082" t="s">
        <v>2315</v>
      </c>
      <c r="O2082" t="s">
        <v>2316</v>
      </c>
      <c r="P2082" t="s">
        <v>249</v>
      </c>
      <c r="Q2082" t="s">
        <v>250</v>
      </c>
      <c r="R2082" t="s">
        <v>251</v>
      </c>
      <c r="T2082" t="s">
        <v>252</v>
      </c>
      <c r="U2082" t="s">
        <v>253</v>
      </c>
      <c r="V2082" t="s">
        <v>418</v>
      </c>
      <c r="W2082" t="s">
        <v>946</v>
      </c>
      <c r="X2082" t="s">
        <v>2317</v>
      </c>
      <c r="Z2082" t="s">
        <v>284</v>
      </c>
      <c r="AL2082" t="s">
        <v>2318</v>
      </c>
      <c r="AM2082" t="s">
        <v>317</v>
      </c>
      <c r="AN2082" t="s">
        <v>259</v>
      </c>
      <c r="AO2082" t="s">
        <v>260</v>
      </c>
      <c r="AP2082">
        <v>8</v>
      </c>
      <c r="AQ2082" t="s">
        <v>261</v>
      </c>
      <c r="AS2082">
        <v>0.98</v>
      </c>
      <c r="AU2082">
        <v>0.66</v>
      </c>
      <c r="AW2082">
        <v>1.47</v>
      </c>
      <c r="AX2082" t="s">
        <v>356</v>
      </c>
      <c r="BO2082" t="s">
        <v>261</v>
      </c>
      <c r="BQ2082">
        <v>0.98</v>
      </c>
      <c r="BS2082">
        <v>0.66</v>
      </c>
      <c r="BU2082">
        <v>1.47</v>
      </c>
      <c r="BV2082" t="s">
        <v>263</v>
      </c>
      <c r="CM2082" t="s">
        <v>264</v>
      </c>
      <c r="CN2082" t="s">
        <v>264</v>
      </c>
      <c r="CP2082" t="s">
        <v>265</v>
      </c>
      <c r="CQ2082" t="s">
        <v>890</v>
      </c>
      <c r="DB2082">
        <v>1</v>
      </c>
      <c r="DG2082" t="s">
        <v>267</v>
      </c>
      <c r="DI2082">
        <v>24</v>
      </c>
      <c r="DN2082" t="s">
        <v>268</v>
      </c>
      <c r="DP2082" t="s">
        <v>3628</v>
      </c>
      <c r="DR2082">
        <v>122378</v>
      </c>
      <c r="DS2082">
        <v>18497</v>
      </c>
      <c r="DT2082" t="s">
        <v>2319</v>
      </c>
      <c r="EW2082" t="s">
        <v>293</v>
      </c>
      <c r="FK2082" t="s">
        <v>3629</v>
      </c>
      <c r="FM2082">
        <v>25</v>
      </c>
      <c r="FR2082" t="s">
        <v>295</v>
      </c>
      <c r="GJ2082">
        <v>6.2</v>
      </c>
      <c r="GL2082">
        <v>6.33</v>
      </c>
      <c r="GM2082" t="s">
        <v>356</v>
      </c>
      <c r="GQ2082">
        <v>8.1999999999999993</v>
      </c>
      <c r="GS2082">
        <v>8.2200000000000006</v>
      </c>
      <c r="GU2082">
        <v>36</v>
      </c>
      <c r="GZ2082" t="s">
        <v>296</v>
      </c>
      <c r="HH2082" t="s">
        <v>272</v>
      </c>
      <c r="ID2082" t="s">
        <v>3630</v>
      </c>
      <c r="IE2082" t="s">
        <v>2322</v>
      </c>
      <c r="IF2082">
        <v>101373</v>
      </c>
      <c r="IG2082" t="s">
        <v>2323</v>
      </c>
      <c r="IH2082" t="s">
        <v>2324</v>
      </c>
      <c r="II2082">
        <v>2007</v>
      </c>
      <c r="IJ2082" t="s">
        <v>2325</v>
      </c>
    </row>
    <row r="2083" spans="1:244" x14ac:dyDescent="0.45">
      <c r="A2083">
        <v>1139087</v>
      </c>
      <c r="B2083">
        <v>232046</v>
      </c>
      <c r="C2083">
        <v>10108642</v>
      </c>
      <c r="D2083" t="s">
        <v>3523</v>
      </c>
      <c r="E2083" t="s">
        <v>3539</v>
      </c>
      <c r="F2083" t="s">
        <v>327</v>
      </c>
      <c r="G2083" t="s">
        <v>246</v>
      </c>
      <c r="N2083" t="s">
        <v>3540</v>
      </c>
      <c r="O2083" t="s">
        <v>248</v>
      </c>
      <c r="P2083" t="s">
        <v>249</v>
      </c>
      <c r="Q2083" t="s">
        <v>250</v>
      </c>
      <c r="R2083" t="s">
        <v>251</v>
      </c>
      <c r="T2083" t="s">
        <v>252</v>
      </c>
      <c r="U2083" t="s">
        <v>253</v>
      </c>
      <c r="V2083" t="s">
        <v>1231</v>
      </c>
      <c r="W2083" t="s">
        <v>3541</v>
      </c>
      <c r="X2083" t="s">
        <v>3542</v>
      </c>
      <c r="AJ2083" t="s">
        <v>285</v>
      </c>
      <c r="AL2083" t="s">
        <v>3543</v>
      </c>
      <c r="AM2083" t="s">
        <v>317</v>
      </c>
      <c r="AN2083" t="s">
        <v>259</v>
      </c>
      <c r="AO2083" t="s">
        <v>260</v>
      </c>
      <c r="AQ2083" t="s">
        <v>261</v>
      </c>
      <c r="AS2083">
        <v>42.4</v>
      </c>
      <c r="AX2083" t="s">
        <v>356</v>
      </c>
      <c r="BO2083" t="s">
        <v>261</v>
      </c>
      <c r="BQ2083">
        <v>42.4</v>
      </c>
      <c r="BV2083" t="s">
        <v>263</v>
      </c>
      <c r="CM2083" t="s">
        <v>264</v>
      </c>
      <c r="CN2083" t="s">
        <v>264</v>
      </c>
      <c r="CO2083" t="s">
        <v>3819</v>
      </c>
      <c r="CP2083" t="s">
        <v>265</v>
      </c>
      <c r="CQ2083" t="s">
        <v>890</v>
      </c>
      <c r="DB2083">
        <v>1</v>
      </c>
      <c r="DG2083" t="s">
        <v>267</v>
      </c>
      <c r="DI2083">
        <v>24</v>
      </c>
      <c r="DN2083" t="s">
        <v>268</v>
      </c>
      <c r="DR2083">
        <v>151182</v>
      </c>
      <c r="DS2083">
        <v>11260</v>
      </c>
      <c r="EW2083" t="s">
        <v>272</v>
      </c>
      <c r="FK2083" t="s">
        <v>3820</v>
      </c>
      <c r="FM2083">
        <v>32</v>
      </c>
      <c r="FR2083" t="s">
        <v>295</v>
      </c>
      <c r="GU2083">
        <v>10</v>
      </c>
      <c r="GZ2083" t="s">
        <v>900</v>
      </c>
      <c r="HH2083" t="s">
        <v>272</v>
      </c>
      <c r="ID2083" t="s">
        <v>3821</v>
      </c>
      <c r="IE2083" t="s">
        <v>3546</v>
      </c>
      <c r="IF2083">
        <v>11524</v>
      </c>
      <c r="IG2083" t="s">
        <v>3547</v>
      </c>
      <c r="IH2083" t="s">
        <v>3548</v>
      </c>
      <c r="II2083">
        <v>1983</v>
      </c>
      <c r="IJ2083" t="s">
        <v>3549</v>
      </c>
    </row>
    <row r="2084" spans="1:244" x14ac:dyDescent="0.45">
      <c r="A2084">
        <v>1111551</v>
      </c>
      <c r="B2084">
        <v>73208</v>
      </c>
      <c r="C2084">
        <v>10108642</v>
      </c>
      <c r="D2084" t="s">
        <v>3523</v>
      </c>
      <c r="F2084" t="s">
        <v>245</v>
      </c>
      <c r="G2084" t="s">
        <v>246</v>
      </c>
      <c r="N2084" t="s">
        <v>3565</v>
      </c>
      <c r="O2084" t="s">
        <v>1783</v>
      </c>
      <c r="P2084" t="s">
        <v>249</v>
      </c>
      <c r="Q2084" t="s">
        <v>250</v>
      </c>
      <c r="R2084" t="s">
        <v>251</v>
      </c>
      <c r="T2084" t="s">
        <v>252</v>
      </c>
      <c r="U2084" t="s">
        <v>253</v>
      </c>
      <c r="V2084" t="s">
        <v>1735</v>
      </c>
      <c r="W2084" t="s">
        <v>1784</v>
      </c>
      <c r="X2084" t="s">
        <v>1984</v>
      </c>
      <c r="Z2084" t="s">
        <v>315</v>
      </c>
      <c r="AL2084" t="s">
        <v>3566</v>
      </c>
      <c r="AM2084" t="s">
        <v>258</v>
      </c>
      <c r="AN2084" t="s">
        <v>259</v>
      </c>
      <c r="AO2084" t="s">
        <v>260</v>
      </c>
      <c r="AQ2084" t="s">
        <v>261</v>
      </c>
      <c r="AS2084">
        <v>23300</v>
      </c>
      <c r="AX2084" t="s">
        <v>262</v>
      </c>
      <c r="BO2084" t="s">
        <v>261</v>
      </c>
      <c r="BQ2084">
        <v>23.3</v>
      </c>
      <c r="BV2084" t="s">
        <v>263</v>
      </c>
      <c r="CM2084" t="s">
        <v>264</v>
      </c>
      <c r="CN2084" t="s">
        <v>264</v>
      </c>
      <c r="CP2084" t="s">
        <v>265</v>
      </c>
      <c r="CQ2084" t="s">
        <v>890</v>
      </c>
      <c r="DB2084">
        <v>4</v>
      </c>
      <c r="DG2084" t="s">
        <v>267</v>
      </c>
      <c r="DI2084">
        <v>96</v>
      </c>
      <c r="DN2084" t="s">
        <v>268</v>
      </c>
      <c r="DP2084" t="s">
        <v>570</v>
      </c>
      <c r="DR2084">
        <v>6772</v>
      </c>
      <c r="DS2084">
        <v>745</v>
      </c>
      <c r="EW2084" t="s">
        <v>271</v>
      </c>
      <c r="FM2084">
        <v>30</v>
      </c>
      <c r="FR2084" t="s">
        <v>295</v>
      </c>
      <c r="GU2084">
        <v>30</v>
      </c>
      <c r="GZ2084" t="s">
        <v>296</v>
      </c>
      <c r="HH2084" t="s">
        <v>272</v>
      </c>
      <c r="IE2084" t="s">
        <v>3567</v>
      </c>
      <c r="IF2084">
        <v>8412</v>
      </c>
      <c r="IG2084" t="s">
        <v>3568</v>
      </c>
      <c r="IH2084" t="s">
        <v>3569</v>
      </c>
      <c r="II2084">
        <v>1973</v>
      </c>
      <c r="IJ2084" t="s">
        <v>3570</v>
      </c>
    </row>
    <row r="2085" spans="1:244" x14ac:dyDescent="0.45">
      <c r="A2085">
        <v>1304339</v>
      </c>
      <c r="B2085">
        <v>760910</v>
      </c>
      <c r="C2085">
        <v>10108642</v>
      </c>
      <c r="D2085" t="s">
        <v>3523</v>
      </c>
      <c r="F2085" t="s">
        <v>245</v>
      </c>
      <c r="G2085" t="s">
        <v>246</v>
      </c>
      <c r="N2085" t="s">
        <v>2444</v>
      </c>
      <c r="O2085" t="s">
        <v>2445</v>
      </c>
      <c r="P2085" t="s">
        <v>249</v>
      </c>
      <c r="Q2085" t="s">
        <v>250</v>
      </c>
      <c r="R2085" t="s">
        <v>251</v>
      </c>
      <c r="T2085" t="s">
        <v>252</v>
      </c>
      <c r="U2085" t="s">
        <v>253</v>
      </c>
      <c r="V2085" t="s">
        <v>418</v>
      </c>
      <c r="W2085" t="s">
        <v>847</v>
      </c>
      <c r="X2085" t="s">
        <v>351</v>
      </c>
      <c r="AL2085" t="s">
        <v>2749</v>
      </c>
      <c r="AM2085" t="s">
        <v>258</v>
      </c>
      <c r="AN2085" t="s">
        <v>259</v>
      </c>
      <c r="AO2085" t="s">
        <v>260</v>
      </c>
      <c r="AP2085" t="s">
        <v>2368</v>
      </c>
      <c r="AQ2085" t="s">
        <v>261</v>
      </c>
      <c r="AS2085">
        <v>1.31</v>
      </c>
      <c r="AX2085" t="s">
        <v>356</v>
      </c>
      <c r="BO2085" t="s">
        <v>261</v>
      </c>
      <c r="BQ2085">
        <v>1.31</v>
      </c>
      <c r="BV2085" t="s">
        <v>263</v>
      </c>
      <c r="CM2085" t="s">
        <v>264</v>
      </c>
      <c r="CN2085" t="s">
        <v>264</v>
      </c>
      <c r="CP2085" t="s">
        <v>265</v>
      </c>
      <c r="CQ2085" t="s">
        <v>890</v>
      </c>
      <c r="DB2085">
        <v>4</v>
      </c>
      <c r="DG2085" t="s">
        <v>267</v>
      </c>
      <c r="DI2085">
        <v>96</v>
      </c>
      <c r="DN2085" t="s">
        <v>268</v>
      </c>
      <c r="DP2085" t="s">
        <v>3608</v>
      </c>
      <c r="DR2085">
        <v>32277</v>
      </c>
      <c r="DS2085">
        <v>18738</v>
      </c>
      <c r="EW2085" t="s">
        <v>293</v>
      </c>
      <c r="FK2085" t="s">
        <v>3657</v>
      </c>
      <c r="FM2085">
        <v>27</v>
      </c>
      <c r="FR2085" t="s">
        <v>295</v>
      </c>
      <c r="GO2085">
        <v>8.1</v>
      </c>
      <c r="GU2085">
        <v>34.85</v>
      </c>
      <c r="GZ2085" t="s">
        <v>296</v>
      </c>
      <c r="HH2085" t="s">
        <v>272</v>
      </c>
      <c r="ID2085" t="s">
        <v>3658</v>
      </c>
      <c r="IE2085" t="s">
        <v>2372</v>
      </c>
      <c r="IF2085">
        <v>62226</v>
      </c>
      <c r="IG2085" t="s">
        <v>2373</v>
      </c>
      <c r="IH2085" t="s">
        <v>2374</v>
      </c>
      <c r="II2085">
        <v>1999</v>
      </c>
      <c r="IJ2085" t="s">
        <v>2375</v>
      </c>
    </row>
    <row r="2086" spans="1:244" x14ac:dyDescent="0.45">
      <c r="A2086">
        <v>1037201</v>
      </c>
      <c r="B2086">
        <v>110136</v>
      </c>
      <c r="C2086">
        <v>10108642</v>
      </c>
      <c r="D2086" t="s">
        <v>3523</v>
      </c>
      <c r="F2086" t="s">
        <v>327</v>
      </c>
      <c r="G2086" t="s">
        <v>246</v>
      </c>
      <c r="N2086" t="s">
        <v>1364</v>
      </c>
      <c r="O2086" t="s">
        <v>1365</v>
      </c>
      <c r="P2086" t="s">
        <v>249</v>
      </c>
      <c r="Q2086" t="s">
        <v>250</v>
      </c>
      <c r="R2086" t="s">
        <v>251</v>
      </c>
      <c r="T2086" t="s">
        <v>252</v>
      </c>
      <c r="U2086" t="s">
        <v>253</v>
      </c>
      <c r="V2086" t="s">
        <v>548</v>
      </c>
      <c r="W2086" t="s">
        <v>549</v>
      </c>
      <c r="X2086" t="s">
        <v>351</v>
      </c>
      <c r="Z2086" t="s">
        <v>315</v>
      </c>
      <c r="AL2086" t="s">
        <v>3787</v>
      </c>
      <c r="AM2086" t="s">
        <v>317</v>
      </c>
      <c r="AN2086" t="s">
        <v>259</v>
      </c>
      <c r="AO2086" t="s">
        <v>260</v>
      </c>
      <c r="AQ2086" t="s">
        <v>261</v>
      </c>
      <c r="AS2086">
        <v>2300</v>
      </c>
      <c r="AU2086">
        <v>1700</v>
      </c>
      <c r="AW2086">
        <v>5100</v>
      </c>
      <c r="AX2086" t="s">
        <v>262</v>
      </c>
      <c r="BO2086" t="s">
        <v>261</v>
      </c>
      <c r="BQ2086">
        <v>2.2999999999999998</v>
      </c>
      <c r="BS2086">
        <v>1.7</v>
      </c>
      <c r="BU2086">
        <v>5.0999999999999996</v>
      </c>
      <c r="BV2086" t="s">
        <v>263</v>
      </c>
      <c r="CM2086" t="s">
        <v>264</v>
      </c>
      <c r="CN2086" t="s">
        <v>264</v>
      </c>
      <c r="CP2086" t="s">
        <v>265</v>
      </c>
      <c r="CQ2086" t="s">
        <v>890</v>
      </c>
      <c r="DB2086">
        <v>4</v>
      </c>
      <c r="DG2086" t="s">
        <v>267</v>
      </c>
      <c r="DI2086">
        <v>96</v>
      </c>
      <c r="DN2086" t="s">
        <v>268</v>
      </c>
      <c r="DR2086">
        <v>98082</v>
      </c>
      <c r="DS2086">
        <v>2125</v>
      </c>
      <c r="DT2086" t="s">
        <v>1367</v>
      </c>
      <c r="EW2086" t="s">
        <v>333</v>
      </c>
      <c r="FM2086">
        <v>10.199999999999999</v>
      </c>
      <c r="FR2086" t="s">
        <v>295</v>
      </c>
      <c r="GH2086">
        <v>7.7</v>
      </c>
      <c r="GM2086" t="s">
        <v>356</v>
      </c>
      <c r="GO2086">
        <v>7.9</v>
      </c>
      <c r="GU2086">
        <v>28.6</v>
      </c>
      <c r="GZ2086" t="s">
        <v>296</v>
      </c>
      <c r="HH2086" t="s">
        <v>272</v>
      </c>
      <c r="IE2086" t="s">
        <v>1368</v>
      </c>
      <c r="IF2086">
        <v>2264</v>
      </c>
      <c r="IG2086" t="s">
        <v>1369</v>
      </c>
      <c r="IH2086" t="s">
        <v>1370</v>
      </c>
      <c r="II2086">
        <v>1989</v>
      </c>
      <c r="IJ2086" t="s">
        <v>1371</v>
      </c>
    </row>
    <row r="2087" spans="1:244" x14ac:dyDescent="0.45">
      <c r="A2087">
        <v>1041013</v>
      </c>
      <c r="B2087">
        <v>25246</v>
      </c>
      <c r="C2087">
        <v>10108642</v>
      </c>
      <c r="D2087" t="s">
        <v>3523</v>
      </c>
      <c r="F2087" t="s">
        <v>245</v>
      </c>
      <c r="G2087" t="s">
        <v>246</v>
      </c>
      <c r="N2087" t="s">
        <v>1782</v>
      </c>
      <c r="O2087" t="s">
        <v>1783</v>
      </c>
      <c r="P2087" t="s">
        <v>249</v>
      </c>
      <c r="Q2087" t="s">
        <v>250</v>
      </c>
      <c r="R2087" t="s">
        <v>251</v>
      </c>
      <c r="T2087" t="s">
        <v>252</v>
      </c>
      <c r="U2087" t="s">
        <v>253</v>
      </c>
      <c r="V2087" t="s">
        <v>1735</v>
      </c>
      <c r="W2087" t="s">
        <v>1784</v>
      </c>
      <c r="X2087" t="s">
        <v>1785</v>
      </c>
      <c r="Z2087" t="s">
        <v>1677</v>
      </c>
      <c r="AL2087" t="s">
        <v>1786</v>
      </c>
      <c r="AM2087" t="s">
        <v>258</v>
      </c>
      <c r="AN2087" t="s">
        <v>259</v>
      </c>
      <c r="AO2087" t="s">
        <v>260</v>
      </c>
      <c r="AQ2087" t="s">
        <v>261</v>
      </c>
      <c r="AS2087">
        <v>15910</v>
      </c>
      <c r="AU2087">
        <v>12510</v>
      </c>
      <c r="AW2087">
        <v>19310</v>
      </c>
      <c r="AX2087" t="s">
        <v>262</v>
      </c>
      <c r="BO2087" t="s">
        <v>261</v>
      </c>
      <c r="BQ2087">
        <v>15.91</v>
      </c>
      <c r="BS2087">
        <v>12.51</v>
      </c>
      <c r="BU2087">
        <v>19.309999999999999</v>
      </c>
      <c r="BV2087" t="s">
        <v>263</v>
      </c>
      <c r="CM2087" t="s">
        <v>264</v>
      </c>
      <c r="CN2087" t="s">
        <v>264</v>
      </c>
      <c r="CP2087" t="s">
        <v>265</v>
      </c>
      <c r="CQ2087" t="s">
        <v>890</v>
      </c>
      <c r="DB2087">
        <v>4</v>
      </c>
      <c r="DG2087" t="s">
        <v>267</v>
      </c>
      <c r="DI2087">
        <v>96</v>
      </c>
      <c r="DN2087" t="s">
        <v>268</v>
      </c>
      <c r="DP2087" t="s">
        <v>977</v>
      </c>
      <c r="DS2087">
        <v>2838</v>
      </c>
      <c r="DT2087" t="s">
        <v>1787</v>
      </c>
      <c r="EW2087" t="s">
        <v>333</v>
      </c>
      <c r="FM2087">
        <v>29</v>
      </c>
      <c r="FR2087" t="s">
        <v>295</v>
      </c>
      <c r="GU2087">
        <v>25</v>
      </c>
      <c r="GZ2087" t="s">
        <v>296</v>
      </c>
      <c r="HH2087" t="s">
        <v>272</v>
      </c>
      <c r="IE2087" t="s">
        <v>1788</v>
      </c>
      <c r="IF2087">
        <v>2602</v>
      </c>
      <c r="IG2087" t="s">
        <v>1789</v>
      </c>
      <c r="IH2087" t="s">
        <v>1790</v>
      </c>
      <c r="II2087">
        <v>1987</v>
      </c>
      <c r="IJ2087" t="s">
        <v>1791</v>
      </c>
    </row>
    <row r="2088" spans="1:244" x14ac:dyDescent="0.45">
      <c r="A2088">
        <v>1304340</v>
      </c>
      <c r="B2088">
        <v>760911</v>
      </c>
      <c r="C2088">
        <v>10108642</v>
      </c>
      <c r="D2088" t="s">
        <v>3523</v>
      </c>
      <c r="F2088" t="s">
        <v>245</v>
      </c>
      <c r="G2088" t="s">
        <v>246</v>
      </c>
      <c r="N2088" t="s">
        <v>2362</v>
      </c>
      <c r="O2088" t="s">
        <v>2363</v>
      </c>
      <c r="P2088" t="s">
        <v>249</v>
      </c>
      <c r="Q2088" t="s">
        <v>250</v>
      </c>
      <c r="R2088" t="s">
        <v>251</v>
      </c>
      <c r="T2088" t="s">
        <v>252</v>
      </c>
      <c r="U2088" t="s">
        <v>253</v>
      </c>
      <c r="V2088" t="s">
        <v>2364</v>
      </c>
      <c r="W2088" t="s">
        <v>2365</v>
      </c>
      <c r="X2088" t="s">
        <v>2366</v>
      </c>
      <c r="AL2088" t="s">
        <v>2885</v>
      </c>
      <c r="AM2088" t="s">
        <v>258</v>
      </c>
      <c r="AN2088" t="s">
        <v>259</v>
      </c>
      <c r="AO2088" t="s">
        <v>260</v>
      </c>
      <c r="AP2088" t="s">
        <v>2368</v>
      </c>
      <c r="AQ2088" t="s">
        <v>261</v>
      </c>
      <c r="AS2088">
        <v>7.17</v>
      </c>
      <c r="AX2088" t="s">
        <v>356</v>
      </c>
      <c r="BO2088" t="s">
        <v>261</v>
      </c>
      <c r="BQ2088">
        <v>7.17</v>
      </c>
      <c r="BV2088" t="s">
        <v>263</v>
      </c>
      <c r="CM2088" t="s">
        <v>264</v>
      </c>
      <c r="CN2088" t="s">
        <v>264</v>
      </c>
      <c r="CP2088" t="s">
        <v>265</v>
      </c>
      <c r="CQ2088" t="s">
        <v>890</v>
      </c>
      <c r="DB2088">
        <v>2</v>
      </c>
      <c r="DG2088" t="s">
        <v>267</v>
      </c>
      <c r="DI2088">
        <v>48</v>
      </c>
      <c r="DN2088" t="s">
        <v>268</v>
      </c>
      <c r="DP2088" t="s">
        <v>3608</v>
      </c>
      <c r="DR2088">
        <v>373433</v>
      </c>
      <c r="DS2088">
        <v>18732</v>
      </c>
      <c r="EW2088" t="s">
        <v>293</v>
      </c>
      <c r="FK2088" t="s">
        <v>3822</v>
      </c>
      <c r="FM2088">
        <v>30</v>
      </c>
      <c r="FR2088" t="s">
        <v>295</v>
      </c>
      <c r="GH2088">
        <v>3.2</v>
      </c>
      <c r="GM2088" t="s">
        <v>356</v>
      </c>
      <c r="GO2088">
        <v>8.11</v>
      </c>
      <c r="GU2088">
        <v>36.1</v>
      </c>
      <c r="GZ2088" t="s">
        <v>296</v>
      </c>
      <c r="HH2088" t="s">
        <v>272</v>
      </c>
      <c r="ID2088" t="s">
        <v>3823</v>
      </c>
      <c r="IE2088" t="s">
        <v>2372</v>
      </c>
      <c r="IF2088">
        <v>62226</v>
      </c>
      <c r="IG2088" t="s">
        <v>2373</v>
      </c>
      <c r="IH2088" t="s">
        <v>2374</v>
      </c>
      <c r="II2088">
        <v>1999</v>
      </c>
      <c r="IJ2088" t="s">
        <v>2375</v>
      </c>
    </row>
    <row r="2089" spans="1:244" x14ac:dyDescent="0.45">
      <c r="A2089">
        <v>1188929</v>
      </c>
      <c r="B2089">
        <v>162915</v>
      </c>
      <c r="C2089">
        <v>10108642</v>
      </c>
      <c r="D2089" t="s">
        <v>3523</v>
      </c>
      <c r="F2089" t="s">
        <v>245</v>
      </c>
      <c r="G2089" t="s">
        <v>246</v>
      </c>
      <c r="N2089" t="s">
        <v>345</v>
      </c>
      <c r="O2089" t="s">
        <v>346</v>
      </c>
      <c r="P2089" t="s">
        <v>249</v>
      </c>
      <c r="Q2089" t="s">
        <v>250</v>
      </c>
      <c r="R2089" t="s">
        <v>251</v>
      </c>
      <c r="T2089" t="s">
        <v>347</v>
      </c>
      <c r="U2089" t="s">
        <v>348</v>
      </c>
      <c r="V2089" t="s">
        <v>349</v>
      </c>
      <c r="W2089" t="s">
        <v>350</v>
      </c>
      <c r="X2089" t="s">
        <v>351</v>
      </c>
      <c r="Z2089" t="s">
        <v>315</v>
      </c>
      <c r="AH2089" t="s">
        <v>3824</v>
      </c>
      <c r="AL2089" t="s">
        <v>3824</v>
      </c>
      <c r="AM2089" t="s">
        <v>258</v>
      </c>
      <c r="AN2089" t="s">
        <v>259</v>
      </c>
      <c r="AO2089" t="s">
        <v>260</v>
      </c>
      <c r="AQ2089" t="s">
        <v>261</v>
      </c>
      <c r="AS2089">
        <v>43000</v>
      </c>
      <c r="AX2089" t="s">
        <v>262</v>
      </c>
      <c r="BO2089" t="s">
        <v>261</v>
      </c>
      <c r="BQ2089">
        <v>43</v>
      </c>
      <c r="BV2089" t="s">
        <v>263</v>
      </c>
      <c r="CM2089" t="s">
        <v>264</v>
      </c>
      <c r="CN2089" t="s">
        <v>264</v>
      </c>
      <c r="CP2089" t="s">
        <v>265</v>
      </c>
      <c r="CQ2089" t="s">
        <v>890</v>
      </c>
      <c r="DB2089">
        <v>4</v>
      </c>
      <c r="DG2089" t="s">
        <v>267</v>
      </c>
      <c r="DI2089">
        <v>96</v>
      </c>
      <c r="DN2089" t="s">
        <v>268</v>
      </c>
      <c r="DR2089">
        <v>6660</v>
      </c>
      <c r="DS2089">
        <v>421</v>
      </c>
      <c r="DT2089" t="s">
        <v>3825</v>
      </c>
      <c r="EW2089" t="s">
        <v>293</v>
      </c>
      <c r="FA2089" t="s">
        <v>320</v>
      </c>
      <c r="HH2089" t="s">
        <v>272</v>
      </c>
      <c r="IE2089" t="s">
        <v>3826</v>
      </c>
      <c r="IF2089">
        <v>16911</v>
      </c>
      <c r="IG2089" t="s">
        <v>3827</v>
      </c>
      <c r="IH2089" t="s">
        <v>3828</v>
      </c>
      <c r="II2089">
        <v>1995</v>
      </c>
      <c r="IJ2089" t="s">
        <v>3829</v>
      </c>
    </row>
    <row r="2090" spans="1:244" x14ac:dyDescent="0.45">
      <c r="A2090">
        <v>1176491</v>
      </c>
      <c r="B2090">
        <v>156509</v>
      </c>
      <c r="C2090">
        <v>10108642</v>
      </c>
      <c r="D2090" t="s">
        <v>3523</v>
      </c>
      <c r="F2090" t="s">
        <v>245</v>
      </c>
      <c r="G2090" t="s">
        <v>246</v>
      </c>
      <c r="N2090" t="s">
        <v>3550</v>
      </c>
      <c r="O2090" t="s">
        <v>578</v>
      </c>
      <c r="P2090" t="s">
        <v>249</v>
      </c>
      <c r="Q2090" t="s">
        <v>250</v>
      </c>
      <c r="R2090" t="s">
        <v>251</v>
      </c>
      <c r="T2090" t="s">
        <v>252</v>
      </c>
      <c r="U2090" t="s">
        <v>499</v>
      </c>
      <c r="V2090" t="s">
        <v>3551</v>
      </c>
      <c r="W2090" t="s">
        <v>3552</v>
      </c>
      <c r="X2090" t="s">
        <v>3553</v>
      </c>
      <c r="AM2090" t="s">
        <v>317</v>
      </c>
      <c r="AN2090" t="s">
        <v>259</v>
      </c>
      <c r="AO2090" t="s">
        <v>260</v>
      </c>
      <c r="AQ2090" t="s">
        <v>261</v>
      </c>
      <c r="AS2090">
        <v>4340</v>
      </c>
      <c r="AX2090" t="s">
        <v>262</v>
      </c>
      <c r="BO2090" t="s">
        <v>261</v>
      </c>
      <c r="BQ2090">
        <v>4.34</v>
      </c>
      <c r="BV2090" t="s">
        <v>263</v>
      </c>
      <c r="CM2090" t="s">
        <v>264</v>
      </c>
      <c r="CN2090" t="s">
        <v>264</v>
      </c>
      <c r="CP2090" t="s">
        <v>265</v>
      </c>
      <c r="CQ2090" t="s">
        <v>890</v>
      </c>
      <c r="DB2090">
        <v>1</v>
      </c>
      <c r="DG2090" t="s">
        <v>267</v>
      </c>
      <c r="DI2090">
        <v>24</v>
      </c>
      <c r="DN2090" t="s">
        <v>268</v>
      </c>
      <c r="DS2090">
        <v>4655</v>
      </c>
      <c r="EW2090" t="s">
        <v>271</v>
      </c>
      <c r="HH2090" t="s">
        <v>272</v>
      </c>
      <c r="IE2090" t="s">
        <v>3527</v>
      </c>
      <c r="IF2090">
        <v>15300</v>
      </c>
      <c r="IG2090" t="s">
        <v>3528</v>
      </c>
      <c r="IH2090" t="s">
        <v>3529</v>
      </c>
      <c r="II2090">
        <v>1979</v>
      </c>
      <c r="IJ2090" t="s">
        <v>3530</v>
      </c>
    </row>
    <row r="2091" spans="1:244" x14ac:dyDescent="0.45">
      <c r="A2091">
        <v>1226446</v>
      </c>
      <c r="B2091">
        <v>219622</v>
      </c>
      <c r="C2091">
        <v>10108642</v>
      </c>
      <c r="D2091" t="s">
        <v>3523</v>
      </c>
      <c r="E2091" t="s">
        <v>386</v>
      </c>
      <c r="F2091" t="s">
        <v>245</v>
      </c>
      <c r="G2091" t="s">
        <v>246</v>
      </c>
      <c r="N2091" t="s">
        <v>302</v>
      </c>
      <c r="O2091" t="s">
        <v>303</v>
      </c>
      <c r="P2091" t="s">
        <v>249</v>
      </c>
      <c r="Q2091" t="s">
        <v>250</v>
      </c>
      <c r="R2091" t="s">
        <v>251</v>
      </c>
      <c r="T2091" t="s">
        <v>252</v>
      </c>
      <c r="U2091" t="s">
        <v>253</v>
      </c>
      <c r="V2091" t="s">
        <v>304</v>
      </c>
      <c r="W2091" t="s">
        <v>305</v>
      </c>
      <c r="X2091" t="s">
        <v>306</v>
      </c>
      <c r="Z2091" t="s">
        <v>1057</v>
      </c>
      <c r="AL2091" t="s">
        <v>1210</v>
      </c>
      <c r="AM2091" t="s">
        <v>317</v>
      </c>
      <c r="AN2091" t="s">
        <v>259</v>
      </c>
      <c r="AO2091" t="s">
        <v>260</v>
      </c>
      <c r="AQ2091" t="s">
        <v>261</v>
      </c>
      <c r="AS2091">
        <v>0.78</v>
      </c>
      <c r="AX2091" t="s">
        <v>356</v>
      </c>
      <c r="BO2091" t="s">
        <v>261</v>
      </c>
      <c r="BQ2091">
        <v>0.78</v>
      </c>
      <c r="BV2091" t="s">
        <v>263</v>
      </c>
      <c r="CM2091" t="s">
        <v>264</v>
      </c>
      <c r="CN2091" t="s">
        <v>264</v>
      </c>
      <c r="CP2091" t="s">
        <v>265</v>
      </c>
      <c r="CQ2091" t="s">
        <v>890</v>
      </c>
      <c r="DB2091">
        <v>4</v>
      </c>
      <c r="DG2091" t="s">
        <v>267</v>
      </c>
      <c r="DI2091">
        <v>96</v>
      </c>
      <c r="DN2091" t="s">
        <v>268</v>
      </c>
      <c r="DR2091">
        <v>338212</v>
      </c>
      <c r="DS2091">
        <v>732</v>
      </c>
      <c r="DT2091" t="s">
        <v>1211</v>
      </c>
      <c r="EW2091" t="s">
        <v>293</v>
      </c>
      <c r="GU2091">
        <v>36</v>
      </c>
      <c r="GZ2091" t="s">
        <v>900</v>
      </c>
      <c r="HH2091" t="s">
        <v>272</v>
      </c>
      <c r="IE2091" t="s">
        <v>1212</v>
      </c>
      <c r="IF2091">
        <v>51641</v>
      </c>
      <c r="IG2091" t="s">
        <v>1213</v>
      </c>
      <c r="IH2091" t="s">
        <v>1214</v>
      </c>
      <c r="II2091">
        <v>2000</v>
      </c>
      <c r="IJ2091" t="s">
        <v>1215</v>
      </c>
    </row>
    <row r="2092" spans="1:244" x14ac:dyDescent="0.45">
      <c r="A2092">
        <v>1135992</v>
      </c>
      <c r="B2092">
        <v>90612</v>
      </c>
      <c r="C2092">
        <v>10108642</v>
      </c>
      <c r="D2092" t="s">
        <v>3523</v>
      </c>
      <c r="F2092" t="s">
        <v>245</v>
      </c>
      <c r="G2092" t="s">
        <v>246</v>
      </c>
      <c r="N2092" t="s">
        <v>471</v>
      </c>
      <c r="O2092" t="s">
        <v>388</v>
      </c>
      <c r="P2092" t="s">
        <v>249</v>
      </c>
      <c r="Q2092" t="s">
        <v>250</v>
      </c>
      <c r="R2092" t="s">
        <v>251</v>
      </c>
      <c r="T2092" t="s">
        <v>389</v>
      </c>
      <c r="U2092" t="s">
        <v>390</v>
      </c>
      <c r="V2092" t="s">
        <v>472</v>
      </c>
      <c r="W2092" t="s">
        <v>473</v>
      </c>
      <c r="X2092" t="s">
        <v>474</v>
      </c>
      <c r="AL2092" t="s">
        <v>2474</v>
      </c>
      <c r="AM2092" t="s">
        <v>317</v>
      </c>
      <c r="AN2092" t="s">
        <v>259</v>
      </c>
      <c r="AO2092" t="s">
        <v>260</v>
      </c>
      <c r="AQ2092" t="s">
        <v>261</v>
      </c>
      <c r="AS2092">
        <v>916.6</v>
      </c>
      <c r="AX2092" t="s">
        <v>262</v>
      </c>
      <c r="BO2092" t="s">
        <v>261</v>
      </c>
      <c r="BQ2092">
        <v>0.91659999999999997</v>
      </c>
      <c r="BV2092" t="s">
        <v>263</v>
      </c>
      <c r="CM2092" t="s">
        <v>264</v>
      </c>
      <c r="CN2092" t="s">
        <v>264</v>
      </c>
      <c r="CP2092" t="s">
        <v>265</v>
      </c>
      <c r="CQ2092" t="s">
        <v>890</v>
      </c>
      <c r="DB2092">
        <v>2</v>
      </c>
      <c r="DG2092" t="s">
        <v>267</v>
      </c>
      <c r="DI2092">
        <v>48</v>
      </c>
      <c r="DN2092" t="s">
        <v>268</v>
      </c>
      <c r="DR2092">
        <v>2056173</v>
      </c>
      <c r="DS2092">
        <v>1053</v>
      </c>
      <c r="DT2092" t="s">
        <v>2671</v>
      </c>
      <c r="EW2092" t="s">
        <v>271</v>
      </c>
      <c r="FA2092" t="s">
        <v>2672</v>
      </c>
      <c r="FM2092">
        <v>18</v>
      </c>
      <c r="FR2092" t="s">
        <v>295</v>
      </c>
      <c r="GU2092">
        <v>38</v>
      </c>
      <c r="GZ2092" t="s">
        <v>296</v>
      </c>
      <c r="HH2092" t="s">
        <v>272</v>
      </c>
      <c r="IE2092" t="s">
        <v>2299</v>
      </c>
      <c r="IF2092">
        <v>11097</v>
      </c>
      <c r="IG2092" t="s">
        <v>2673</v>
      </c>
      <c r="IH2092" t="s">
        <v>2674</v>
      </c>
      <c r="II2092">
        <v>1982</v>
      </c>
      <c r="IJ2092" t="s">
        <v>2675</v>
      </c>
    </row>
    <row r="2093" spans="1:244" x14ac:dyDescent="0.45">
      <c r="A2093">
        <v>1070634</v>
      </c>
      <c r="B2093">
        <v>15839</v>
      </c>
      <c r="C2093">
        <v>10108642</v>
      </c>
      <c r="D2093" t="s">
        <v>3523</v>
      </c>
      <c r="F2093" t="s">
        <v>327</v>
      </c>
      <c r="G2093" t="s">
        <v>246</v>
      </c>
      <c r="N2093" t="s">
        <v>1941</v>
      </c>
      <c r="O2093" t="s">
        <v>388</v>
      </c>
      <c r="P2093" t="s">
        <v>249</v>
      </c>
      <c r="Q2093" t="s">
        <v>250</v>
      </c>
      <c r="R2093" t="s">
        <v>251</v>
      </c>
      <c r="T2093" t="s">
        <v>389</v>
      </c>
      <c r="U2093" t="s">
        <v>390</v>
      </c>
      <c r="V2093" t="s">
        <v>472</v>
      </c>
      <c r="W2093" t="s">
        <v>1942</v>
      </c>
      <c r="X2093" t="s">
        <v>351</v>
      </c>
      <c r="Z2093" t="s">
        <v>1034</v>
      </c>
      <c r="AL2093" t="s">
        <v>1943</v>
      </c>
      <c r="AM2093" t="s">
        <v>317</v>
      </c>
      <c r="AN2093" t="s">
        <v>259</v>
      </c>
      <c r="AO2093" t="s">
        <v>260</v>
      </c>
      <c r="AQ2093" t="s">
        <v>261</v>
      </c>
      <c r="AS2093">
        <v>660</v>
      </c>
      <c r="AU2093">
        <v>470</v>
      </c>
      <c r="AW2093">
        <v>970</v>
      </c>
      <c r="AX2093" t="s">
        <v>262</v>
      </c>
      <c r="BO2093" t="s">
        <v>261</v>
      </c>
      <c r="BQ2093">
        <v>0.66</v>
      </c>
      <c r="BS2093">
        <v>0.47</v>
      </c>
      <c r="BU2093">
        <v>0.97</v>
      </c>
      <c r="BV2093" t="s">
        <v>263</v>
      </c>
      <c r="CM2093" t="s">
        <v>264</v>
      </c>
      <c r="CN2093" t="s">
        <v>264</v>
      </c>
      <c r="CP2093" t="s">
        <v>265</v>
      </c>
      <c r="CQ2093" t="s">
        <v>890</v>
      </c>
      <c r="DB2093">
        <v>1</v>
      </c>
      <c r="DG2093" t="s">
        <v>267</v>
      </c>
      <c r="DI2093">
        <v>24</v>
      </c>
      <c r="DN2093" t="s">
        <v>268</v>
      </c>
      <c r="DR2093">
        <v>2172647</v>
      </c>
      <c r="DS2093">
        <v>646</v>
      </c>
      <c r="DT2093" t="s">
        <v>1944</v>
      </c>
      <c r="EW2093" t="s">
        <v>333</v>
      </c>
      <c r="FK2093" t="s">
        <v>3243</v>
      </c>
      <c r="FM2093">
        <v>17</v>
      </c>
      <c r="FR2093" t="s">
        <v>295</v>
      </c>
      <c r="GW2093">
        <v>34.5</v>
      </c>
      <c r="GY2093">
        <v>35.5</v>
      </c>
      <c r="GZ2093" t="s">
        <v>296</v>
      </c>
      <c r="HH2093" t="s">
        <v>272</v>
      </c>
      <c r="ID2093" t="s">
        <v>3244</v>
      </c>
      <c r="IE2093" t="s">
        <v>1947</v>
      </c>
      <c r="IF2093">
        <v>5563</v>
      </c>
      <c r="IG2093" t="s">
        <v>1948</v>
      </c>
      <c r="IH2093" t="s">
        <v>1949</v>
      </c>
      <c r="II2093">
        <v>1979</v>
      </c>
      <c r="IJ2093" t="s">
        <v>1950</v>
      </c>
    </row>
    <row r="2094" spans="1:244" x14ac:dyDescent="0.45">
      <c r="A2094">
        <v>1056742</v>
      </c>
      <c r="B2094">
        <v>17339</v>
      </c>
      <c r="C2094">
        <v>10108642</v>
      </c>
      <c r="D2094" t="s">
        <v>3523</v>
      </c>
      <c r="E2094" t="s">
        <v>622</v>
      </c>
      <c r="F2094" t="s">
        <v>245</v>
      </c>
      <c r="G2094" t="s">
        <v>246</v>
      </c>
      <c r="N2094" t="s">
        <v>1426</v>
      </c>
      <c r="O2094" t="s">
        <v>370</v>
      </c>
      <c r="P2094" t="s">
        <v>249</v>
      </c>
      <c r="Q2094" t="s">
        <v>250</v>
      </c>
      <c r="R2094" t="s">
        <v>251</v>
      </c>
      <c r="T2094" t="s">
        <v>252</v>
      </c>
      <c r="U2094" t="s">
        <v>371</v>
      </c>
      <c r="V2094" t="s">
        <v>372</v>
      </c>
      <c r="W2094" t="s">
        <v>1427</v>
      </c>
      <c r="X2094" t="s">
        <v>1428</v>
      </c>
      <c r="AM2094" t="s">
        <v>287</v>
      </c>
      <c r="AN2094" t="s">
        <v>259</v>
      </c>
      <c r="AO2094" t="s">
        <v>260</v>
      </c>
      <c r="AQ2094" t="s">
        <v>1569</v>
      </c>
      <c r="AS2094">
        <v>5.3</v>
      </c>
      <c r="AX2094" t="s">
        <v>262</v>
      </c>
      <c r="BO2094" t="s">
        <v>1569</v>
      </c>
      <c r="BQ2094">
        <v>5.3E-3</v>
      </c>
      <c r="BV2094" t="s">
        <v>263</v>
      </c>
      <c r="CM2094" t="s">
        <v>264</v>
      </c>
      <c r="CN2094" t="s">
        <v>264</v>
      </c>
      <c r="CP2094" t="s">
        <v>265</v>
      </c>
      <c r="CQ2094" t="s">
        <v>890</v>
      </c>
      <c r="DB2094">
        <v>4</v>
      </c>
      <c r="DG2094" t="s">
        <v>267</v>
      </c>
      <c r="DI2094">
        <v>96</v>
      </c>
      <c r="DN2094" t="s">
        <v>268</v>
      </c>
      <c r="DR2094">
        <v>223650</v>
      </c>
      <c r="DS2094">
        <v>1577</v>
      </c>
      <c r="DT2094" t="s">
        <v>3708</v>
      </c>
      <c r="EW2094" t="s">
        <v>293</v>
      </c>
      <c r="FA2094" t="s">
        <v>320</v>
      </c>
      <c r="FM2094">
        <v>15</v>
      </c>
      <c r="FR2094" t="s">
        <v>295</v>
      </c>
      <c r="GU2094">
        <v>12</v>
      </c>
      <c r="GZ2094" t="s">
        <v>296</v>
      </c>
      <c r="HH2094" t="s">
        <v>272</v>
      </c>
      <c r="IE2094" t="s">
        <v>3709</v>
      </c>
      <c r="IF2094">
        <v>4037</v>
      </c>
      <c r="IG2094" t="s">
        <v>3710</v>
      </c>
      <c r="IH2094" t="s">
        <v>3711</v>
      </c>
      <c r="II2094">
        <v>1998</v>
      </c>
      <c r="IJ2094" t="s">
        <v>3712</v>
      </c>
    </row>
    <row r="2095" spans="1:244" x14ac:dyDescent="0.45">
      <c r="A2095">
        <v>1139084</v>
      </c>
      <c r="B2095">
        <v>232043</v>
      </c>
      <c r="C2095">
        <v>10108642</v>
      </c>
      <c r="D2095" t="s">
        <v>3523</v>
      </c>
      <c r="E2095" t="s">
        <v>3539</v>
      </c>
      <c r="F2095" t="s">
        <v>327</v>
      </c>
      <c r="G2095" t="s">
        <v>246</v>
      </c>
      <c r="N2095" t="s">
        <v>3540</v>
      </c>
      <c r="O2095" t="s">
        <v>248</v>
      </c>
      <c r="P2095" t="s">
        <v>249</v>
      </c>
      <c r="Q2095" t="s">
        <v>250</v>
      </c>
      <c r="R2095" t="s">
        <v>251</v>
      </c>
      <c r="T2095" t="s">
        <v>252</v>
      </c>
      <c r="U2095" t="s">
        <v>253</v>
      </c>
      <c r="V2095" t="s">
        <v>1231</v>
      </c>
      <c r="W2095" t="s">
        <v>3541</v>
      </c>
      <c r="X2095" t="s">
        <v>3542</v>
      </c>
      <c r="AJ2095" t="s">
        <v>285</v>
      </c>
      <c r="AL2095" t="s">
        <v>3543</v>
      </c>
      <c r="AM2095" t="s">
        <v>317</v>
      </c>
      <c r="AN2095" t="s">
        <v>259</v>
      </c>
      <c r="AO2095" t="s">
        <v>260</v>
      </c>
      <c r="AQ2095" t="s">
        <v>261</v>
      </c>
      <c r="AS2095">
        <v>28.5</v>
      </c>
      <c r="AU2095">
        <v>26.2</v>
      </c>
      <c r="AW2095">
        <v>30.3</v>
      </c>
      <c r="AX2095" t="s">
        <v>356</v>
      </c>
      <c r="BO2095" t="s">
        <v>261</v>
      </c>
      <c r="BQ2095">
        <v>28.5</v>
      </c>
      <c r="BS2095">
        <v>26.2</v>
      </c>
      <c r="BU2095">
        <v>30.3</v>
      </c>
      <c r="BV2095" t="s">
        <v>263</v>
      </c>
      <c r="CM2095" t="s">
        <v>264</v>
      </c>
      <c r="CN2095" t="s">
        <v>264</v>
      </c>
      <c r="CP2095" t="s">
        <v>265</v>
      </c>
      <c r="CQ2095" t="s">
        <v>890</v>
      </c>
      <c r="DB2095">
        <v>4</v>
      </c>
      <c r="DG2095" t="s">
        <v>267</v>
      </c>
      <c r="DI2095">
        <v>96</v>
      </c>
      <c r="DN2095" t="s">
        <v>268</v>
      </c>
      <c r="DR2095">
        <v>151182</v>
      </c>
      <c r="DS2095">
        <v>11260</v>
      </c>
      <c r="EW2095" t="s">
        <v>272</v>
      </c>
      <c r="FK2095" t="s">
        <v>3644</v>
      </c>
      <c r="FM2095">
        <v>32</v>
      </c>
      <c r="FR2095" t="s">
        <v>295</v>
      </c>
      <c r="GU2095">
        <v>32</v>
      </c>
      <c r="GZ2095" t="s">
        <v>900</v>
      </c>
      <c r="HH2095" t="s">
        <v>272</v>
      </c>
      <c r="ID2095" t="s">
        <v>3645</v>
      </c>
      <c r="IE2095" t="s">
        <v>3546</v>
      </c>
      <c r="IF2095">
        <v>11524</v>
      </c>
      <c r="IG2095" t="s">
        <v>3547</v>
      </c>
      <c r="IH2095" t="s">
        <v>3548</v>
      </c>
      <c r="II2095">
        <v>1983</v>
      </c>
      <c r="IJ2095" t="s">
        <v>3549</v>
      </c>
    </row>
    <row r="2096" spans="1:244" x14ac:dyDescent="0.45">
      <c r="A2096">
        <v>1182128</v>
      </c>
      <c r="B2096">
        <v>160031</v>
      </c>
      <c r="C2096">
        <v>10108642</v>
      </c>
      <c r="D2096" t="s">
        <v>3523</v>
      </c>
      <c r="E2096" t="s">
        <v>439</v>
      </c>
      <c r="F2096" t="s">
        <v>245</v>
      </c>
      <c r="G2096" t="s">
        <v>246</v>
      </c>
      <c r="N2096" t="s">
        <v>345</v>
      </c>
      <c r="O2096" t="s">
        <v>346</v>
      </c>
      <c r="P2096" t="s">
        <v>249</v>
      </c>
      <c r="Q2096" t="s">
        <v>250</v>
      </c>
      <c r="R2096" t="s">
        <v>251</v>
      </c>
      <c r="T2096" t="s">
        <v>347</v>
      </c>
      <c r="U2096" t="s">
        <v>348</v>
      </c>
      <c r="V2096" t="s">
        <v>349</v>
      </c>
      <c r="W2096" t="s">
        <v>350</v>
      </c>
      <c r="X2096" t="s">
        <v>351</v>
      </c>
      <c r="Z2096" t="s">
        <v>1034</v>
      </c>
      <c r="AL2096" t="s">
        <v>2663</v>
      </c>
      <c r="AM2096" t="s">
        <v>317</v>
      </c>
      <c r="AN2096" t="s">
        <v>259</v>
      </c>
      <c r="AO2096" t="s">
        <v>260</v>
      </c>
      <c r="AQ2096" t="s">
        <v>261</v>
      </c>
      <c r="AS2096">
        <v>231000</v>
      </c>
      <c r="AX2096" t="s">
        <v>262</v>
      </c>
      <c r="BO2096" t="s">
        <v>261</v>
      </c>
      <c r="BQ2096">
        <v>231</v>
      </c>
      <c r="BV2096" t="s">
        <v>263</v>
      </c>
      <c r="CM2096" t="s">
        <v>264</v>
      </c>
      <c r="CN2096" t="s">
        <v>264</v>
      </c>
      <c r="CP2096" t="s">
        <v>265</v>
      </c>
      <c r="DB2096">
        <v>2</v>
      </c>
      <c r="DG2096" t="s">
        <v>267</v>
      </c>
      <c r="DI2096">
        <v>48</v>
      </c>
      <c r="DN2096" t="s">
        <v>268</v>
      </c>
      <c r="DR2096">
        <v>6660</v>
      </c>
      <c r="DS2096">
        <v>421</v>
      </c>
      <c r="DT2096" t="s">
        <v>2665</v>
      </c>
      <c r="EW2096" t="s">
        <v>293</v>
      </c>
      <c r="FA2096" t="s">
        <v>2789</v>
      </c>
      <c r="FM2096">
        <v>25</v>
      </c>
      <c r="FR2096" t="s">
        <v>295</v>
      </c>
      <c r="GU2096">
        <v>15</v>
      </c>
      <c r="GZ2096" t="s">
        <v>296</v>
      </c>
      <c r="HH2096" t="s">
        <v>272</v>
      </c>
      <c r="IE2096" t="s">
        <v>2667</v>
      </c>
      <c r="IF2096">
        <v>16031</v>
      </c>
      <c r="IG2096" t="s">
        <v>2668</v>
      </c>
      <c r="IH2096" t="s">
        <v>2669</v>
      </c>
      <c r="II2096">
        <v>1995</v>
      </c>
      <c r="IJ2096" t="s">
        <v>2670</v>
      </c>
    </row>
    <row r="2097" spans="1:244" x14ac:dyDescent="0.45">
      <c r="A2097">
        <v>1271215</v>
      </c>
      <c r="B2097">
        <v>722513</v>
      </c>
      <c r="C2097">
        <v>10108642</v>
      </c>
      <c r="D2097" t="s">
        <v>3523</v>
      </c>
      <c r="E2097" t="s">
        <v>415</v>
      </c>
      <c r="F2097" t="s">
        <v>245</v>
      </c>
      <c r="G2097" t="s">
        <v>246</v>
      </c>
      <c r="N2097" t="s">
        <v>1782</v>
      </c>
      <c r="O2097" t="s">
        <v>1783</v>
      </c>
      <c r="P2097" t="s">
        <v>249</v>
      </c>
      <c r="Q2097" t="s">
        <v>250</v>
      </c>
      <c r="R2097" t="s">
        <v>251</v>
      </c>
      <c r="T2097" t="s">
        <v>252</v>
      </c>
      <c r="U2097" t="s">
        <v>253</v>
      </c>
      <c r="V2097" t="s">
        <v>1735</v>
      </c>
      <c r="W2097" t="s">
        <v>1784</v>
      </c>
      <c r="X2097" t="s">
        <v>1785</v>
      </c>
      <c r="AL2097" t="s">
        <v>1809</v>
      </c>
      <c r="AM2097" t="s">
        <v>258</v>
      </c>
      <c r="AN2097" t="s">
        <v>259</v>
      </c>
      <c r="AO2097" t="s">
        <v>260</v>
      </c>
      <c r="AP2097">
        <v>7</v>
      </c>
      <c r="AQ2097" t="s">
        <v>261</v>
      </c>
      <c r="AS2097">
        <v>58.35</v>
      </c>
      <c r="AU2097">
        <v>46.19</v>
      </c>
      <c r="AW2097">
        <v>73.7</v>
      </c>
      <c r="AX2097" t="s">
        <v>422</v>
      </c>
      <c r="BO2097" t="s">
        <v>261</v>
      </c>
      <c r="BQ2097">
        <v>58.35</v>
      </c>
      <c r="BS2097">
        <v>46.19</v>
      </c>
      <c r="BU2097">
        <v>73.7</v>
      </c>
      <c r="BV2097" t="s">
        <v>263</v>
      </c>
      <c r="CM2097" t="s">
        <v>264</v>
      </c>
      <c r="CN2097" t="s">
        <v>264</v>
      </c>
      <c r="CP2097" t="s">
        <v>265</v>
      </c>
      <c r="CQ2097" t="s">
        <v>890</v>
      </c>
      <c r="DB2097">
        <v>2</v>
      </c>
      <c r="DG2097" t="s">
        <v>267</v>
      </c>
      <c r="DI2097">
        <v>48</v>
      </c>
      <c r="DN2097" t="s">
        <v>268</v>
      </c>
      <c r="DP2097" t="s">
        <v>3594</v>
      </c>
      <c r="DS2097">
        <v>2838</v>
      </c>
      <c r="EW2097" t="s">
        <v>293</v>
      </c>
      <c r="FK2097" t="s">
        <v>3595</v>
      </c>
      <c r="FM2097">
        <v>29</v>
      </c>
      <c r="FR2097" t="s">
        <v>295</v>
      </c>
      <c r="GO2097">
        <v>8</v>
      </c>
      <c r="GU2097">
        <v>15</v>
      </c>
      <c r="GZ2097" t="s">
        <v>296</v>
      </c>
      <c r="HH2097" t="s">
        <v>272</v>
      </c>
      <c r="ID2097" t="s">
        <v>3596</v>
      </c>
      <c r="IE2097" t="s">
        <v>1812</v>
      </c>
      <c r="IF2097">
        <v>16623</v>
      </c>
      <c r="IG2097" t="s">
        <v>1813</v>
      </c>
      <c r="IH2097" t="s">
        <v>1814</v>
      </c>
      <c r="II2097">
        <v>1987</v>
      </c>
      <c r="IJ2097" t="s">
        <v>1815</v>
      </c>
    </row>
    <row r="2098" spans="1:244" x14ac:dyDescent="0.45">
      <c r="A2098">
        <v>1325400</v>
      </c>
      <c r="B2098">
        <v>784705</v>
      </c>
      <c r="C2098">
        <v>10108642</v>
      </c>
      <c r="D2098" t="s">
        <v>3523</v>
      </c>
      <c r="E2098" t="s">
        <v>622</v>
      </c>
      <c r="F2098" t="s">
        <v>245</v>
      </c>
      <c r="G2098" t="s">
        <v>246</v>
      </c>
      <c r="I2098">
        <v>99</v>
      </c>
      <c r="N2098" t="s">
        <v>1298</v>
      </c>
      <c r="O2098" t="s">
        <v>1299</v>
      </c>
      <c r="P2098" t="s">
        <v>249</v>
      </c>
      <c r="Q2098" t="s">
        <v>250</v>
      </c>
      <c r="R2098" t="s">
        <v>251</v>
      </c>
      <c r="T2098" t="s">
        <v>252</v>
      </c>
      <c r="U2098" t="s">
        <v>371</v>
      </c>
      <c r="V2098" t="s">
        <v>372</v>
      </c>
      <c r="W2098" t="s">
        <v>1300</v>
      </c>
      <c r="X2098" t="s">
        <v>1301</v>
      </c>
      <c r="Z2098" t="s">
        <v>649</v>
      </c>
      <c r="AD2098">
        <v>2</v>
      </c>
      <c r="AF2098">
        <v>3</v>
      </c>
      <c r="AG2098" t="s">
        <v>267</v>
      </c>
      <c r="AM2098" t="s">
        <v>317</v>
      </c>
      <c r="AN2098" t="s">
        <v>259</v>
      </c>
      <c r="AO2098" t="s">
        <v>260</v>
      </c>
      <c r="AP2098" t="s">
        <v>559</v>
      </c>
      <c r="AQ2098" t="s">
        <v>261</v>
      </c>
      <c r="AS2098">
        <v>0.08</v>
      </c>
      <c r="AX2098" t="s">
        <v>356</v>
      </c>
      <c r="BO2098" t="s">
        <v>261</v>
      </c>
      <c r="BQ2098">
        <v>0.08</v>
      </c>
      <c r="BV2098" t="s">
        <v>263</v>
      </c>
      <c r="CM2098" t="s">
        <v>264</v>
      </c>
      <c r="CN2098" t="s">
        <v>264</v>
      </c>
      <c r="CP2098" t="s">
        <v>265</v>
      </c>
      <c r="CQ2098" t="s">
        <v>890</v>
      </c>
      <c r="DB2098">
        <v>4</v>
      </c>
      <c r="DG2098" t="s">
        <v>267</v>
      </c>
      <c r="DI2098">
        <v>96</v>
      </c>
      <c r="DN2098" t="s">
        <v>268</v>
      </c>
      <c r="DO2098" t="s">
        <v>1587</v>
      </c>
      <c r="DP2098" t="s">
        <v>3612</v>
      </c>
      <c r="DS2098">
        <v>20391</v>
      </c>
      <c r="DT2098" t="s">
        <v>1302</v>
      </c>
      <c r="EW2098" t="s">
        <v>293</v>
      </c>
      <c r="FA2098" t="s">
        <v>3380</v>
      </c>
      <c r="FK2098" t="s">
        <v>3830</v>
      </c>
      <c r="FM2098">
        <v>25</v>
      </c>
      <c r="FR2098" t="s">
        <v>295</v>
      </c>
      <c r="GG2098" t="s">
        <v>288</v>
      </c>
      <c r="GH2098">
        <v>80</v>
      </c>
      <c r="GM2098" t="s">
        <v>1224</v>
      </c>
      <c r="GQ2098">
        <v>7.5</v>
      </c>
      <c r="GS2098">
        <v>8.5</v>
      </c>
      <c r="GU2098">
        <v>25</v>
      </c>
      <c r="GZ2098" t="s">
        <v>900</v>
      </c>
      <c r="HH2098" t="s">
        <v>272</v>
      </c>
      <c r="ID2098" t="s">
        <v>3831</v>
      </c>
      <c r="IE2098" t="s">
        <v>1306</v>
      </c>
      <c r="IF2098">
        <v>117932</v>
      </c>
      <c r="IG2098" t="s">
        <v>1307</v>
      </c>
      <c r="IH2098" t="s">
        <v>1308</v>
      </c>
      <c r="II2098">
        <v>2008</v>
      </c>
      <c r="IJ2098" t="s">
        <v>1309</v>
      </c>
    </row>
    <row r="2099" spans="1:244" x14ac:dyDescent="0.45">
      <c r="A2099">
        <v>1299770</v>
      </c>
      <c r="B2099">
        <v>755369</v>
      </c>
      <c r="C2099">
        <v>10108642</v>
      </c>
      <c r="D2099" t="s">
        <v>3523</v>
      </c>
      <c r="F2099" t="s">
        <v>245</v>
      </c>
      <c r="G2099" t="s">
        <v>246</v>
      </c>
      <c r="N2099" t="s">
        <v>892</v>
      </c>
      <c r="O2099" t="s">
        <v>498</v>
      </c>
      <c r="P2099" t="s">
        <v>249</v>
      </c>
      <c r="Q2099" t="s">
        <v>250</v>
      </c>
      <c r="R2099" t="s">
        <v>251</v>
      </c>
      <c r="T2099" t="s">
        <v>252</v>
      </c>
      <c r="U2099" t="s">
        <v>499</v>
      </c>
      <c r="V2099" t="s">
        <v>500</v>
      </c>
      <c r="W2099" t="s">
        <v>893</v>
      </c>
      <c r="X2099" t="s">
        <v>894</v>
      </c>
      <c r="AL2099" t="s">
        <v>3832</v>
      </c>
      <c r="AM2099" t="s">
        <v>317</v>
      </c>
      <c r="AN2099" t="s">
        <v>259</v>
      </c>
      <c r="AO2099" t="s">
        <v>260</v>
      </c>
      <c r="AP2099">
        <v>5</v>
      </c>
      <c r="AQ2099" t="s">
        <v>261</v>
      </c>
      <c r="AT2099" t="s">
        <v>288</v>
      </c>
      <c r="AU2099">
        <v>1</v>
      </c>
      <c r="AV2099" t="s">
        <v>289</v>
      </c>
      <c r="AW2099">
        <v>1.5</v>
      </c>
      <c r="AX2099" t="s">
        <v>356</v>
      </c>
      <c r="BO2099" t="s">
        <v>261</v>
      </c>
      <c r="BR2099" t="s">
        <v>288</v>
      </c>
      <c r="BS2099">
        <v>1</v>
      </c>
      <c r="BT2099" t="s">
        <v>289</v>
      </c>
      <c r="BU2099">
        <v>1.5</v>
      </c>
      <c r="BV2099" t="s">
        <v>263</v>
      </c>
      <c r="CM2099" t="s">
        <v>264</v>
      </c>
      <c r="CN2099" t="s">
        <v>264</v>
      </c>
      <c r="CP2099" t="s">
        <v>265</v>
      </c>
      <c r="CQ2099" t="s">
        <v>890</v>
      </c>
      <c r="DB2099">
        <v>4</v>
      </c>
      <c r="DG2099" t="s">
        <v>267</v>
      </c>
      <c r="DI2099">
        <v>96</v>
      </c>
      <c r="DN2099" t="s">
        <v>268</v>
      </c>
      <c r="DP2099" t="s">
        <v>3628</v>
      </c>
      <c r="DR2099">
        <v>732107</v>
      </c>
      <c r="DS2099">
        <v>427</v>
      </c>
      <c r="DT2099" t="s">
        <v>1327</v>
      </c>
      <c r="EW2099" t="s">
        <v>293</v>
      </c>
      <c r="FK2099" t="s">
        <v>3833</v>
      </c>
      <c r="FM2099">
        <v>16</v>
      </c>
      <c r="FR2099" t="s">
        <v>295</v>
      </c>
      <c r="GJ2099">
        <v>8</v>
      </c>
      <c r="GL2099">
        <v>8.5</v>
      </c>
      <c r="GM2099" t="s">
        <v>356</v>
      </c>
      <c r="GQ2099">
        <v>7.9</v>
      </c>
      <c r="GS2099">
        <v>8.64</v>
      </c>
      <c r="GU2099">
        <v>36</v>
      </c>
      <c r="GZ2099" t="s">
        <v>296</v>
      </c>
      <c r="HH2099" t="s">
        <v>272</v>
      </c>
      <c r="ID2099" t="s">
        <v>3834</v>
      </c>
      <c r="IE2099" t="s">
        <v>1330</v>
      </c>
      <c r="IF2099">
        <v>116169</v>
      </c>
      <c r="IG2099" t="s">
        <v>1331</v>
      </c>
      <c r="IH2099" t="s">
        <v>1332</v>
      </c>
      <c r="II2099">
        <v>2005</v>
      </c>
      <c r="IJ2099" t="s">
        <v>1333</v>
      </c>
    </row>
    <row r="2100" spans="1:244" x14ac:dyDescent="0.45">
      <c r="A2100">
        <v>1304649</v>
      </c>
      <c r="B2100">
        <v>761297</v>
      </c>
      <c r="C2100">
        <v>10108642</v>
      </c>
      <c r="D2100" t="s">
        <v>3523</v>
      </c>
      <c r="F2100" t="s">
        <v>245</v>
      </c>
      <c r="G2100" t="s">
        <v>246</v>
      </c>
      <c r="N2100" t="s">
        <v>1230</v>
      </c>
      <c r="O2100" t="s">
        <v>248</v>
      </c>
      <c r="P2100" t="s">
        <v>249</v>
      </c>
      <c r="Q2100" t="s">
        <v>250</v>
      </c>
      <c r="R2100" t="s">
        <v>251</v>
      </c>
      <c r="T2100" t="s">
        <v>252</v>
      </c>
      <c r="U2100" t="s">
        <v>253</v>
      </c>
      <c r="V2100" t="s">
        <v>1231</v>
      </c>
      <c r="W2100" t="s">
        <v>1232</v>
      </c>
      <c r="X2100" t="s">
        <v>1233</v>
      </c>
      <c r="Z2100" t="s">
        <v>1046</v>
      </c>
      <c r="AA2100" t="s">
        <v>289</v>
      </c>
      <c r="AB2100">
        <v>8</v>
      </c>
      <c r="AG2100" t="s">
        <v>353</v>
      </c>
      <c r="AM2100" t="s">
        <v>258</v>
      </c>
      <c r="AN2100" t="s">
        <v>259</v>
      </c>
      <c r="AO2100" t="s">
        <v>260</v>
      </c>
      <c r="AP2100">
        <v>7</v>
      </c>
      <c r="AQ2100" t="s">
        <v>261</v>
      </c>
      <c r="AS2100">
        <v>47.8</v>
      </c>
      <c r="AU2100">
        <v>37.9</v>
      </c>
      <c r="AW2100">
        <v>58</v>
      </c>
      <c r="AX2100" t="s">
        <v>262</v>
      </c>
      <c r="BO2100" t="s">
        <v>261</v>
      </c>
      <c r="BQ2100">
        <v>4.7800000000000002E-2</v>
      </c>
      <c r="BS2100">
        <v>3.7900000000000003E-2</v>
      </c>
      <c r="BU2100">
        <v>5.8000000000000003E-2</v>
      </c>
      <c r="BV2100" t="s">
        <v>263</v>
      </c>
      <c r="CM2100" t="s">
        <v>264</v>
      </c>
      <c r="CN2100" t="s">
        <v>264</v>
      </c>
      <c r="CP2100" t="s">
        <v>265</v>
      </c>
      <c r="CQ2100" t="s">
        <v>890</v>
      </c>
      <c r="DB2100">
        <v>4</v>
      </c>
      <c r="DG2100" t="s">
        <v>267</v>
      </c>
      <c r="DI2100">
        <v>96</v>
      </c>
      <c r="DN2100" t="s">
        <v>268</v>
      </c>
      <c r="DP2100" t="s">
        <v>3608</v>
      </c>
      <c r="DS2100">
        <v>4771</v>
      </c>
      <c r="DT2100" t="s">
        <v>1235</v>
      </c>
      <c r="EW2100" t="s">
        <v>293</v>
      </c>
      <c r="FA2100" t="s">
        <v>397</v>
      </c>
      <c r="FK2100" t="s">
        <v>3609</v>
      </c>
      <c r="FM2100">
        <v>22</v>
      </c>
      <c r="FR2100" t="s">
        <v>295</v>
      </c>
      <c r="GO2100">
        <v>8</v>
      </c>
      <c r="GU2100">
        <v>35</v>
      </c>
      <c r="GZ2100" t="s">
        <v>362</v>
      </c>
      <c r="HH2100" t="s">
        <v>272</v>
      </c>
      <c r="ID2100" t="s">
        <v>3610</v>
      </c>
      <c r="IE2100" t="s">
        <v>1238</v>
      </c>
      <c r="IF2100">
        <v>97270</v>
      </c>
      <c r="IG2100" t="s">
        <v>1239</v>
      </c>
      <c r="IH2100" t="s">
        <v>1240</v>
      </c>
      <c r="II2100">
        <v>2006</v>
      </c>
      <c r="IJ2100" t="s">
        <v>1241</v>
      </c>
    </row>
    <row r="2101" spans="1:244" x14ac:dyDescent="0.45">
      <c r="A2101">
        <v>1129764</v>
      </c>
      <c r="B2101">
        <v>85195</v>
      </c>
      <c r="C2101">
        <v>10108642</v>
      </c>
      <c r="D2101" t="s">
        <v>3523</v>
      </c>
      <c r="F2101" t="s">
        <v>327</v>
      </c>
      <c r="G2101" t="s">
        <v>246</v>
      </c>
      <c r="N2101" t="s">
        <v>3756</v>
      </c>
      <c r="O2101" t="s">
        <v>370</v>
      </c>
      <c r="P2101" t="s">
        <v>249</v>
      </c>
      <c r="Q2101" t="s">
        <v>250</v>
      </c>
      <c r="R2101" t="s">
        <v>251</v>
      </c>
      <c r="T2101" t="s">
        <v>252</v>
      </c>
      <c r="U2101" t="s">
        <v>371</v>
      </c>
      <c r="V2101" t="s">
        <v>372</v>
      </c>
      <c r="W2101" t="s">
        <v>1427</v>
      </c>
      <c r="X2101" t="s">
        <v>3757</v>
      </c>
      <c r="Z2101" t="s">
        <v>315</v>
      </c>
      <c r="AM2101" t="s">
        <v>317</v>
      </c>
      <c r="AN2101" t="s">
        <v>259</v>
      </c>
      <c r="AO2101" t="s">
        <v>260</v>
      </c>
      <c r="AQ2101" t="s">
        <v>261</v>
      </c>
      <c r="AS2101">
        <v>36</v>
      </c>
      <c r="AU2101">
        <v>22</v>
      </c>
      <c r="AW2101">
        <v>81</v>
      </c>
      <c r="AX2101" t="s">
        <v>262</v>
      </c>
      <c r="BO2101" t="s">
        <v>261</v>
      </c>
      <c r="BQ2101">
        <v>3.5999999999999997E-2</v>
      </c>
      <c r="BS2101">
        <v>2.1999999999999999E-2</v>
      </c>
      <c r="BU2101">
        <v>8.1000000000000003E-2</v>
      </c>
      <c r="BV2101" t="s">
        <v>263</v>
      </c>
      <c r="CM2101" t="s">
        <v>264</v>
      </c>
      <c r="CN2101" t="s">
        <v>264</v>
      </c>
      <c r="CP2101" t="s">
        <v>265</v>
      </c>
      <c r="CQ2101" t="s">
        <v>890</v>
      </c>
      <c r="DB2101">
        <v>4</v>
      </c>
      <c r="DG2101" t="s">
        <v>267</v>
      </c>
      <c r="DI2101">
        <v>96</v>
      </c>
      <c r="DN2101" t="s">
        <v>268</v>
      </c>
      <c r="DR2101">
        <v>223651</v>
      </c>
      <c r="DS2101">
        <v>2109</v>
      </c>
      <c r="DT2101" t="s">
        <v>3758</v>
      </c>
      <c r="EW2101" t="s">
        <v>293</v>
      </c>
      <c r="FM2101">
        <v>22</v>
      </c>
      <c r="FR2101" t="s">
        <v>295</v>
      </c>
      <c r="GH2101">
        <v>4.5999999999999996</v>
      </c>
      <c r="GM2101" t="s">
        <v>356</v>
      </c>
      <c r="GO2101">
        <v>7.3</v>
      </c>
      <c r="GU2101">
        <v>20</v>
      </c>
      <c r="GZ2101" t="s">
        <v>296</v>
      </c>
      <c r="HH2101" t="s">
        <v>272</v>
      </c>
      <c r="IE2101" t="s">
        <v>3759</v>
      </c>
      <c r="IF2101">
        <v>10443</v>
      </c>
      <c r="IG2101" t="s">
        <v>3760</v>
      </c>
      <c r="IH2101" t="s">
        <v>3761</v>
      </c>
      <c r="II2101">
        <v>1982</v>
      </c>
      <c r="IJ2101" t="s">
        <v>3762</v>
      </c>
    </row>
    <row r="2102" spans="1:244" x14ac:dyDescent="0.45">
      <c r="A2102">
        <v>1204032</v>
      </c>
      <c r="B2102">
        <v>183891</v>
      </c>
      <c r="C2102">
        <v>10108642</v>
      </c>
      <c r="D2102" t="s">
        <v>3523</v>
      </c>
      <c r="F2102" t="s">
        <v>245</v>
      </c>
      <c r="G2102" t="s">
        <v>246</v>
      </c>
      <c r="N2102" t="s">
        <v>1183</v>
      </c>
      <c r="O2102" t="s">
        <v>1184</v>
      </c>
      <c r="P2102" t="s">
        <v>249</v>
      </c>
      <c r="Q2102" t="s">
        <v>250</v>
      </c>
      <c r="R2102" t="s">
        <v>251</v>
      </c>
      <c r="T2102" t="s">
        <v>252</v>
      </c>
      <c r="U2102" t="s">
        <v>253</v>
      </c>
      <c r="V2102" t="s">
        <v>418</v>
      </c>
      <c r="W2102" t="s">
        <v>419</v>
      </c>
      <c r="X2102" t="s">
        <v>393</v>
      </c>
      <c r="Z2102" t="s">
        <v>525</v>
      </c>
      <c r="AM2102" t="s">
        <v>258</v>
      </c>
      <c r="AN2102" t="s">
        <v>259</v>
      </c>
      <c r="AO2102" t="s">
        <v>260</v>
      </c>
      <c r="AQ2102" t="s">
        <v>261</v>
      </c>
      <c r="AS2102">
        <v>124</v>
      </c>
      <c r="AX2102" t="s">
        <v>262</v>
      </c>
      <c r="BO2102" t="s">
        <v>261</v>
      </c>
      <c r="BQ2102">
        <v>0.124</v>
      </c>
      <c r="BV2102" t="s">
        <v>263</v>
      </c>
      <c r="CM2102" t="s">
        <v>264</v>
      </c>
      <c r="CN2102" t="s">
        <v>264</v>
      </c>
      <c r="CP2102" t="s">
        <v>265</v>
      </c>
      <c r="CQ2102" t="s">
        <v>890</v>
      </c>
      <c r="DB2102">
        <v>2</v>
      </c>
      <c r="DG2102" t="s">
        <v>267</v>
      </c>
      <c r="DI2102">
        <v>48</v>
      </c>
      <c r="DN2102" t="s">
        <v>268</v>
      </c>
      <c r="DS2102">
        <v>388</v>
      </c>
      <c r="DT2102" t="s">
        <v>3584</v>
      </c>
      <c r="EW2102" t="s">
        <v>293</v>
      </c>
      <c r="FM2102">
        <v>25</v>
      </c>
      <c r="FR2102" t="s">
        <v>295</v>
      </c>
      <c r="GU2102">
        <v>36</v>
      </c>
      <c r="GZ2102" t="s">
        <v>296</v>
      </c>
      <c r="HH2102" t="s">
        <v>272</v>
      </c>
      <c r="IE2102" t="s">
        <v>3585</v>
      </c>
      <c r="IF2102">
        <v>18546</v>
      </c>
      <c r="IG2102" t="s">
        <v>3586</v>
      </c>
      <c r="IH2102" t="s">
        <v>3587</v>
      </c>
      <c r="II2102">
        <v>1995</v>
      </c>
      <c r="IJ2102" t="s">
        <v>3588</v>
      </c>
    </row>
    <row r="2103" spans="1:244" x14ac:dyDescent="0.45">
      <c r="A2103">
        <v>1041181</v>
      </c>
      <c r="B2103">
        <v>86366</v>
      </c>
      <c r="C2103">
        <v>10108642</v>
      </c>
      <c r="D2103" t="s">
        <v>3523</v>
      </c>
      <c r="F2103" t="s">
        <v>245</v>
      </c>
      <c r="G2103" t="s">
        <v>246</v>
      </c>
      <c r="N2103" t="s">
        <v>3835</v>
      </c>
      <c r="O2103" t="s">
        <v>3836</v>
      </c>
      <c r="P2103" t="s">
        <v>249</v>
      </c>
      <c r="Q2103" t="s">
        <v>250</v>
      </c>
      <c r="R2103" t="s">
        <v>251</v>
      </c>
      <c r="T2103" t="s">
        <v>252</v>
      </c>
      <c r="U2103" t="s">
        <v>1244</v>
      </c>
      <c r="V2103" t="s">
        <v>3837</v>
      </c>
      <c r="W2103" t="s">
        <v>3838</v>
      </c>
      <c r="X2103" t="s">
        <v>3839</v>
      </c>
      <c r="AM2103" t="s">
        <v>317</v>
      </c>
      <c r="AN2103" t="s">
        <v>259</v>
      </c>
      <c r="AO2103" t="s">
        <v>260</v>
      </c>
      <c r="AQ2103" t="s">
        <v>261</v>
      </c>
      <c r="AS2103">
        <v>7120</v>
      </c>
      <c r="AU2103">
        <v>5490</v>
      </c>
      <c r="AW2103">
        <v>9230</v>
      </c>
      <c r="AX2103" t="s">
        <v>262</v>
      </c>
      <c r="BO2103" t="s">
        <v>261</v>
      </c>
      <c r="BQ2103">
        <v>7.12</v>
      </c>
      <c r="BS2103">
        <v>5.49</v>
      </c>
      <c r="BU2103">
        <v>9.23</v>
      </c>
      <c r="BV2103" t="s">
        <v>263</v>
      </c>
      <c r="CM2103" t="s">
        <v>264</v>
      </c>
      <c r="CN2103" t="s">
        <v>264</v>
      </c>
      <c r="CP2103" t="s">
        <v>265</v>
      </c>
      <c r="DB2103">
        <v>4</v>
      </c>
      <c r="DG2103" t="s">
        <v>267</v>
      </c>
      <c r="DI2103">
        <v>96</v>
      </c>
      <c r="DN2103" t="s">
        <v>268</v>
      </c>
      <c r="DS2103">
        <v>2819</v>
      </c>
      <c r="DT2103" t="s">
        <v>3560</v>
      </c>
      <c r="EW2103" t="s">
        <v>293</v>
      </c>
      <c r="FM2103">
        <v>19.5</v>
      </c>
      <c r="FR2103" t="s">
        <v>295</v>
      </c>
      <c r="GG2103" t="s">
        <v>288</v>
      </c>
      <c r="GH2103">
        <v>7</v>
      </c>
      <c r="GM2103" t="s">
        <v>356</v>
      </c>
      <c r="GU2103">
        <v>35</v>
      </c>
      <c r="GZ2103" t="s">
        <v>296</v>
      </c>
      <c r="HH2103" t="s">
        <v>272</v>
      </c>
      <c r="IE2103" t="s">
        <v>3561</v>
      </c>
      <c r="IF2103">
        <v>2621</v>
      </c>
      <c r="IG2103" t="s">
        <v>3562</v>
      </c>
      <c r="IH2103" t="s">
        <v>3563</v>
      </c>
      <c r="II2103">
        <v>1987</v>
      </c>
      <c r="IJ2103" t="s">
        <v>3564</v>
      </c>
    </row>
    <row r="2104" spans="1:244" x14ac:dyDescent="0.45">
      <c r="A2104">
        <v>1139071</v>
      </c>
      <c r="B2104">
        <v>232030</v>
      </c>
      <c r="C2104">
        <v>10108642</v>
      </c>
      <c r="D2104" t="s">
        <v>3523</v>
      </c>
      <c r="E2104" t="s">
        <v>3539</v>
      </c>
      <c r="F2104" t="s">
        <v>327</v>
      </c>
      <c r="G2104" t="s">
        <v>246</v>
      </c>
      <c r="N2104" t="s">
        <v>3540</v>
      </c>
      <c r="O2104" t="s">
        <v>248</v>
      </c>
      <c r="P2104" t="s">
        <v>249</v>
      </c>
      <c r="Q2104" t="s">
        <v>250</v>
      </c>
      <c r="R2104" t="s">
        <v>251</v>
      </c>
      <c r="T2104" t="s">
        <v>252</v>
      </c>
      <c r="U2104" t="s">
        <v>253</v>
      </c>
      <c r="V2104" t="s">
        <v>1231</v>
      </c>
      <c r="W2104" t="s">
        <v>3541</v>
      </c>
      <c r="X2104" t="s">
        <v>3542</v>
      </c>
      <c r="AJ2104" t="s">
        <v>285</v>
      </c>
      <c r="AL2104" t="s">
        <v>3543</v>
      </c>
      <c r="AM2104" t="s">
        <v>317</v>
      </c>
      <c r="AN2104" t="s">
        <v>259</v>
      </c>
      <c r="AO2104" t="s">
        <v>260</v>
      </c>
      <c r="AQ2104" t="s">
        <v>261</v>
      </c>
      <c r="AS2104">
        <v>69.5</v>
      </c>
      <c r="AU2104">
        <v>66.400000000000006</v>
      </c>
      <c r="AW2104">
        <v>72.599999999999994</v>
      </c>
      <c r="AX2104" t="s">
        <v>356</v>
      </c>
      <c r="BO2104" t="s">
        <v>261</v>
      </c>
      <c r="BQ2104">
        <v>69.5</v>
      </c>
      <c r="BS2104">
        <v>66.400000000000006</v>
      </c>
      <c r="BU2104">
        <v>72.599999999999994</v>
      </c>
      <c r="BV2104" t="s">
        <v>263</v>
      </c>
      <c r="CM2104" t="s">
        <v>264</v>
      </c>
      <c r="CN2104" t="s">
        <v>264</v>
      </c>
      <c r="CP2104" t="s">
        <v>265</v>
      </c>
      <c r="CQ2104" t="s">
        <v>890</v>
      </c>
      <c r="DB2104">
        <v>1</v>
      </c>
      <c r="DG2104" t="s">
        <v>267</v>
      </c>
      <c r="DI2104">
        <v>24</v>
      </c>
      <c r="DN2104" t="s">
        <v>268</v>
      </c>
      <c r="DR2104">
        <v>151182</v>
      </c>
      <c r="DS2104">
        <v>11260</v>
      </c>
      <c r="EW2104" t="s">
        <v>272</v>
      </c>
      <c r="FK2104" t="s">
        <v>442</v>
      </c>
      <c r="FM2104">
        <v>15</v>
      </c>
      <c r="FR2104" t="s">
        <v>295</v>
      </c>
      <c r="GU2104">
        <v>32</v>
      </c>
      <c r="GZ2104" t="s">
        <v>900</v>
      </c>
      <c r="HH2104" t="s">
        <v>272</v>
      </c>
      <c r="ID2104" t="s">
        <v>443</v>
      </c>
      <c r="IE2104" t="s">
        <v>3546</v>
      </c>
      <c r="IF2104">
        <v>11524</v>
      </c>
      <c r="IG2104" t="s">
        <v>3547</v>
      </c>
      <c r="IH2104" t="s">
        <v>3548</v>
      </c>
      <c r="II2104">
        <v>1983</v>
      </c>
      <c r="IJ2104" t="s">
        <v>3549</v>
      </c>
    </row>
    <row r="2105" spans="1:244" x14ac:dyDescent="0.45">
      <c r="A2105">
        <v>1304651</v>
      </c>
      <c r="B2105">
        <v>761299</v>
      </c>
      <c r="C2105">
        <v>10108642</v>
      </c>
      <c r="D2105" t="s">
        <v>3523</v>
      </c>
      <c r="F2105" t="s">
        <v>245</v>
      </c>
      <c r="G2105" t="s">
        <v>246</v>
      </c>
      <c r="N2105" t="s">
        <v>1230</v>
      </c>
      <c r="O2105" t="s">
        <v>248</v>
      </c>
      <c r="P2105" t="s">
        <v>249</v>
      </c>
      <c r="Q2105" t="s">
        <v>250</v>
      </c>
      <c r="R2105" t="s">
        <v>251</v>
      </c>
      <c r="T2105" t="s">
        <v>252</v>
      </c>
      <c r="U2105" t="s">
        <v>253</v>
      </c>
      <c r="V2105" t="s">
        <v>1231</v>
      </c>
      <c r="W2105" t="s">
        <v>1232</v>
      </c>
      <c r="X2105" t="s">
        <v>1233</v>
      </c>
      <c r="Z2105" t="s">
        <v>919</v>
      </c>
      <c r="AM2105" t="s">
        <v>258</v>
      </c>
      <c r="AN2105" t="s">
        <v>259</v>
      </c>
      <c r="AO2105" t="s">
        <v>260</v>
      </c>
      <c r="AP2105">
        <v>7</v>
      </c>
      <c r="AQ2105" t="s">
        <v>261</v>
      </c>
      <c r="AS2105">
        <v>283.2</v>
      </c>
      <c r="AU2105">
        <v>246.2</v>
      </c>
      <c r="AW2105">
        <v>325.8</v>
      </c>
      <c r="AX2105" t="s">
        <v>356</v>
      </c>
      <c r="BO2105" t="s">
        <v>261</v>
      </c>
      <c r="BQ2105">
        <v>283.2</v>
      </c>
      <c r="BS2105">
        <v>246.2</v>
      </c>
      <c r="BU2105">
        <v>325.8</v>
      </c>
      <c r="BV2105" t="s">
        <v>263</v>
      </c>
      <c r="CM2105" t="s">
        <v>264</v>
      </c>
      <c r="CN2105" t="s">
        <v>264</v>
      </c>
      <c r="CP2105" t="s">
        <v>265</v>
      </c>
      <c r="CQ2105" t="s">
        <v>890</v>
      </c>
      <c r="DB2105">
        <v>1</v>
      </c>
      <c r="DG2105" t="s">
        <v>267</v>
      </c>
      <c r="DI2105">
        <v>24</v>
      </c>
      <c r="DN2105" t="s">
        <v>268</v>
      </c>
      <c r="DP2105" t="s">
        <v>3608</v>
      </c>
      <c r="DS2105">
        <v>4771</v>
      </c>
      <c r="DT2105" t="s">
        <v>1235</v>
      </c>
      <c r="EW2105" t="s">
        <v>293</v>
      </c>
      <c r="FA2105" t="s">
        <v>397</v>
      </c>
      <c r="FK2105" t="s">
        <v>3649</v>
      </c>
      <c r="FM2105">
        <v>22</v>
      </c>
      <c r="FR2105" t="s">
        <v>295</v>
      </c>
      <c r="GO2105">
        <v>8</v>
      </c>
      <c r="GU2105">
        <v>35</v>
      </c>
      <c r="GZ2105" t="s">
        <v>362</v>
      </c>
      <c r="HH2105" t="s">
        <v>272</v>
      </c>
      <c r="ID2105" t="s">
        <v>3650</v>
      </c>
      <c r="IE2105" t="s">
        <v>1238</v>
      </c>
      <c r="IF2105">
        <v>97270</v>
      </c>
      <c r="IG2105" t="s">
        <v>1239</v>
      </c>
      <c r="IH2105" t="s">
        <v>1240</v>
      </c>
      <c r="II2105">
        <v>2006</v>
      </c>
      <c r="IJ2105" t="s">
        <v>1241</v>
      </c>
    </row>
    <row r="2106" spans="1:244" x14ac:dyDescent="0.45">
      <c r="A2106">
        <v>1176456</v>
      </c>
      <c r="B2106">
        <v>131557</v>
      </c>
      <c r="C2106">
        <v>10108642</v>
      </c>
      <c r="D2106" t="s">
        <v>3523</v>
      </c>
      <c r="F2106" t="s">
        <v>245</v>
      </c>
      <c r="G2106" t="s">
        <v>246</v>
      </c>
      <c r="N2106" t="s">
        <v>3524</v>
      </c>
      <c r="O2106" t="s">
        <v>498</v>
      </c>
      <c r="P2106" t="s">
        <v>249</v>
      </c>
      <c r="Q2106" t="s">
        <v>250</v>
      </c>
      <c r="R2106" t="s">
        <v>251</v>
      </c>
      <c r="T2106" t="s">
        <v>252</v>
      </c>
      <c r="U2106" t="s">
        <v>1244</v>
      </c>
      <c r="V2106" t="s">
        <v>1314</v>
      </c>
      <c r="W2106" t="s">
        <v>3525</v>
      </c>
      <c r="X2106" t="s">
        <v>3526</v>
      </c>
      <c r="AM2106" t="s">
        <v>317</v>
      </c>
      <c r="AN2106" t="s">
        <v>259</v>
      </c>
      <c r="AO2106" t="s">
        <v>260</v>
      </c>
      <c r="AQ2106" t="s">
        <v>261</v>
      </c>
      <c r="AS2106">
        <v>6250</v>
      </c>
      <c r="AX2106" t="s">
        <v>262</v>
      </c>
      <c r="BO2106" t="s">
        <v>261</v>
      </c>
      <c r="BQ2106">
        <v>6.25</v>
      </c>
      <c r="BV2106" t="s">
        <v>263</v>
      </c>
      <c r="CM2106" t="s">
        <v>264</v>
      </c>
      <c r="CN2106" t="s">
        <v>264</v>
      </c>
      <c r="CP2106" t="s">
        <v>265</v>
      </c>
      <c r="CQ2106" t="s">
        <v>890</v>
      </c>
      <c r="DB2106">
        <v>3</v>
      </c>
      <c r="DG2106" t="s">
        <v>267</v>
      </c>
      <c r="DI2106">
        <v>72</v>
      </c>
      <c r="DN2106" t="s">
        <v>268</v>
      </c>
      <c r="DR2106">
        <v>1131516</v>
      </c>
      <c r="DS2106">
        <v>4704</v>
      </c>
      <c r="EW2106" t="s">
        <v>271</v>
      </c>
      <c r="HH2106" t="s">
        <v>272</v>
      </c>
      <c r="IE2106" t="s">
        <v>3527</v>
      </c>
      <c r="IF2106">
        <v>15300</v>
      </c>
      <c r="IG2106" t="s">
        <v>3528</v>
      </c>
      <c r="IH2106" t="s">
        <v>3529</v>
      </c>
      <c r="II2106">
        <v>1979</v>
      </c>
      <c r="IJ2106" t="s">
        <v>3530</v>
      </c>
    </row>
    <row r="2107" spans="1:244" x14ac:dyDescent="0.45">
      <c r="A2107">
        <v>1111525</v>
      </c>
      <c r="B2107">
        <v>73182</v>
      </c>
      <c r="C2107">
        <v>10108642</v>
      </c>
      <c r="D2107" t="s">
        <v>3523</v>
      </c>
      <c r="F2107" t="s">
        <v>245</v>
      </c>
      <c r="G2107" t="s">
        <v>246</v>
      </c>
      <c r="N2107" t="s">
        <v>3565</v>
      </c>
      <c r="O2107" t="s">
        <v>1783</v>
      </c>
      <c r="P2107" t="s">
        <v>249</v>
      </c>
      <c r="Q2107" t="s">
        <v>250</v>
      </c>
      <c r="R2107" t="s">
        <v>251</v>
      </c>
      <c r="T2107" t="s">
        <v>252</v>
      </c>
      <c r="U2107" t="s">
        <v>253</v>
      </c>
      <c r="V2107" t="s">
        <v>1735</v>
      </c>
      <c r="W2107" t="s">
        <v>1784</v>
      </c>
      <c r="X2107" t="s">
        <v>1984</v>
      </c>
      <c r="Z2107" t="s">
        <v>315</v>
      </c>
      <c r="AL2107" t="s">
        <v>3566</v>
      </c>
      <c r="AM2107" t="s">
        <v>258</v>
      </c>
      <c r="AN2107" t="s">
        <v>259</v>
      </c>
      <c r="AO2107" t="s">
        <v>260</v>
      </c>
      <c r="AQ2107" t="s">
        <v>261</v>
      </c>
      <c r="AS2107">
        <v>32200</v>
      </c>
      <c r="AX2107" t="s">
        <v>262</v>
      </c>
      <c r="BO2107" t="s">
        <v>261</v>
      </c>
      <c r="BQ2107">
        <v>32.200000000000003</v>
      </c>
      <c r="BV2107" t="s">
        <v>263</v>
      </c>
      <c r="CM2107" t="s">
        <v>264</v>
      </c>
      <c r="CN2107" t="s">
        <v>264</v>
      </c>
      <c r="CP2107" t="s">
        <v>265</v>
      </c>
      <c r="CQ2107" t="s">
        <v>890</v>
      </c>
      <c r="DB2107">
        <v>4</v>
      </c>
      <c r="DG2107" t="s">
        <v>267</v>
      </c>
      <c r="DI2107">
        <v>96</v>
      </c>
      <c r="DN2107" t="s">
        <v>268</v>
      </c>
      <c r="DP2107" t="s">
        <v>570</v>
      </c>
      <c r="DR2107">
        <v>6772</v>
      </c>
      <c r="DS2107">
        <v>745</v>
      </c>
      <c r="EW2107" t="s">
        <v>271</v>
      </c>
      <c r="FM2107">
        <v>20</v>
      </c>
      <c r="FR2107" t="s">
        <v>295</v>
      </c>
      <c r="GU2107">
        <v>10</v>
      </c>
      <c r="GZ2107" t="s">
        <v>296</v>
      </c>
      <c r="HH2107" t="s">
        <v>272</v>
      </c>
      <c r="IE2107" t="s">
        <v>3567</v>
      </c>
      <c r="IF2107">
        <v>8412</v>
      </c>
      <c r="IG2107" t="s">
        <v>3568</v>
      </c>
      <c r="IH2107" t="s">
        <v>3569</v>
      </c>
      <c r="II2107">
        <v>1973</v>
      </c>
      <c r="IJ2107" t="s">
        <v>3570</v>
      </c>
    </row>
    <row r="2108" spans="1:244" x14ac:dyDescent="0.45">
      <c r="A2108">
        <v>1146885</v>
      </c>
      <c r="B2108">
        <v>104723</v>
      </c>
      <c r="C2108">
        <v>10108642</v>
      </c>
      <c r="D2108" t="s">
        <v>3523</v>
      </c>
      <c r="F2108" t="s">
        <v>245</v>
      </c>
      <c r="G2108" t="s">
        <v>246</v>
      </c>
      <c r="N2108" t="s">
        <v>247</v>
      </c>
      <c r="O2108" t="s">
        <v>248</v>
      </c>
      <c r="P2108" t="s">
        <v>249</v>
      </c>
      <c r="Q2108" t="s">
        <v>250</v>
      </c>
      <c r="R2108" t="s">
        <v>251</v>
      </c>
      <c r="T2108" t="s">
        <v>252</v>
      </c>
      <c r="U2108" t="s">
        <v>253</v>
      </c>
      <c r="V2108" t="s">
        <v>254</v>
      </c>
      <c r="W2108" t="s">
        <v>255</v>
      </c>
      <c r="X2108" t="s">
        <v>256</v>
      </c>
      <c r="AL2108" t="s">
        <v>257</v>
      </c>
      <c r="AM2108" t="s">
        <v>258</v>
      </c>
      <c r="AN2108" t="s">
        <v>259</v>
      </c>
      <c r="AO2108" t="s">
        <v>260</v>
      </c>
      <c r="AQ2108" t="s">
        <v>261</v>
      </c>
      <c r="AS2108">
        <v>18000</v>
      </c>
      <c r="AU2108">
        <v>15240</v>
      </c>
      <c r="AW2108">
        <v>21360</v>
      </c>
      <c r="AX2108" t="s">
        <v>262</v>
      </c>
      <c r="BO2108" t="s">
        <v>261</v>
      </c>
      <c r="BQ2108">
        <v>18</v>
      </c>
      <c r="BS2108">
        <v>15.24</v>
      </c>
      <c r="BU2108">
        <v>21.36</v>
      </c>
      <c r="BV2108" t="s">
        <v>263</v>
      </c>
      <c r="CM2108" t="s">
        <v>264</v>
      </c>
      <c r="CN2108" t="s">
        <v>264</v>
      </c>
      <c r="CP2108" t="s">
        <v>265</v>
      </c>
      <c r="CQ2108" t="s">
        <v>890</v>
      </c>
      <c r="DB2108">
        <v>4</v>
      </c>
      <c r="DG2108" t="s">
        <v>267</v>
      </c>
      <c r="DI2108">
        <v>96</v>
      </c>
      <c r="DN2108" t="s">
        <v>268</v>
      </c>
      <c r="DR2108">
        <v>6761</v>
      </c>
      <c r="DS2108">
        <v>2461</v>
      </c>
      <c r="DT2108" t="s">
        <v>270</v>
      </c>
      <c r="EW2108" t="s">
        <v>271</v>
      </c>
      <c r="HH2108" t="s">
        <v>272</v>
      </c>
      <c r="IE2108" t="s">
        <v>273</v>
      </c>
      <c r="IF2108">
        <v>12413</v>
      </c>
      <c r="IG2108" t="s">
        <v>274</v>
      </c>
      <c r="IH2108" t="s">
        <v>275</v>
      </c>
      <c r="II2108">
        <v>1987</v>
      </c>
      <c r="IJ2108" t="s">
        <v>276</v>
      </c>
    </row>
    <row r="2109" spans="1:244" x14ac:dyDescent="0.45">
      <c r="A2109">
        <v>1125823</v>
      </c>
      <c r="B2109">
        <v>95002</v>
      </c>
      <c r="C2109">
        <v>10108642</v>
      </c>
      <c r="D2109" t="s">
        <v>3523</v>
      </c>
      <c r="F2109" t="s">
        <v>245</v>
      </c>
      <c r="G2109" t="s">
        <v>246</v>
      </c>
      <c r="N2109" t="s">
        <v>2031</v>
      </c>
      <c r="O2109" t="s">
        <v>248</v>
      </c>
      <c r="P2109" t="s">
        <v>249</v>
      </c>
      <c r="Q2109" t="s">
        <v>250</v>
      </c>
      <c r="R2109" t="s">
        <v>251</v>
      </c>
      <c r="T2109" t="s">
        <v>252</v>
      </c>
      <c r="U2109" t="s">
        <v>253</v>
      </c>
      <c r="V2109" t="s">
        <v>254</v>
      </c>
      <c r="W2109" t="s">
        <v>1915</v>
      </c>
      <c r="X2109" t="s">
        <v>2032</v>
      </c>
      <c r="Z2109" t="s">
        <v>284</v>
      </c>
      <c r="AA2109" t="s">
        <v>352</v>
      </c>
      <c r="AB2109">
        <v>12</v>
      </c>
      <c r="AG2109" t="s">
        <v>268</v>
      </c>
      <c r="AL2109" t="s">
        <v>2033</v>
      </c>
      <c r="AM2109" t="s">
        <v>317</v>
      </c>
      <c r="AN2109" t="s">
        <v>259</v>
      </c>
      <c r="AO2109" t="s">
        <v>260</v>
      </c>
      <c r="AQ2109" t="s">
        <v>261</v>
      </c>
      <c r="AS2109">
        <v>0.25</v>
      </c>
      <c r="AU2109">
        <v>0.22</v>
      </c>
      <c r="AW2109">
        <v>0.28999999999999998</v>
      </c>
      <c r="AX2109" t="s">
        <v>356</v>
      </c>
      <c r="BO2109" t="s">
        <v>261</v>
      </c>
      <c r="BQ2109">
        <v>0.25</v>
      </c>
      <c r="BS2109">
        <v>0.22</v>
      </c>
      <c r="BU2109">
        <v>0.28999999999999998</v>
      </c>
      <c r="BV2109" t="s">
        <v>263</v>
      </c>
      <c r="CM2109" t="s">
        <v>264</v>
      </c>
      <c r="CN2109" t="s">
        <v>264</v>
      </c>
      <c r="CP2109" t="s">
        <v>265</v>
      </c>
      <c r="DB2109">
        <v>2</v>
      </c>
      <c r="DG2109" t="s">
        <v>267</v>
      </c>
      <c r="DI2109">
        <v>48</v>
      </c>
      <c r="DN2109" t="s">
        <v>268</v>
      </c>
      <c r="DR2109">
        <v>411673</v>
      </c>
      <c r="DS2109">
        <v>2489</v>
      </c>
      <c r="DT2109" t="s">
        <v>1918</v>
      </c>
      <c r="EW2109" t="s">
        <v>333</v>
      </c>
      <c r="FK2109" t="s">
        <v>2034</v>
      </c>
      <c r="FM2109">
        <v>26</v>
      </c>
      <c r="FR2109" t="s">
        <v>295</v>
      </c>
      <c r="GU2109">
        <v>35</v>
      </c>
      <c r="GZ2109" t="s">
        <v>296</v>
      </c>
      <c r="HH2109" t="s">
        <v>272</v>
      </c>
      <c r="ID2109" t="s">
        <v>2035</v>
      </c>
      <c r="IE2109" t="s">
        <v>1921</v>
      </c>
      <c r="IF2109">
        <v>10063</v>
      </c>
      <c r="IG2109" t="s">
        <v>1922</v>
      </c>
      <c r="IH2109" t="s">
        <v>1923</v>
      </c>
      <c r="II2109">
        <v>1983</v>
      </c>
      <c r="IJ2109" t="s">
        <v>1924</v>
      </c>
    </row>
    <row r="2110" spans="1:244" x14ac:dyDescent="0.45">
      <c r="A2110">
        <v>1056740</v>
      </c>
      <c r="B2110">
        <v>17337</v>
      </c>
      <c r="C2110">
        <v>10108642</v>
      </c>
      <c r="D2110" t="s">
        <v>3523</v>
      </c>
      <c r="E2110" t="s">
        <v>622</v>
      </c>
      <c r="F2110" t="s">
        <v>245</v>
      </c>
      <c r="G2110" t="s">
        <v>246</v>
      </c>
      <c r="N2110" t="s">
        <v>1426</v>
      </c>
      <c r="O2110" t="s">
        <v>370</v>
      </c>
      <c r="P2110" t="s">
        <v>249</v>
      </c>
      <c r="Q2110" t="s">
        <v>250</v>
      </c>
      <c r="R2110" t="s">
        <v>251</v>
      </c>
      <c r="T2110" t="s">
        <v>252</v>
      </c>
      <c r="U2110" t="s">
        <v>371</v>
      </c>
      <c r="V2110" t="s">
        <v>372</v>
      </c>
      <c r="W2110" t="s">
        <v>1427</v>
      </c>
      <c r="X2110" t="s">
        <v>1428</v>
      </c>
      <c r="AM2110" t="s">
        <v>287</v>
      </c>
      <c r="AN2110" t="s">
        <v>259</v>
      </c>
      <c r="AO2110" t="s">
        <v>260</v>
      </c>
      <c r="AQ2110" t="s">
        <v>1569</v>
      </c>
      <c r="AS2110">
        <v>3.9</v>
      </c>
      <c r="AX2110" t="s">
        <v>262</v>
      </c>
      <c r="BO2110" t="s">
        <v>1569</v>
      </c>
      <c r="BQ2110">
        <v>3.8999999999999998E-3</v>
      </c>
      <c r="BV2110" t="s">
        <v>263</v>
      </c>
      <c r="CM2110" t="s">
        <v>264</v>
      </c>
      <c r="CN2110" t="s">
        <v>264</v>
      </c>
      <c r="CP2110" t="s">
        <v>265</v>
      </c>
      <c r="CQ2110" t="s">
        <v>890</v>
      </c>
      <c r="DB2110">
        <v>4</v>
      </c>
      <c r="DG2110" t="s">
        <v>267</v>
      </c>
      <c r="DI2110">
        <v>96</v>
      </c>
      <c r="DN2110" t="s">
        <v>268</v>
      </c>
      <c r="DR2110">
        <v>223650</v>
      </c>
      <c r="DS2110">
        <v>1577</v>
      </c>
      <c r="DT2110" t="s">
        <v>3708</v>
      </c>
      <c r="EW2110" t="s">
        <v>293</v>
      </c>
      <c r="FA2110" t="s">
        <v>320</v>
      </c>
      <c r="FM2110">
        <v>15</v>
      </c>
      <c r="FR2110" t="s">
        <v>295</v>
      </c>
      <c r="GU2110">
        <v>28</v>
      </c>
      <c r="GZ2110" t="s">
        <v>296</v>
      </c>
      <c r="HH2110" t="s">
        <v>272</v>
      </c>
      <c r="IE2110" t="s">
        <v>3709</v>
      </c>
      <c r="IF2110">
        <v>4037</v>
      </c>
      <c r="IG2110" t="s">
        <v>3710</v>
      </c>
      <c r="IH2110" t="s">
        <v>3711</v>
      </c>
      <c r="II2110">
        <v>1998</v>
      </c>
      <c r="IJ2110" t="s">
        <v>3712</v>
      </c>
    </row>
    <row r="2111" spans="1:244" x14ac:dyDescent="0.45">
      <c r="A2111">
        <v>1139082</v>
      </c>
      <c r="B2111">
        <v>232041</v>
      </c>
      <c r="C2111">
        <v>10108642</v>
      </c>
      <c r="D2111" t="s">
        <v>3523</v>
      </c>
      <c r="E2111" t="s">
        <v>3539</v>
      </c>
      <c r="F2111" t="s">
        <v>327</v>
      </c>
      <c r="G2111" t="s">
        <v>246</v>
      </c>
      <c r="N2111" t="s">
        <v>3540</v>
      </c>
      <c r="O2111" t="s">
        <v>248</v>
      </c>
      <c r="P2111" t="s">
        <v>249</v>
      </c>
      <c r="Q2111" t="s">
        <v>250</v>
      </c>
      <c r="R2111" t="s">
        <v>251</v>
      </c>
      <c r="T2111" t="s">
        <v>252</v>
      </c>
      <c r="U2111" t="s">
        <v>253</v>
      </c>
      <c r="V2111" t="s">
        <v>1231</v>
      </c>
      <c r="W2111" t="s">
        <v>3541</v>
      </c>
      <c r="X2111" t="s">
        <v>3542</v>
      </c>
      <c r="AJ2111" t="s">
        <v>285</v>
      </c>
      <c r="AL2111" t="s">
        <v>3543</v>
      </c>
      <c r="AM2111" t="s">
        <v>317</v>
      </c>
      <c r="AN2111" t="s">
        <v>259</v>
      </c>
      <c r="AO2111" t="s">
        <v>260</v>
      </c>
      <c r="AQ2111" t="s">
        <v>261</v>
      </c>
      <c r="AS2111">
        <v>37</v>
      </c>
      <c r="AU2111">
        <v>35</v>
      </c>
      <c r="AW2111">
        <v>39</v>
      </c>
      <c r="AX2111" t="s">
        <v>356</v>
      </c>
      <c r="BO2111" t="s">
        <v>261</v>
      </c>
      <c r="BQ2111">
        <v>37</v>
      </c>
      <c r="BS2111">
        <v>35</v>
      </c>
      <c r="BU2111">
        <v>39</v>
      </c>
      <c r="BV2111" t="s">
        <v>263</v>
      </c>
      <c r="CM2111" t="s">
        <v>264</v>
      </c>
      <c r="CN2111" t="s">
        <v>264</v>
      </c>
      <c r="CP2111" t="s">
        <v>265</v>
      </c>
      <c r="CQ2111" t="s">
        <v>890</v>
      </c>
      <c r="DB2111">
        <v>4</v>
      </c>
      <c r="DG2111" t="s">
        <v>267</v>
      </c>
      <c r="DI2111">
        <v>96</v>
      </c>
      <c r="DN2111" t="s">
        <v>268</v>
      </c>
      <c r="DR2111">
        <v>151182</v>
      </c>
      <c r="DS2111">
        <v>11260</v>
      </c>
      <c r="EW2111" t="s">
        <v>272</v>
      </c>
      <c r="FK2111" t="s">
        <v>3797</v>
      </c>
      <c r="FM2111">
        <v>25</v>
      </c>
      <c r="FR2111" t="s">
        <v>295</v>
      </c>
      <c r="GU2111">
        <v>10</v>
      </c>
      <c r="GZ2111" t="s">
        <v>900</v>
      </c>
      <c r="HH2111" t="s">
        <v>272</v>
      </c>
      <c r="ID2111" t="s">
        <v>3798</v>
      </c>
      <c r="IE2111" t="s">
        <v>3546</v>
      </c>
      <c r="IF2111">
        <v>11524</v>
      </c>
      <c r="IG2111" t="s">
        <v>3547</v>
      </c>
      <c r="IH2111" t="s">
        <v>3548</v>
      </c>
      <c r="II2111">
        <v>1983</v>
      </c>
      <c r="IJ2111" t="s">
        <v>3549</v>
      </c>
    </row>
    <row r="2112" spans="1:244" x14ac:dyDescent="0.45">
      <c r="A2112">
        <v>1139088</v>
      </c>
      <c r="B2112">
        <v>232047</v>
      </c>
      <c r="C2112">
        <v>10108642</v>
      </c>
      <c r="D2112" t="s">
        <v>3523</v>
      </c>
      <c r="E2112" t="s">
        <v>3539</v>
      </c>
      <c r="F2112" t="s">
        <v>327</v>
      </c>
      <c r="G2112" t="s">
        <v>246</v>
      </c>
      <c r="N2112" t="s">
        <v>3540</v>
      </c>
      <c r="O2112" t="s">
        <v>248</v>
      </c>
      <c r="P2112" t="s">
        <v>249</v>
      </c>
      <c r="Q2112" t="s">
        <v>250</v>
      </c>
      <c r="R2112" t="s">
        <v>251</v>
      </c>
      <c r="T2112" t="s">
        <v>252</v>
      </c>
      <c r="U2112" t="s">
        <v>253</v>
      </c>
      <c r="V2112" t="s">
        <v>1231</v>
      </c>
      <c r="W2112" t="s">
        <v>3541</v>
      </c>
      <c r="X2112" t="s">
        <v>3542</v>
      </c>
      <c r="AJ2112" t="s">
        <v>285</v>
      </c>
      <c r="AL2112" t="s">
        <v>3543</v>
      </c>
      <c r="AM2112" t="s">
        <v>317</v>
      </c>
      <c r="AN2112" t="s">
        <v>259</v>
      </c>
      <c r="AO2112" t="s">
        <v>260</v>
      </c>
      <c r="AQ2112" t="s">
        <v>261</v>
      </c>
      <c r="AS2112">
        <v>18.399999999999999</v>
      </c>
      <c r="AU2112">
        <v>16.7</v>
      </c>
      <c r="AW2112">
        <v>20.100000000000001</v>
      </c>
      <c r="AX2112" t="s">
        <v>356</v>
      </c>
      <c r="BO2112" t="s">
        <v>261</v>
      </c>
      <c r="BQ2112">
        <v>18.399999999999999</v>
      </c>
      <c r="BS2112">
        <v>16.7</v>
      </c>
      <c r="BU2112">
        <v>20.100000000000001</v>
      </c>
      <c r="BV2112" t="s">
        <v>263</v>
      </c>
      <c r="CM2112" t="s">
        <v>264</v>
      </c>
      <c r="CN2112" t="s">
        <v>264</v>
      </c>
      <c r="CP2112" t="s">
        <v>265</v>
      </c>
      <c r="CQ2112" t="s">
        <v>890</v>
      </c>
      <c r="DB2112">
        <v>4</v>
      </c>
      <c r="DG2112" t="s">
        <v>267</v>
      </c>
      <c r="DI2112">
        <v>96</v>
      </c>
      <c r="DN2112" t="s">
        <v>268</v>
      </c>
      <c r="DR2112">
        <v>151182</v>
      </c>
      <c r="DS2112">
        <v>11260</v>
      </c>
      <c r="EW2112" t="s">
        <v>272</v>
      </c>
      <c r="FK2112" t="s">
        <v>3820</v>
      </c>
      <c r="FM2112">
        <v>32</v>
      </c>
      <c r="FR2112" t="s">
        <v>295</v>
      </c>
      <c r="GU2112">
        <v>10</v>
      </c>
      <c r="GZ2112" t="s">
        <v>900</v>
      </c>
      <c r="HH2112" t="s">
        <v>272</v>
      </c>
      <c r="ID2112" t="s">
        <v>3821</v>
      </c>
      <c r="IE2112" t="s">
        <v>3546</v>
      </c>
      <c r="IF2112">
        <v>11524</v>
      </c>
      <c r="IG2112" t="s">
        <v>3547</v>
      </c>
      <c r="IH2112" t="s">
        <v>3548</v>
      </c>
      <c r="II2112">
        <v>1983</v>
      </c>
      <c r="IJ2112" t="s">
        <v>3549</v>
      </c>
    </row>
    <row r="2113" spans="1:244" x14ac:dyDescent="0.45">
      <c r="A2113">
        <v>1121352</v>
      </c>
      <c r="B2113">
        <v>137697</v>
      </c>
      <c r="C2113">
        <v>10108642</v>
      </c>
      <c r="D2113" t="s">
        <v>3523</v>
      </c>
      <c r="F2113" t="s">
        <v>245</v>
      </c>
      <c r="G2113" t="s">
        <v>246</v>
      </c>
      <c r="N2113" t="s">
        <v>3800</v>
      </c>
      <c r="O2113" t="s">
        <v>498</v>
      </c>
      <c r="P2113" t="s">
        <v>249</v>
      </c>
      <c r="Q2113" t="s">
        <v>250</v>
      </c>
      <c r="R2113" t="s">
        <v>251</v>
      </c>
      <c r="T2113" t="s">
        <v>252</v>
      </c>
      <c r="U2113" t="s">
        <v>499</v>
      </c>
      <c r="V2113" t="s">
        <v>500</v>
      </c>
      <c r="W2113" t="s">
        <v>3801</v>
      </c>
      <c r="X2113" t="s">
        <v>3802</v>
      </c>
      <c r="Z2113" t="s">
        <v>919</v>
      </c>
      <c r="AM2113" t="s">
        <v>258</v>
      </c>
      <c r="AN2113" t="s">
        <v>259</v>
      </c>
      <c r="AO2113" t="s">
        <v>260</v>
      </c>
      <c r="AQ2113" t="s">
        <v>261</v>
      </c>
      <c r="AS2113">
        <v>3500</v>
      </c>
      <c r="AX2113" t="s">
        <v>262</v>
      </c>
      <c r="BO2113" t="s">
        <v>261</v>
      </c>
      <c r="BQ2113">
        <v>3.5</v>
      </c>
      <c r="BV2113" t="s">
        <v>263</v>
      </c>
      <c r="CM2113" t="s">
        <v>264</v>
      </c>
      <c r="CN2113" t="s">
        <v>264</v>
      </c>
      <c r="CP2113" t="s">
        <v>265</v>
      </c>
      <c r="CQ2113" t="s">
        <v>890</v>
      </c>
      <c r="DB2113">
        <v>4</v>
      </c>
      <c r="DG2113" t="s">
        <v>267</v>
      </c>
      <c r="DI2113">
        <v>96</v>
      </c>
      <c r="DN2113" t="s">
        <v>268</v>
      </c>
      <c r="DS2113">
        <v>2130</v>
      </c>
      <c r="DT2113" t="s">
        <v>3803</v>
      </c>
      <c r="EW2113" t="s">
        <v>293</v>
      </c>
      <c r="FM2113">
        <v>10</v>
      </c>
      <c r="FR2113" t="s">
        <v>295</v>
      </c>
      <c r="GO2113">
        <v>8.1</v>
      </c>
      <c r="HH2113" t="s">
        <v>272</v>
      </c>
      <c r="IE2113" t="s">
        <v>3804</v>
      </c>
      <c r="IF2113">
        <v>9508</v>
      </c>
      <c r="IG2113" t="s">
        <v>3805</v>
      </c>
      <c r="IH2113" t="s">
        <v>3806</v>
      </c>
      <c r="II2113">
        <v>1981</v>
      </c>
      <c r="IJ2113" t="s">
        <v>3807</v>
      </c>
    </row>
    <row r="2114" spans="1:244" x14ac:dyDescent="0.45">
      <c r="A2114">
        <v>1176474</v>
      </c>
      <c r="B2114">
        <v>156492</v>
      </c>
      <c r="C2114">
        <v>10108642</v>
      </c>
      <c r="D2114" t="s">
        <v>3523</v>
      </c>
      <c r="F2114" t="s">
        <v>245</v>
      </c>
      <c r="G2114" t="s">
        <v>246</v>
      </c>
      <c r="N2114" t="s">
        <v>3550</v>
      </c>
      <c r="O2114" t="s">
        <v>578</v>
      </c>
      <c r="P2114" t="s">
        <v>249</v>
      </c>
      <c r="Q2114" t="s">
        <v>250</v>
      </c>
      <c r="R2114" t="s">
        <v>251</v>
      </c>
      <c r="T2114" t="s">
        <v>252</v>
      </c>
      <c r="U2114" t="s">
        <v>499</v>
      </c>
      <c r="V2114" t="s">
        <v>3551</v>
      </c>
      <c r="W2114" t="s">
        <v>3552</v>
      </c>
      <c r="X2114" t="s">
        <v>3553</v>
      </c>
      <c r="AM2114" t="s">
        <v>317</v>
      </c>
      <c r="AN2114" t="s">
        <v>259</v>
      </c>
      <c r="AO2114" t="s">
        <v>260</v>
      </c>
      <c r="AQ2114" t="s">
        <v>261</v>
      </c>
      <c r="AS2114">
        <v>1100</v>
      </c>
      <c r="AX2114" t="s">
        <v>262</v>
      </c>
      <c r="BO2114" t="s">
        <v>261</v>
      </c>
      <c r="BQ2114">
        <v>1.1000000000000001</v>
      </c>
      <c r="BV2114" t="s">
        <v>263</v>
      </c>
      <c r="CM2114" t="s">
        <v>264</v>
      </c>
      <c r="CN2114" t="s">
        <v>264</v>
      </c>
      <c r="CP2114" t="s">
        <v>265</v>
      </c>
      <c r="CQ2114" t="s">
        <v>890</v>
      </c>
      <c r="DB2114">
        <v>4</v>
      </c>
      <c r="DG2114" t="s">
        <v>267</v>
      </c>
      <c r="DI2114">
        <v>96</v>
      </c>
      <c r="DN2114" t="s">
        <v>268</v>
      </c>
      <c r="DS2114">
        <v>4655</v>
      </c>
      <c r="EW2114" t="s">
        <v>271</v>
      </c>
      <c r="HH2114" t="s">
        <v>272</v>
      </c>
      <c r="IE2114" t="s">
        <v>3527</v>
      </c>
      <c r="IF2114">
        <v>15300</v>
      </c>
      <c r="IG2114" t="s">
        <v>3528</v>
      </c>
      <c r="IH2114" t="s">
        <v>3529</v>
      </c>
      <c r="II2114">
        <v>1979</v>
      </c>
      <c r="IJ2114" t="s">
        <v>3530</v>
      </c>
    </row>
    <row r="2115" spans="1:244" x14ac:dyDescent="0.45">
      <c r="A2115">
        <v>1176468</v>
      </c>
      <c r="B2115">
        <v>131569</v>
      </c>
      <c r="C2115">
        <v>10108642</v>
      </c>
      <c r="D2115" t="s">
        <v>3523</v>
      </c>
      <c r="F2115" t="s">
        <v>245</v>
      </c>
      <c r="G2115" t="s">
        <v>246</v>
      </c>
      <c r="N2115" t="s">
        <v>3524</v>
      </c>
      <c r="O2115" t="s">
        <v>498</v>
      </c>
      <c r="P2115" t="s">
        <v>249</v>
      </c>
      <c r="Q2115" t="s">
        <v>250</v>
      </c>
      <c r="R2115" t="s">
        <v>251</v>
      </c>
      <c r="T2115" t="s">
        <v>252</v>
      </c>
      <c r="U2115" t="s">
        <v>1244</v>
      </c>
      <c r="V2115" t="s">
        <v>1314</v>
      </c>
      <c r="W2115" t="s">
        <v>3525</v>
      </c>
      <c r="X2115" t="s">
        <v>3526</v>
      </c>
      <c r="Z2115" t="s">
        <v>1677</v>
      </c>
      <c r="AL2115" t="s">
        <v>3574</v>
      </c>
      <c r="AM2115" t="s">
        <v>317</v>
      </c>
      <c r="AN2115" t="s">
        <v>259</v>
      </c>
      <c r="AO2115" t="s">
        <v>260</v>
      </c>
      <c r="AQ2115" t="s">
        <v>261</v>
      </c>
      <c r="AS2115">
        <v>7950</v>
      </c>
      <c r="AX2115" t="s">
        <v>262</v>
      </c>
      <c r="BO2115" t="s">
        <v>261</v>
      </c>
      <c r="BQ2115">
        <v>7.95</v>
      </c>
      <c r="BV2115" t="s">
        <v>263</v>
      </c>
      <c r="CM2115" t="s">
        <v>264</v>
      </c>
      <c r="CN2115" t="s">
        <v>264</v>
      </c>
      <c r="CP2115" t="s">
        <v>265</v>
      </c>
      <c r="CQ2115" t="s">
        <v>890</v>
      </c>
      <c r="DB2115">
        <v>3</v>
      </c>
      <c r="DG2115" t="s">
        <v>267</v>
      </c>
      <c r="DI2115">
        <v>72</v>
      </c>
      <c r="DN2115" t="s">
        <v>268</v>
      </c>
      <c r="DR2115">
        <v>1131516</v>
      </c>
      <c r="DS2115">
        <v>4704</v>
      </c>
      <c r="EW2115" t="s">
        <v>271</v>
      </c>
      <c r="HH2115" t="s">
        <v>272</v>
      </c>
      <c r="IE2115" t="s">
        <v>3527</v>
      </c>
      <c r="IF2115">
        <v>15300</v>
      </c>
      <c r="IG2115" t="s">
        <v>3528</v>
      </c>
      <c r="IH2115" t="s">
        <v>3529</v>
      </c>
      <c r="II2115">
        <v>1979</v>
      </c>
      <c r="IJ2115" t="s">
        <v>3530</v>
      </c>
    </row>
    <row r="2116" spans="1:244" x14ac:dyDescent="0.45">
      <c r="A2116">
        <v>1325399</v>
      </c>
      <c r="B2116">
        <v>784704</v>
      </c>
      <c r="C2116">
        <v>10108642</v>
      </c>
      <c r="D2116" t="s">
        <v>3523</v>
      </c>
      <c r="E2116" t="s">
        <v>622</v>
      </c>
      <c r="F2116" t="s">
        <v>245</v>
      </c>
      <c r="G2116" t="s">
        <v>246</v>
      </c>
      <c r="I2116">
        <v>99</v>
      </c>
      <c r="N2116" t="s">
        <v>1298</v>
      </c>
      <c r="O2116" t="s">
        <v>1299</v>
      </c>
      <c r="P2116" t="s">
        <v>249</v>
      </c>
      <c r="Q2116" t="s">
        <v>250</v>
      </c>
      <c r="R2116" t="s">
        <v>251</v>
      </c>
      <c r="T2116" t="s">
        <v>252</v>
      </c>
      <c r="U2116" t="s">
        <v>371</v>
      </c>
      <c r="V2116" t="s">
        <v>372</v>
      </c>
      <c r="W2116" t="s">
        <v>1300</v>
      </c>
      <c r="X2116" t="s">
        <v>1301</v>
      </c>
      <c r="Z2116" t="s">
        <v>649</v>
      </c>
      <c r="AD2116">
        <v>2</v>
      </c>
      <c r="AF2116">
        <v>3</v>
      </c>
      <c r="AG2116" t="s">
        <v>267</v>
      </c>
      <c r="AM2116" t="s">
        <v>317</v>
      </c>
      <c r="AN2116" t="s">
        <v>259</v>
      </c>
      <c r="AO2116" t="s">
        <v>260</v>
      </c>
      <c r="AP2116" t="s">
        <v>559</v>
      </c>
      <c r="AQ2116" t="s">
        <v>261</v>
      </c>
      <c r="AS2116">
        <v>0.11</v>
      </c>
      <c r="AX2116" t="s">
        <v>356</v>
      </c>
      <c r="BO2116" t="s">
        <v>261</v>
      </c>
      <c r="BQ2116">
        <v>0.11</v>
      </c>
      <c r="BV2116" t="s">
        <v>263</v>
      </c>
      <c r="CM2116" t="s">
        <v>264</v>
      </c>
      <c r="CN2116" t="s">
        <v>264</v>
      </c>
      <c r="CP2116" t="s">
        <v>265</v>
      </c>
      <c r="CQ2116" t="s">
        <v>890</v>
      </c>
      <c r="DB2116">
        <v>4</v>
      </c>
      <c r="DG2116" t="s">
        <v>267</v>
      </c>
      <c r="DI2116">
        <v>96</v>
      </c>
      <c r="DN2116" t="s">
        <v>268</v>
      </c>
      <c r="DO2116" t="s">
        <v>1587</v>
      </c>
      <c r="DP2116" t="s">
        <v>3612</v>
      </c>
      <c r="DS2116">
        <v>20391</v>
      </c>
      <c r="DT2116" t="s">
        <v>1302</v>
      </c>
      <c r="EW2116" t="s">
        <v>293</v>
      </c>
      <c r="FA2116" t="s">
        <v>3342</v>
      </c>
      <c r="FK2116" t="s">
        <v>3840</v>
      </c>
      <c r="FM2116">
        <v>25</v>
      </c>
      <c r="FR2116" t="s">
        <v>295</v>
      </c>
      <c r="GG2116" t="s">
        <v>288</v>
      </c>
      <c r="GH2116">
        <v>80</v>
      </c>
      <c r="GM2116" t="s">
        <v>1224</v>
      </c>
      <c r="GQ2116">
        <v>7.5</v>
      </c>
      <c r="GS2116">
        <v>8.5</v>
      </c>
      <c r="GU2116">
        <v>25</v>
      </c>
      <c r="GZ2116" t="s">
        <v>900</v>
      </c>
      <c r="HH2116" t="s">
        <v>272</v>
      </c>
      <c r="ID2116" t="s">
        <v>3841</v>
      </c>
      <c r="IE2116" t="s">
        <v>1306</v>
      </c>
      <c r="IF2116">
        <v>117932</v>
      </c>
      <c r="IG2116" t="s">
        <v>1307</v>
      </c>
      <c r="IH2116" t="s">
        <v>1308</v>
      </c>
      <c r="II2116">
        <v>2008</v>
      </c>
      <c r="IJ2116" t="s">
        <v>1309</v>
      </c>
    </row>
    <row r="2117" spans="1:244" x14ac:dyDescent="0.45">
      <c r="A2117">
        <v>1297233</v>
      </c>
      <c r="B2117">
        <v>752592</v>
      </c>
      <c r="C2117">
        <v>10108642</v>
      </c>
      <c r="D2117" t="s">
        <v>3523</v>
      </c>
      <c r="F2117" t="s">
        <v>245</v>
      </c>
      <c r="G2117" t="s">
        <v>246</v>
      </c>
      <c r="N2117" t="s">
        <v>1242</v>
      </c>
      <c r="O2117" t="s">
        <v>1243</v>
      </c>
      <c r="P2117" t="s">
        <v>249</v>
      </c>
      <c r="Q2117" t="s">
        <v>250</v>
      </c>
      <c r="R2117" t="s">
        <v>251</v>
      </c>
      <c r="T2117" t="s">
        <v>252</v>
      </c>
      <c r="U2117" t="s">
        <v>1244</v>
      </c>
      <c r="V2117" t="s">
        <v>1245</v>
      </c>
      <c r="W2117" t="s">
        <v>1246</v>
      </c>
      <c r="X2117" t="s">
        <v>1247</v>
      </c>
      <c r="Z2117" t="s">
        <v>1248</v>
      </c>
      <c r="AL2117" t="s">
        <v>1249</v>
      </c>
      <c r="AM2117" t="s">
        <v>317</v>
      </c>
      <c r="AN2117" t="s">
        <v>259</v>
      </c>
      <c r="AO2117" t="s">
        <v>260</v>
      </c>
      <c r="AP2117">
        <v>6</v>
      </c>
      <c r="AQ2117" t="s">
        <v>261</v>
      </c>
      <c r="AS2117">
        <v>1.29</v>
      </c>
      <c r="AU2117">
        <v>0.86</v>
      </c>
      <c r="AW2117">
        <v>1.92</v>
      </c>
      <c r="AX2117" t="s">
        <v>356</v>
      </c>
      <c r="BO2117" t="s">
        <v>261</v>
      </c>
      <c r="BQ2117">
        <v>1.29</v>
      </c>
      <c r="BS2117">
        <v>0.86</v>
      </c>
      <c r="BU2117">
        <v>1.92</v>
      </c>
      <c r="BV2117" t="s">
        <v>263</v>
      </c>
      <c r="CM2117" t="s">
        <v>264</v>
      </c>
      <c r="CN2117" t="s">
        <v>264</v>
      </c>
      <c r="CP2117" t="s">
        <v>265</v>
      </c>
      <c r="CQ2117" t="s">
        <v>890</v>
      </c>
      <c r="DB2117">
        <v>4</v>
      </c>
      <c r="DG2117" t="s">
        <v>267</v>
      </c>
      <c r="DI2117">
        <v>96</v>
      </c>
      <c r="DN2117" t="s">
        <v>268</v>
      </c>
      <c r="DP2117" t="s">
        <v>3628</v>
      </c>
      <c r="DR2117">
        <v>82763</v>
      </c>
      <c r="DS2117">
        <v>1070</v>
      </c>
      <c r="DT2117" t="s">
        <v>1250</v>
      </c>
      <c r="EW2117" t="s">
        <v>293</v>
      </c>
      <c r="FA2117" t="s">
        <v>1222</v>
      </c>
      <c r="FK2117" t="s">
        <v>3842</v>
      </c>
      <c r="FM2117">
        <v>16</v>
      </c>
      <c r="FR2117" t="s">
        <v>295</v>
      </c>
      <c r="HH2117" t="s">
        <v>272</v>
      </c>
      <c r="ID2117" t="s">
        <v>3843</v>
      </c>
      <c r="IE2117" t="s">
        <v>1253</v>
      </c>
      <c r="IF2117">
        <v>115536</v>
      </c>
      <c r="IG2117" t="s">
        <v>1254</v>
      </c>
      <c r="IH2117" t="s">
        <v>1255</v>
      </c>
      <c r="II2117">
        <v>2007</v>
      </c>
      <c r="IJ2117" t="s">
        <v>1256</v>
      </c>
    </row>
    <row r="2118" spans="1:244" x14ac:dyDescent="0.45">
      <c r="A2118">
        <v>1111541</v>
      </c>
      <c r="B2118">
        <v>73198</v>
      </c>
      <c r="C2118">
        <v>10108642</v>
      </c>
      <c r="D2118" t="s">
        <v>3523</v>
      </c>
      <c r="F2118" t="s">
        <v>245</v>
      </c>
      <c r="G2118" t="s">
        <v>246</v>
      </c>
      <c r="N2118" t="s">
        <v>3565</v>
      </c>
      <c r="O2118" t="s">
        <v>1783</v>
      </c>
      <c r="P2118" t="s">
        <v>249</v>
      </c>
      <c r="Q2118" t="s">
        <v>250</v>
      </c>
      <c r="R2118" t="s">
        <v>251</v>
      </c>
      <c r="T2118" t="s">
        <v>252</v>
      </c>
      <c r="U2118" t="s">
        <v>253</v>
      </c>
      <c r="V2118" t="s">
        <v>1735</v>
      </c>
      <c r="W2118" t="s">
        <v>1784</v>
      </c>
      <c r="X2118" t="s">
        <v>1984</v>
      </c>
      <c r="Z2118" t="s">
        <v>315</v>
      </c>
      <c r="AL2118" t="s">
        <v>3566</v>
      </c>
      <c r="AM2118" t="s">
        <v>258</v>
      </c>
      <c r="AN2118" t="s">
        <v>259</v>
      </c>
      <c r="AO2118" t="s">
        <v>260</v>
      </c>
      <c r="AQ2118" t="s">
        <v>261</v>
      </c>
      <c r="AS2118">
        <v>10400</v>
      </c>
      <c r="AX2118" t="s">
        <v>262</v>
      </c>
      <c r="BO2118" t="s">
        <v>261</v>
      </c>
      <c r="BQ2118">
        <v>10.4</v>
      </c>
      <c r="BV2118" t="s">
        <v>263</v>
      </c>
      <c r="CM2118" t="s">
        <v>264</v>
      </c>
      <c r="CN2118" t="s">
        <v>264</v>
      </c>
      <c r="CP2118" t="s">
        <v>265</v>
      </c>
      <c r="CQ2118" t="s">
        <v>890</v>
      </c>
      <c r="DB2118">
        <v>4</v>
      </c>
      <c r="DG2118" t="s">
        <v>267</v>
      </c>
      <c r="DI2118">
        <v>96</v>
      </c>
      <c r="DN2118" t="s">
        <v>268</v>
      </c>
      <c r="DP2118" t="s">
        <v>570</v>
      </c>
      <c r="DR2118">
        <v>6772</v>
      </c>
      <c r="DS2118">
        <v>745</v>
      </c>
      <c r="EW2118" t="s">
        <v>271</v>
      </c>
      <c r="FM2118">
        <v>30</v>
      </c>
      <c r="FR2118" t="s">
        <v>295</v>
      </c>
      <c r="GU2118">
        <v>20</v>
      </c>
      <c r="GZ2118" t="s">
        <v>296</v>
      </c>
      <c r="HH2118" t="s">
        <v>272</v>
      </c>
      <c r="IE2118" t="s">
        <v>3567</v>
      </c>
      <c r="IF2118">
        <v>8412</v>
      </c>
      <c r="IG2118" t="s">
        <v>3568</v>
      </c>
      <c r="IH2118" t="s">
        <v>3569</v>
      </c>
      <c r="II2118">
        <v>1973</v>
      </c>
      <c r="IJ2118" t="s">
        <v>3570</v>
      </c>
    </row>
    <row r="2119" spans="1:244" x14ac:dyDescent="0.45">
      <c r="A2119">
        <v>1271187</v>
      </c>
      <c r="B2119">
        <v>722485</v>
      </c>
      <c r="C2119">
        <v>10108642</v>
      </c>
      <c r="D2119" t="s">
        <v>3523</v>
      </c>
      <c r="F2119" t="s">
        <v>245</v>
      </c>
      <c r="G2119" t="s">
        <v>246</v>
      </c>
      <c r="N2119" t="s">
        <v>546</v>
      </c>
      <c r="O2119" t="s">
        <v>547</v>
      </c>
      <c r="P2119" t="s">
        <v>249</v>
      </c>
      <c r="Q2119" t="s">
        <v>250</v>
      </c>
      <c r="R2119" t="s">
        <v>251</v>
      </c>
      <c r="T2119" t="s">
        <v>252</v>
      </c>
      <c r="U2119" t="s">
        <v>253</v>
      </c>
      <c r="V2119" t="s">
        <v>548</v>
      </c>
      <c r="W2119" t="s">
        <v>549</v>
      </c>
      <c r="X2119" t="s">
        <v>550</v>
      </c>
      <c r="AM2119" t="s">
        <v>258</v>
      </c>
      <c r="AN2119" t="s">
        <v>259</v>
      </c>
      <c r="AO2119" t="s">
        <v>260</v>
      </c>
      <c r="AP2119">
        <v>5</v>
      </c>
      <c r="AQ2119" t="s">
        <v>261</v>
      </c>
      <c r="AS2119">
        <v>0.99</v>
      </c>
      <c r="AX2119" t="s">
        <v>356</v>
      </c>
      <c r="BO2119" t="s">
        <v>261</v>
      </c>
      <c r="BQ2119">
        <v>0.99</v>
      </c>
      <c r="BV2119" t="s">
        <v>263</v>
      </c>
      <c r="CM2119" t="s">
        <v>264</v>
      </c>
      <c r="CN2119" t="s">
        <v>264</v>
      </c>
      <c r="CP2119" t="s">
        <v>265</v>
      </c>
      <c r="CQ2119" t="s">
        <v>890</v>
      </c>
      <c r="DB2119">
        <v>4</v>
      </c>
      <c r="DG2119" t="s">
        <v>267</v>
      </c>
      <c r="DI2119">
        <v>96</v>
      </c>
      <c r="DN2119" t="s">
        <v>268</v>
      </c>
      <c r="DP2119" t="s">
        <v>3628</v>
      </c>
      <c r="DR2119">
        <v>491138</v>
      </c>
      <c r="DS2119">
        <v>11</v>
      </c>
      <c r="EW2119" t="s">
        <v>293</v>
      </c>
      <c r="FA2119" t="s">
        <v>1317</v>
      </c>
      <c r="FK2119" t="s">
        <v>3844</v>
      </c>
      <c r="HH2119" t="s">
        <v>272</v>
      </c>
      <c r="ID2119" t="s">
        <v>3845</v>
      </c>
      <c r="IE2119" t="s">
        <v>1320</v>
      </c>
      <c r="IF2119">
        <v>16651</v>
      </c>
      <c r="IG2119" t="s">
        <v>1321</v>
      </c>
      <c r="IH2119" t="s">
        <v>1322</v>
      </c>
      <c r="II2119">
        <v>1985</v>
      </c>
      <c r="IJ2119" t="s">
        <v>1323</v>
      </c>
    </row>
    <row r="2120" spans="1:244" x14ac:dyDescent="0.45">
      <c r="A2120">
        <v>1278962</v>
      </c>
      <c r="B2120">
        <v>732259</v>
      </c>
      <c r="C2120">
        <v>10108642</v>
      </c>
      <c r="D2120" t="s">
        <v>3523</v>
      </c>
      <c r="E2120" t="s">
        <v>439</v>
      </c>
      <c r="F2120" t="s">
        <v>327</v>
      </c>
      <c r="G2120" t="s">
        <v>246</v>
      </c>
      <c r="N2120" t="s">
        <v>1426</v>
      </c>
      <c r="O2120" t="s">
        <v>370</v>
      </c>
      <c r="P2120" t="s">
        <v>249</v>
      </c>
      <c r="Q2120" t="s">
        <v>250</v>
      </c>
      <c r="R2120" t="s">
        <v>251</v>
      </c>
      <c r="T2120" t="s">
        <v>252</v>
      </c>
      <c r="U2120" t="s">
        <v>371</v>
      </c>
      <c r="V2120" t="s">
        <v>372</v>
      </c>
      <c r="W2120" t="s">
        <v>1427</v>
      </c>
      <c r="X2120" t="s">
        <v>1428</v>
      </c>
      <c r="Z2120" t="s">
        <v>649</v>
      </c>
      <c r="AD2120">
        <v>1</v>
      </c>
      <c r="AF2120">
        <v>5</v>
      </c>
      <c r="AG2120" t="s">
        <v>267</v>
      </c>
      <c r="AM2120" t="s">
        <v>258</v>
      </c>
      <c r="AN2120" t="s">
        <v>259</v>
      </c>
      <c r="AO2120" t="s">
        <v>260</v>
      </c>
      <c r="AP2120">
        <v>6</v>
      </c>
      <c r="AQ2120" t="s">
        <v>261</v>
      </c>
      <c r="AS2120">
        <v>318</v>
      </c>
      <c r="AU2120">
        <v>262</v>
      </c>
      <c r="AW2120">
        <v>416</v>
      </c>
      <c r="AX2120" t="s">
        <v>262</v>
      </c>
      <c r="BO2120" t="s">
        <v>261</v>
      </c>
      <c r="BQ2120">
        <v>0.318</v>
      </c>
      <c r="BS2120">
        <v>0.26200000000000001</v>
      </c>
      <c r="BU2120">
        <v>0.41599999999999998</v>
      </c>
      <c r="BV2120" t="s">
        <v>263</v>
      </c>
      <c r="CM2120" t="s">
        <v>264</v>
      </c>
      <c r="CN2120" t="s">
        <v>264</v>
      </c>
      <c r="CP2120" t="s">
        <v>265</v>
      </c>
      <c r="CQ2120" t="s">
        <v>890</v>
      </c>
      <c r="DB2120">
        <v>4</v>
      </c>
      <c r="DG2120" t="s">
        <v>267</v>
      </c>
      <c r="DI2120">
        <v>96</v>
      </c>
      <c r="DN2120" t="s">
        <v>268</v>
      </c>
      <c r="DP2120" t="s">
        <v>3597</v>
      </c>
      <c r="DR2120">
        <v>223650</v>
      </c>
      <c r="DS2120">
        <v>1577</v>
      </c>
      <c r="DT2120" t="s">
        <v>1430</v>
      </c>
      <c r="EW2120" t="s">
        <v>293</v>
      </c>
      <c r="FA2120" t="s">
        <v>1692</v>
      </c>
      <c r="FK2120" t="s">
        <v>3846</v>
      </c>
      <c r="FM2120">
        <v>20</v>
      </c>
      <c r="FR2120" t="s">
        <v>295</v>
      </c>
      <c r="GU2120">
        <v>25</v>
      </c>
      <c r="GZ2120" t="s">
        <v>296</v>
      </c>
      <c r="HH2120" t="s">
        <v>272</v>
      </c>
      <c r="ID2120" t="s">
        <v>3847</v>
      </c>
      <c r="IE2120" t="s">
        <v>1433</v>
      </c>
      <c r="IF2120">
        <v>75445</v>
      </c>
      <c r="IG2120" t="s">
        <v>1434</v>
      </c>
      <c r="IH2120" t="s">
        <v>1435</v>
      </c>
      <c r="II2120">
        <v>2003</v>
      </c>
      <c r="IJ2120" t="s">
        <v>1436</v>
      </c>
    </row>
    <row r="2121" spans="1:244" x14ac:dyDescent="0.45">
      <c r="A2121">
        <v>1182125</v>
      </c>
      <c r="B2121">
        <v>160028</v>
      </c>
      <c r="C2121">
        <v>10108642</v>
      </c>
      <c r="D2121" t="s">
        <v>3523</v>
      </c>
      <c r="E2121" t="s">
        <v>439</v>
      </c>
      <c r="F2121" t="s">
        <v>245</v>
      </c>
      <c r="G2121" t="s">
        <v>246</v>
      </c>
      <c r="N2121" t="s">
        <v>345</v>
      </c>
      <c r="O2121" t="s">
        <v>346</v>
      </c>
      <c r="P2121" t="s">
        <v>249</v>
      </c>
      <c r="Q2121" t="s">
        <v>250</v>
      </c>
      <c r="R2121" t="s">
        <v>251</v>
      </c>
      <c r="T2121" t="s">
        <v>347</v>
      </c>
      <c r="U2121" t="s">
        <v>348</v>
      </c>
      <c r="V2121" t="s">
        <v>349</v>
      </c>
      <c r="W2121" t="s">
        <v>350</v>
      </c>
      <c r="X2121" t="s">
        <v>351</v>
      </c>
      <c r="Z2121" t="s">
        <v>1034</v>
      </c>
      <c r="AL2121" t="s">
        <v>2663</v>
      </c>
      <c r="AM2121" t="s">
        <v>317</v>
      </c>
      <c r="AN2121" t="s">
        <v>259</v>
      </c>
      <c r="AO2121" t="s">
        <v>260</v>
      </c>
      <c r="AQ2121" t="s">
        <v>261</v>
      </c>
      <c r="AS2121">
        <v>615000</v>
      </c>
      <c r="AX2121" t="s">
        <v>262</v>
      </c>
      <c r="BO2121" t="s">
        <v>261</v>
      </c>
      <c r="BQ2121">
        <v>615</v>
      </c>
      <c r="BV2121" t="s">
        <v>263</v>
      </c>
      <c r="CM2121" t="s">
        <v>264</v>
      </c>
      <c r="CN2121" t="s">
        <v>264</v>
      </c>
      <c r="CP2121" t="s">
        <v>265</v>
      </c>
      <c r="DB2121">
        <v>1</v>
      </c>
      <c r="DG2121" t="s">
        <v>267</v>
      </c>
      <c r="DI2121">
        <v>24</v>
      </c>
      <c r="DN2121" t="s">
        <v>268</v>
      </c>
      <c r="DR2121">
        <v>6660</v>
      </c>
      <c r="DS2121">
        <v>421</v>
      </c>
      <c r="DT2121" t="s">
        <v>2665</v>
      </c>
      <c r="EW2121" t="s">
        <v>293</v>
      </c>
      <c r="FA2121" t="s">
        <v>2789</v>
      </c>
      <c r="FM2121">
        <v>25</v>
      </c>
      <c r="FR2121" t="s">
        <v>295</v>
      </c>
      <c r="GU2121">
        <v>35</v>
      </c>
      <c r="GZ2121" t="s">
        <v>296</v>
      </c>
      <c r="HH2121" t="s">
        <v>272</v>
      </c>
      <c r="IE2121" t="s">
        <v>2667</v>
      </c>
      <c r="IF2121">
        <v>16031</v>
      </c>
      <c r="IG2121" t="s">
        <v>2668</v>
      </c>
      <c r="IH2121" t="s">
        <v>2669</v>
      </c>
      <c r="II2121">
        <v>1995</v>
      </c>
      <c r="IJ2121" t="s">
        <v>2670</v>
      </c>
    </row>
    <row r="2122" spans="1:244" x14ac:dyDescent="0.45">
      <c r="A2122">
        <v>1176477</v>
      </c>
      <c r="B2122">
        <v>156495</v>
      </c>
      <c r="C2122">
        <v>10108642</v>
      </c>
      <c r="D2122" t="s">
        <v>3523</v>
      </c>
      <c r="F2122" t="s">
        <v>245</v>
      </c>
      <c r="G2122" t="s">
        <v>246</v>
      </c>
      <c r="N2122" t="s">
        <v>3550</v>
      </c>
      <c r="O2122" t="s">
        <v>578</v>
      </c>
      <c r="P2122" t="s">
        <v>249</v>
      </c>
      <c r="Q2122" t="s">
        <v>250</v>
      </c>
      <c r="R2122" t="s">
        <v>251</v>
      </c>
      <c r="T2122" t="s">
        <v>252</v>
      </c>
      <c r="U2122" t="s">
        <v>499</v>
      </c>
      <c r="V2122" t="s">
        <v>3551</v>
      </c>
      <c r="W2122" t="s">
        <v>3552</v>
      </c>
      <c r="X2122" t="s">
        <v>3553</v>
      </c>
      <c r="AM2122" t="s">
        <v>317</v>
      </c>
      <c r="AN2122" t="s">
        <v>259</v>
      </c>
      <c r="AO2122" t="s">
        <v>260</v>
      </c>
      <c r="AQ2122" t="s">
        <v>261</v>
      </c>
      <c r="AS2122">
        <v>410</v>
      </c>
      <c r="AX2122" t="s">
        <v>262</v>
      </c>
      <c r="BO2122" t="s">
        <v>261</v>
      </c>
      <c r="BQ2122">
        <v>0.41</v>
      </c>
      <c r="BV2122" t="s">
        <v>263</v>
      </c>
      <c r="CM2122" t="s">
        <v>264</v>
      </c>
      <c r="CN2122" t="s">
        <v>264</v>
      </c>
      <c r="CP2122" t="s">
        <v>265</v>
      </c>
      <c r="CQ2122" t="s">
        <v>890</v>
      </c>
      <c r="DB2122">
        <v>4</v>
      </c>
      <c r="DG2122" t="s">
        <v>267</v>
      </c>
      <c r="DI2122">
        <v>96</v>
      </c>
      <c r="DN2122" t="s">
        <v>268</v>
      </c>
      <c r="DS2122">
        <v>4655</v>
      </c>
      <c r="EW2122" t="s">
        <v>271</v>
      </c>
      <c r="HH2122" t="s">
        <v>272</v>
      </c>
      <c r="IE2122" t="s">
        <v>3527</v>
      </c>
      <c r="IF2122">
        <v>15300</v>
      </c>
      <c r="IG2122" t="s">
        <v>3528</v>
      </c>
      <c r="IH2122" t="s">
        <v>3529</v>
      </c>
      <c r="II2122">
        <v>1979</v>
      </c>
      <c r="IJ2122" t="s">
        <v>3530</v>
      </c>
    </row>
    <row r="2123" spans="1:244" x14ac:dyDescent="0.45">
      <c r="A2123">
        <v>2212001</v>
      </c>
      <c r="B2123">
        <v>2432850</v>
      </c>
      <c r="C2123">
        <v>10108642</v>
      </c>
      <c r="D2123" t="s">
        <v>3523</v>
      </c>
      <c r="F2123" t="s">
        <v>327</v>
      </c>
      <c r="G2123" t="s">
        <v>557</v>
      </c>
      <c r="N2123" t="s">
        <v>312</v>
      </c>
      <c r="O2123" t="s">
        <v>313</v>
      </c>
      <c r="P2123" t="s">
        <v>249</v>
      </c>
      <c r="Q2123" t="s">
        <v>250</v>
      </c>
      <c r="R2123" t="s">
        <v>251</v>
      </c>
      <c r="T2123" t="s">
        <v>252</v>
      </c>
      <c r="U2123" t="s">
        <v>253</v>
      </c>
      <c r="V2123" t="s">
        <v>304</v>
      </c>
      <c r="W2123" t="s">
        <v>305</v>
      </c>
      <c r="X2123" t="s">
        <v>314</v>
      </c>
      <c r="Z2123" t="s">
        <v>649</v>
      </c>
      <c r="AJ2123" t="s">
        <v>285</v>
      </c>
      <c r="AL2123" t="s">
        <v>2093</v>
      </c>
      <c r="AM2123" t="s">
        <v>317</v>
      </c>
      <c r="AN2123" t="s">
        <v>259</v>
      </c>
      <c r="AO2123" t="s">
        <v>260</v>
      </c>
      <c r="AP2123" t="s">
        <v>3848</v>
      </c>
      <c r="AQ2123" t="s">
        <v>261</v>
      </c>
      <c r="AS2123">
        <v>1.2</v>
      </c>
      <c r="AU2123">
        <v>0.97</v>
      </c>
      <c r="AW2123">
        <v>1.48</v>
      </c>
      <c r="AX2123" t="s">
        <v>356</v>
      </c>
      <c r="BO2123" t="s">
        <v>261</v>
      </c>
      <c r="BQ2123">
        <v>1.2</v>
      </c>
      <c r="BS2123">
        <v>0.97</v>
      </c>
      <c r="BU2123">
        <v>1.48</v>
      </c>
      <c r="BV2123" t="s">
        <v>263</v>
      </c>
      <c r="CM2123" t="s">
        <v>264</v>
      </c>
      <c r="CN2123" t="s">
        <v>264</v>
      </c>
      <c r="CP2123" t="s">
        <v>265</v>
      </c>
      <c r="CQ2123" t="s">
        <v>890</v>
      </c>
      <c r="DB2123">
        <v>2</v>
      </c>
      <c r="DG2123" t="s">
        <v>267</v>
      </c>
      <c r="DI2123">
        <v>48</v>
      </c>
      <c r="DN2123" t="s">
        <v>268</v>
      </c>
      <c r="DP2123" t="s">
        <v>3849</v>
      </c>
      <c r="DR2123">
        <v>221654</v>
      </c>
      <c r="DS2123">
        <v>65263</v>
      </c>
      <c r="DV2123">
        <v>48</v>
      </c>
      <c r="EA2123" t="s">
        <v>268</v>
      </c>
      <c r="EC2123">
        <v>2</v>
      </c>
      <c r="EH2123" t="s">
        <v>267</v>
      </c>
      <c r="EJ2123">
        <v>48</v>
      </c>
      <c r="EO2123" t="s">
        <v>268</v>
      </c>
      <c r="EQ2123">
        <v>2</v>
      </c>
      <c r="EV2123" t="s">
        <v>267</v>
      </c>
      <c r="EW2123" t="s">
        <v>293</v>
      </c>
      <c r="EY2123" t="s">
        <v>377</v>
      </c>
      <c r="FA2123" t="s">
        <v>3850</v>
      </c>
      <c r="FM2123">
        <v>20</v>
      </c>
      <c r="FR2123" t="s">
        <v>295</v>
      </c>
      <c r="GG2123" t="s">
        <v>288</v>
      </c>
      <c r="GH2123">
        <v>40</v>
      </c>
      <c r="GM2123" t="s">
        <v>900</v>
      </c>
      <c r="GO2123">
        <v>7.5</v>
      </c>
      <c r="GQ2123">
        <v>6.1</v>
      </c>
      <c r="GS2123">
        <v>8</v>
      </c>
      <c r="GU2123">
        <v>10</v>
      </c>
      <c r="GZ2123" t="s">
        <v>296</v>
      </c>
      <c r="HH2123" t="s">
        <v>272</v>
      </c>
      <c r="ID2123" t="s">
        <v>3851</v>
      </c>
      <c r="IE2123" t="s">
        <v>3852</v>
      </c>
      <c r="IF2123">
        <v>177340</v>
      </c>
      <c r="IG2123" t="s">
        <v>3853</v>
      </c>
      <c r="IH2123" t="s">
        <v>3854</v>
      </c>
      <c r="II2123">
        <v>1989</v>
      </c>
      <c r="IJ2123" t="s">
        <v>3855</v>
      </c>
    </row>
    <row r="2124" spans="1:244" x14ac:dyDescent="0.45">
      <c r="A2124">
        <v>1119851</v>
      </c>
      <c r="B2124">
        <v>70061</v>
      </c>
      <c r="C2124">
        <v>10108642</v>
      </c>
      <c r="D2124" t="s">
        <v>3523</v>
      </c>
      <c r="F2124" t="s">
        <v>327</v>
      </c>
      <c r="G2124" t="s">
        <v>246</v>
      </c>
      <c r="N2124" t="s">
        <v>3856</v>
      </c>
      <c r="O2124" t="s">
        <v>3857</v>
      </c>
      <c r="P2124" t="s">
        <v>249</v>
      </c>
      <c r="Q2124" t="s">
        <v>250</v>
      </c>
      <c r="R2124" t="s">
        <v>251</v>
      </c>
      <c r="T2124" t="s">
        <v>252</v>
      </c>
      <c r="U2124" t="s">
        <v>253</v>
      </c>
      <c r="V2124" t="s">
        <v>548</v>
      </c>
      <c r="W2124" t="s">
        <v>549</v>
      </c>
      <c r="X2124" t="s">
        <v>3858</v>
      </c>
      <c r="AL2124" t="s">
        <v>3859</v>
      </c>
      <c r="AM2124" t="s">
        <v>317</v>
      </c>
      <c r="AN2124" t="s">
        <v>259</v>
      </c>
      <c r="AO2124" t="s">
        <v>260</v>
      </c>
      <c r="AQ2124" t="s">
        <v>261</v>
      </c>
      <c r="AS2124">
        <v>500</v>
      </c>
      <c r="AX2124" t="s">
        <v>262</v>
      </c>
      <c r="BO2124" t="s">
        <v>261</v>
      </c>
      <c r="BQ2124">
        <v>0.5</v>
      </c>
      <c r="BV2124" t="s">
        <v>263</v>
      </c>
      <c r="CM2124" t="s">
        <v>264</v>
      </c>
      <c r="CN2124" t="s">
        <v>264</v>
      </c>
      <c r="CP2124" t="s">
        <v>265</v>
      </c>
      <c r="CQ2124" t="s">
        <v>890</v>
      </c>
      <c r="DB2124">
        <v>2</v>
      </c>
      <c r="DG2124" t="s">
        <v>267</v>
      </c>
      <c r="DI2124">
        <v>48</v>
      </c>
      <c r="DN2124" t="s">
        <v>268</v>
      </c>
      <c r="DP2124" t="s">
        <v>570</v>
      </c>
      <c r="DR2124">
        <v>587144</v>
      </c>
      <c r="DS2124">
        <v>347</v>
      </c>
      <c r="DT2124" t="s">
        <v>3532</v>
      </c>
      <c r="EW2124" t="s">
        <v>333</v>
      </c>
      <c r="FK2124" t="s">
        <v>3533</v>
      </c>
      <c r="FM2124">
        <v>20</v>
      </c>
      <c r="FR2124" t="s">
        <v>295</v>
      </c>
      <c r="GJ2124">
        <v>4</v>
      </c>
      <c r="GL2124">
        <v>6</v>
      </c>
      <c r="GM2124" t="s">
        <v>356</v>
      </c>
      <c r="GO2124">
        <v>8</v>
      </c>
      <c r="GU2124">
        <v>20</v>
      </c>
      <c r="GZ2124" t="s">
        <v>296</v>
      </c>
      <c r="HH2124" t="s">
        <v>272</v>
      </c>
      <c r="ID2124" t="s">
        <v>3534</v>
      </c>
      <c r="IE2124" t="s">
        <v>3535</v>
      </c>
      <c r="IF2124">
        <v>9316</v>
      </c>
      <c r="IG2124" t="s">
        <v>3536</v>
      </c>
      <c r="IH2124" t="s">
        <v>3537</v>
      </c>
      <c r="II2124">
        <v>1971</v>
      </c>
      <c r="IJ2124" t="s">
        <v>3538</v>
      </c>
    </row>
    <row r="2125" spans="1:244" x14ac:dyDescent="0.45">
      <c r="A2125">
        <v>1207266</v>
      </c>
      <c r="B2125">
        <v>182048</v>
      </c>
      <c r="C2125">
        <v>10108642</v>
      </c>
      <c r="D2125" t="s">
        <v>3523</v>
      </c>
      <c r="F2125" t="s">
        <v>245</v>
      </c>
      <c r="G2125" t="s">
        <v>246</v>
      </c>
      <c r="N2125" t="s">
        <v>1022</v>
      </c>
      <c r="O2125" t="s">
        <v>578</v>
      </c>
      <c r="P2125" t="s">
        <v>249</v>
      </c>
      <c r="Q2125" t="s">
        <v>250</v>
      </c>
      <c r="R2125" t="s">
        <v>251</v>
      </c>
      <c r="T2125" t="s">
        <v>252</v>
      </c>
      <c r="U2125" t="s">
        <v>499</v>
      </c>
      <c r="V2125" t="s">
        <v>992</v>
      </c>
      <c r="W2125" t="s">
        <v>1023</v>
      </c>
      <c r="X2125" t="s">
        <v>1024</v>
      </c>
      <c r="AM2125" t="s">
        <v>317</v>
      </c>
      <c r="AN2125" t="s">
        <v>259</v>
      </c>
      <c r="AO2125" t="s">
        <v>260</v>
      </c>
      <c r="AQ2125" t="s">
        <v>261</v>
      </c>
      <c r="AS2125">
        <v>300</v>
      </c>
      <c r="AX2125" t="s">
        <v>262</v>
      </c>
      <c r="BO2125" t="s">
        <v>261</v>
      </c>
      <c r="BQ2125">
        <v>0.3</v>
      </c>
      <c r="BV2125" t="s">
        <v>263</v>
      </c>
      <c r="CM2125" t="s">
        <v>264</v>
      </c>
      <c r="CN2125" t="s">
        <v>264</v>
      </c>
      <c r="CP2125" t="s">
        <v>265</v>
      </c>
      <c r="CQ2125" t="s">
        <v>890</v>
      </c>
      <c r="DB2125">
        <v>4</v>
      </c>
      <c r="DG2125" t="s">
        <v>267</v>
      </c>
      <c r="DI2125">
        <v>96</v>
      </c>
      <c r="DN2125" t="s">
        <v>268</v>
      </c>
      <c r="DR2125">
        <v>247138</v>
      </c>
      <c r="DS2125">
        <v>4424</v>
      </c>
      <c r="DT2125" t="s">
        <v>3860</v>
      </c>
      <c r="EW2125" t="s">
        <v>293</v>
      </c>
      <c r="FA2125" t="s">
        <v>3861</v>
      </c>
      <c r="FM2125">
        <v>25.2</v>
      </c>
      <c r="FO2125">
        <v>23.5</v>
      </c>
      <c r="FQ2125">
        <v>26.2</v>
      </c>
      <c r="FR2125" t="s">
        <v>295</v>
      </c>
      <c r="GH2125">
        <v>7</v>
      </c>
      <c r="GJ2125">
        <v>4</v>
      </c>
      <c r="GL2125">
        <v>8.4</v>
      </c>
      <c r="GM2125" t="s">
        <v>356</v>
      </c>
      <c r="GO2125">
        <v>7.98</v>
      </c>
      <c r="GQ2125">
        <v>7.73</v>
      </c>
      <c r="GS2125">
        <v>8.3000000000000007</v>
      </c>
      <c r="GU2125">
        <v>8</v>
      </c>
      <c r="GZ2125" t="s">
        <v>296</v>
      </c>
      <c r="HH2125" t="s">
        <v>272</v>
      </c>
      <c r="IE2125" t="s">
        <v>3862</v>
      </c>
      <c r="IF2125">
        <v>19002</v>
      </c>
      <c r="IG2125" t="s">
        <v>3863</v>
      </c>
      <c r="IH2125" t="s">
        <v>3864</v>
      </c>
      <c r="II2125">
        <v>1998</v>
      </c>
      <c r="IJ2125" t="s">
        <v>3865</v>
      </c>
    </row>
    <row r="2126" spans="1:244" x14ac:dyDescent="0.45">
      <c r="A2126">
        <v>1204994</v>
      </c>
      <c r="B2126">
        <v>171132</v>
      </c>
      <c r="C2126">
        <v>10108642</v>
      </c>
      <c r="D2126" t="s">
        <v>3523</v>
      </c>
      <c r="F2126" t="s">
        <v>272</v>
      </c>
      <c r="G2126" t="s">
        <v>246</v>
      </c>
      <c r="N2126" t="s">
        <v>829</v>
      </c>
      <c r="O2126" t="s">
        <v>631</v>
      </c>
      <c r="P2126" t="s">
        <v>249</v>
      </c>
      <c r="Q2126" t="s">
        <v>250</v>
      </c>
      <c r="R2126" t="s">
        <v>251</v>
      </c>
      <c r="T2126" t="s">
        <v>389</v>
      </c>
      <c r="U2126" t="s">
        <v>632</v>
      </c>
      <c r="V2126" t="s">
        <v>830</v>
      </c>
      <c r="W2126" t="s">
        <v>831</v>
      </c>
      <c r="X2126" t="s">
        <v>832</v>
      </c>
      <c r="Z2126" t="s">
        <v>2426</v>
      </c>
      <c r="AD2126">
        <v>48</v>
      </c>
      <c r="AF2126">
        <v>72</v>
      </c>
      <c r="AG2126" t="s">
        <v>268</v>
      </c>
      <c r="AM2126" t="s">
        <v>317</v>
      </c>
      <c r="AN2126" t="s">
        <v>259</v>
      </c>
      <c r="AO2126" t="s">
        <v>260</v>
      </c>
      <c r="AQ2126" t="s">
        <v>1569</v>
      </c>
      <c r="AR2126" t="s">
        <v>515</v>
      </c>
      <c r="AS2126">
        <v>10</v>
      </c>
      <c r="AX2126" t="s">
        <v>262</v>
      </c>
      <c r="AY2126" t="s">
        <v>261</v>
      </c>
      <c r="BA2126">
        <v>51.6</v>
      </c>
      <c r="BC2126">
        <v>36.200000000000003</v>
      </c>
      <c r="BE2126">
        <v>73.5</v>
      </c>
      <c r="BF2126" t="s">
        <v>262</v>
      </c>
      <c r="BO2126" t="s">
        <v>1569</v>
      </c>
      <c r="BP2126" t="s">
        <v>515</v>
      </c>
      <c r="BQ2126">
        <v>0.01</v>
      </c>
      <c r="BV2126" t="s">
        <v>263</v>
      </c>
      <c r="BW2126" t="s">
        <v>261</v>
      </c>
      <c r="BY2126">
        <v>5.16E-2</v>
      </c>
      <c r="CA2126">
        <v>3.6200000000000003E-2</v>
      </c>
      <c r="CC2126">
        <v>7.3499999999999996E-2</v>
      </c>
      <c r="CD2126" t="s">
        <v>263</v>
      </c>
      <c r="CM2126" t="s">
        <v>264</v>
      </c>
      <c r="CN2126" t="s">
        <v>264</v>
      </c>
      <c r="CP2126" t="s">
        <v>265</v>
      </c>
      <c r="CQ2126" t="s">
        <v>890</v>
      </c>
      <c r="CR2126" t="s">
        <v>890</v>
      </c>
      <c r="DB2126">
        <v>4</v>
      </c>
      <c r="DG2126" t="s">
        <v>267</v>
      </c>
      <c r="DI2126">
        <v>96</v>
      </c>
      <c r="DN2126" t="s">
        <v>268</v>
      </c>
      <c r="DR2126">
        <v>88015</v>
      </c>
      <c r="DS2126">
        <v>649</v>
      </c>
      <c r="DT2126" t="s">
        <v>3866</v>
      </c>
      <c r="EW2126" t="s">
        <v>293</v>
      </c>
      <c r="FK2126" t="s">
        <v>3867</v>
      </c>
      <c r="FO2126">
        <v>24</v>
      </c>
      <c r="FQ2126">
        <v>25</v>
      </c>
      <c r="FR2126" t="s">
        <v>295</v>
      </c>
      <c r="GJ2126">
        <v>7.5</v>
      </c>
      <c r="GL2126">
        <v>8.9</v>
      </c>
      <c r="GM2126" t="s">
        <v>356</v>
      </c>
      <c r="GQ2126">
        <v>7.53</v>
      </c>
      <c r="GS2126">
        <v>8.76</v>
      </c>
      <c r="GW2126">
        <v>5</v>
      </c>
      <c r="GY2126">
        <v>6</v>
      </c>
      <c r="GZ2126" t="s">
        <v>296</v>
      </c>
      <c r="HH2126" t="s">
        <v>272</v>
      </c>
      <c r="ID2126" t="s">
        <v>3868</v>
      </c>
      <c r="IE2126" t="s">
        <v>3869</v>
      </c>
      <c r="IF2126">
        <v>18671</v>
      </c>
      <c r="IG2126" t="s">
        <v>3870</v>
      </c>
      <c r="IH2126" t="s">
        <v>3871</v>
      </c>
      <c r="II2126">
        <v>1995</v>
      </c>
      <c r="IJ2126" t="s">
        <v>3872</v>
      </c>
    </row>
    <row r="2127" spans="1:244" x14ac:dyDescent="0.45">
      <c r="A2127">
        <v>1200171</v>
      </c>
      <c r="B2127">
        <v>154751</v>
      </c>
      <c r="C2127">
        <v>10108642</v>
      </c>
      <c r="D2127" t="s">
        <v>3523</v>
      </c>
      <c r="F2127" t="s">
        <v>245</v>
      </c>
      <c r="G2127" t="s">
        <v>246</v>
      </c>
      <c r="N2127" t="s">
        <v>1022</v>
      </c>
      <c r="O2127" t="s">
        <v>578</v>
      </c>
      <c r="P2127" t="s">
        <v>249</v>
      </c>
      <c r="Q2127" t="s">
        <v>250</v>
      </c>
      <c r="R2127" t="s">
        <v>251</v>
      </c>
      <c r="T2127" t="s">
        <v>252</v>
      </c>
      <c r="U2127" t="s">
        <v>499</v>
      </c>
      <c r="V2127" t="s">
        <v>992</v>
      </c>
      <c r="W2127" t="s">
        <v>1023</v>
      </c>
      <c r="X2127" t="s">
        <v>1024</v>
      </c>
      <c r="AD2127">
        <v>7</v>
      </c>
      <c r="AF2127">
        <v>14</v>
      </c>
      <c r="AG2127" t="s">
        <v>267</v>
      </c>
      <c r="AL2127" t="s">
        <v>3873</v>
      </c>
      <c r="AM2127" t="s">
        <v>317</v>
      </c>
      <c r="AN2127" t="s">
        <v>259</v>
      </c>
      <c r="AO2127" t="s">
        <v>260</v>
      </c>
      <c r="AQ2127" t="s">
        <v>261</v>
      </c>
      <c r="AR2127" t="s">
        <v>515</v>
      </c>
      <c r="AS2127">
        <v>40</v>
      </c>
      <c r="AX2127" t="s">
        <v>262</v>
      </c>
      <c r="BO2127" t="s">
        <v>261</v>
      </c>
      <c r="BP2127" t="s">
        <v>515</v>
      </c>
      <c r="BQ2127">
        <v>0.04</v>
      </c>
      <c r="BV2127" t="s">
        <v>263</v>
      </c>
      <c r="CM2127" t="s">
        <v>264</v>
      </c>
      <c r="CN2127" t="s">
        <v>264</v>
      </c>
      <c r="CP2127" t="s">
        <v>265</v>
      </c>
      <c r="CQ2127" t="s">
        <v>890</v>
      </c>
      <c r="DB2127">
        <v>4</v>
      </c>
      <c r="DG2127" t="s">
        <v>267</v>
      </c>
      <c r="DI2127">
        <v>96</v>
      </c>
      <c r="DN2127" t="s">
        <v>268</v>
      </c>
      <c r="DR2127">
        <v>247138</v>
      </c>
      <c r="DS2127">
        <v>4424</v>
      </c>
      <c r="DT2127" t="s">
        <v>3874</v>
      </c>
      <c r="EW2127" t="s">
        <v>272</v>
      </c>
      <c r="FK2127" t="s">
        <v>3875</v>
      </c>
      <c r="FM2127">
        <v>23</v>
      </c>
      <c r="FR2127" t="s">
        <v>295</v>
      </c>
      <c r="GU2127">
        <v>5</v>
      </c>
      <c r="GZ2127" t="s">
        <v>296</v>
      </c>
      <c r="HH2127" t="s">
        <v>272</v>
      </c>
      <c r="ID2127" t="s">
        <v>3876</v>
      </c>
      <c r="IE2127" t="s">
        <v>3877</v>
      </c>
      <c r="IF2127">
        <v>18159</v>
      </c>
      <c r="IG2127" t="s">
        <v>3878</v>
      </c>
      <c r="IH2127" t="s">
        <v>3879</v>
      </c>
      <c r="II2127">
        <v>1997</v>
      </c>
      <c r="IJ2127" t="s">
        <v>3880</v>
      </c>
    </row>
    <row r="2128" spans="1:244" x14ac:dyDescent="0.45">
      <c r="A2128">
        <v>1129768</v>
      </c>
      <c r="B2128">
        <v>85199</v>
      </c>
      <c r="C2128">
        <v>10108642</v>
      </c>
      <c r="D2128" t="s">
        <v>3523</v>
      </c>
      <c r="F2128" t="s">
        <v>327</v>
      </c>
      <c r="G2128" t="s">
        <v>246</v>
      </c>
      <c r="N2128" t="s">
        <v>829</v>
      </c>
      <c r="O2128" t="s">
        <v>631</v>
      </c>
      <c r="P2128" t="s">
        <v>249</v>
      </c>
      <c r="Q2128" t="s">
        <v>250</v>
      </c>
      <c r="R2128" t="s">
        <v>251</v>
      </c>
      <c r="T2128" t="s">
        <v>389</v>
      </c>
      <c r="U2128" t="s">
        <v>632</v>
      </c>
      <c r="V2128" t="s">
        <v>830</v>
      </c>
      <c r="W2128" t="s">
        <v>831</v>
      </c>
      <c r="X2128" t="s">
        <v>832</v>
      </c>
      <c r="Z2128" t="s">
        <v>525</v>
      </c>
      <c r="AM2128" t="s">
        <v>317</v>
      </c>
      <c r="AN2128" t="s">
        <v>259</v>
      </c>
      <c r="AO2128" t="s">
        <v>260</v>
      </c>
      <c r="AQ2128" t="s">
        <v>261</v>
      </c>
      <c r="AS2128">
        <v>60</v>
      </c>
      <c r="AT2128" t="s">
        <v>289</v>
      </c>
      <c r="AU2128">
        <v>1</v>
      </c>
      <c r="AW2128">
        <v>200</v>
      </c>
      <c r="AX2128" t="s">
        <v>262</v>
      </c>
      <c r="BO2128" t="s">
        <v>261</v>
      </c>
      <c r="BQ2128">
        <v>0.06</v>
      </c>
      <c r="BR2128" t="s">
        <v>289</v>
      </c>
      <c r="BS2128">
        <v>1E-3</v>
      </c>
      <c r="BU2128">
        <v>0.2</v>
      </c>
      <c r="BV2128" t="s">
        <v>263</v>
      </c>
      <c r="CM2128" t="s">
        <v>264</v>
      </c>
      <c r="CN2128" t="s">
        <v>264</v>
      </c>
      <c r="CP2128" t="s">
        <v>265</v>
      </c>
      <c r="CQ2128" t="s">
        <v>890</v>
      </c>
      <c r="DB2128">
        <v>4</v>
      </c>
      <c r="DG2128" t="s">
        <v>267</v>
      </c>
      <c r="DI2128">
        <v>96</v>
      </c>
      <c r="DN2128" t="s">
        <v>268</v>
      </c>
      <c r="DR2128">
        <v>88015</v>
      </c>
      <c r="DS2128">
        <v>649</v>
      </c>
      <c r="DT2128" t="s">
        <v>3758</v>
      </c>
      <c r="EW2128" t="s">
        <v>293</v>
      </c>
      <c r="FK2128" t="s">
        <v>3881</v>
      </c>
      <c r="FM2128">
        <v>22</v>
      </c>
      <c r="FR2128" t="s">
        <v>295</v>
      </c>
      <c r="GU2128">
        <v>10</v>
      </c>
      <c r="GZ2128" t="s">
        <v>296</v>
      </c>
      <c r="HH2128" t="s">
        <v>272</v>
      </c>
      <c r="ID2128" t="s">
        <v>3882</v>
      </c>
      <c r="IE2128" t="s">
        <v>3759</v>
      </c>
      <c r="IF2128">
        <v>10443</v>
      </c>
      <c r="IG2128" t="s">
        <v>3760</v>
      </c>
      <c r="IH2128" t="s">
        <v>3761</v>
      </c>
      <c r="II2128">
        <v>1982</v>
      </c>
      <c r="IJ2128" t="s">
        <v>3762</v>
      </c>
    </row>
    <row r="2129" spans="1:244" x14ac:dyDescent="0.45">
      <c r="A2129">
        <v>1119857</v>
      </c>
      <c r="B2129">
        <v>70067</v>
      </c>
      <c r="C2129">
        <v>10108642</v>
      </c>
      <c r="D2129" t="s">
        <v>3523</v>
      </c>
      <c r="F2129" t="s">
        <v>327</v>
      </c>
      <c r="G2129" t="s">
        <v>246</v>
      </c>
      <c r="N2129" t="s">
        <v>328</v>
      </c>
      <c r="O2129" t="s">
        <v>329</v>
      </c>
      <c r="P2129" t="s">
        <v>249</v>
      </c>
      <c r="Q2129" t="s">
        <v>250</v>
      </c>
      <c r="R2129" t="s">
        <v>251</v>
      </c>
      <c r="T2129" t="s">
        <v>252</v>
      </c>
      <c r="U2129" t="s">
        <v>253</v>
      </c>
      <c r="V2129" t="s">
        <v>304</v>
      </c>
      <c r="W2129" t="s">
        <v>330</v>
      </c>
      <c r="X2129" t="s">
        <v>331</v>
      </c>
      <c r="AL2129" t="s">
        <v>3883</v>
      </c>
      <c r="AM2129" t="s">
        <v>317</v>
      </c>
      <c r="AN2129" t="s">
        <v>259</v>
      </c>
      <c r="AO2129" t="s">
        <v>260</v>
      </c>
      <c r="AQ2129" t="s">
        <v>261</v>
      </c>
      <c r="AS2129">
        <v>5800</v>
      </c>
      <c r="AX2129" t="s">
        <v>262</v>
      </c>
      <c r="BO2129" t="s">
        <v>261</v>
      </c>
      <c r="BQ2129">
        <v>5.8</v>
      </c>
      <c r="BV2129" t="s">
        <v>263</v>
      </c>
      <c r="CM2129" t="s">
        <v>264</v>
      </c>
      <c r="CN2129" t="s">
        <v>264</v>
      </c>
      <c r="CP2129" t="s">
        <v>265</v>
      </c>
      <c r="CQ2129" t="s">
        <v>890</v>
      </c>
      <c r="DB2129">
        <v>2</v>
      </c>
      <c r="DG2129" t="s">
        <v>267</v>
      </c>
      <c r="DI2129">
        <v>48</v>
      </c>
      <c r="DN2129" t="s">
        <v>268</v>
      </c>
      <c r="DP2129" t="s">
        <v>570</v>
      </c>
      <c r="DR2129">
        <v>294125</v>
      </c>
      <c r="DS2129">
        <v>72</v>
      </c>
      <c r="DT2129" t="s">
        <v>3532</v>
      </c>
      <c r="EW2129" t="s">
        <v>333</v>
      </c>
      <c r="FK2129" t="s">
        <v>3533</v>
      </c>
      <c r="FM2129">
        <v>20</v>
      </c>
      <c r="FR2129" t="s">
        <v>295</v>
      </c>
      <c r="GJ2129">
        <v>4</v>
      </c>
      <c r="GL2129">
        <v>6</v>
      </c>
      <c r="GM2129" t="s">
        <v>356</v>
      </c>
      <c r="GO2129">
        <v>8</v>
      </c>
      <c r="GU2129">
        <v>20</v>
      </c>
      <c r="GZ2129" t="s">
        <v>296</v>
      </c>
      <c r="HH2129" t="s">
        <v>272</v>
      </c>
      <c r="ID2129" t="s">
        <v>3534</v>
      </c>
      <c r="IE2129" t="s">
        <v>3535</v>
      </c>
      <c r="IF2129">
        <v>9316</v>
      </c>
      <c r="IG2129" t="s">
        <v>3536</v>
      </c>
      <c r="IH2129" t="s">
        <v>3537</v>
      </c>
      <c r="II2129">
        <v>1971</v>
      </c>
      <c r="IJ2129" t="s">
        <v>3538</v>
      </c>
    </row>
    <row r="2130" spans="1:244" x14ac:dyDescent="0.45">
      <c r="A2130">
        <v>1207268</v>
      </c>
      <c r="B2130">
        <v>182050</v>
      </c>
      <c r="C2130">
        <v>10108642</v>
      </c>
      <c r="D2130" t="s">
        <v>3523</v>
      </c>
      <c r="F2130" t="s">
        <v>245</v>
      </c>
      <c r="G2130" t="s">
        <v>246</v>
      </c>
      <c r="N2130" t="s">
        <v>1022</v>
      </c>
      <c r="O2130" t="s">
        <v>578</v>
      </c>
      <c r="P2130" t="s">
        <v>249</v>
      </c>
      <c r="Q2130" t="s">
        <v>250</v>
      </c>
      <c r="R2130" t="s">
        <v>251</v>
      </c>
      <c r="T2130" t="s">
        <v>252</v>
      </c>
      <c r="U2130" t="s">
        <v>499</v>
      </c>
      <c r="V2130" t="s">
        <v>992</v>
      </c>
      <c r="W2130" t="s">
        <v>1023</v>
      </c>
      <c r="X2130" t="s">
        <v>1024</v>
      </c>
      <c r="AM2130" t="s">
        <v>317</v>
      </c>
      <c r="AN2130" t="s">
        <v>259</v>
      </c>
      <c r="AO2130" t="s">
        <v>260</v>
      </c>
      <c r="AQ2130" t="s">
        <v>261</v>
      </c>
      <c r="AT2130" t="s">
        <v>288</v>
      </c>
      <c r="AU2130">
        <v>100</v>
      </c>
      <c r="AV2130" t="s">
        <v>289</v>
      </c>
      <c r="AW2130">
        <v>150</v>
      </c>
      <c r="AX2130" t="s">
        <v>262</v>
      </c>
      <c r="BO2130" t="s">
        <v>261</v>
      </c>
      <c r="BR2130" t="s">
        <v>288</v>
      </c>
      <c r="BS2130">
        <v>0.1</v>
      </c>
      <c r="BT2130" t="s">
        <v>289</v>
      </c>
      <c r="BU2130">
        <v>0.15</v>
      </c>
      <c r="BV2130" t="s">
        <v>263</v>
      </c>
      <c r="CM2130" t="s">
        <v>264</v>
      </c>
      <c r="CN2130" t="s">
        <v>264</v>
      </c>
      <c r="CP2130" t="s">
        <v>265</v>
      </c>
      <c r="CQ2130" t="s">
        <v>890</v>
      </c>
      <c r="DB2130">
        <v>4</v>
      </c>
      <c r="DG2130" t="s">
        <v>267</v>
      </c>
      <c r="DI2130">
        <v>96</v>
      </c>
      <c r="DN2130" t="s">
        <v>268</v>
      </c>
      <c r="DR2130">
        <v>247138</v>
      </c>
      <c r="DS2130">
        <v>4424</v>
      </c>
      <c r="DT2130" t="s">
        <v>3860</v>
      </c>
      <c r="EW2130" t="s">
        <v>293</v>
      </c>
      <c r="FA2130" t="s">
        <v>3884</v>
      </c>
      <c r="FK2130" t="s">
        <v>1186</v>
      </c>
      <c r="FM2130">
        <v>25.2</v>
      </c>
      <c r="FO2130">
        <v>23.5</v>
      </c>
      <c r="FQ2130">
        <v>26.2</v>
      </c>
      <c r="FR2130" t="s">
        <v>295</v>
      </c>
      <c r="GH2130">
        <v>7</v>
      </c>
      <c r="GJ2130">
        <v>4</v>
      </c>
      <c r="GL2130">
        <v>8.4</v>
      </c>
      <c r="GM2130" t="s">
        <v>356</v>
      </c>
      <c r="GO2130">
        <v>7.98</v>
      </c>
      <c r="GQ2130">
        <v>7.73</v>
      </c>
      <c r="GS2130">
        <v>8.3000000000000007</v>
      </c>
      <c r="GU2130">
        <v>8</v>
      </c>
      <c r="GZ2130" t="s">
        <v>296</v>
      </c>
      <c r="HH2130" t="s">
        <v>272</v>
      </c>
      <c r="ID2130" t="s">
        <v>1187</v>
      </c>
      <c r="IE2130" t="s">
        <v>3862</v>
      </c>
      <c r="IF2130">
        <v>19002</v>
      </c>
      <c r="IG2130" t="s">
        <v>3863</v>
      </c>
      <c r="IH2130" t="s">
        <v>3864</v>
      </c>
      <c r="II2130">
        <v>1998</v>
      </c>
      <c r="IJ2130" t="s">
        <v>3865</v>
      </c>
    </row>
    <row r="2131" spans="1:244" x14ac:dyDescent="0.45">
      <c r="A2131">
        <v>1180088</v>
      </c>
      <c r="B2131">
        <v>82511</v>
      </c>
      <c r="C2131">
        <v>10108642</v>
      </c>
      <c r="D2131" t="s">
        <v>3523</v>
      </c>
      <c r="F2131" t="s">
        <v>327</v>
      </c>
      <c r="G2131" t="s">
        <v>246</v>
      </c>
      <c r="N2131" t="s">
        <v>369</v>
      </c>
      <c r="O2131" t="s">
        <v>370</v>
      </c>
      <c r="P2131" t="s">
        <v>249</v>
      </c>
      <c r="Q2131" t="s">
        <v>250</v>
      </c>
      <c r="R2131" t="s">
        <v>251</v>
      </c>
      <c r="T2131" t="s">
        <v>252</v>
      </c>
      <c r="U2131" t="s">
        <v>371</v>
      </c>
      <c r="V2131" t="s">
        <v>372</v>
      </c>
      <c r="W2131" t="s">
        <v>373</v>
      </c>
      <c r="X2131" t="s">
        <v>374</v>
      </c>
      <c r="Z2131" t="s">
        <v>649</v>
      </c>
      <c r="AB2131">
        <v>24</v>
      </c>
      <c r="AG2131" t="s">
        <v>268</v>
      </c>
      <c r="AM2131" t="s">
        <v>307</v>
      </c>
      <c r="AN2131" t="s">
        <v>259</v>
      </c>
      <c r="AO2131" t="s">
        <v>260</v>
      </c>
      <c r="AQ2131" t="s">
        <v>261</v>
      </c>
      <c r="AS2131">
        <v>110</v>
      </c>
      <c r="AX2131" t="s">
        <v>262</v>
      </c>
      <c r="BO2131" t="s">
        <v>261</v>
      </c>
      <c r="BQ2131">
        <v>0.11</v>
      </c>
      <c r="BV2131" t="s">
        <v>263</v>
      </c>
      <c r="CM2131" t="s">
        <v>264</v>
      </c>
      <c r="CN2131" t="s">
        <v>264</v>
      </c>
      <c r="CP2131" t="s">
        <v>265</v>
      </c>
      <c r="CQ2131" t="s">
        <v>890</v>
      </c>
      <c r="DB2131">
        <v>4</v>
      </c>
      <c r="DG2131" t="s">
        <v>267</v>
      </c>
      <c r="DI2131">
        <v>96</v>
      </c>
      <c r="DN2131" t="s">
        <v>268</v>
      </c>
      <c r="DP2131" t="s">
        <v>636</v>
      </c>
      <c r="DR2131">
        <v>110441</v>
      </c>
      <c r="DS2131">
        <v>142</v>
      </c>
      <c r="DT2131" t="s">
        <v>3885</v>
      </c>
      <c r="EW2131" t="s">
        <v>271</v>
      </c>
      <c r="FM2131">
        <v>21</v>
      </c>
      <c r="FR2131" t="s">
        <v>295</v>
      </c>
      <c r="GU2131">
        <v>30</v>
      </c>
      <c r="GZ2131" t="s">
        <v>296</v>
      </c>
      <c r="HH2131" t="s">
        <v>272</v>
      </c>
      <c r="IE2131" t="s">
        <v>3886</v>
      </c>
      <c r="IF2131">
        <v>15744</v>
      </c>
      <c r="IG2131" t="s">
        <v>3887</v>
      </c>
      <c r="IH2131" t="s">
        <v>3888</v>
      </c>
      <c r="II2131">
        <v>1982</v>
      </c>
      <c r="IJ2131" t="s">
        <v>3889</v>
      </c>
    </row>
    <row r="2132" spans="1:244" x14ac:dyDescent="0.45">
      <c r="A2132">
        <v>1116278</v>
      </c>
      <c r="B2132">
        <v>107520</v>
      </c>
      <c r="C2132">
        <v>10108642</v>
      </c>
      <c r="D2132" t="s">
        <v>3523</v>
      </c>
      <c r="F2132" t="s">
        <v>245</v>
      </c>
      <c r="G2132" t="s">
        <v>246</v>
      </c>
      <c r="N2132" t="s">
        <v>630</v>
      </c>
      <c r="O2132" t="s">
        <v>631</v>
      </c>
      <c r="P2132" t="s">
        <v>249</v>
      </c>
      <c r="Q2132" t="s">
        <v>250</v>
      </c>
      <c r="R2132" t="s">
        <v>251</v>
      </c>
      <c r="T2132" t="s">
        <v>389</v>
      </c>
      <c r="U2132" t="s">
        <v>632</v>
      </c>
      <c r="V2132" t="s">
        <v>633</v>
      </c>
      <c r="W2132" t="s">
        <v>634</v>
      </c>
      <c r="X2132" t="s">
        <v>635</v>
      </c>
      <c r="Z2132" t="s">
        <v>315</v>
      </c>
      <c r="AM2132" t="s">
        <v>317</v>
      </c>
      <c r="AN2132" t="s">
        <v>259</v>
      </c>
      <c r="AO2132" t="s">
        <v>260</v>
      </c>
      <c r="AQ2132" t="s">
        <v>261</v>
      </c>
      <c r="AS2132">
        <v>151</v>
      </c>
      <c r="AU2132">
        <v>120</v>
      </c>
      <c r="AW2132">
        <v>191</v>
      </c>
      <c r="AX2132" t="s">
        <v>262</v>
      </c>
      <c r="BO2132" t="s">
        <v>261</v>
      </c>
      <c r="BQ2132">
        <v>0.151</v>
      </c>
      <c r="BS2132">
        <v>0.12</v>
      </c>
      <c r="BU2132">
        <v>0.191</v>
      </c>
      <c r="BV2132" t="s">
        <v>263</v>
      </c>
      <c r="CM2132" t="s">
        <v>264</v>
      </c>
      <c r="CN2132" t="s">
        <v>264</v>
      </c>
      <c r="CP2132" t="s">
        <v>265</v>
      </c>
      <c r="CQ2132" t="s">
        <v>890</v>
      </c>
      <c r="DB2132">
        <v>4</v>
      </c>
      <c r="DG2132" t="s">
        <v>267</v>
      </c>
      <c r="DI2132">
        <v>96</v>
      </c>
      <c r="DN2132" t="s">
        <v>268</v>
      </c>
      <c r="DR2132">
        <v>136180</v>
      </c>
      <c r="DS2132">
        <v>376</v>
      </c>
      <c r="DT2132" t="s">
        <v>3890</v>
      </c>
      <c r="EW2132" t="s">
        <v>271</v>
      </c>
      <c r="FM2132">
        <v>13</v>
      </c>
      <c r="FR2132" t="s">
        <v>295</v>
      </c>
      <c r="GU2132">
        <v>20</v>
      </c>
      <c r="GZ2132" t="s">
        <v>296</v>
      </c>
      <c r="HH2132" t="s">
        <v>272</v>
      </c>
      <c r="IE2132" t="s">
        <v>3891</v>
      </c>
      <c r="IF2132">
        <v>9029</v>
      </c>
      <c r="IG2132" t="s">
        <v>3892</v>
      </c>
      <c r="IH2132" t="s">
        <v>3893</v>
      </c>
      <c r="II2132">
        <v>1987</v>
      </c>
      <c r="IJ2132" t="s">
        <v>3894</v>
      </c>
    </row>
    <row r="2133" spans="1:244" x14ac:dyDescent="0.45">
      <c r="A2133">
        <v>1194940</v>
      </c>
      <c r="B2133">
        <v>167692</v>
      </c>
      <c r="C2133">
        <v>10108642</v>
      </c>
      <c r="D2133" t="s">
        <v>3523</v>
      </c>
      <c r="F2133" t="s">
        <v>245</v>
      </c>
      <c r="G2133" t="s">
        <v>246</v>
      </c>
      <c r="N2133" t="s">
        <v>2075</v>
      </c>
      <c r="O2133" t="s">
        <v>2076</v>
      </c>
      <c r="P2133" t="s">
        <v>249</v>
      </c>
      <c r="Q2133" t="s">
        <v>250</v>
      </c>
      <c r="R2133" t="s">
        <v>251</v>
      </c>
      <c r="T2133" t="s">
        <v>252</v>
      </c>
      <c r="U2133" t="s">
        <v>253</v>
      </c>
      <c r="V2133" t="s">
        <v>418</v>
      </c>
      <c r="W2133" t="s">
        <v>419</v>
      </c>
      <c r="X2133" t="s">
        <v>2077</v>
      </c>
      <c r="Z2133" t="s">
        <v>649</v>
      </c>
      <c r="AL2133" t="s">
        <v>3895</v>
      </c>
      <c r="AM2133" t="s">
        <v>287</v>
      </c>
      <c r="AN2133" t="s">
        <v>259</v>
      </c>
      <c r="AO2133" t="s">
        <v>260</v>
      </c>
      <c r="AQ2133" t="s">
        <v>261</v>
      </c>
      <c r="AS2133">
        <v>1350</v>
      </c>
      <c r="AX2133" t="s">
        <v>262</v>
      </c>
      <c r="BO2133" t="s">
        <v>261</v>
      </c>
      <c r="BQ2133">
        <v>1.35</v>
      </c>
      <c r="BV2133" t="s">
        <v>263</v>
      </c>
      <c r="CM2133" t="s">
        <v>264</v>
      </c>
      <c r="CN2133" t="s">
        <v>264</v>
      </c>
      <c r="CP2133" t="s">
        <v>265</v>
      </c>
      <c r="CQ2133" t="s">
        <v>890</v>
      </c>
      <c r="DB2133">
        <v>2</v>
      </c>
      <c r="DG2133" t="s">
        <v>267</v>
      </c>
      <c r="DI2133">
        <v>48</v>
      </c>
      <c r="DN2133" t="s">
        <v>268</v>
      </c>
      <c r="DR2133">
        <v>64468</v>
      </c>
      <c r="DS2133">
        <v>77</v>
      </c>
      <c r="DT2133" t="s">
        <v>2079</v>
      </c>
      <c r="EW2133" t="s">
        <v>293</v>
      </c>
      <c r="FM2133">
        <v>23</v>
      </c>
      <c r="FR2133" t="s">
        <v>295</v>
      </c>
      <c r="GH2133">
        <v>6.9</v>
      </c>
      <c r="GM2133" t="s">
        <v>356</v>
      </c>
      <c r="GO2133">
        <v>8.3000000000000007</v>
      </c>
      <c r="GU2133">
        <v>11</v>
      </c>
      <c r="GZ2133" t="s">
        <v>296</v>
      </c>
      <c r="HH2133" t="s">
        <v>272</v>
      </c>
      <c r="IE2133" t="s">
        <v>2080</v>
      </c>
      <c r="IF2133">
        <v>17481</v>
      </c>
      <c r="IG2133" t="s">
        <v>2081</v>
      </c>
      <c r="IH2133" t="s">
        <v>2082</v>
      </c>
      <c r="II2133">
        <v>1997</v>
      </c>
      <c r="IJ2133" t="s">
        <v>2083</v>
      </c>
    </row>
    <row r="2134" spans="1:244" x14ac:dyDescent="0.45">
      <c r="A2134">
        <v>1155955</v>
      </c>
      <c r="B2134">
        <v>134619</v>
      </c>
      <c r="C2134">
        <v>10108642</v>
      </c>
      <c r="D2134" t="s">
        <v>3523</v>
      </c>
      <c r="F2134" t="s">
        <v>245</v>
      </c>
      <c r="G2134" t="s">
        <v>246</v>
      </c>
      <c r="I2134">
        <v>99.9</v>
      </c>
      <c r="N2134" t="s">
        <v>1583</v>
      </c>
      <c r="O2134" t="s">
        <v>1584</v>
      </c>
      <c r="P2134" t="s">
        <v>249</v>
      </c>
      <c r="Q2134" t="s">
        <v>250</v>
      </c>
      <c r="R2134" t="s">
        <v>251</v>
      </c>
      <c r="T2134" t="s">
        <v>252</v>
      </c>
      <c r="U2134" t="s">
        <v>253</v>
      </c>
      <c r="V2134" t="s">
        <v>418</v>
      </c>
      <c r="W2134" t="s">
        <v>1585</v>
      </c>
      <c r="X2134" t="s">
        <v>1586</v>
      </c>
      <c r="Z2134" t="s">
        <v>421</v>
      </c>
      <c r="AB2134">
        <v>5</v>
      </c>
      <c r="AG2134" t="s">
        <v>267</v>
      </c>
      <c r="AM2134" t="s">
        <v>317</v>
      </c>
      <c r="AN2134" t="s">
        <v>259</v>
      </c>
      <c r="AO2134" t="s">
        <v>260</v>
      </c>
      <c r="AQ2134" t="s">
        <v>261</v>
      </c>
      <c r="AS2134">
        <v>509</v>
      </c>
      <c r="AU2134">
        <v>407</v>
      </c>
      <c r="AW2134">
        <v>635</v>
      </c>
      <c r="AX2134" t="s">
        <v>262</v>
      </c>
      <c r="BO2134" t="s">
        <v>261</v>
      </c>
      <c r="BQ2134">
        <v>0.50900000000000001</v>
      </c>
      <c r="BS2134">
        <v>0.40699999999999997</v>
      </c>
      <c r="BU2134">
        <v>0.63500000000000001</v>
      </c>
      <c r="BV2134" t="s">
        <v>263</v>
      </c>
      <c r="CM2134" t="s">
        <v>264</v>
      </c>
      <c r="CN2134" t="s">
        <v>264</v>
      </c>
      <c r="CP2134" t="s">
        <v>265</v>
      </c>
      <c r="CQ2134" t="s">
        <v>890</v>
      </c>
      <c r="DB2134">
        <v>4</v>
      </c>
      <c r="DG2134" t="s">
        <v>267</v>
      </c>
      <c r="DI2134">
        <v>96</v>
      </c>
      <c r="DN2134" t="s">
        <v>268</v>
      </c>
      <c r="DO2134" t="s">
        <v>1587</v>
      </c>
      <c r="DQ2134" t="s">
        <v>1588</v>
      </c>
      <c r="DR2134">
        <v>64466</v>
      </c>
      <c r="DS2134">
        <v>49914</v>
      </c>
      <c r="DT2134" t="s">
        <v>1589</v>
      </c>
      <c r="EW2134" t="s">
        <v>333</v>
      </c>
      <c r="FM2134">
        <v>25</v>
      </c>
      <c r="FR2134" t="s">
        <v>295</v>
      </c>
      <c r="GJ2134">
        <v>4.3</v>
      </c>
      <c r="GL2134">
        <v>5.6</v>
      </c>
      <c r="GM2134" t="s">
        <v>356</v>
      </c>
      <c r="GQ2134">
        <v>7.8</v>
      </c>
      <c r="GS2134">
        <v>8.1</v>
      </c>
      <c r="GU2134">
        <v>25</v>
      </c>
      <c r="GZ2134" t="s">
        <v>296</v>
      </c>
      <c r="HH2134" t="s">
        <v>272</v>
      </c>
      <c r="IE2134" t="s">
        <v>1590</v>
      </c>
      <c r="IF2134">
        <v>13513</v>
      </c>
      <c r="IG2134" t="s">
        <v>1591</v>
      </c>
      <c r="IH2134" t="s">
        <v>1592</v>
      </c>
      <c r="II2134">
        <v>1994</v>
      </c>
      <c r="IJ2134" t="s">
        <v>1593</v>
      </c>
    </row>
    <row r="2135" spans="1:244" x14ac:dyDescent="0.45">
      <c r="A2135">
        <v>2316755</v>
      </c>
      <c r="B2135">
        <v>2794407</v>
      </c>
      <c r="C2135">
        <v>10108642</v>
      </c>
      <c r="D2135" t="s">
        <v>3523</v>
      </c>
      <c r="F2135" t="s">
        <v>327</v>
      </c>
      <c r="G2135" t="s">
        <v>272</v>
      </c>
      <c r="N2135" t="s">
        <v>590</v>
      </c>
      <c r="O2135" t="s">
        <v>578</v>
      </c>
      <c r="P2135" t="s">
        <v>249</v>
      </c>
      <c r="Q2135" t="s">
        <v>250</v>
      </c>
      <c r="R2135" t="s">
        <v>251</v>
      </c>
      <c r="T2135" t="s">
        <v>252</v>
      </c>
      <c r="U2135" t="s">
        <v>499</v>
      </c>
      <c r="V2135" t="s">
        <v>591</v>
      </c>
      <c r="W2135" t="s">
        <v>592</v>
      </c>
      <c r="X2135" t="s">
        <v>593</v>
      </c>
      <c r="AI2135">
        <v>2</v>
      </c>
      <c r="AJ2135" t="s">
        <v>285</v>
      </c>
      <c r="AL2135" t="s">
        <v>3896</v>
      </c>
      <c r="AM2135" t="s">
        <v>258</v>
      </c>
      <c r="AN2135" t="s">
        <v>259</v>
      </c>
      <c r="AO2135" t="s">
        <v>260</v>
      </c>
      <c r="AP2135">
        <v>6</v>
      </c>
      <c r="AQ2135" t="s">
        <v>261</v>
      </c>
      <c r="AS2135">
        <v>2.9</v>
      </c>
      <c r="AU2135">
        <v>2.4900000000000002</v>
      </c>
      <c r="AW2135">
        <v>3.35</v>
      </c>
      <c r="AX2135" t="s">
        <v>356</v>
      </c>
      <c r="BO2135" t="s">
        <v>261</v>
      </c>
      <c r="BQ2135">
        <v>2.9</v>
      </c>
      <c r="BS2135">
        <v>2.4900000000000002</v>
      </c>
      <c r="BU2135">
        <v>3.35</v>
      </c>
      <c r="BV2135" t="s">
        <v>263</v>
      </c>
      <c r="CM2135" t="s">
        <v>264</v>
      </c>
      <c r="CN2135" t="s">
        <v>264</v>
      </c>
      <c r="CP2135" t="s">
        <v>265</v>
      </c>
      <c r="CQ2135" t="s">
        <v>890</v>
      </c>
      <c r="DB2135">
        <v>4</v>
      </c>
      <c r="DG2135" t="s">
        <v>267</v>
      </c>
      <c r="DI2135">
        <v>96</v>
      </c>
      <c r="DN2135" t="s">
        <v>268</v>
      </c>
      <c r="DR2135">
        <v>1239313</v>
      </c>
      <c r="DS2135">
        <v>4665</v>
      </c>
      <c r="DV2135">
        <v>96</v>
      </c>
      <c r="EA2135" t="s">
        <v>268</v>
      </c>
      <c r="EC2135">
        <v>4</v>
      </c>
      <c r="EH2135" t="s">
        <v>267</v>
      </c>
      <c r="EJ2135">
        <v>96</v>
      </c>
      <c r="EO2135" t="s">
        <v>268</v>
      </c>
      <c r="EQ2135">
        <v>4</v>
      </c>
      <c r="EV2135" t="s">
        <v>267</v>
      </c>
      <c r="EW2135" t="s">
        <v>293</v>
      </c>
      <c r="EZ2135" t="s">
        <v>3897</v>
      </c>
      <c r="FM2135">
        <v>20</v>
      </c>
      <c r="FR2135" t="s">
        <v>295</v>
      </c>
      <c r="GU2135">
        <v>30</v>
      </c>
      <c r="GZ2135" t="s">
        <v>296</v>
      </c>
      <c r="HH2135" t="s">
        <v>272</v>
      </c>
      <c r="ID2135" t="s">
        <v>3898</v>
      </c>
      <c r="IE2135" t="s">
        <v>3518</v>
      </c>
      <c r="IF2135">
        <v>3741</v>
      </c>
      <c r="IG2135" t="s">
        <v>3519</v>
      </c>
      <c r="IH2135" t="s">
        <v>3520</v>
      </c>
      <c r="II2135">
        <v>1982</v>
      </c>
      <c r="IJ2135" t="s">
        <v>3521</v>
      </c>
    </row>
    <row r="2136" spans="1:244" x14ac:dyDescent="0.45">
      <c r="A2136">
        <v>1057379</v>
      </c>
      <c r="B2136">
        <v>127332</v>
      </c>
      <c r="C2136">
        <v>10108642</v>
      </c>
      <c r="D2136" t="s">
        <v>3523</v>
      </c>
      <c r="E2136" t="s">
        <v>386</v>
      </c>
      <c r="F2136" t="s">
        <v>327</v>
      </c>
      <c r="G2136" t="s">
        <v>246</v>
      </c>
      <c r="I2136">
        <v>99.4</v>
      </c>
      <c r="N2136" t="s">
        <v>577</v>
      </c>
      <c r="O2136" t="s">
        <v>578</v>
      </c>
      <c r="P2136" t="s">
        <v>249</v>
      </c>
      <c r="Q2136" t="s">
        <v>250</v>
      </c>
      <c r="R2136" t="s">
        <v>251</v>
      </c>
      <c r="T2136" t="s">
        <v>252</v>
      </c>
      <c r="U2136" t="s">
        <v>499</v>
      </c>
      <c r="V2136" t="s">
        <v>579</v>
      </c>
      <c r="W2136" t="s">
        <v>580</v>
      </c>
      <c r="X2136" t="s">
        <v>581</v>
      </c>
      <c r="AL2136" t="s">
        <v>3899</v>
      </c>
      <c r="AM2136" t="s">
        <v>258</v>
      </c>
      <c r="AN2136" t="s">
        <v>259</v>
      </c>
      <c r="AO2136" t="s">
        <v>260</v>
      </c>
      <c r="AQ2136" t="s">
        <v>261</v>
      </c>
      <c r="AS2136">
        <v>14.5</v>
      </c>
      <c r="AX2136" t="s">
        <v>262</v>
      </c>
      <c r="BO2136" t="s">
        <v>261</v>
      </c>
      <c r="BQ2136">
        <v>1.4500000000000001E-2</v>
      </c>
      <c r="BV2136" t="s">
        <v>263</v>
      </c>
      <c r="CM2136" t="s">
        <v>264</v>
      </c>
      <c r="CN2136" t="s">
        <v>264</v>
      </c>
      <c r="CO2136" t="s">
        <v>3900</v>
      </c>
      <c r="CP2136" t="s">
        <v>265</v>
      </c>
      <c r="CQ2136" t="s">
        <v>890</v>
      </c>
      <c r="DB2136">
        <v>4</v>
      </c>
      <c r="DG2136" t="s">
        <v>267</v>
      </c>
      <c r="DI2136">
        <v>4</v>
      </c>
      <c r="DN2136" t="s">
        <v>267</v>
      </c>
      <c r="DO2136" t="s">
        <v>1587</v>
      </c>
      <c r="DR2136">
        <v>1450415</v>
      </c>
      <c r="DS2136">
        <v>4619</v>
      </c>
      <c r="DT2136" t="s">
        <v>3901</v>
      </c>
      <c r="EW2136" t="s">
        <v>333</v>
      </c>
      <c r="FA2136" t="s">
        <v>3902</v>
      </c>
      <c r="GG2136" t="s">
        <v>288</v>
      </c>
      <c r="GH2136">
        <v>60</v>
      </c>
      <c r="GM2136" t="s">
        <v>900</v>
      </c>
      <c r="GU2136">
        <v>30</v>
      </c>
      <c r="GZ2136" t="s">
        <v>296</v>
      </c>
      <c r="HH2136" t="s">
        <v>883</v>
      </c>
      <c r="HL2136">
        <v>1.2</v>
      </c>
      <c r="HN2136">
        <v>3.7</v>
      </c>
      <c r="HO2136" t="s">
        <v>3903</v>
      </c>
      <c r="IE2136" t="s">
        <v>3904</v>
      </c>
      <c r="IF2136">
        <v>4114</v>
      </c>
      <c r="IG2136" t="s">
        <v>3905</v>
      </c>
      <c r="IH2136" t="s">
        <v>3906</v>
      </c>
      <c r="II2136">
        <v>1993</v>
      </c>
      <c r="IJ2136" t="s">
        <v>3907</v>
      </c>
    </row>
    <row r="2137" spans="1:244" x14ac:dyDescent="0.45">
      <c r="A2137">
        <v>1129769</v>
      </c>
      <c r="B2137">
        <v>85200</v>
      </c>
      <c r="C2137">
        <v>10108642</v>
      </c>
      <c r="D2137" t="s">
        <v>3523</v>
      </c>
      <c r="F2137" t="s">
        <v>327</v>
      </c>
      <c r="G2137" t="s">
        <v>246</v>
      </c>
      <c r="N2137" t="s">
        <v>630</v>
      </c>
      <c r="O2137" t="s">
        <v>631</v>
      </c>
      <c r="P2137" t="s">
        <v>249</v>
      </c>
      <c r="Q2137" t="s">
        <v>250</v>
      </c>
      <c r="R2137" t="s">
        <v>251</v>
      </c>
      <c r="T2137" t="s">
        <v>389</v>
      </c>
      <c r="U2137" t="s">
        <v>632</v>
      </c>
      <c r="V2137" t="s">
        <v>633</v>
      </c>
      <c r="W2137" t="s">
        <v>634</v>
      </c>
      <c r="X2137" t="s">
        <v>635</v>
      </c>
      <c r="Z2137" t="s">
        <v>525</v>
      </c>
      <c r="AM2137" t="s">
        <v>317</v>
      </c>
      <c r="AN2137" t="s">
        <v>259</v>
      </c>
      <c r="AO2137" t="s">
        <v>260</v>
      </c>
      <c r="AQ2137" t="s">
        <v>261</v>
      </c>
      <c r="AS2137">
        <v>380</v>
      </c>
      <c r="AU2137">
        <v>6</v>
      </c>
      <c r="AW2137">
        <v>1520</v>
      </c>
      <c r="AX2137" t="s">
        <v>262</v>
      </c>
      <c r="BO2137" t="s">
        <v>261</v>
      </c>
      <c r="BQ2137">
        <v>0.38</v>
      </c>
      <c r="BS2137">
        <v>6.0000000000000001E-3</v>
      </c>
      <c r="BU2137">
        <v>1.52</v>
      </c>
      <c r="BV2137" t="s">
        <v>263</v>
      </c>
      <c r="CM2137" t="s">
        <v>264</v>
      </c>
      <c r="CN2137" t="s">
        <v>264</v>
      </c>
      <c r="CP2137" t="s">
        <v>265</v>
      </c>
      <c r="CQ2137" t="s">
        <v>890</v>
      </c>
      <c r="DB2137">
        <v>4</v>
      </c>
      <c r="DG2137" t="s">
        <v>267</v>
      </c>
      <c r="DI2137">
        <v>96</v>
      </c>
      <c r="DN2137" t="s">
        <v>268</v>
      </c>
      <c r="DR2137">
        <v>136180</v>
      </c>
      <c r="DS2137">
        <v>376</v>
      </c>
      <c r="DT2137" t="s">
        <v>3758</v>
      </c>
      <c r="EW2137" t="s">
        <v>293</v>
      </c>
      <c r="FK2137" t="s">
        <v>3908</v>
      </c>
      <c r="FM2137">
        <v>22</v>
      </c>
      <c r="FR2137" t="s">
        <v>295</v>
      </c>
      <c r="GU2137">
        <v>10</v>
      </c>
      <c r="GZ2137" t="s">
        <v>296</v>
      </c>
      <c r="HH2137" t="s">
        <v>272</v>
      </c>
      <c r="ID2137" t="s">
        <v>3909</v>
      </c>
      <c r="IE2137" t="s">
        <v>3759</v>
      </c>
      <c r="IF2137">
        <v>10443</v>
      </c>
      <c r="IG2137" t="s">
        <v>3760</v>
      </c>
      <c r="IH2137" t="s">
        <v>3761</v>
      </c>
      <c r="II2137">
        <v>1982</v>
      </c>
      <c r="IJ2137" t="s">
        <v>3762</v>
      </c>
    </row>
    <row r="2138" spans="1:244" x14ac:dyDescent="0.45">
      <c r="A2138">
        <v>2212002</v>
      </c>
      <c r="B2138">
        <v>2432851</v>
      </c>
      <c r="C2138">
        <v>10108642</v>
      </c>
      <c r="D2138" t="s">
        <v>3523</v>
      </c>
      <c r="F2138" t="s">
        <v>327</v>
      </c>
      <c r="G2138" t="s">
        <v>557</v>
      </c>
      <c r="N2138" t="s">
        <v>312</v>
      </c>
      <c r="O2138" t="s">
        <v>313</v>
      </c>
      <c r="P2138" t="s">
        <v>249</v>
      </c>
      <c r="Q2138" t="s">
        <v>250</v>
      </c>
      <c r="R2138" t="s">
        <v>251</v>
      </c>
      <c r="T2138" t="s">
        <v>252</v>
      </c>
      <c r="U2138" t="s">
        <v>253</v>
      </c>
      <c r="V2138" t="s">
        <v>304</v>
      </c>
      <c r="W2138" t="s">
        <v>305</v>
      </c>
      <c r="X2138" t="s">
        <v>314</v>
      </c>
      <c r="Z2138" t="s">
        <v>649</v>
      </c>
      <c r="AJ2138" t="s">
        <v>285</v>
      </c>
      <c r="AL2138" t="s">
        <v>2093</v>
      </c>
      <c r="AM2138" t="s">
        <v>317</v>
      </c>
      <c r="AN2138" t="s">
        <v>259</v>
      </c>
      <c r="AO2138" t="s">
        <v>260</v>
      </c>
      <c r="AP2138" t="s">
        <v>3848</v>
      </c>
      <c r="AQ2138" t="s">
        <v>261</v>
      </c>
      <c r="AS2138">
        <v>0.88</v>
      </c>
      <c r="AU2138">
        <v>0.66</v>
      </c>
      <c r="AW2138">
        <v>1.1399999999999999</v>
      </c>
      <c r="AX2138" t="s">
        <v>356</v>
      </c>
      <c r="BO2138" t="s">
        <v>261</v>
      </c>
      <c r="BQ2138">
        <v>0.88</v>
      </c>
      <c r="BS2138">
        <v>0.66</v>
      </c>
      <c r="BU2138">
        <v>1.1399999999999999</v>
      </c>
      <c r="BV2138" t="s">
        <v>263</v>
      </c>
      <c r="CM2138" t="s">
        <v>264</v>
      </c>
      <c r="CN2138" t="s">
        <v>264</v>
      </c>
      <c r="CP2138" t="s">
        <v>265</v>
      </c>
      <c r="CQ2138" t="s">
        <v>890</v>
      </c>
      <c r="DB2138">
        <v>2</v>
      </c>
      <c r="DG2138" t="s">
        <v>267</v>
      </c>
      <c r="DI2138">
        <v>48</v>
      </c>
      <c r="DN2138" t="s">
        <v>268</v>
      </c>
      <c r="DP2138" t="s">
        <v>3849</v>
      </c>
      <c r="DR2138">
        <v>221654</v>
      </c>
      <c r="DS2138">
        <v>65263</v>
      </c>
      <c r="DV2138">
        <v>48</v>
      </c>
      <c r="EA2138" t="s">
        <v>268</v>
      </c>
      <c r="EC2138">
        <v>2</v>
      </c>
      <c r="EH2138" t="s">
        <v>267</v>
      </c>
      <c r="EJ2138">
        <v>48</v>
      </c>
      <c r="EO2138" t="s">
        <v>268</v>
      </c>
      <c r="EQ2138">
        <v>2</v>
      </c>
      <c r="EV2138" t="s">
        <v>267</v>
      </c>
      <c r="EW2138" t="s">
        <v>293</v>
      </c>
      <c r="EY2138" t="s">
        <v>377</v>
      </c>
      <c r="FA2138" t="s">
        <v>3910</v>
      </c>
      <c r="FM2138">
        <v>20</v>
      </c>
      <c r="FR2138" t="s">
        <v>295</v>
      </c>
      <c r="GG2138" t="s">
        <v>288</v>
      </c>
      <c r="GH2138">
        <v>40</v>
      </c>
      <c r="GM2138" t="s">
        <v>900</v>
      </c>
      <c r="GO2138">
        <v>7.5</v>
      </c>
      <c r="GQ2138">
        <v>6.1</v>
      </c>
      <c r="GS2138">
        <v>8</v>
      </c>
      <c r="GU2138">
        <v>10</v>
      </c>
      <c r="GZ2138" t="s">
        <v>296</v>
      </c>
      <c r="HH2138" t="s">
        <v>272</v>
      </c>
      <c r="ID2138" t="s">
        <v>3851</v>
      </c>
      <c r="IE2138" t="s">
        <v>3852</v>
      </c>
      <c r="IF2138">
        <v>177340</v>
      </c>
      <c r="IG2138" t="s">
        <v>3853</v>
      </c>
      <c r="IH2138" t="s">
        <v>3854</v>
      </c>
      <c r="II2138">
        <v>1989</v>
      </c>
      <c r="IJ2138" t="s">
        <v>3855</v>
      </c>
    </row>
    <row r="2139" spans="1:244" x14ac:dyDescent="0.45">
      <c r="A2139">
        <v>1200170</v>
      </c>
      <c r="B2139">
        <v>154750</v>
      </c>
      <c r="C2139">
        <v>10108642</v>
      </c>
      <c r="D2139" t="s">
        <v>3523</v>
      </c>
      <c r="F2139" t="s">
        <v>245</v>
      </c>
      <c r="G2139" t="s">
        <v>246</v>
      </c>
      <c r="N2139" t="s">
        <v>1022</v>
      </c>
      <c r="O2139" t="s">
        <v>578</v>
      </c>
      <c r="P2139" t="s">
        <v>249</v>
      </c>
      <c r="Q2139" t="s">
        <v>250</v>
      </c>
      <c r="R2139" t="s">
        <v>251</v>
      </c>
      <c r="T2139" t="s">
        <v>252</v>
      </c>
      <c r="U2139" t="s">
        <v>499</v>
      </c>
      <c r="V2139" t="s">
        <v>992</v>
      </c>
      <c r="W2139" t="s">
        <v>1023</v>
      </c>
      <c r="X2139" t="s">
        <v>1024</v>
      </c>
      <c r="AD2139">
        <v>7</v>
      </c>
      <c r="AF2139">
        <v>14</v>
      </c>
      <c r="AG2139" t="s">
        <v>267</v>
      </c>
      <c r="AL2139" t="s">
        <v>3873</v>
      </c>
      <c r="AM2139" t="s">
        <v>317</v>
      </c>
      <c r="AN2139" t="s">
        <v>259</v>
      </c>
      <c r="AO2139" t="s">
        <v>260</v>
      </c>
      <c r="AQ2139" t="s">
        <v>261</v>
      </c>
      <c r="AT2139" t="s">
        <v>288</v>
      </c>
      <c r="AU2139">
        <v>40</v>
      </c>
      <c r="AV2139" t="s">
        <v>289</v>
      </c>
      <c r="AW2139">
        <v>80</v>
      </c>
      <c r="AX2139" t="s">
        <v>262</v>
      </c>
      <c r="BO2139" t="s">
        <v>261</v>
      </c>
      <c r="BR2139" t="s">
        <v>288</v>
      </c>
      <c r="BS2139">
        <v>0.04</v>
      </c>
      <c r="BT2139" t="s">
        <v>289</v>
      </c>
      <c r="BU2139">
        <v>0.08</v>
      </c>
      <c r="BV2139" t="s">
        <v>263</v>
      </c>
      <c r="CM2139" t="s">
        <v>264</v>
      </c>
      <c r="CN2139" t="s">
        <v>264</v>
      </c>
      <c r="CP2139" t="s">
        <v>265</v>
      </c>
      <c r="CQ2139" t="s">
        <v>890</v>
      </c>
      <c r="DB2139">
        <v>4</v>
      </c>
      <c r="DG2139" t="s">
        <v>267</v>
      </c>
      <c r="DI2139">
        <v>96</v>
      </c>
      <c r="DN2139" t="s">
        <v>268</v>
      </c>
      <c r="DR2139">
        <v>247138</v>
      </c>
      <c r="DS2139">
        <v>4424</v>
      </c>
      <c r="DT2139" t="s">
        <v>3874</v>
      </c>
      <c r="EW2139" t="s">
        <v>272</v>
      </c>
      <c r="FK2139" t="s">
        <v>3875</v>
      </c>
      <c r="FM2139">
        <v>23</v>
      </c>
      <c r="FR2139" t="s">
        <v>295</v>
      </c>
      <c r="GU2139">
        <v>5</v>
      </c>
      <c r="GZ2139" t="s">
        <v>296</v>
      </c>
      <c r="HH2139" t="s">
        <v>272</v>
      </c>
      <c r="ID2139" t="s">
        <v>3876</v>
      </c>
      <c r="IE2139" t="s">
        <v>3877</v>
      </c>
      <c r="IF2139">
        <v>18159</v>
      </c>
      <c r="IG2139" t="s">
        <v>3878</v>
      </c>
      <c r="IH2139" t="s">
        <v>3879</v>
      </c>
      <c r="II2139">
        <v>1997</v>
      </c>
      <c r="IJ2139" t="s">
        <v>3880</v>
      </c>
    </row>
    <row r="2140" spans="1:244" x14ac:dyDescent="0.45">
      <c r="A2140">
        <v>2211984</v>
      </c>
      <c r="B2140">
        <v>2432833</v>
      </c>
      <c r="C2140">
        <v>10108642</v>
      </c>
      <c r="D2140" t="s">
        <v>3523</v>
      </c>
      <c r="F2140" t="s">
        <v>327</v>
      </c>
      <c r="G2140" t="s">
        <v>557</v>
      </c>
      <c r="N2140" t="s">
        <v>312</v>
      </c>
      <c r="O2140" t="s">
        <v>313</v>
      </c>
      <c r="P2140" t="s">
        <v>249</v>
      </c>
      <c r="Q2140" t="s">
        <v>250</v>
      </c>
      <c r="R2140" t="s">
        <v>251</v>
      </c>
      <c r="T2140" t="s">
        <v>252</v>
      </c>
      <c r="U2140" t="s">
        <v>253</v>
      </c>
      <c r="V2140" t="s">
        <v>304</v>
      </c>
      <c r="W2140" t="s">
        <v>305</v>
      </c>
      <c r="X2140" t="s">
        <v>314</v>
      </c>
      <c r="Z2140" t="s">
        <v>649</v>
      </c>
      <c r="AJ2140" t="s">
        <v>285</v>
      </c>
      <c r="AL2140" t="s">
        <v>2093</v>
      </c>
      <c r="AM2140" t="s">
        <v>317</v>
      </c>
      <c r="AN2140" t="s">
        <v>259</v>
      </c>
      <c r="AO2140" t="s">
        <v>260</v>
      </c>
      <c r="AP2140" t="s">
        <v>3848</v>
      </c>
      <c r="AQ2140" t="s">
        <v>261</v>
      </c>
      <c r="AS2140">
        <v>1.25</v>
      </c>
      <c r="AU2140">
        <v>0.95</v>
      </c>
      <c r="AW2140">
        <v>1.63</v>
      </c>
      <c r="AX2140" t="s">
        <v>356</v>
      </c>
      <c r="BO2140" t="s">
        <v>261</v>
      </c>
      <c r="BQ2140">
        <v>1.25</v>
      </c>
      <c r="BS2140">
        <v>0.95</v>
      </c>
      <c r="BU2140">
        <v>1.63</v>
      </c>
      <c r="BV2140" t="s">
        <v>263</v>
      </c>
      <c r="CM2140" t="s">
        <v>264</v>
      </c>
      <c r="CN2140" t="s">
        <v>264</v>
      </c>
      <c r="CP2140" t="s">
        <v>265</v>
      </c>
      <c r="CQ2140" t="s">
        <v>890</v>
      </c>
      <c r="DB2140">
        <v>2</v>
      </c>
      <c r="DG2140" t="s">
        <v>267</v>
      </c>
      <c r="DI2140">
        <v>48</v>
      </c>
      <c r="DN2140" t="s">
        <v>268</v>
      </c>
      <c r="DP2140" t="s">
        <v>3849</v>
      </c>
      <c r="DR2140">
        <v>221654</v>
      </c>
      <c r="DS2140">
        <v>65263</v>
      </c>
      <c r="DV2140">
        <v>48</v>
      </c>
      <c r="EA2140" t="s">
        <v>268</v>
      </c>
      <c r="EC2140">
        <v>2</v>
      </c>
      <c r="EH2140" t="s">
        <v>267</v>
      </c>
      <c r="EJ2140">
        <v>48</v>
      </c>
      <c r="EO2140" t="s">
        <v>268</v>
      </c>
      <c r="EQ2140">
        <v>2</v>
      </c>
      <c r="EV2140" t="s">
        <v>267</v>
      </c>
      <c r="EW2140" t="s">
        <v>293</v>
      </c>
      <c r="EY2140" t="s">
        <v>377</v>
      </c>
      <c r="FA2140" t="s">
        <v>3911</v>
      </c>
      <c r="FM2140">
        <v>20</v>
      </c>
      <c r="FR2140" t="s">
        <v>295</v>
      </c>
      <c r="GG2140" t="s">
        <v>288</v>
      </c>
      <c r="GH2140">
        <v>40</v>
      </c>
      <c r="GM2140" t="s">
        <v>900</v>
      </c>
      <c r="GO2140">
        <v>7.5</v>
      </c>
      <c r="GQ2140">
        <v>6.1</v>
      </c>
      <c r="GS2140">
        <v>8</v>
      </c>
      <c r="GU2140">
        <v>10</v>
      </c>
      <c r="GZ2140" t="s">
        <v>296</v>
      </c>
      <c r="HH2140" t="s">
        <v>272</v>
      </c>
      <c r="ID2140" t="s">
        <v>3851</v>
      </c>
      <c r="IE2140" t="s">
        <v>3852</v>
      </c>
      <c r="IF2140">
        <v>177340</v>
      </c>
      <c r="IG2140" t="s">
        <v>3853</v>
      </c>
      <c r="IH2140" t="s">
        <v>3854</v>
      </c>
      <c r="II2140">
        <v>1989</v>
      </c>
      <c r="IJ2140" t="s">
        <v>3855</v>
      </c>
    </row>
    <row r="2141" spans="1:244" x14ac:dyDescent="0.45">
      <c r="A2141">
        <v>2211982</v>
      </c>
      <c r="B2141">
        <v>2432831</v>
      </c>
      <c r="C2141">
        <v>10108642</v>
      </c>
      <c r="D2141" t="s">
        <v>3523</v>
      </c>
      <c r="F2141" t="s">
        <v>327</v>
      </c>
      <c r="G2141" t="s">
        <v>557</v>
      </c>
      <c r="N2141" t="s">
        <v>312</v>
      </c>
      <c r="O2141" t="s">
        <v>313</v>
      </c>
      <c r="P2141" t="s">
        <v>249</v>
      </c>
      <c r="Q2141" t="s">
        <v>250</v>
      </c>
      <c r="R2141" t="s">
        <v>251</v>
      </c>
      <c r="T2141" t="s">
        <v>252</v>
      </c>
      <c r="U2141" t="s">
        <v>253</v>
      </c>
      <c r="V2141" t="s">
        <v>304</v>
      </c>
      <c r="W2141" t="s">
        <v>305</v>
      </c>
      <c r="X2141" t="s">
        <v>314</v>
      </c>
      <c r="Z2141" t="s">
        <v>649</v>
      </c>
      <c r="AJ2141" t="s">
        <v>285</v>
      </c>
      <c r="AL2141" t="s">
        <v>2093</v>
      </c>
      <c r="AM2141" t="s">
        <v>317</v>
      </c>
      <c r="AN2141" t="s">
        <v>259</v>
      </c>
      <c r="AO2141" t="s">
        <v>260</v>
      </c>
      <c r="AP2141" t="s">
        <v>3848</v>
      </c>
      <c r="AQ2141" t="s">
        <v>261</v>
      </c>
      <c r="AS2141">
        <v>1.36</v>
      </c>
      <c r="AU2141">
        <v>1.1100000000000001</v>
      </c>
      <c r="AW2141">
        <v>1.78</v>
      </c>
      <c r="AX2141" t="s">
        <v>356</v>
      </c>
      <c r="BO2141" t="s">
        <v>261</v>
      </c>
      <c r="BQ2141">
        <v>1.36</v>
      </c>
      <c r="BS2141">
        <v>1.1100000000000001</v>
      </c>
      <c r="BU2141">
        <v>1.78</v>
      </c>
      <c r="BV2141" t="s">
        <v>263</v>
      </c>
      <c r="CM2141" t="s">
        <v>264</v>
      </c>
      <c r="CN2141" t="s">
        <v>264</v>
      </c>
      <c r="CP2141" t="s">
        <v>265</v>
      </c>
      <c r="CQ2141" t="s">
        <v>890</v>
      </c>
      <c r="DB2141">
        <v>2</v>
      </c>
      <c r="DG2141" t="s">
        <v>267</v>
      </c>
      <c r="DI2141">
        <v>48</v>
      </c>
      <c r="DN2141" t="s">
        <v>268</v>
      </c>
      <c r="DP2141" t="s">
        <v>3849</v>
      </c>
      <c r="DR2141">
        <v>221654</v>
      </c>
      <c r="DS2141">
        <v>65263</v>
      </c>
      <c r="DV2141">
        <v>48</v>
      </c>
      <c r="EA2141" t="s">
        <v>268</v>
      </c>
      <c r="EC2141">
        <v>2</v>
      </c>
      <c r="EH2141" t="s">
        <v>267</v>
      </c>
      <c r="EJ2141">
        <v>48</v>
      </c>
      <c r="EO2141" t="s">
        <v>268</v>
      </c>
      <c r="EQ2141">
        <v>2</v>
      </c>
      <c r="EV2141" t="s">
        <v>267</v>
      </c>
      <c r="EW2141" t="s">
        <v>293</v>
      </c>
      <c r="EY2141" t="s">
        <v>377</v>
      </c>
      <c r="FA2141" t="s">
        <v>3912</v>
      </c>
      <c r="FM2141">
        <v>20</v>
      </c>
      <c r="FR2141" t="s">
        <v>295</v>
      </c>
      <c r="GG2141" t="s">
        <v>288</v>
      </c>
      <c r="GH2141">
        <v>40</v>
      </c>
      <c r="GM2141" t="s">
        <v>900</v>
      </c>
      <c r="GO2141">
        <v>7.5</v>
      </c>
      <c r="GQ2141">
        <v>6.1</v>
      </c>
      <c r="GS2141">
        <v>8</v>
      </c>
      <c r="GU2141">
        <v>10</v>
      </c>
      <c r="GZ2141" t="s">
        <v>296</v>
      </c>
      <c r="HH2141" t="s">
        <v>272</v>
      </c>
      <c r="ID2141" t="s">
        <v>3851</v>
      </c>
      <c r="IE2141" t="s">
        <v>3852</v>
      </c>
      <c r="IF2141">
        <v>177340</v>
      </c>
      <c r="IG2141" t="s">
        <v>3853</v>
      </c>
      <c r="IH2141" t="s">
        <v>3854</v>
      </c>
      <c r="II2141">
        <v>1989</v>
      </c>
      <c r="IJ2141" t="s">
        <v>3855</v>
      </c>
    </row>
    <row r="2142" spans="1:244" x14ac:dyDescent="0.45">
      <c r="A2142">
        <v>2211997</v>
      </c>
      <c r="B2142">
        <v>2432846</v>
      </c>
      <c r="C2142">
        <v>10108642</v>
      </c>
      <c r="D2142" t="s">
        <v>3523</v>
      </c>
      <c r="F2142" t="s">
        <v>327</v>
      </c>
      <c r="G2142" t="s">
        <v>557</v>
      </c>
      <c r="N2142" t="s">
        <v>312</v>
      </c>
      <c r="O2142" t="s">
        <v>313</v>
      </c>
      <c r="P2142" t="s">
        <v>249</v>
      </c>
      <c r="Q2142" t="s">
        <v>250</v>
      </c>
      <c r="R2142" t="s">
        <v>251</v>
      </c>
      <c r="T2142" t="s">
        <v>252</v>
      </c>
      <c r="U2142" t="s">
        <v>253</v>
      </c>
      <c r="V2142" t="s">
        <v>304</v>
      </c>
      <c r="W2142" t="s">
        <v>305</v>
      </c>
      <c r="X2142" t="s">
        <v>314</v>
      </c>
      <c r="Z2142" t="s">
        <v>649</v>
      </c>
      <c r="AJ2142" t="s">
        <v>285</v>
      </c>
      <c r="AL2142" t="s">
        <v>2093</v>
      </c>
      <c r="AM2142" t="s">
        <v>317</v>
      </c>
      <c r="AN2142" t="s">
        <v>259</v>
      </c>
      <c r="AO2142" t="s">
        <v>260</v>
      </c>
      <c r="AP2142" t="s">
        <v>3848</v>
      </c>
      <c r="AQ2142" t="s">
        <v>261</v>
      </c>
      <c r="AS2142">
        <v>2.5499999999999998</v>
      </c>
      <c r="AU2142">
        <v>2</v>
      </c>
      <c r="AW2142">
        <v>3.85</v>
      </c>
      <c r="AX2142" t="s">
        <v>356</v>
      </c>
      <c r="BO2142" t="s">
        <v>261</v>
      </c>
      <c r="BQ2142">
        <v>2.5499999999999998</v>
      </c>
      <c r="BS2142">
        <v>2</v>
      </c>
      <c r="BU2142">
        <v>3.85</v>
      </c>
      <c r="BV2142" t="s">
        <v>263</v>
      </c>
      <c r="CM2142" t="s">
        <v>264</v>
      </c>
      <c r="CN2142" t="s">
        <v>264</v>
      </c>
      <c r="CP2142" t="s">
        <v>265</v>
      </c>
      <c r="CQ2142" t="s">
        <v>890</v>
      </c>
      <c r="DB2142">
        <v>2</v>
      </c>
      <c r="DG2142" t="s">
        <v>267</v>
      </c>
      <c r="DI2142">
        <v>48</v>
      </c>
      <c r="DN2142" t="s">
        <v>268</v>
      </c>
      <c r="DP2142" t="s">
        <v>3849</v>
      </c>
      <c r="DR2142">
        <v>221654</v>
      </c>
      <c r="DS2142">
        <v>65263</v>
      </c>
      <c r="DV2142">
        <v>48</v>
      </c>
      <c r="EA2142" t="s">
        <v>268</v>
      </c>
      <c r="EC2142">
        <v>2</v>
      </c>
      <c r="EH2142" t="s">
        <v>267</v>
      </c>
      <c r="EJ2142">
        <v>48</v>
      </c>
      <c r="EO2142" t="s">
        <v>268</v>
      </c>
      <c r="EQ2142">
        <v>2</v>
      </c>
      <c r="EV2142" t="s">
        <v>267</v>
      </c>
      <c r="EW2142" t="s">
        <v>293</v>
      </c>
      <c r="EY2142" t="s">
        <v>377</v>
      </c>
      <c r="FA2142" t="s">
        <v>3913</v>
      </c>
      <c r="FM2142">
        <v>20</v>
      </c>
      <c r="FR2142" t="s">
        <v>295</v>
      </c>
      <c r="GG2142" t="s">
        <v>288</v>
      </c>
      <c r="GH2142">
        <v>40</v>
      </c>
      <c r="GM2142" t="s">
        <v>900</v>
      </c>
      <c r="GO2142">
        <v>7.5</v>
      </c>
      <c r="GQ2142">
        <v>6.1</v>
      </c>
      <c r="GS2142">
        <v>8</v>
      </c>
      <c r="GU2142">
        <v>10</v>
      </c>
      <c r="GZ2142" t="s">
        <v>296</v>
      </c>
      <c r="HH2142" t="s">
        <v>272</v>
      </c>
      <c r="ID2142" t="s">
        <v>3851</v>
      </c>
      <c r="IE2142" t="s">
        <v>3852</v>
      </c>
      <c r="IF2142">
        <v>177340</v>
      </c>
      <c r="IG2142" t="s">
        <v>3853</v>
      </c>
      <c r="IH2142" t="s">
        <v>3854</v>
      </c>
      <c r="II2142">
        <v>1989</v>
      </c>
      <c r="IJ2142" t="s">
        <v>3855</v>
      </c>
    </row>
    <row r="2143" spans="1:244" x14ac:dyDescent="0.45">
      <c r="A2143">
        <v>1068403</v>
      </c>
      <c r="B2143">
        <v>16230</v>
      </c>
      <c r="C2143">
        <v>10108642</v>
      </c>
      <c r="D2143" t="s">
        <v>3523</v>
      </c>
      <c r="F2143" t="s">
        <v>245</v>
      </c>
      <c r="G2143" t="s">
        <v>246</v>
      </c>
      <c r="N2143" t="s">
        <v>1564</v>
      </c>
      <c r="O2143" t="s">
        <v>1565</v>
      </c>
      <c r="P2143" t="s">
        <v>249</v>
      </c>
      <c r="Q2143" t="s">
        <v>250</v>
      </c>
      <c r="R2143" t="s">
        <v>251</v>
      </c>
      <c r="T2143" t="s">
        <v>252</v>
      </c>
      <c r="U2143" t="s">
        <v>253</v>
      </c>
      <c r="V2143" t="s">
        <v>254</v>
      </c>
      <c r="W2143" t="s">
        <v>1566</v>
      </c>
      <c r="X2143" t="s">
        <v>1567</v>
      </c>
      <c r="Z2143" t="s">
        <v>649</v>
      </c>
      <c r="AL2143" t="s">
        <v>3409</v>
      </c>
      <c r="AM2143" t="s">
        <v>317</v>
      </c>
      <c r="AN2143" t="s">
        <v>259</v>
      </c>
      <c r="AO2143" t="s">
        <v>260</v>
      </c>
      <c r="AQ2143" t="s">
        <v>261</v>
      </c>
      <c r="AS2143">
        <v>7400</v>
      </c>
      <c r="AU2143">
        <v>6700</v>
      </c>
      <c r="AW2143">
        <v>8800</v>
      </c>
      <c r="AX2143" t="s">
        <v>262</v>
      </c>
      <c r="BO2143" t="s">
        <v>261</v>
      </c>
      <c r="BQ2143">
        <v>7.4</v>
      </c>
      <c r="BS2143">
        <v>6.7</v>
      </c>
      <c r="BU2143">
        <v>8.8000000000000007</v>
      </c>
      <c r="BV2143" t="s">
        <v>263</v>
      </c>
      <c r="CM2143" t="s">
        <v>264</v>
      </c>
      <c r="CN2143" t="s">
        <v>264</v>
      </c>
      <c r="CP2143" t="s">
        <v>265</v>
      </c>
      <c r="CQ2143" t="s">
        <v>890</v>
      </c>
      <c r="DB2143">
        <v>3</v>
      </c>
      <c r="DG2143" t="s">
        <v>267</v>
      </c>
      <c r="DI2143">
        <v>72</v>
      </c>
      <c r="DN2143" t="s">
        <v>268</v>
      </c>
      <c r="DP2143" t="s">
        <v>570</v>
      </c>
      <c r="DR2143">
        <v>6763</v>
      </c>
      <c r="DS2143">
        <v>76</v>
      </c>
      <c r="DT2143" t="s">
        <v>3410</v>
      </c>
      <c r="EW2143" t="s">
        <v>271</v>
      </c>
      <c r="FO2143">
        <v>20</v>
      </c>
      <c r="FQ2143">
        <v>22</v>
      </c>
      <c r="FR2143" t="s">
        <v>295</v>
      </c>
      <c r="GQ2143">
        <v>7.1</v>
      </c>
      <c r="GS2143">
        <v>8.1999999999999993</v>
      </c>
      <c r="GU2143">
        <v>15</v>
      </c>
      <c r="GZ2143" t="s">
        <v>296</v>
      </c>
      <c r="HH2143" t="s">
        <v>272</v>
      </c>
      <c r="IE2143" t="s">
        <v>3411</v>
      </c>
      <c r="IF2143">
        <v>5384</v>
      </c>
      <c r="IG2143" t="s">
        <v>3412</v>
      </c>
      <c r="IH2143" t="s">
        <v>3413</v>
      </c>
      <c r="II2143">
        <v>1979</v>
      </c>
      <c r="IJ2143" t="s">
        <v>3414</v>
      </c>
    </row>
    <row r="2144" spans="1:244" x14ac:dyDescent="0.45">
      <c r="A2144">
        <v>1159839</v>
      </c>
      <c r="B2144">
        <v>142848</v>
      </c>
      <c r="C2144">
        <v>10108642</v>
      </c>
      <c r="D2144" t="s">
        <v>3523</v>
      </c>
      <c r="E2144" t="s">
        <v>622</v>
      </c>
      <c r="F2144" t="s">
        <v>327</v>
      </c>
      <c r="G2144" t="s">
        <v>246</v>
      </c>
      <c r="N2144" t="s">
        <v>623</v>
      </c>
      <c r="O2144" t="s">
        <v>388</v>
      </c>
      <c r="P2144" t="s">
        <v>249</v>
      </c>
      <c r="Q2144" t="s">
        <v>250</v>
      </c>
      <c r="R2144" t="s">
        <v>251</v>
      </c>
      <c r="T2144" t="s">
        <v>389</v>
      </c>
      <c r="U2144" t="s">
        <v>390</v>
      </c>
      <c r="V2144" t="s">
        <v>472</v>
      </c>
      <c r="W2144" t="s">
        <v>473</v>
      </c>
      <c r="X2144" t="s">
        <v>624</v>
      </c>
      <c r="Z2144" t="s">
        <v>315</v>
      </c>
      <c r="AL2144" t="s">
        <v>2122</v>
      </c>
      <c r="AM2144" t="s">
        <v>258</v>
      </c>
      <c r="AN2144" t="s">
        <v>259</v>
      </c>
      <c r="AO2144" t="s">
        <v>260</v>
      </c>
      <c r="AQ2144" t="s">
        <v>261</v>
      </c>
      <c r="AS2144">
        <v>340</v>
      </c>
      <c r="AX2144" t="s">
        <v>262</v>
      </c>
      <c r="BO2144" t="s">
        <v>261</v>
      </c>
      <c r="BQ2144">
        <v>0.34</v>
      </c>
      <c r="BV2144" t="s">
        <v>263</v>
      </c>
      <c r="CM2144" t="s">
        <v>264</v>
      </c>
      <c r="CN2144" t="s">
        <v>264</v>
      </c>
      <c r="CP2144" t="s">
        <v>265</v>
      </c>
      <c r="CQ2144" t="s">
        <v>890</v>
      </c>
      <c r="DB2144">
        <v>4</v>
      </c>
      <c r="DG2144" t="s">
        <v>267</v>
      </c>
      <c r="DI2144">
        <v>96</v>
      </c>
      <c r="DN2144" t="s">
        <v>268</v>
      </c>
      <c r="DS2144">
        <v>4676</v>
      </c>
      <c r="DT2144" t="s">
        <v>625</v>
      </c>
      <c r="EW2144" t="s">
        <v>376</v>
      </c>
      <c r="FO2144">
        <v>20</v>
      </c>
      <c r="FQ2144">
        <v>21</v>
      </c>
      <c r="FR2144" t="s">
        <v>295</v>
      </c>
      <c r="GJ2144">
        <v>7</v>
      </c>
      <c r="GL2144">
        <v>7.9</v>
      </c>
      <c r="GM2144" t="s">
        <v>356</v>
      </c>
      <c r="GQ2144">
        <v>7.7</v>
      </c>
      <c r="GS2144">
        <v>8.14</v>
      </c>
      <c r="GW2144">
        <v>34.5</v>
      </c>
      <c r="GY2144">
        <v>35.01</v>
      </c>
      <c r="GZ2144" t="s">
        <v>296</v>
      </c>
      <c r="HH2144" t="s">
        <v>272</v>
      </c>
      <c r="IE2144" t="s">
        <v>626</v>
      </c>
      <c r="IF2144">
        <v>14137</v>
      </c>
      <c r="IG2144" t="s">
        <v>627</v>
      </c>
      <c r="IH2144" t="s">
        <v>628</v>
      </c>
      <c r="II2144">
        <v>1994</v>
      </c>
      <c r="IJ2144" t="s">
        <v>629</v>
      </c>
    </row>
    <row r="2145" spans="1:244" x14ac:dyDescent="0.45">
      <c r="A2145">
        <v>1048497</v>
      </c>
      <c r="B2145">
        <v>107311</v>
      </c>
      <c r="C2145">
        <v>10108642</v>
      </c>
      <c r="D2145" t="s">
        <v>3523</v>
      </c>
      <c r="F2145" t="s">
        <v>327</v>
      </c>
      <c r="G2145" t="s">
        <v>246</v>
      </c>
      <c r="N2145" t="s">
        <v>312</v>
      </c>
      <c r="O2145" t="s">
        <v>313</v>
      </c>
      <c r="P2145" t="s">
        <v>249</v>
      </c>
      <c r="Q2145" t="s">
        <v>250</v>
      </c>
      <c r="R2145" t="s">
        <v>251</v>
      </c>
      <c r="T2145" t="s">
        <v>252</v>
      </c>
      <c r="U2145" t="s">
        <v>253</v>
      </c>
      <c r="V2145" t="s">
        <v>304</v>
      </c>
      <c r="W2145" t="s">
        <v>305</v>
      </c>
      <c r="X2145" t="s">
        <v>314</v>
      </c>
      <c r="Z2145" t="s">
        <v>649</v>
      </c>
      <c r="AL2145" t="s">
        <v>2093</v>
      </c>
      <c r="AM2145" t="s">
        <v>317</v>
      </c>
      <c r="AN2145" t="s">
        <v>259</v>
      </c>
      <c r="AO2145" t="s">
        <v>260</v>
      </c>
      <c r="AQ2145" t="s">
        <v>261</v>
      </c>
      <c r="AS2145">
        <v>1300</v>
      </c>
      <c r="AX2145" t="s">
        <v>262</v>
      </c>
      <c r="BO2145" t="s">
        <v>261</v>
      </c>
      <c r="BQ2145">
        <v>1.3</v>
      </c>
      <c r="BV2145" t="s">
        <v>263</v>
      </c>
      <c r="CM2145" t="s">
        <v>264</v>
      </c>
      <c r="CN2145" t="s">
        <v>264</v>
      </c>
      <c r="CP2145" t="s">
        <v>265</v>
      </c>
      <c r="CQ2145" t="s">
        <v>890</v>
      </c>
      <c r="DB2145">
        <v>2</v>
      </c>
      <c r="DG2145" t="s">
        <v>267</v>
      </c>
      <c r="DI2145">
        <v>48</v>
      </c>
      <c r="DN2145" t="s">
        <v>268</v>
      </c>
      <c r="DP2145" t="s">
        <v>1013</v>
      </c>
      <c r="DR2145">
        <v>221654</v>
      </c>
      <c r="DS2145">
        <v>65263</v>
      </c>
      <c r="DT2145" t="s">
        <v>2094</v>
      </c>
      <c r="EW2145" t="s">
        <v>1512</v>
      </c>
      <c r="FM2145">
        <v>20</v>
      </c>
      <c r="FR2145" t="s">
        <v>295</v>
      </c>
      <c r="GG2145" t="s">
        <v>288</v>
      </c>
      <c r="GH2145">
        <v>40</v>
      </c>
      <c r="GM2145" t="s">
        <v>900</v>
      </c>
      <c r="GO2145">
        <v>7.5</v>
      </c>
      <c r="GQ2145">
        <v>6.1</v>
      </c>
      <c r="GS2145">
        <v>8</v>
      </c>
      <c r="GU2145">
        <v>10</v>
      </c>
      <c r="GZ2145" t="s">
        <v>296</v>
      </c>
      <c r="HH2145" t="s">
        <v>272</v>
      </c>
      <c r="ID2145" t="s">
        <v>2095</v>
      </c>
      <c r="IE2145" t="s">
        <v>2096</v>
      </c>
      <c r="IF2145">
        <v>3163</v>
      </c>
      <c r="IG2145" t="s">
        <v>2097</v>
      </c>
      <c r="IH2145" t="s">
        <v>2098</v>
      </c>
      <c r="II2145">
        <v>1990</v>
      </c>
      <c r="IJ2145" t="s">
        <v>2099</v>
      </c>
    </row>
    <row r="2146" spans="1:244" x14ac:dyDescent="0.45">
      <c r="A2146">
        <v>1119856</v>
      </c>
      <c r="B2146">
        <v>70066</v>
      </c>
      <c r="C2146">
        <v>10108642</v>
      </c>
      <c r="D2146" t="s">
        <v>3523</v>
      </c>
      <c r="F2146" t="s">
        <v>327</v>
      </c>
      <c r="G2146" t="s">
        <v>246</v>
      </c>
      <c r="N2146" t="s">
        <v>328</v>
      </c>
      <c r="O2146" t="s">
        <v>329</v>
      </c>
      <c r="P2146" t="s">
        <v>249</v>
      </c>
      <c r="Q2146" t="s">
        <v>250</v>
      </c>
      <c r="R2146" t="s">
        <v>251</v>
      </c>
      <c r="T2146" t="s">
        <v>252</v>
      </c>
      <c r="U2146" t="s">
        <v>253</v>
      </c>
      <c r="V2146" t="s">
        <v>304</v>
      </c>
      <c r="W2146" t="s">
        <v>330</v>
      </c>
      <c r="X2146" t="s">
        <v>331</v>
      </c>
      <c r="AL2146" t="s">
        <v>3883</v>
      </c>
      <c r="AM2146" t="s">
        <v>317</v>
      </c>
      <c r="AN2146" t="s">
        <v>259</v>
      </c>
      <c r="AO2146" t="s">
        <v>260</v>
      </c>
      <c r="AQ2146" t="s">
        <v>261</v>
      </c>
      <c r="AS2146">
        <v>43000</v>
      </c>
      <c r="AX2146" t="s">
        <v>262</v>
      </c>
      <c r="BO2146" t="s">
        <v>261</v>
      </c>
      <c r="BQ2146">
        <v>43</v>
      </c>
      <c r="BV2146" t="s">
        <v>263</v>
      </c>
      <c r="CM2146" t="s">
        <v>264</v>
      </c>
      <c r="CN2146" t="s">
        <v>264</v>
      </c>
      <c r="CP2146" t="s">
        <v>265</v>
      </c>
      <c r="CQ2146" t="s">
        <v>890</v>
      </c>
      <c r="DB2146">
        <v>1</v>
      </c>
      <c r="DG2146" t="s">
        <v>267</v>
      </c>
      <c r="DI2146">
        <v>24</v>
      </c>
      <c r="DN2146" t="s">
        <v>268</v>
      </c>
      <c r="DP2146" t="s">
        <v>570</v>
      </c>
      <c r="DR2146">
        <v>294125</v>
      </c>
      <c r="DS2146">
        <v>72</v>
      </c>
      <c r="DT2146" t="s">
        <v>3532</v>
      </c>
      <c r="EW2146" t="s">
        <v>333</v>
      </c>
      <c r="FK2146" t="s">
        <v>3533</v>
      </c>
      <c r="FM2146">
        <v>20</v>
      </c>
      <c r="FR2146" t="s">
        <v>295</v>
      </c>
      <c r="GJ2146">
        <v>4</v>
      </c>
      <c r="GL2146">
        <v>6</v>
      </c>
      <c r="GM2146" t="s">
        <v>356</v>
      </c>
      <c r="GO2146">
        <v>8</v>
      </c>
      <c r="GU2146">
        <v>20</v>
      </c>
      <c r="GZ2146" t="s">
        <v>296</v>
      </c>
      <c r="HH2146" t="s">
        <v>272</v>
      </c>
      <c r="ID2146" t="s">
        <v>3534</v>
      </c>
      <c r="IE2146" t="s">
        <v>3535</v>
      </c>
      <c r="IF2146">
        <v>9316</v>
      </c>
      <c r="IG2146" t="s">
        <v>3536</v>
      </c>
      <c r="IH2146" t="s">
        <v>3537</v>
      </c>
      <c r="II2146">
        <v>1971</v>
      </c>
      <c r="IJ2146" t="s">
        <v>3538</v>
      </c>
    </row>
    <row r="2147" spans="1:244" x14ac:dyDescent="0.45">
      <c r="A2147">
        <v>1200161</v>
      </c>
      <c r="B2147">
        <v>154741</v>
      </c>
      <c r="C2147">
        <v>10108642</v>
      </c>
      <c r="D2147" t="s">
        <v>3523</v>
      </c>
      <c r="F2147" t="s">
        <v>245</v>
      </c>
      <c r="G2147" t="s">
        <v>246</v>
      </c>
      <c r="N2147" t="s">
        <v>1022</v>
      </c>
      <c r="O2147" t="s">
        <v>578</v>
      </c>
      <c r="P2147" t="s">
        <v>249</v>
      </c>
      <c r="Q2147" t="s">
        <v>250</v>
      </c>
      <c r="R2147" t="s">
        <v>251</v>
      </c>
      <c r="T2147" t="s">
        <v>252</v>
      </c>
      <c r="U2147" t="s">
        <v>499</v>
      </c>
      <c r="V2147" t="s">
        <v>992</v>
      </c>
      <c r="W2147" t="s">
        <v>1023</v>
      </c>
      <c r="X2147" t="s">
        <v>1024</v>
      </c>
      <c r="AD2147">
        <v>7</v>
      </c>
      <c r="AF2147">
        <v>14</v>
      </c>
      <c r="AG2147" t="s">
        <v>267</v>
      </c>
      <c r="AL2147" t="s">
        <v>3873</v>
      </c>
      <c r="AM2147" t="s">
        <v>317</v>
      </c>
      <c r="AN2147" t="s">
        <v>259</v>
      </c>
      <c r="AO2147" t="s">
        <v>260</v>
      </c>
      <c r="AQ2147" t="s">
        <v>261</v>
      </c>
      <c r="AT2147" t="s">
        <v>288</v>
      </c>
      <c r="AU2147">
        <v>40</v>
      </c>
      <c r="AV2147" t="s">
        <v>289</v>
      </c>
      <c r="AW2147">
        <v>80</v>
      </c>
      <c r="AX2147" t="s">
        <v>262</v>
      </c>
      <c r="BO2147" t="s">
        <v>261</v>
      </c>
      <c r="BR2147" t="s">
        <v>288</v>
      </c>
      <c r="BS2147">
        <v>0.04</v>
      </c>
      <c r="BT2147" t="s">
        <v>289</v>
      </c>
      <c r="BU2147">
        <v>0.08</v>
      </c>
      <c r="BV2147" t="s">
        <v>263</v>
      </c>
      <c r="CM2147" t="s">
        <v>264</v>
      </c>
      <c r="CN2147" t="s">
        <v>264</v>
      </c>
      <c r="CP2147" t="s">
        <v>265</v>
      </c>
      <c r="CQ2147" t="s">
        <v>890</v>
      </c>
      <c r="DB2147">
        <v>4</v>
      </c>
      <c r="DG2147" t="s">
        <v>267</v>
      </c>
      <c r="DI2147">
        <v>96</v>
      </c>
      <c r="DN2147" t="s">
        <v>268</v>
      </c>
      <c r="DR2147">
        <v>247138</v>
      </c>
      <c r="DS2147">
        <v>4424</v>
      </c>
      <c r="DT2147" t="s">
        <v>3874</v>
      </c>
      <c r="EW2147" t="s">
        <v>272</v>
      </c>
      <c r="FK2147" t="s">
        <v>3875</v>
      </c>
      <c r="FM2147">
        <v>23</v>
      </c>
      <c r="FR2147" t="s">
        <v>295</v>
      </c>
      <c r="GU2147">
        <v>5</v>
      </c>
      <c r="GZ2147" t="s">
        <v>296</v>
      </c>
      <c r="HH2147" t="s">
        <v>272</v>
      </c>
      <c r="ID2147" t="s">
        <v>3876</v>
      </c>
      <c r="IE2147" t="s">
        <v>3877</v>
      </c>
      <c r="IF2147">
        <v>18159</v>
      </c>
      <c r="IG2147" t="s">
        <v>3878</v>
      </c>
      <c r="IH2147" t="s">
        <v>3879</v>
      </c>
      <c r="II2147">
        <v>1997</v>
      </c>
      <c r="IJ2147" t="s">
        <v>3880</v>
      </c>
    </row>
    <row r="2148" spans="1:244" x14ac:dyDescent="0.45">
      <c r="A2148">
        <v>1207260</v>
      </c>
      <c r="B2148">
        <v>182042</v>
      </c>
      <c r="C2148">
        <v>10108642</v>
      </c>
      <c r="D2148" t="s">
        <v>3523</v>
      </c>
      <c r="F2148" t="s">
        <v>245</v>
      </c>
      <c r="G2148" t="s">
        <v>246</v>
      </c>
      <c r="N2148" t="s">
        <v>1022</v>
      </c>
      <c r="O2148" t="s">
        <v>578</v>
      </c>
      <c r="P2148" t="s">
        <v>249</v>
      </c>
      <c r="Q2148" t="s">
        <v>250</v>
      </c>
      <c r="R2148" t="s">
        <v>251</v>
      </c>
      <c r="T2148" t="s">
        <v>252</v>
      </c>
      <c r="U2148" t="s">
        <v>499</v>
      </c>
      <c r="V2148" t="s">
        <v>992</v>
      </c>
      <c r="W2148" t="s">
        <v>1023</v>
      </c>
      <c r="X2148" t="s">
        <v>1024</v>
      </c>
      <c r="AL2148" t="s">
        <v>2441</v>
      </c>
      <c r="AM2148" t="s">
        <v>317</v>
      </c>
      <c r="AN2148" t="s">
        <v>259</v>
      </c>
      <c r="AO2148" t="s">
        <v>260</v>
      </c>
      <c r="AQ2148" t="s">
        <v>261</v>
      </c>
      <c r="AT2148" t="s">
        <v>288</v>
      </c>
      <c r="AU2148">
        <v>600</v>
      </c>
      <c r="AV2148" t="s">
        <v>289</v>
      </c>
      <c r="AW2148">
        <v>900</v>
      </c>
      <c r="AX2148" t="s">
        <v>262</v>
      </c>
      <c r="BO2148" t="s">
        <v>261</v>
      </c>
      <c r="BR2148" t="s">
        <v>288</v>
      </c>
      <c r="BS2148">
        <v>0.6</v>
      </c>
      <c r="BT2148" t="s">
        <v>289</v>
      </c>
      <c r="BU2148">
        <v>0.9</v>
      </c>
      <c r="BV2148" t="s">
        <v>263</v>
      </c>
      <c r="CM2148" t="s">
        <v>264</v>
      </c>
      <c r="CN2148" t="s">
        <v>264</v>
      </c>
      <c r="CP2148" t="s">
        <v>265</v>
      </c>
      <c r="CQ2148" t="s">
        <v>890</v>
      </c>
      <c r="DB2148">
        <v>4</v>
      </c>
      <c r="DG2148" t="s">
        <v>267</v>
      </c>
      <c r="DI2148">
        <v>96</v>
      </c>
      <c r="DN2148" t="s">
        <v>268</v>
      </c>
      <c r="DR2148">
        <v>247138</v>
      </c>
      <c r="DS2148">
        <v>4424</v>
      </c>
      <c r="DT2148" t="s">
        <v>3860</v>
      </c>
      <c r="EW2148" t="s">
        <v>293</v>
      </c>
      <c r="FK2148" t="s">
        <v>1186</v>
      </c>
      <c r="FM2148">
        <v>25.2</v>
      </c>
      <c r="FO2148">
        <v>23.5</v>
      </c>
      <c r="FQ2148">
        <v>26.2</v>
      </c>
      <c r="FR2148" t="s">
        <v>295</v>
      </c>
      <c r="GH2148">
        <v>7</v>
      </c>
      <c r="GJ2148">
        <v>4</v>
      </c>
      <c r="GL2148">
        <v>8.4</v>
      </c>
      <c r="GM2148" t="s">
        <v>356</v>
      </c>
      <c r="GO2148">
        <v>7.98</v>
      </c>
      <c r="GQ2148">
        <v>7.73</v>
      </c>
      <c r="GS2148">
        <v>8.3000000000000007</v>
      </c>
      <c r="GU2148">
        <v>8</v>
      </c>
      <c r="GZ2148" t="s">
        <v>296</v>
      </c>
      <c r="HH2148" t="s">
        <v>272</v>
      </c>
      <c r="ID2148" t="s">
        <v>1187</v>
      </c>
      <c r="IE2148" t="s">
        <v>3862</v>
      </c>
      <c r="IF2148">
        <v>19002</v>
      </c>
      <c r="IG2148" t="s">
        <v>3863</v>
      </c>
      <c r="IH2148" t="s">
        <v>3864</v>
      </c>
      <c r="II2148">
        <v>1998</v>
      </c>
      <c r="IJ2148" t="s">
        <v>3865</v>
      </c>
    </row>
    <row r="2149" spans="1:244" x14ac:dyDescent="0.45">
      <c r="A2149">
        <v>2211985</v>
      </c>
      <c r="B2149">
        <v>2432834</v>
      </c>
      <c r="C2149">
        <v>10108642</v>
      </c>
      <c r="D2149" t="s">
        <v>3523</v>
      </c>
      <c r="F2149" t="s">
        <v>327</v>
      </c>
      <c r="G2149" t="s">
        <v>557</v>
      </c>
      <c r="N2149" t="s">
        <v>312</v>
      </c>
      <c r="O2149" t="s">
        <v>313</v>
      </c>
      <c r="P2149" t="s">
        <v>249</v>
      </c>
      <c r="Q2149" t="s">
        <v>250</v>
      </c>
      <c r="R2149" t="s">
        <v>251</v>
      </c>
      <c r="T2149" t="s">
        <v>252</v>
      </c>
      <c r="U2149" t="s">
        <v>253</v>
      </c>
      <c r="V2149" t="s">
        <v>304</v>
      </c>
      <c r="W2149" t="s">
        <v>305</v>
      </c>
      <c r="X2149" t="s">
        <v>314</v>
      </c>
      <c r="Z2149" t="s">
        <v>649</v>
      </c>
      <c r="AJ2149" t="s">
        <v>285</v>
      </c>
      <c r="AL2149" t="s">
        <v>2093</v>
      </c>
      <c r="AM2149" t="s">
        <v>317</v>
      </c>
      <c r="AN2149" t="s">
        <v>259</v>
      </c>
      <c r="AO2149" t="s">
        <v>260</v>
      </c>
      <c r="AP2149" t="s">
        <v>3848</v>
      </c>
      <c r="AQ2149" t="s">
        <v>261</v>
      </c>
      <c r="AS2149">
        <v>1.21</v>
      </c>
      <c r="AU2149">
        <v>0.94</v>
      </c>
      <c r="AW2149">
        <v>1.56</v>
      </c>
      <c r="AX2149" t="s">
        <v>356</v>
      </c>
      <c r="BO2149" t="s">
        <v>261</v>
      </c>
      <c r="BQ2149">
        <v>1.21</v>
      </c>
      <c r="BS2149">
        <v>0.94</v>
      </c>
      <c r="BU2149">
        <v>1.56</v>
      </c>
      <c r="BV2149" t="s">
        <v>263</v>
      </c>
      <c r="CM2149" t="s">
        <v>264</v>
      </c>
      <c r="CN2149" t="s">
        <v>264</v>
      </c>
      <c r="CP2149" t="s">
        <v>265</v>
      </c>
      <c r="CQ2149" t="s">
        <v>890</v>
      </c>
      <c r="DB2149">
        <v>2</v>
      </c>
      <c r="DG2149" t="s">
        <v>267</v>
      </c>
      <c r="DI2149">
        <v>48</v>
      </c>
      <c r="DN2149" t="s">
        <v>268</v>
      </c>
      <c r="DP2149" t="s">
        <v>3849</v>
      </c>
      <c r="DR2149">
        <v>221654</v>
      </c>
      <c r="DS2149">
        <v>65263</v>
      </c>
      <c r="DV2149">
        <v>48</v>
      </c>
      <c r="EA2149" t="s">
        <v>268</v>
      </c>
      <c r="EC2149">
        <v>2</v>
      </c>
      <c r="EH2149" t="s">
        <v>267</v>
      </c>
      <c r="EJ2149">
        <v>48</v>
      </c>
      <c r="EO2149" t="s">
        <v>268</v>
      </c>
      <c r="EQ2149">
        <v>2</v>
      </c>
      <c r="EV2149" t="s">
        <v>267</v>
      </c>
      <c r="EW2149" t="s">
        <v>293</v>
      </c>
      <c r="EY2149" t="s">
        <v>377</v>
      </c>
      <c r="FA2149" t="s">
        <v>3914</v>
      </c>
      <c r="FM2149">
        <v>20</v>
      </c>
      <c r="FR2149" t="s">
        <v>295</v>
      </c>
      <c r="GG2149" t="s">
        <v>288</v>
      </c>
      <c r="GH2149">
        <v>40</v>
      </c>
      <c r="GM2149" t="s">
        <v>900</v>
      </c>
      <c r="GO2149">
        <v>7.5</v>
      </c>
      <c r="GQ2149">
        <v>6.1</v>
      </c>
      <c r="GS2149">
        <v>8</v>
      </c>
      <c r="GU2149">
        <v>10</v>
      </c>
      <c r="GZ2149" t="s">
        <v>296</v>
      </c>
      <c r="HH2149" t="s">
        <v>272</v>
      </c>
      <c r="ID2149" t="s">
        <v>3851</v>
      </c>
      <c r="IE2149" t="s">
        <v>3852</v>
      </c>
      <c r="IF2149">
        <v>177340</v>
      </c>
      <c r="IG2149" t="s">
        <v>3853</v>
      </c>
      <c r="IH2149" t="s">
        <v>3854</v>
      </c>
      <c r="II2149">
        <v>1989</v>
      </c>
      <c r="IJ2149" t="s">
        <v>3855</v>
      </c>
    </row>
    <row r="2150" spans="1:244" x14ac:dyDescent="0.45">
      <c r="A2150">
        <v>1200168</v>
      </c>
      <c r="B2150">
        <v>154748</v>
      </c>
      <c r="C2150">
        <v>10108642</v>
      </c>
      <c r="D2150" t="s">
        <v>3523</v>
      </c>
      <c r="F2150" t="s">
        <v>245</v>
      </c>
      <c r="G2150" t="s">
        <v>246</v>
      </c>
      <c r="N2150" t="s">
        <v>1022</v>
      </c>
      <c r="O2150" t="s">
        <v>578</v>
      </c>
      <c r="P2150" t="s">
        <v>249</v>
      </c>
      <c r="Q2150" t="s">
        <v>250</v>
      </c>
      <c r="R2150" t="s">
        <v>251</v>
      </c>
      <c r="T2150" t="s">
        <v>252</v>
      </c>
      <c r="U2150" t="s">
        <v>499</v>
      </c>
      <c r="V2150" t="s">
        <v>992</v>
      </c>
      <c r="W2150" t="s">
        <v>1023</v>
      </c>
      <c r="X2150" t="s">
        <v>1024</v>
      </c>
      <c r="AD2150">
        <v>7</v>
      </c>
      <c r="AF2150">
        <v>14</v>
      </c>
      <c r="AG2150" t="s">
        <v>267</v>
      </c>
      <c r="AL2150" t="s">
        <v>3873</v>
      </c>
      <c r="AM2150" t="s">
        <v>317</v>
      </c>
      <c r="AN2150" t="s">
        <v>259</v>
      </c>
      <c r="AO2150" t="s">
        <v>260</v>
      </c>
      <c r="AQ2150" t="s">
        <v>261</v>
      </c>
      <c r="AT2150" t="s">
        <v>288</v>
      </c>
      <c r="AU2150">
        <v>40</v>
      </c>
      <c r="AV2150" t="s">
        <v>289</v>
      </c>
      <c r="AW2150">
        <v>80</v>
      </c>
      <c r="AX2150" t="s">
        <v>262</v>
      </c>
      <c r="BO2150" t="s">
        <v>261</v>
      </c>
      <c r="BR2150" t="s">
        <v>288</v>
      </c>
      <c r="BS2150">
        <v>0.04</v>
      </c>
      <c r="BT2150" t="s">
        <v>289</v>
      </c>
      <c r="BU2150">
        <v>0.08</v>
      </c>
      <c r="BV2150" t="s">
        <v>263</v>
      </c>
      <c r="CM2150" t="s">
        <v>264</v>
      </c>
      <c r="CN2150" t="s">
        <v>264</v>
      </c>
      <c r="CP2150" t="s">
        <v>265</v>
      </c>
      <c r="CQ2150" t="s">
        <v>890</v>
      </c>
      <c r="DB2150">
        <v>4</v>
      </c>
      <c r="DG2150" t="s">
        <v>267</v>
      </c>
      <c r="DI2150">
        <v>96</v>
      </c>
      <c r="DN2150" t="s">
        <v>268</v>
      </c>
      <c r="DR2150">
        <v>247138</v>
      </c>
      <c r="DS2150">
        <v>4424</v>
      </c>
      <c r="DT2150" t="s">
        <v>3874</v>
      </c>
      <c r="EW2150" t="s">
        <v>272</v>
      </c>
      <c r="FK2150" t="s">
        <v>3875</v>
      </c>
      <c r="FM2150">
        <v>23</v>
      </c>
      <c r="FR2150" t="s">
        <v>295</v>
      </c>
      <c r="GU2150">
        <v>5</v>
      </c>
      <c r="GZ2150" t="s">
        <v>296</v>
      </c>
      <c r="HH2150" t="s">
        <v>272</v>
      </c>
      <c r="ID2150" t="s">
        <v>3876</v>
      </c>
      <c r="IE2150" t="s">
        <v>3877</v>
      </c>
      <c r="IF2150">
        <v>18159</v>
      </c>
      <c r="IG2150" t="s">
        <v>3878</v>
      </c>
      <c r="IH2150" t="s">
        <v>3879</v>
      </c>
      <c r="II2150">
        <v>1997</v>
      </c>
      <c r="IJ2150" t="s">
        <v>3880</v>
      </c>
    </row>
    <row r="2151" spans="1:244" x14ac:dyDescent="0.45">
      <c r="A2151">
        <v>2211998</v>
      </c>
      <c r="B2151">
        <v>2432847</v>
      </c>
      <c r="C2151">
        <v>10108642</v>
      </c>
      <c r="D2151" t="s">
        <v>3523</v>
      </c>
      <c r="F2151" t="s">
        <v>327</v>
      </c>
      <c r="G2151" t="s">
        <v>557</v>
      </c>
      <c r="N2151" t="s">
        <v>312</v>
      </c>
      <c r="O2151" t="s">
        <v>313</v>
      </c>
      <c r="P2151" t="s">
        <v>249</v>
      </c>
      <c r="Q2151" t="s">
        <v>250</v>
      </c>
      <c r="R2151" t="s">
        <v>251</v>
      </c>
      <c r="T2151" t="s">
        <v>252</v>
      </c>
      <c r="U2151" t="s">
        <v>253</v>
      </c>
      <c r="V2151" t="s">
        <v>304</v>
      </c>
      <c r="W2151" t="s">
        <v>305</v>
      </c>
      <c r="X2151" t="s">
        <v>314</v>
      </c>
      <c r="Z2151" t="s">
        <v>649</v>
      </c>
      <c r="AJ2151" t="s">
        <v>285</v>
      </c>
      <c r="AL2151" t="s">
        <v>2093</v>
      </c>
      <c r="AM2151" t="s">
        <v>317</v>
      </c>
      <c r="AN2151" t="s">
        <v>259</v>
      </c>
      <c r="AO2151" t="s">
        <v>260</v>
      </c>
      <c r="AP2151" t="s">
        <v>3848</v>
      </c>
      <c r="AQ2151" t="s">
        <v>261</v>
      </c>
      <c r="AS2151">
        <v>1.46</v>
      </c>
      <c r="AU2151">
        <v>1.23</v>
      </c>
      <c r="AW2151">
        <v>1.76</v>
      </c>
      <c r="AX2151" t="s">
        <v>356</v>
      </c>
      <c r="BO2151" t="s">
        <v>261</v>
      </c>
      <c r="BQ2151">
        <v>1.46</v>
      </c>
      <c r="BS2151">
        <v>1.23</v>
      </c>
      <c r="BU2151">
        <v>1.76</v>
      </c>
      <c r="BV2151" t="s">
        <v>263</v>
      </c>
      <c r="CM2151" t="s">
        <v>264</v>
      </c>
      <c r="CN2151" t="s">
        <v>264</v>
      </c>
      <c r="CP2151" t="s">
        <v>265</v>
      </c>
      <c r="CQ2151" t="s">
        <v>890</v>
      </c>
      <c r="DB2151">
        <v>2</v>
      </c>
      <c r="DG2151" t="s">
        <v>267</v>
      </c>
      <c r="DI2151">
        <v>48</v>
      </c>
      <c r="DN2151" t="s">
        <v>268</v>
      </c>
      <c r="DP2151" t="s">
        <v>3849</v>
      </c>
      <c r="DR2151">
        <v>221654</v>
      </c>
      <c r="DS2151">
        <v>65263</v>
      </c>
      <c r="DV2151">
        <v>48</v>
      </c>
      <c r="EA2151" t="s">
        <v>268</v>
      </c>
      <c r="EC2151">
        <v>2</v>
      </c>
      <c r="EH2151" t="s">
        <v>267</v>
      </c>
      <c r="EJ2151">
        <v>48</v>
      </c>
      <c r="EO2151" t="s">
        <v>268</v>
      </c>
      <c r="EQ2151">
        <v>2</v>
      </c>
      <c r="EV2151" t="s">
        <v>267</v>
      </c>
      <c r="EW2151" t="s">
        <v>293</v>
      </c>
      <c r="EY2151" t="s">
        <v>377</v>
      </c>
      <c r="FA2151" t="s">
        <v>3915</v>
      </c>
      <c r="FM2151">
        <v>20</v>
      </c>
      <c r="FR2151" t="s">
        <v>295</v>
      </c>
      <c r="GG2151" t="s">
        <v>288</v>
      </c>
      <c r="GH2151">
        <v>40</v>
      </c>
      <c r="GM2151" t="s">
        <v>900</v>
      </c>
      <c r="GO2151">
        <v>7.5</v>
      </c>
      <c r="GQ2151">
        <v>6.1</v>
      </c>
      <c r="GS2151">
        <v>8</v>
      </c>
      <c r="GU2151">
        <v>10</v>
      </c>
      <c r="GZ2151" t="s">
        <v>296</v>
      </c>
      <c r="HH2151" t="s">
        <v>272</v>
      </c>
      <c r="ID2151" t="s">
        <v>3851</v>
      </c>
      <c r="IE2151" t="s">
        <v>3852</v>
      </c>
      <c r="IF2151">
        <v>177340</v>
      </c>
      <c r="IG2151" t="s">
        <v>3853</v>
      </c>
      <c r="IH2151" t="s">
        <v>3854</v>
      </c>
      <c r="II2151">
        <v>1989</v>
      </c>
      <c r="IJ2151" t="s">
        <v>3855</v>
      </c>
    </row>
    <row r="2152" spans="1:244" x14ac:dyDescent="0.45">
      <c r="A2152">
        <v>1207258</v>
      </c>
      <c r="B2152">
        <v>182040</v>
      </c>
      <c r="C2152">
        <v>10108642</v>
      </c>
      <c r="D2152" t="s">
        <v>3523</v>
      </c>
      <c r="F2152" t="s">
        <v>245</v>
      </c>
      <c r="G2152" t="s">
        <v>246</v>
      </c>
      <c r="N2152" t="s">
        <v>1022</v>
      </c>
      <c r="O2152" t="s">
        <v>578</v>
      </c>
      <c r="P2152" t="s">
        <v>249</v>
      </c>
      <c r="Q2152" t="s">
        <v>250</v>
      </c>
      <c r="R2152" t="s">
        <v>251</v>
      </c>
      <c r="T2152" t="s">
        <v>252</v>
      </c>
      <c r="U2152" t="s">
        <v>499</v>
      </c>
      <c r="V2152" t="s">
        <v>992</v>
      </c>
      <c r="W2152" t="s">
        <v>1023</v>
      </c>
      <c r="X2152" t="s">
        <v>1024</v>
      </c>
      <c r="AL2152" t="s">
        <v>2314</v>
      </c>
      <c r="AM2152" t="s">
        <v>317</v>
      </c>
      <c r="AN2152" t="s">
        <v>259</v>
      </c>
      <c r="AO2152" t="s">
        <v>260</v>
      </c>
      <c r="AQ2152" t="s">
        <v>261</v>
      </c>
      <c r="AT2152" t="s">
        <v>288</v>
      </c>
      <c r="AU2152">
        <v>900</v>
      </c>
      <c r="AV2152" t="s">
        <v>289</v>
      </c>
      <c r="AW2152">
        <v>1200</v>
      </c>
      <c r="AX2152" t="s">
        <v>262</v>
      </c>
      <c r="BO2152" t="s">
        <v>261</v>
      </c>
      <c r="BR2152" t="s">
        <v>288</v>
      </c>
      <c r="BS2152">
        <v>0.9</v>
      </c>
      <c r="BT2152" t="s">
        <v>289</v>
      </c>
      <c r="BU2152">
        <v>1.2</v>
      </c>
      <c r="BV2152" t="s">
        <v>263</v>
      </c>
      <c r="CM2152" t="s">
        <v>264</v>
      </c>
      <c r="CN2152" t="s">
        <v>264</v>
      </c>
      <c r="CP2152" t="s">
        <v>265</v>
      </c>
      <c r="CQ2152" t="s">
        <v>890</v>
      </c>
      <c r="DB2152">
        <v>4</v>
      </c>
      <c r="DG2152" t="s">
        <v>267</v>
      </c>
      <c r="DI2152">
        <v>96</v>
      </c>
      <c r="DN2152" t="s">
        <v>268</v>
      </c>
      <c r="DR2152">
        <v>247138</v>
      </c>
      <c r="DS2152">
        <v>4424</v>
      </c>
      <c r="DT2152" t="s">
        <v>3860</v>
      </c>
      <c r="EW2152" t="s">
        <v>293</v>
      </c>
      <c r="FK2152" t="s">
        <v>1186</v>
      </c>
      <c r="FM2152">
        <v>25.2</v>
      </c>
      <c r="FO2152">
        <v>23.5</v>
      </c>
      <c r="FQ2152">
        <v>26.2</v>
      </c>
      <c r="FR2152" t="s">
        <v>295</v>
      </c>
      <c r="GH2152">
        <v>7</v>
      </c>
      <c r="GJ2152">
        <v>4</v>
      </c>
      <c r="GL2152">
        <v>8.4</v>
      </c>
      <c r="GM2152" t="s">
        <v>356</v>
      </c>
      <c r="GO2152">
        <v>7.98</v>
      </c>
      <c r="GQ2152">
        <v>7.73</v>
      </c>
      <c r="GS2152">
        <v>8.3000000000000007</v>
      </c>
      <c r="GU2152">
        <v>8</v>
      </c>
      <c r="GZ2152" t="s">
        <v>296</v>
      </c>
      <c r="HH2152" t="s">
        <v>272</v>
      </c>
      <c r="ID2152" t="s">
        <v>1187</v>
      </c>
      <c r="IE2152" t="s">
        <v>3862</v>
      </c>
      <c r="IF2152">
        <v>19002</v>
      </c>
      <c r="IG2152" t="s">
        <v>3863</v>
      </c>
      <c r="IH2152" t="s">
        <v>3864</v>
      </c>
      <c r="II2152">
        <v>1998</v>
      </c>
      <c r="IJ2152" t="s">
        <v>3865</v>
      </c>
    </row>
    <row r="2153" spans="1:244" x14ac:dyDescent="0.45">
      <c r="A2153">
        <v>1207261</v>
      </c>
      <c r="B2153">
        <v>182043</v>
      </c>
      <c r="C2153">
        <v>10108642</v>
      </c>
      <c r="D2153" t="s">
        <v>3523</v>
      </c>
      <c r="F2153" t="s">
        <v>245</v>
      </c>
      <c r="G2153" t="s">
        <v>246</v>
      </c>
      <c r="N2153" t="s">
        <v>1022</v>
      </c>
      <c r="O2153" t="s">
        <v>578</v>
      </c>
      <c r="P2153" t="s">
        <v>249</v>
      </c>
      <c r="Q2153" t="s">
        <v>250</v>
      </c>
      <c r="R2153" t="s">
        <v>251</v>
      </c>
      <c r="T2153" t="s">
        <v>252</v>
      </c>
      <c r="U2153" t="s">
        <v>499</v>
      </c>
      <c r="V2153" t="s">
        <v>992</v>
      </c>
      <c r="W2153" t="s">
        <v>1023</v>
      </c>
      <c r="X2153" t="s">
        <v>1024</v>
      </c>
      <c r="Z2153" t="s">
        <v>649</v>
      </c>
      <c r="AM2153" t="s">
        <v>317</v>
      </c>
      <c r="AN2153" t="s">
        <v>259</v>
      </c>
      <c r="AO2153" t="s">
        <v>260</v>
      </c>
      <c r="AQ2153" t="s">
        <v>261</v>
      </c>
      <c r="AS2153">
        <v>230</v>
      </c>
      <c r="AX2153" t="s">
        <v>262</v>
      </c>
      <c r="BO2153" t="s">
        <v>261</v>
      </c>
      <c r="BQ2153">
        <v>0.23</v>
      </c>
      <c r="BV2153" t="s">
        <v>263</v>
      </c>
      <c r="CM2153" t="s">
        <v>264</v>
      </c>
      <c r="CN2153" t="s">
        <v>264</v>
      </c>
      <c r="CP2153" t="s">
        <v>265</v>
      </c>
      <c r="CQ2153" t="s">
        <v>890</v>
      </c>
      <c r="DB2153">
        <v>4</v>
      </c>
      <c r="DG2153" t="s">
        <v>267</v>
      </c>
      <c r="DI2153">
        <v>96</v>
      </c>
      <c r="DN2153" t="s">
        <v>268</v>
      </c>
      <c r="DR2153">
        <v>247138</v>
      </c>
      <c r="DS2153">
        <v>4424</v>
      </c>
      <c r="DT2153" t="s">
        <v>3860</v>
      </c>
      <c r="EW2153" t="s">
        <v>293</v>
      </c>
      <c r="FA2153" t="s">
        <v>3916</v>
      </c>
      <c r="FK2153" t="s">
        <v>1186</v>
      </c>
      <c r="FM2153">
        <v>25.2</v>
      </c>
      <c r="FO2153">
        <v>23.5</v>
      </c>
      <c r="FQ2153">
        <v>26.2</v>
      </c>
      <c r="FR2153" t="s">
        <v>295</v>
      </c>
      <c r="GH2153">
        <v>7</v>
      </c>
      <c r="GJ2153">
        <v>4</v>
      </c>
      <c r="GL2153">
        <v>8.4</v>
      </c>
      <c r="GM2153" t="s">
        <v>356</v>
      </c>
      <c r="GO2153">
        <v>7.98</v>
      </c>
      <c r="GQ2153">
        <v>7.73</v>
      </c>
      <c r="GS2153">
        <v>8.3000000000000007</v>
      </c>
      <c r="GU2153">
        <v>8</v>
      </c>
      <c r="GZ2153" t="s">
        <v>296</v>
      </c>
      <c r="HH2153" t="s">
        <v>272</v>
      </c>
      <c r="ID2153" t="s">
        <v>1187</v>
      </c>
      <c r="IE2153" t="s">
        <v>3862</v>
      </c>
      <c r="IF2153">
        <v>19002</v>
      </c>
      <c r="IG2153" t="s">
        <v>3863</v>
      </c>
      <c r="IH2153" t="s">
        <v>3864</v>
      </c>
      <c r="II2153">
        <v>1998</v>
      </c>
      <c r="IJ2153" t="s">
        <v>3865</v>
      </c>
    </row>
    <row r="2154" spans="1:244" x14ac:dyDescent="0.45">
      <c r="A2154">
        <v>1159838</v>
      </c>
      <c r="B2154">
        <v>142847</v>
      </c>
      <c r="C2154">
        <v>10108642</v>
      </c>
      <c r="D2154" t="s">
        <v>3523</v>
      </c>
      <c r="E2154" t="s">
        <v>622</v>
      </c>
      <c r="F2154" t="s">
        <v>327</v>
      </c>
      <c r="G2154" t="s">
        <v>246</v>
      </c>
      <c r="N2154" t="s">
        <v>623</v>
      </c>
      <c r="O2154" t="s">
        <v>388</v>
      </c>
      <c r="P2154" t="s">
        <v>249</v>
      </c>
      <c r="Q2154" t="s">
        <v>250</v>
      </c>
      <c r="R2154" t="s">
        <v>251</v>
      </c>
      <c r="T2154" t="s">
        <v>389</v>
      </c>
      <c r="U2154" t="s">
        <v>390</v>
      </c>
      <c r="V2154" t="s">
        <v>472</v>
      </c>
      <c r="W2154" t="s">
        <v>473</v>
      </c>
      <c r="X2154" t="s">
        <v>624</v>
      </c>
      <c r="Z2154" t="s">
        <v>525</v>
      </c>
      <c r="AM2154" t="s">
        <v>258</v>
      </c>
      <c r="AN2154" t="s">
        <v>259</v>
      </c>
      <c r="AO2154" t="s">
        <v>260</v>
      </c>
      <c r="AQ2154" t="s">
        <v>261</v>
      </c>
      <c r="AS2154">
        <v>460</v>
      </c>
      <c r="AX2154" t="s">
        <v>262</v>
      </c>
      <c r="BO2154" t="s">
        <v>261</v>
      </c>
      <c r="BQ2154">
        <v>0.46</v>
      </c>
      <c r="BV2154" t="s">
        <v>263</v>
      </c>
      <c r="CM2154" t="s">
        <v>264</v>
      </c>
      <c r="CN2154" t="s">
        <v>264</v>
      </c>
      <c r="CP2154" t="s">
        <v>265</v>
      </c>
      <c r="CQ2154" t="s">
        <v>890</v>
      </c>
      <c r="DB2154">
        <v>4</v>
      </c>
      <c r="DG2154" t="s">
        <v>267</v>
      </c>
      <c r="DI2154">
        <v>96</v>
      </c>
      <c r="DN2154" t="s">
        <v>268</v>
      </c>
      <c r="DS2154">
        <v>4676</v>
      </c>
      <c r="DT2154" t="s">
        <v>625</v>
      </c>
      <c r="EW2154" t="s">
        <v>376</v>
      </c>
      <c r="FO2154">
        <v>20</v>
      </c>
      <c r="FQ2154">
        <v>21</v>
      </c>
      <c r="FR2154" t="s">
        <v>295</v>
      </c>
      <c r="GJ2154">
        <v>7</v>
      </c>
      <c r="GL2154">
        <v>7.9</v>
      </c>
      <c r="GM2154" t="s">
        <v>356</v>
      </c>
      <c r="GQ2154">
        <v>7.7</v>
      </c>
      <c r="GS2154">
        <v>8.14</v>
      </c>
      <c r="GW2154">
        <v>34.5</v>
      </c>
      <c r="GY2154">
        <v>35.01</v>
      </c>
      <c r="GZ2154" t="s">
        <v>296</v>
      </c>
      <c r="HH2154" t="s">
        <v>272</v>
      </c>
      <c r="IE2154" t="s">
        <v>626</v>
      </c>
      <c r="IF2154">
        <v>14137</v>
      </c>
      <c r="IG2154" t="s">
        <v>627</v>
      </c>
      <c r="IH2154" t="s">
        <v>628</v>
      </c>
      <c r="II2154">
        <v>1994</v>
      </c>
      <c r="IJ2154" t="s">
        <v>629</v>
      </c>
    </row>
    <row r="2155" spans="1:244" x14ac:dyDescent="0.45">
      <c r="A2155">
        <v>1210147</v>
      </c>
      <c r="B2155">
        <v>186387</v>
      </c>
      <c r="C2155">
        <v>10108642</v>
      </c>
      <c r="D2155" t="s">
        <v>3523</v>
      </c>
      <c r="F2155" t="s">
        <v>245</v>
      </c>
      <c r="G2155" t="s">
        <v>246</v>
      </c>
      <c r="I2155">
        <v>99.9</v>
      </c>
      <c r="N2155" t="s">
        <v>2498</v>
      </c>
      <c r="O2155" t="s">
        <v>388</v>
      </c>
      <c r="P2155" t="s">
        <v>249</v>
      </c>
      <c r="Q2155" t="s">
        <v>250</v>
      </c>
      <c r="R2155" t="s">
        <v>251</v>
      </c>
      <c r="T2155" t="s">
        <v>389</v>
      </c>
      <c r="U2155" t="s">
        <v>390</v>
      </c>
      <c r="V2155" t="s">
        <v>391</v>
      </c>
      <c r="W2155" t="s">
        <v>392</v>
      </c>
      <c r="X2155" t="s">
        <v>2499</v>
      </c>
      <c r="AL2155" t="s">
        <v>475</v>
      </c>
      <c r="AM2155" t="s">
        <v>317</v>
      </c>
      <c r="AN2155" t="s">
        <v>259</v>
      </c>
      <c r="AO2155" t="s">
        <v>260</v>
      </c>
      <c r="AQ2155" t="s">
        <v>261</v>
      </c>
      <c r="AS2155">
        <v>47.9</v>
      </c>
      <c r="AU2155">
        <v>45.8</v>
      </c>
      <c r="AW2155">
        <v>50</v>
      </c>
      <c r="AX2155" t="s">
        <v>262</v>
      </c>
      <c r="BO2155" t="s">
        <v>261</v>
      </c>
      <c r="BQ2155">
        <v>4.7899999999999998E-2</v>
      </c>
      <c r="BS2155">
        <v>4.58E-2</v>
      </c>
      <c r="BU2155">
        <v>0.05</v>
      </c>
      <c r="BV2155" t="s">
        <v>263</v>
      </c>
      <c r="CM2155" t="s">
        <v>264</v>
      </c>
      <c r="CN2155" t="s">
        <v>264</v>
      </c>
      <c r="CP2155" t="s">
        <v>265</v>
      </c>
      <c r="DB2155">
        <v>4</v>
      </c>
      <c r="DG2155" t="s">
        <v>267</v>
      </c>
      <c r="DI2155">
        <v>96</v>
      </c>
      <c r="DN2155" t="s">
        <v>268</v>
      </c>
      <c r="DO2155" t="s">
        <v>1587</v>
      </c>
      <c r="DR2155">
        <v>272819</v>
      </c>
      <c r="DS2155">
        <v>4707</v>
      </c>
      <c r="DT2155" t="s">
        <v>3917</v>
      </c>
      <c r="EW2155" t="s">
        <v>293</v>
      </c>
      <c r="FM2155">
        <v>20</v>
      </c>
      <c r="FR2155" t="s">
        <v>295</v>
      </c>
      <c r="GJ2155">
        <v>7</v>
      </c>
      <c r="GL2155">
        <v>7.9</v>
      </c>
      <c r="GM2155" t="s">
        <v>356</v>
      </c>
      <c r="GQ2155">
        <v>7.7</v>
      </c>
      <c r="GS2155">
        <v>8.14</v>
      </c>
      <c r="GW2155">
        <v>34.5</v>
      </c>
      <c r="GY2155">
        <v>35</v>
      </c>
      <c r="GZ2155" t="s">
        <v>296</v>
      </c>
      <c r="HH2155" t="s">
        <v>272</v>
      </c>
      <c r="IE2155" t="s">
        <v>3918</v>
      </c>
      <c r="IF2155">
        <v>19281</v>
      </c>
      <c r="IG2155" t="s">
        <v>3919</v>
      </c>
      <c r="IH2155" t="s">
        <v>3920</v>
      </c>
      <c r="II2155">
        <v>1998</v>
      </c>
      <c r="IJ2155" t="s">
        <v>3921</v>
      </c>
    </row>
    <row r="2156" spans="1:244" x14ac:dyDescent="0.45">
      <c r="A2156">
        <v>1200164</v>
      </c>
      <c r="B2156">
        <v>154744</v>
      </c>
      <c r="C2156">
        <v>10108642</v>
      </c>
      <c r="D2156" t="s">
        <v>3523</v>
      </c>
      <c r="F2156" t="s">
        <v>245</v>
      </c>
      <c r="G2156" t="s">
        <v>246</v>
      </c>
      <c r="N2156" t="s">
        <v>1022</v>
      </c>
      <c r="O2156" t="s">
        <v>578</v>
      </c>
      <c r="P2156" t="s">
        <v>249</v>
      </c>
      <c r="Q2156" t="s">
        <v>250</v>
      </c>
      <c r="R2156" t="s">
        <v>251</v>
      </c>
      <c r="T2156" t="s">
        <v>252</v>
      </c>
      <c r="U2156" t="s">
        <v>499</v>
      </c>
      <c r="V2156" t="s">
        <v>992</v>
      </c>
      <c r="W2156" t="s">
        <v>1023</v>
      </c>
      <c r="X2156" t="s">
        <v>1024</v>
      </c>
      <c r="AD2156">
        <v>7</v>
      </c>
      <c r="AF2156">
        <v>14</v>
      </c>
      <c r="AG2156" t="s">
        <v>267</v>
      </c>
      <c r="AL2156" t="s">
        <v>3873</v>
      </c>
      <c r="AM2156" t="s">
        <v>317</v>
      </c>
      <c r="AN2156" t="s">
        <v>259</v>
      </c>
      <c r="AO2156" t="s">
        <v>260</v>
      </c>
      <c r="AQ2156" t="s">
        <v>261</v>
      </c>
      <c r="AT2156" t="s">
        <v>288</v>
      </c>
      <c r="AU2156">
        <v>20</v>
      </c>
      <c r="AV2156" t="s">
        <v>289</v>
      </c>
      <c r="AW2156">
        <v>40</v>
      </c>
      <c r="AX2156" t="s">
        <v>262</v>
      </c>
      <c r="BO2156" t="s">
        <v>261</v>
      </c>
      <c r="BR2156" t="s">
        <v>288</v>
      </c>
      <c r="BS2156">
        <v>0.02</v>
      </c>
      <c r="BT2156" t="s">
        <v>289</v>
      </c>
      <c r="BU2156">
        <v>0.04</v>
      </c>
      <c r="BV2156" t="s">
        <v>263</v>
      </c>
      <c r="CM2156" t="s">
        <v>264</v>
      </c>
      <c r="CN2156" t="s">
        <v>264</v>
      </c>
      <c r="CP2156" t="s">
        <v>265</v>
      </c>
      <c r="CQ2156" t="s">
        <v>890</v>
      </c>
      <c r="DB2156">
        <v>4</v>
      </c>
      <c r="DG2156" t="s">
        <v>267</v>
      </c>
      <c r="DI2156">
        <v>96</v>
      </c>
      <c r="DN2156" t="s">
        <v>268</v>
      </c>
      <c r="DR2156">
        <v>247138</v>
      </c>
      <c r="DS2156">
        <v>4424</v>
      </c>
      <c r="DT2156" t="s">
        <v>3874</v>
      </c>
      <c r="EW2156" t="s">
        <v>272</v>
      </c>
      <c r="FK2156" t="s">
        <v>3875</v>
      </c>
      <c r="FM2156">
        <v>23</v>
      </c>
      <c r="FR2156" t="s">
        <v>295</v>
      </c>
      <c r="GU2156">
        <v>5</v>
      </c>
      <c r="GZ2156" t="s">
        <v>296</v>
      </c>
      <c r="HH2156" t="s">
        <v>272</v>
      </c>
      <c r="ID2156" t="s">
        <v>3876</v>
      </c>
      <c r="IE2156" t="s">
        <v>3877</v>
      </c>
      <c r="IF2156">
        <v>18159</v>
      </c>
      <c r="IG2156" t="s">
        <v>3878</v>
      </c>
      <c r="IH2156" t="s">
        <v>3879</v>
      </c>
      <c r="II2156">
        <v>1997</v>
      </c>
      <c r="IJ2156" t="s">
        <v>3880</v>
      </c>
    </row>
    <row r="2157" spans="1:244" x14ac:dyDescent="0.45">
      <c r="A2157">
        <v>1044476</v>
      </c>
      <c r="B2157">
        <v>54771</v>
      </c>
      <c r="C2157">
        <v>10108642</v>
      </c>
      <c r="D2157" t="s">
        <v>3523</v>
      </c>
      <c r="F2157" t="s">
        <v>327</v>
      </c>
      <c r="G2157" t="s">
        <v>246</v>
      </c>
      <c r="N2157" t="s">
        <v>1583</v>
      </c>
      <c r="O2157" t="s">
        <v>1584</v>
      </c>
      <c r="P2157" t="s">
        <v>249</v>
      </c>
      <c r="Q2157" t="s">
        <v>250</v>
      </c>
      <c r="R2157" t="s">
        <v>251</v>
      </c>
      <c r="T2157" t="s">
        <v>252</v>
      </c>
      <c r="U2157" t="s">
        <v>253</v>
      </c>
      <c r="V2157" t="s">
        <v>418</v>
      </c>
      <c r="W2157" t="s">
        <v>1585</v>
      </c>
      <c r="X2157" t="s">
        <v>1586</v>
      </c>
      <c r="Z2157" t="s">
        <v>1248</v>
      </c>
      <c r="AM2157" t="s">
        <v>307</v>
      </c>
      <c r="AN2157" t="s">
        <v>259</v>
      </c>
      <c r="AO2157" t="s">
        <v>260</v>
      </c>
      <c r="AQ2157" t="s">
        <v>261</v>
      </c>
      <c r="AS2157">
        <v>4600</v>
      </c>
      <c r="AX2157" t="s">
        <v>262</v>
      </c>
      <c r="BO2157" t="s">
        <v>261</v>
      </c>
      <c r="BQ2157">
        <v>4.5999999999999996</v>
      </c>
      <c r="BV2157" t="s">
        <v>263</v>
      </c>
      <c r="CM2157" t="s">
        <v>264</v>
      </c>
      <c r="CN2157" t="s">
        <v>264</v>
      </c>
      <c r="CP2157" t="s">
        <v>265</v>
      </c>
      <c r="CQ2157" t="s">
        <v>890</v>
      </c>
      <c r="DB2157">
        <v>4</v>
      </c>
      <c r="DG2157" t="s">
        <v>267</v>
      </c>
      <c r="DI2157">
        <v>96</v>
      </c>
      <c r="DN2157" t="s">
        <v>268</v>
      </c>
      <c r="DR2157">
        <v>64466</v>
      </c>
      <c r="DS2157">
        <v>49914</v>
      </c>
      <c r="EW2157" t="s">
        <v>271</v>
      </c>
      <c r="FK2157" t="s">
        <v>3922</v>
      </c>
      <c r="FM2157">
        <v>25</v>
      </c>
      <c r="FR2157" t="s">
        <v>295</v>
      </c>
      <c r="GH2157">
        <v>1</v>
      </c>
      <c r="GM2157" t="s">
        <v>356</v>
      </c>
      <c r="GQ2157">
        <v>8.1</v>
      </c>
      <c r="GS2157">
        <v>8.1999999999999993</v>
      </c>
      <c r="GU2157">
        <v>20</v>
      </c>
      <c r="GZ2157" t="s">
        <v>296</v>
      </c>
      <c r="HH2157" t="s">
        <v>272</v>
      </c>
      <c r="ID2157" t="s">
        <v>3923</v>
      </c>
      <c r="IE2157" t="s">
        <v>3924</v>
      </c>
      <c r="IF2157">
        <v>2839</v>
      </c>
      <c r="IG2157" t="s">
        <v>3925</v>
      </c>
      <c r="IH2157" t="s">
        <v>3926</v>
      </c>
      <c r="II2157">
        <v>1975</v>
      </c>
      <c r="IJ2157" t="s">
        <v>3927</v>
      </c>
    </row>
    <row r="2158" spans="1:244" x14ac:dyDescent="0.45">
      <c r="A2158">
        <v>1210145</v>
      </c>
      <c r="B2158">
        <v>186385</v>
      </c>
      <c r="C2158">
        <v>10108642</v>
      </c>
      <c r="D2158" t="s">
        <v>3523</v>
      </c>
      <c r="F2158" t="s">
        <v>245</v>
      </c>
      <c r="G2158" t="s">
        <v>246</v>
      </c>
      <c r="I2158">
        <v>99.9</v>
      </c>
      <c r="N2158" t="s">
        <v>2498</v>
      </c>
      <c r="O2158" t="s">
        <v>388</v>
      </c>
      <c r="P2158" t="s">
        <v>249</v>
      </c>
      <c r="Q2158" t="s">
        <v>250</v>
      </c>
      <c r="R2158" t="s">
        <v>251</v>
      </c>
      <c r="T2158" t="s">
        <v>389</v>
      </c>
      <c r="U2158" t="s">
        <v>390</v>
      </c>
      <c r="V2158" t="s">
        <v>391</v>
      </c>
      <c r="W2158" t="s">
        <v>392</v>
      </c>
      <c r="X2158" t="s">
        <v>2499</v>
      </c>
      <c r="Z2158" t="s">
        <v>525</v>
      </c>
      <c r="AM2158" t="s">
        <v>317</v>
      </c>
      <c r="AN2158" t="s">
        <v>259</v>
      </c>
      <c r="AO2158" t="s">
        <v>260</v>
      </c>
      <c r="AQ2158" t="s">
        <v>261</v>
      </c>
      <c r="AS2158">
        <v>17.399999999999999</v>
      </c>
      <c r="AU2158">
        <v>15.4</v>
      </c>
      <c r="AW2158">
        <v>19.399999999999999</v>
      </c>
      <c r="AX2158" t="s">
        <v>262</v>
      </c>
      <c r="BO2158" t="s">
        <v>261</v>
      </c>
      <c r="BQ2158">
        <v>1.7399999999999999E-2</v>
      </c>
      <c r="BS2158">
        <v>1.54E-2</v>
      </c>
      <c r="BU2158">
        <v>1.9400000000000001E-2</v>
      </c>
      <c r="BV2158" t="s">
        <v>263</v>
      </c>
      <c r="CM2158" t="s">
        <v>264</v>
      </c>
      <c r="CN2158" t="s">
        <v>264</v>
      </c>
      <c r="CP2158" t="s">
        <v>265</v>
      </c>
      <c r="DB2158">
        <v>4</v>
      </c>
      <c r="DG2158" t="s">
        <v>267</v>
      </c>
      <c r="DI2158">
        <v>96</v>
      </c>
      <c r="DN2158" t="s">
        <v>268</v>
      </c>
      <c r="DO2158" t="s">
        <v>1587</v>
      </c>
      <c r="DR2158">
        <v>272819</v>
      </c>
      <c r="DS2158">
        <v>4707</v>
      </c>
      <c r="DT2158" t="s">
        <v>3917</v>
      </c>
      <c r="EW2158" t="s">
        <v>293</v>
      </c>
      <c r="FM2158">
        <v>20</v>
      </c>
      <c r="FR2158" t="s">
        <v>295</v>
      </c>
      <c r="GJ2158">
        <v>7</v>
      </c>
      <c r="GL2158">
        <v>7.9</v>
      </c>
      <c r="GM2158" t="s">
        <v>356</v>
      </c>
      <c r="GQ2158">
        <v>7.7</v>
      </c>
      <c r="GS2158">
        <v>8.14</v>
      </c>
      <c r="GW2158">
        <v>34.5</v>
      </c>
      <c r="GY2158">
        <v>35</v>
      </c>
      <c r="GZ2158" t="s">
        <v>296</v>
      </c>
      <c r="HH2158" t="s">
        <v>272</v>
      </c>
      <c r="IE2158" t="s">
        <v>3918</v>
      </c>
      <c r="IF2158">
        <v>19281</v>
      </c>
      <c r="IG2158" t="s">
        <v>3919</v>
      </c>
      <c r="IH2158" t="s">
        <v>3920</v>
      </c>
      <c r="II2158">
        <v>1998</v>
      </c>
      <c r="IJ2158" t="s">
        <v>3921</v>
      </c>
    </row>
    <row r="2159" spans="1:244" x14ac:dyDescent="0.45">
      <c r="A2159">
        <v>1119858</v>
      </c>
      <c r="B2159">
        <v>70068</v>
      </c>
      <c r="C2159">
        <v>10108642</v>
      </c>
      <c r="D2159" t="s">
        <v>3523</v>
      </c>
      <c r="F2159" t="s">
        <v>327</v>
      </c>
      <c r="G2159" t="s">
        <v>246</v>
      </c>
      <c r="N2159" t="s">
        <v>328</v>
      </c>
      <c r="O2159" t="s">
        <v>329</v>
      </c>
      <c r="P2159" t="s">
        <v>249</v>
      </c>
      <c r="Q2159" t="s">
        <v>250</v>
      </c>
      <c r="R2159" t="s">
        <v>251</v>
      </c>
      <c r="T2159" t="s">
        <v>252</v>
      </c>
      <c r="U2159" t="s">
        <v>253</v>
      </c>
      <c r="V2159" t="s">
        <v>304</v>
      </c>
      <c r="W2159" t="s">
        <v>330</v>
      </c>
      <c r="X2159" t="s">
        <v>331</v>
      </c>
      <c r="AL2159" t="s">
        <v>3883</v>
      </c>
      <c r="AM2159" t="s">
        <v>317</v>
      </c>
      <c r="AN2159" t="s">
        <v>259</v>
      </c>
      <c r="AO2159" t="s">
        <v>260</v>
      </c>
      <c r="AQ2159" t="s">
        <v>261</v>
      </c>
      <c r="AS2159">
        <v>420</v>
      </c>
      <c r="AX2159" t="s">
        <v>262</v>
      </c>
      <c r="BO2159" t="s">
        <v>261</v>
      </c>
      <c r="BQ2159">
        <v>0.42</v>
      </c>
      <c r="BV2159" t="s">
        <v>263</v>
      </c>
      <c r="CM2159" t="s">
        <v>264</v>
      </c>
      <c r="CN2159" t="s">
        <v>264</v>
      </c>
      <c r="CP2159" t="s">
        <v>265</v>
      </c>
      <c r="CQ2159" t="s">
        <v>890</v>
      </c>
      <c r="DB2159">
        <v>4</v>
      </c>
      <c r="DG2159" t="s">
        <v>267</v>
      </c>
      <c r="DI2159">
        <v>96</v>
      </c>
      <c r="DN2159" t="s">
        <v>268</v>
      </c>
      <c r="DP2159" t="s">
        <v>570</v>
      </c>
      <c r="DR2159">
        <v>294125</v>
      </c>
      <c r="DS2159">
        <v>72</v>
      </c>
      <c r="DT2159" t="s">
        <v>3532</v>
      </c>
      <c r="EW2159" t="s">
        <v>333</v>
      </c>
      <c r="FK2159" t="s">
        <v>3533</v>
      </c>
      <c r="FM2159">
        <v>20</v>
      </c>
      <c r="FR2159" t="s">
        <v>295</v>
      </c>
      <c r="GJ2159">
        <v>4</v>
      </c>
      <c r="GL2159">
        <v>6</v>
      </c>
      <c r="GM2159" t="s">
        <v>356</v>
      </c>
      <c r="GO2159">
        <v>8</v>
      </c>
      <c r="GU2159">
        <v>20</v>
      </c>
      <c r="GZ2159" t="s">
        <v>296</v>
      </c>
      <c r="HH2159" t="s">
        <v>272</v>
      </c>
      <c r="ID2159" t="s">
        <v>3534</v>
      </c>
      <c r="IE2159" t="s">
        <v>3535</v>
      </c>
      <c r="IF2159">
        <v>9316</v>
      </c>
      <c r="IG2159" t="s">
        <v>3536</v>
      </c>
      <c r="IH2159" t="s">
        <v>3537</v>
      </c>
      <c r="II2159">
        <v>1971</v>
      </c>
      <c r="IJ2159" t="s">
        <v>3538</v>
      </c>
    </row>
    <row r="2160" spans="1:244" x14ac:dyDescent="0.45">
      <c r="A2160">
        <v>1116277</v>
      </c>
      <c r="B2160">
        <v>107519</v>
      </c>
      <c r="C2160">
        <v>10108642</v>
      </c>
      <c r="D2160" t="s">
        <v>3523</v>
      </c>
      <c r="F2160" t="s">
        <v>245</v>
      </c>
      <c r="G2160" t="s">
        <v>246</v>
      </c>
      <c r="N2160" t="s">
        <v>630</v>
      </c>
      <c r="O2160" t="s">
        <v>631</v>
      </c>
      <c r="P2160" t="s">
        <v>249</v>
      </c>
      <c r="Q2160" t="s">
        <v>250</v>
      </c>
      <c r="R2160" t="s">
        <v>251</v>
      </c>
      <c r="T2160" t="s">
        <v>389</v>
      </c>
      <c r="U2160" t="s">
        <v>632</v>
      </c>
      <c r="V2160" t="s">
        <v>633</v>
      </c>
      <c r="W2160" t="s">
        <v>634</v>
      </c>
      <c r="X2160" t="s">
        <v>635</v>
      </c>
      <c r="Z2160" t="s">
        <v>315</v>
      </c>
      <c r="AM2160" t="s">
        <v>317</v>
      </c>
      <c r="AN2160" t="s">
        <v>259</v>
      </c>
      <c r="AO2160" t="s">
        <v>260</v>
      </c>
      <c r="AQ2160" t="s">
        <v>261</v>
      </c>
      <c r="AS2160">
        <v>29</v>
      </c>
      <c r="AU2160">
        <v>23</v>
      </c>
      <c r="AW2160">
        <v>37</v>
      </c>
      <c r="AX2160" t="s">
        <v>262</v>
      </c>
      <c r="BO2160" t="s">
        <v>261</v>
      </c>
      <c r="BQ2160">
        <v>2.9000000000000001E-2</v>
      </c>
      <c r="BS2160">
        <v>2.3E-2</v>
      </c>
      <c r="BU2160">
        <v>3.6999999999999998E-2</v>
      </c>
      <c r="BV2160" t="s">
        <v>263</v>
      </c>
      <c r="CM2160" t="s">
        <v>264</v>
      </c>
      <c r="CN2160" t="s">
        <v>264</v>
      </c>
      <c r="CP2160" t="s">
        <v>265</v>
      </c>
      <c r="CQ2160" t="s">
        <v>890</v>
      </c>
      <c r="DB2160">
        <v>4</v>
      </c>
      <c r="DG2160" t="s">
        <v>267</v>
      </c>
      <c r="DI2160">
        <v>96</v>
      </c>
      <c r="DN2160" t="s">
        <v>268</v>
      </c>
      <c r="DR2160">
        <v>136180</v>
      </c>
      <c r="DS2160">
        <v>376</v>
      </c>
      <c r="DT2160" t="s">
        <v>3890</v>
      </c>
      <c r="EW2160" t="s">
        <v>271</v>
      </c>
      <c r="FM2160">
        <v>21</v>
      </c>
      <c r="FR2160" t="s">
        <v>295</v>
      </c>
      <c r="GU2160">
        <v>20</v>
      </c>
      <c r="GZ2160" t="s">
        <v>296</v>
      </c>
      <c r="HH2160" t="s">
        <v>272</v>
      </c>
      <c r="IE2160" t="s">
        <v>3891</v>
      </c>
      <c r="IF2160">
        <v>9029</v>
      </c>
      <c r="IG2160" t="s">
        <v>3892</v>
      </c>
      <c r="IH2160" t="s">
        <v>3893</v>
      </c>
      <c r="II2160">
        <v>1987</v>
      </c>
      <c r="IJ2160" t="s">
        <v>3894</v>
      </c>
    </row>
    <row r="2161" spans="1:244" x14ac:dyDescent="0.45">
      <c r="A2161">
        <v>1057377</v>
      </c>
      <c r="B2161">
        <v>127330</v>
      </c>
      <c r="C2161">
        <v>10108642</v>
      </c>
      <c r="D2161" t="s">
        <v>3523</v>
      </c>
      <c r="E2161" t="s">
        <v>386</v>
      </c>
      <c r="F2161" t="s">
        <v>327</v>
      </c>
      <c r="G2161" t="s">
        <v>246</v>
      </c>
      <c r="I2161">
        <v>99.4</v>
      </c>
      <c r="N2161" t="s">
        <v>577</v>
      </c>
      <c r="O2161" t="s">
        <v>578</v>
      </c>
      <c r="P2161" t="s">
        <v>249</v>
      </c>
      <c r="Q2161" t="s">
        <v>250</v>
      </c>
      <c r="R2161" t="s">
        <v>251</v>
      </c>
      <c r="T2161" t="s">
        <v>252</v>
      </c>
      <c r="U2161" t="s">
        <v>499</v>
      </c>
      <c r="V2161" t="s">
        <v>579</v>
      </c>
      <c r="W2161" t="s">
        <v>580</v>
      </c>
      <c r="X2161" t="s">
        <v>581</v>
      </c>
      <c r="AL2161" t="s">
        <v>3928</v>
      </c>
      <c r="AM2161" t="s">
        <v>258</v>
      </c>
      <c r="AN2161" t="s">
        <v>259</v>
      </c>
      <c r="AO2161" t="s">
        <v>260</v>
      </c>
      <c r="AQ2161" t="s">
        <v>261</v>
      </c>
      <c r="AS2161">
        <v>41.9</v>
      </c>
      <c r="AX2161" t="s">
        <v>262</v>
      </c>
      <c r="BO2161" t="s">
        <v>261</v>
      </c>
      <c r="BQ2161">
        <v>4.19E-2</v>
      </c>
      <c r="BV2161" t="s">
        <v>263</v>
      </c>
      <c r="CM2161" t="s">
        <v>264</v>
      </c>
      <c r="CN2161" t="s">
        <v>264</v>
      </c>
      <c r="CO2161" t="s">
        <v>3900</v>
      </c>
      <c r="CP2161" t="s">
        <v>265</v>
      </c>
      <c r="CQ2161" t="s">
        <v>890</v>
      </c>
      <c r="DB2161">
        <v>4</v>
      </c>
      <c r="DG2161" t="s">
        <v>267</v>
      </c>
      <c r="DI2161">
        <v>4</v>
      </c>
      <c r="DN2161" t="s">
        <v>267</v>
      </c>
      <c r="DO2161" t="s">
        <v>1587</v>
      </c>
      <c r="DR2161">
        <v>1450415</v>
      </c>
      <c r="DS2161">
        <v>4619</v>
      </c>
      <c r="DT2161" t="s">
        <v>3901</v>
      </c>
      <c r="EW2161" t="s">
        <v>333</v>
      </c>
      <c r="FA2161" t="s">
        <v>3929</v>
      </c>
      <c r="GG2161" t="s">
        <v>288</v>
      </c>
      <c r="GH2161">
        <v>60</v>
      </c>
      <c r="GM2161" t="s">
        <v>900</v>
      </c>
      <c r="GU2161">
        <v>30</v>
      </c>
      <c r="GZ2161" t="s">
        <v>296</v>
      </c>
      <c r="HH2161" t="s">
        <v>883</v>
      </c>
      <c r="HL2161">
        <v>1.2</v>
      </c>
      <c r="HN2161">
        <v>3.7</v>
      </c>
      <c r="HO2161" t="s">
        <v>3903</v>
      </c>
      <c r="IE2161" t="s">
        <v>3904</v>
      </c>
      <c r="IF2161">
        <v>4114</v>
      </c>
      <c r="IG2161" t="s">
        <v>3905</v>
      </c>
      <c r="IH2161" t="s">
        <v>3906</v>
      </c>
      <c r="II2161">
        <v>1993</v>
      </c>
      <c r="IJ2161" t="s">
        <v>3907</v>
      </c>
    </row>
    <row r="2162" spans="1:244" x14ac:dyDescent="0.45">
      <c r="A2162">
        <v>2211979</v>
      </c>
      <c r="B2162">
        <v>2432828</v>
      </c>
      <c r="C2162">
        <v>10108642</v>
      </c>
      <c r="D2162" t="s">
        <v>3523</v>
      </c>
      <c r="F2162" t="s">
        <v>327</v>
      </c>
      <c r="G2162" t="s">
        <v>557</v>
      </c>
      <c r="N2162" t="s">
        <v>312</v>
      </c>
      <c r="O2162" t="s">
        <v>313</v>
      </c>
      <c r="P2162" t="s">
        <v>249</v>
      </c>
      <c r="Q2162" t="s">
        <v>250</v>
      </c>
      <c r="R2162" t="s">
        <v>251</v>
      </c>
      <c r="T2162" t="s">
        <v>252</v>
      </c>
      <c r="U2162" t="s">
        <v>253</v>
      </c>
      <c r="V2162" t="s">
        <v>304</v>
      </c>
      <c r="W2162" t="s">
        <v>305</v>
      </c>
      <c r="X2162" t="s">
        <v>314</v>
      </c>
      <c r="Z2162" t="s">
        <v>649</v>
      </c>
      <c r="AJ2162" t="s">
        <v>285</v>
      </c>
      <c r="AL2162" t="s">
        <v>2093</v>
      </c>
      <c r="AM2162" t="s">
        <v>317</v>
      </c>
      <c r="AN2162" t="s">
        <v>259</v>
      </c>
      <c r="AO2162" t="s">
        <v>260</v>
      </c>
      <c r="AP2162" t="s">
        <v>3848</v>
      </c>
      <c r="AQ2162" t="s">
        <v>261</v>
      </c>
      <c r="AR2162" t="s">
        <v>288</v>
      </c>
      <c r="AS2162">
        <v>1</v>
      </c>
      <c r="AX2162" t="s">
        <v>356</v>
      </c>
      <c r="BO2162" t="s">
        <v>261</v>
      </c>
      <c r="BP2162" t="s">
        <v>288</v>
      </c>
      <c r="BQ2162">
        <v>1</v>
      </c>
      <c r="BV2162" t="s">
        <v>263</v>
      </c>
      <c r="CM2162" t="s">
        <v>264</v>
      </c>
      <c r="CN2162" t="s">
        <v>264</v>
      </c>
      <c r="CP2162" t="s">
        <v>265</v>
      </c>
      <c r="CQ2162" t="s">
        <v>890</v>
      </c>
      <c r="DB2162">
        <v>2</v>
      </c>
      <c r="DG2162" t="s">
        <v>267</v>
      </c>
      <c r="DI2162">
        <v>48</v>
      </c>
      <c r="DN2162" t="s">
        <v>268</v>
      </c>
      <c r="DP2162" t="s">
        <v>3849</v>
      </c>
      <c r="DR2162">
        <v>221654</v>
      </c>
      <c r="DS2162">
        <v>65263</v>
      </c>
      <c r="DV2162">
        <v>48</v>
      </c>
      <c r="EA2162" t="s">
        <v>268</v>
      </c>
      <c r="EC2162">
        <v>2</v>
      </c>
      <c r="EH2162" t="s">
        <v>267</v>
      </c>
      <c r="EJ2162">
        <v>48</v>
      </c>
      <c r="EO2162" t="s">
        <v>268</v>
      </c>
      <c r="EQ2162">
        <v>2</v>
      </c>
      <c r="EV2162" t="s">
        <v>267</v>
      </c>
      <c r="EW2162" t="s">
        <v>293</v>
      </c>
      <c r="EY2162" t="s">
        <v>377</v>
      </c>
      <c r="FA2162" t="s">
        <v>3930</v>
      </c>
      <c r="FM2162">
        <v>20</v>
      </c>
      <c r="FR2162" t="s">
        <v>295</v>
      </c>
      <c r="GG2162" t="s">
        <v>288</v>
      </c>
      <c r="GH2162">
        <v>40</v>
      </c>
      <c r="GM2162" t="s">
        <v>900</v>
      </c>
      <c r="GO2162">
        <v>7.5</v>
      </c>
      <c r="GQ2162">
        <v>6.1</v>
      </c>
      <c r="GS2162">
        <v>8</v>
      </c>
      <c r="GU2162">
        <v>10</v>
      </c>
      <c r="GZ2162" t="s">
        <v>296</v>
      </c>
      <c r="HH2162" t="s">
        <v>272</v>
      </c>
      <c r="ID2162" t="s">
        <v>3851</v>
      </c>
      <c r="IE2162" t="s">
        <v>3852</v>
      </c>
      <c r="IF2162">
        <v>177340</v>
      </c>
      <c r="IG2162" t="s">
        <v>3853</v>
      </c>
      <c r="IH2162" t="s">
        <v>3854</v>
      </c>
      <c r="II2162">
        <v>1989</v>
      </c>
      <c r="IJ2162" t="s">
        <v>3855</v>
      </c>
    </row>
    <row r="2163" spans="1:244" x14ac:dyDescent="0.45">
      <c r="A2163">
        <v>1193486</v>
      </c>
      <c r="B2163">
        <v>203476</v>
      </c>
      <c r="C2163">
        <v>10108642</v>
      </c>
      <c r="D2163" t="s">
        <v>3523</v>
      </c>
      <c r="F2163" t="s">
        <v>245</v>
      </c>
      <c r="G2163" t="s">
        <v>246</v>
      </c>
      <c r="N2163" t="s">
        <v>3931</v>
      </c>
      <c r="O2163" t="s">
        <v>578</v>
      </c>
      <c r="P2163" t="s">
        <v>249</v>
      </c>
      <c r="Q2163" t="s">
        <v>250</v>
      </c>
      <c r="R2163" t="s">
        <v>251</v>
      </c>
      <c r="T2163" t="s">
        <v>252</v>
      </c>
      <c r="U2163" t="s">
        <v>499</v>
      </c>
      <c r="V2163" t="s">
        <v>579</v>
      </c>
      <c r="W2163" t="s">
        <v>3932</v>
      </c>
      <c r="X2163" t="s">
        <v>3933</v>
      </c>
      <c r="Z2163" t="s">
        <v>3934</v>
      </c>
      <c r="AL2163" t="s">
        <v>3734</v>
      </c>
      <c r="AM2163" t="s">
        <v>317</v>
      </c>
      <c r="AN2163" t="s">
        <v>259</v>
      </c>
      <c r="AO2163" t="s">
        <v>260</v>
      </c>
      <c r="AQ2163" t="s">
        <v>1569</v>
      </c>
      <c r="AS2163">
        <v>470</v>
      </c>
      <c r="AU2163">
        <v>300</v>
      </c>
      <c r="AW2163">
        <v>700</v>
      </c>
      <c r="AX2163" t="s">
        <v>262</v>
      </c>
      <c r="AY2163" t="s">
        <v>261</v>
      </c>
      <c r="BA2163">
        <v>6860</v>
      </c>
      <c r="BC2163">
        <v>4300</v>
      </c>
      <c r="BE2163">
        <v>10900</v>
      </c>
      <c r="BF2163" t="s">
        <v>262</v>
      </c>
      <c r="BO2163" t="s">
        <v>1569</v>
      </c>
      <c r="BQ2163">
        <v>0.47</v>
      </c>
      <c r="BS2163">
        <v>0.3</v>
      </c>
      <c r="BU2163">
        <v>0.7</v>
      </c>
      <c r="BV2163" t="s">
        <v>263</v>
      </c>
      <c r="BW2163" t="s">
        <v>261</v>
      </c>
      <c r="BY2163">
        <v>6.86</v>
      </c>
      <c r="CA2163">
        <v>4.3</v>
      </c>
      <c r="CC2163">
        <v>10.9</v>
      </c>
      <c r="CD2163" t="s">
        <v>263</v>
      </c>
      <c r="CM2163" t="s">
        <v>264</v>
      </c>
      <c r="CN2163" t="s">
        <v>264</v>
      </c>
      <c r="CP2163" t="s">
        <v>265</v>
      </c>
      <c r="CQ2163" t="s">
        <v>890</v>
      </c>
      <c r="CR2163" t="s">
        <v>890</v>
      </c>
      <c r="DB2163">
        <v>4</v>
      </c>
      <c r="DG2163" t="s">
        <v>267</v>
      </c>
      <c r="DI2163">
        <v>96</v>
      </c>
      <c r="DN2163" t="s">
        <v>268</v>
      </c>
      <c r="DS2163">
        <v>10798</v>
      </c>
      <c r="EW2163" t="s">
        <v>272</v>
      </c>
      <c r="FK2163" t="s">
        <v>3935</v>
      </c>
      <c r="FM2163">
        <v>15</v>
      </c>
      <c r="FR2163" t="s">
        <v>295</v>
      </c>
      <c r="GU2163">
        <v>28</v>
      </c>
      <c r="GZ2163" t="s">
        <v>296</v>
      </c>
      <c r="HH2163" t="s">
        <v>272</v>
      </c>
      <c r="ID2163" t="s">
        <v>3936</v>
      </c>
      <c r="IE2163" t="s">
        <v>3744</v>
      </c>
      <c r="IF2163">
        <v>17362</v>
      </c>
      <c r="IG2163" t="s">
        <v>3745</v>
      </c>
      <c r="IH2163" t="s">
        <v>3746</v>
      </c>
      <c r="II2163">
        <v>1992</v>
      </c>
      <c r="IJ2163" t="s">
        <v>3747</v>
      </c>
    </row>
    <row r="2164" spans="1:244" x14ac:dyDescent="0.45">
      <c r="A2164">
        <v>1193480</v>
      </c>
      <c r="B2164">
        <v>170387</v>
      </c>
      <c r="C2164">
        <v>10108642</v>
      </c>
      <c r="D2164" t="s">
        <v>3523</v>
      </c>
      <c r="F2164" t="s">
        <v>245</v>
      </c>
      <c r="G2164" t="s">
        <v>246</v>
      </c>
      <c r="N2164" t="s">
        <v>577</v>
      </c>
      <c r="O2164" t="s">
        <v>578</v>
      </c>
      <c r="P2164" t="s">
        <v>249</v>
      </c>
      <c r="Q2164" t="s">
        <v>250</v>
      </c>
      <c r="R2164" t="s">
        <v>251</v>
      </c>
      <c r="T2164" t="s">
        <v>252</v>
      </c>
      <c r="U2164" t="s">
        <v>499</v>
      </c>
      <c r="V2164" t="s">
        <v>579</v>
      </c>
      <c r="W2164" t="s">
        <v>580</v>
      </c>
      <c r="X2164" t="s">
        <v>581</v>
      </c>
      <c r="AM2164" t="s">
        <v>317</v>
      </c>
      <c r="AN2164" t="s">
        <v>259</v>
      </c>
      <c r="AO2164" t="s">
        <v>260</v>
      </c>
      <c r="AQ2164" t="s">
        <v>1569</v>
      </c>
      <c r="AS2164">
        <v>270</v>
      </c>
      <c r="AU2164">
        <v>200</v>
      </c>
      <c r="AW2164">
        <v>400</v>
      </c>
      <c r="AX2164" t="s">
        <v>262</v>
      </c>
      <c r="AY2164" t="s">
        <v>261</v>
      </c>
      <c r="BA2164">
        <v>6420</v>
      </c>
      <c r="BC2164">
        <v>4900</v>
      </c>
      <c r="BE2164">
        <v>8300</v>
      </c>
      <c r="BF2164" t="s">
        <v>262</v>
      </c>
      <c r="BO2164" t="s">
        <v>1569</v>
      </c>
      <c r="BQ2164">
        <v>0.27</v>
      </c>
      <c r="BS2164">
        <v>0.2</v>
      </c>
      <c r="BU2164">
        <v>0.4</v>
      </c>
      <c r="BV2164" t="s">
        <v>263</v>
      </c>
      <c r="BW2164" t="s">
        <v>261</v>
      </c>
      <c r="BY2164">
        <v>6.42</v>
      </c>
      <c r="CA2164">
        <v>4.9000000000000004</v>
      </c>
      <c r="CC2164">
        <v>8.3000000000000007</v>
      </c>
      <c r="CD2164" t="s">
        <v>263</v>
      </c>
      <c r="CM2164" t="s">
        <v>264</v>
      </c>
      <c r="CN2164" t="s">
        <v>264</v>
      </c>
      <c r="CP2164" t="s">
        <v>265</v>
      </c>
      <c r="CQ2164" t="s">
        <v>890</v>
      </c>
      <c r="CR2164" t="s">
        <v>890</v>
      </c>
      <c r="DB2164">
        <v>4</v>
      </c>
      <c r="DG2164" t="s">
        <v>267</v>
      </c>
      <c r="DI2164">
        <v>96</v>
      </c>
      <c r="DN2164" t="s">
        <v>268</v>
      </c>
      <c r="DR2164">
        <v>1450415</v>
      </c>
      <c r="DS2164">
        <v>4619</v>
      </c>
      <c r="EW2164" t="s">
        <v>272</v>
      </c>
      <c r="FM2164">
        <v>15</v>
      </c>
      <c r="FR2164" t="s">
        <v>295</v>
      </c>
      <c r="GU2164">
        <v>20</v>
      </c>
      <c r="GZ2164" t="s">
        <v>296</v>
      </c>
      <c r="HH2164" t="s">
        <v>272</v>
      </c>
      <c r="IE2164" t="s">
        <v>3744</v>
      </c>
      <c r="IF2164">
        <v>17362</v>
      </c>
      <c r="IG2164" t="s">
        <v>3745</v>
      </c>
      <c r="IH2164" t="s">
        <v>3746</v>
      </c>
      <c r="II2164">
        <v>1992</v>
      </c>
      <c r="IJ2164" t="s">
        <v>3747</v>
      </c>
    </row>
    <row r="2165" spans="1:244" x14ac:dyDescent="0.45">
      <c r="A2165">
        <v>1036240</v>
      </c>
      <c r="B2165">
        <v>221763</v>
      </c>
      <c r="C2165">
        <v>10108642</v>
      </c>
      <c r="D2165" t="s">
        <v>3523</v>
      </c>
      <c r="F2165" t="s">
        <v>245</v>
      </c>
      <c r="G2165" t="s">
        <v>246</v>
      </c>
      <c r="N2165" t="s">
        <v>312</v>
      </c>
      <c r="O2165" t="s">
        <v>313</v>
      </c>
      <c r="P2165" t="s">
        <v>249</v>
      </c>
      <c r="Q2165" t="s">
        <v>250</v>
      </c>
      <c r="R2165" t="s">
        <v>251</v>
      </c>
      <c r="T2165" t="s">
        <v>252</v>
      </c>
      <c r="U2165" t="s">
        <v>253</v>
      </c>
      <c r="V2165" t="s">
        <v>304</v>
      </c>
      <c r="W2165" t="s">
        <v>305</v>
      </c>
      <c r="X2165" t="s">
        <v>314</v>
      </c>
      <c r="Z2165" t="s">
        <v>315</v>
      </c>
      <c r="AL2165" t="s">
        <v>3937</v>
      </c>
      <c r="AM2165" t="s">
        <v>317</v>
      </c>
      <c r="AN2165" t="s">
        <v>259</v>
      </c>
      <c r="AO2165" t="s">
        <v>260</v>
      </c>
      <c r="AQ2165" t="s">
        <v>261</v>
      </c>
      <c r="AS2165">
        <v>6.81</v>
      </c>
      <c r="AU2165">
        <v>4.8499999999999996</v>
      </c>
      <c r="AW2165">
        <v>7.38</v>
      </c>
      <c r="AX2165" t="s">
        <v>356</v>
      </c>
      <c r="BO2165" t="s">
        <v>261</v>
      </c>
      <c r="BQ2165">
        <v>6.81</v>
      </c>
      <c r="BS2165">
        <v>4.8499999999999996</v>
      </c>
      <c r="BU2165">
        <v>7.38</v>
      </c>
      <c r="BV2165" t="s">
        <v>263</v>
      </c>
      <c r="CM2165" t="s">
        <v>264</v>
      </c>
      <c r="CN2165" t="s">
        <v>264</v>
      </c>
      <c r="CP2165" t="s">
        <v>265</v>
      </c>
      <c r="CQ2165" t="s">
        <v>890</v>
      </c>
      <c r="DB2165">
        <v>4</v>
      </c>
      <c r="DG2165" t="s">
        <v>267</v>
      </c>
      <c r="DI2165">
        <v>96</v>
      </c>
      <c r="DN2165" t="s">
        <v>268</v>
      </c>
      <c r="DR2165">
        <v>221654</v>
      </c>
      <c r="DS2165">
        <v>65263</v>
      </c>
      <c r="DT2165" t="s">
        <v>3938</v>
      </c>
      <c r="EW2165" t="s">
        <v>293</v>
      </c>
      <c r="FA2165" t="s">
        <v>3939</v>
      </c>
      <c r="FO2165">
        <v>23</v>
      </c>
      <c r="FQ2165">
        <v>25</v>
      </c>
      <c r="FR2165" t="s">
        <v>295</v>
      </c>
      <c r="GU2165">
        <v>20</v>
      </c>
      <c r="GZ2165" t="s">
        <v>296</v>
      </c>
      <c r="HH2165" t="s">
        <v>272</v>
      </c>
      <c r="IE2165" t="s">
        <v>3940</v>
      </c>
      <c r="IF2165">
        <v>2196</v>
      </c>
      <c r="IG2165" t="s">
        <v>3941</v>
      </c>
      <c r="IH2165" t="s">
        <v>3942</v>
      </c>
      <c r="II2165">
        <v>1988</v>
      </c>
      <c r="IJ2165" t="s">
        <v>3943</v>
      </c>
    </row>
    <row r="2166" spans="1:244" x14ac:dyDescent="0.45">
      <c r="A2166">
        <v>1193482</v>
      </c>
      <c r="B2166">
        <v>170389</v>
      </c>
      <c r="C2166">
        <v>10108642</v>
      </c>
      <c r="D2166" t="s">
        <v>3523</v>
      </c>
      <c r="F2166" t="s">
        <v>245</v>
      </c>
      <c r="G2166" t="s">
        <v>246</v>
      </c>
      <c r="N2166" t="s">
        <v>1022</v>
      </c>
      <c r="O2166" t="s">
        <v>578</v>
      </c>
      <c r="P2166" t="s">
        <v>249</v>
      </c>
      <c r="Q2166" t="s">
        <v>250</v>
      </c>
      <c r="R2166" t="s">
        <v>251</v>
      </c>
      <c r="T2166" t="s">
        <v>252</v>
      </c>
      <c r="U2166" t="s">
        <v>499</v>
      </c>
      <c r="V2166" t="s">
        <v>992</v>
      </c>
      <c r="W2166" t="s">
        <v>1023</v>
      </c>
      <c r="X2166" t="s">
        <v>1024</v>
      </c>
      <c r="AB2166">
        <v>1</v>
      </c>
      <c r="AG2166" t="s">
        <v>516</v>
      </c>
      <c r="AM2166" t="s">
        <v>317</v>
      </c>
      <c r="AN2166" t="s">
        <v>259</v>
      </c>
      <c r="AO2166" t="s">
        <v>260</v>
      </c>
      <c r="AQ2166" t="s">
        <v>261</v>
      </c>
      <c r="AS2166">
        <v>250</v>
      </c>
      <c r="AU2166">
        <v>160</v>
      </c>
      <c r="AW2166">
        <v>390</v>
      </c>
      <c r="AX2166" t="s">
        <v>262</v>
      </c>
      <c r="BO2166" t="s">
        <v>261</v>
      </c>
      <c r="BQ2166">
        <v>0.25</v>
      </c>
      <c r="BS2166">
        <v>0.16</v>
      </c>
      <c r="BU2166">
        <v>0.39</v>
      </c>
      <c r="BV2166" t="s">
        <v>263</v>
      </c>
      <c r="CM2166" t="s">
        <v>264</v>
      </c>
      <c r="CN2166" t="s">
        <v>264</v>
      </c>
      <c r="CP2166" t="s">
        <v>265</v>
      </c>
      <c r="CQ2166" t="s">
        <v>890</v>
      </c>
      <c r="DB2166">
        <v>4</v>
      </c>
      <c r="DG2166" t="s">
        <v>267</v>
      </c>
      <c r="DI2166">
        <v>96</v>
      </c>
      <c r="DN2166" t="s">
        <v>268</v>
      </c>
      <c r="DR2166">
        <v>247138</v>
      </c>
      <c r="DS2166">
        <v>4424</v>
      </c>
      <c r="EW2166" t="s">
        <v>293</v>
      </c>
      <c r="FM2166">
        <v>25</v>
      </c>
      <c r="FR2166" t="s">
        <v>295</v>
      </c>
      <c r="GU2166">
        <v>20</v>
      </c>
      <c r="GZ2166" t="s">
        <v>296</v>
      </c>
      <c r="HH2166" t="s">
        <v>272</v>
      </c>
      <c r="IE2166" t="s">
        <v>3744</v>
      </c>
      <c r="IF2166">
        <v>17362</v>
      </c>
      <c r="IG2166" t="s">
        <v>3745</v>
      </c>
      <c r="IH2166" t="s">
        <v>3746</v>
      </c>
      <c r="II2166">
        <v>1992</v>
      </c>
      <c r="IJ2166" t="s">
        <v>3747</v>
      </c>
    </row>
    <row r="2167" spans="1:244" x14ac:dyDescent="0.45">
      <c r="A2167">
        <v>1193481</v>
      </c>
      <c r="B2167">
        <v>170388</v>
      </c>
      <c r="C2167">
        <v>10108642</v>
      </c>
      <c r="D2167" t="s">
        <v>3523</v>
      </c>
      <c r="F2167" t="s">
        <v>245</v>
      </c>
      <c r="G2167" t="s">
        <v>246</v>
      </c>
      <c r="N2167" t="s">
        <v>729</v>
      </c>
      <c r="O2167" t="s">
        <v>578</v>
      </c>
      <c r="P2167" t="s">
        <v>249</v>
      </c>
      <c r="Q2167" t="s">
        <v>250</v>
      </c>
      <c r="R2167" t="s">
        <v>251</v>
      </c>
      <c r="T2167" t="s">
        <v>252</v>
      </c>
      <c r="U2167" t="s">
        <v>499</v>
      </c>
      <c r="V2167" t="s">
        <v>730</v>
      </c>
      <c r="W2167" t="s">
        <v>731</v>
      </c>
      <c r="X2167" t="s">
        <v>732</v>
      </c>
      <c r="AM2167" t="s">
        <v>317</v>
      </c>
      <c r="AN2167" t="s">
        <v>259</v>
      </c>
      <c r="AO2167" t="s">
        <v>260</v>
      </c>
      <c r="AQ2167" t="s">
        <v>1569</v>
      </c>
      <c r="AS2167">
        <v>60</v>
      </c>
      <c r="AU2167">
        <v>60</v>
      </c>
      <c r="AW2167">
        <v>80</v>
      </c>
      <c r="AX2167" t="s">
        <v>262</v>
      </c>
      <c r="AY2167" t="s">
        <v>261</v>
      </c>
      <c r="BA2167">
        <v>790</v>
      </c>
      <c r="BC2167">
        <v>500</v>
      </c>
      <c r="BE2167">
        <v>1100</v>
      </c>
      <c r="BF2167" t="s">
        <v>262</v>
      </c>
      <c r="BO2167" t="s">
        <v>1569</v>
      </c>
      <c r="BQ2167">
        <v>0.06</v>
      </c>
      <c r="BS2167">
        <v>0.06</v>
      </c>
      <c r="BU2167">
        <v>0.08</v>
      </c>
      <c r="BV2167" t="s">
        <v>263</v>
      </c>
      <c r="BW2167" t="s">
        <v>261</v>
      </c>
      <c r="BY2167">
        <v>0.79</v>
      </c>
      <c r="CA2167">
        <v>0.5</v>
      </c>
      <c r="CC2167">
        <v>1.1000000000000001</v>
      </c>
      <c r="CD2167" t="s">
        <v>263</v>
      </c>
      <c r="CM2167" t="s">
        <v>264</v>
      </c>
      <c r="CN2167" t="s">
        <v>264</v>
      </c>
      <c r="CP2167" t="s">
        <v>265</v>
      </c>
      <c r="CQ2167" t="s">
        <v>890</v>
      </c>
      <c r="CR2167" t="s">
        <v>890</v>
      </c>
      <c r="DB2167">
        <v>4</v>
      </c>
      <c r="DG2167" t="s">
        <v>267</v>
      </c>
      <c r="DI2167">
        <v>96</v>
      </c>
      <c r="DN2167" t="s">
        <v>268</v>
      </c>
      <c r="DS2167">
        <v>2921</v>
      </c>
      <c r="EW2167" t="s">
        <v>272</v>
      </c>
      <c r="FM2167">
        <v>15</v>
      </c>
      <c r="FR2167" t="s">
        <v>295</v>
      </c>
      <c r="GU2167">
        <v>28</v>
      </c>
      <c r="GZ2167" t="s">
        <v>296</v>
      </c>
      <c r="HH2167" t="s">
        <v>272</v>
      </c>
      <c r="IE2167" t="s">
        <v>3744</v>
      </c>
      <c r="IF2167">
        <v>17362</v>
      </c>
      <c r="IG2167" t="s">
        <v>3745</v>
      </c>
      <c r="IH2167" t="s">
        <v>3746</v>
      </c>
      <c r="II2167">
        <v>1992</v>
      </c>
      <c r="IJ2167" t="s">
        <v>3747</v>
      </c>
    </row>
    <row r="2168" spans="1:244" x14ac:dyDescent="0.45">
      <c r="A2168">
        <v>1165805</v>
      </c>
      <c r="B2168">
        <v>189246</v>
      </c>
      <c r="C2168">
        <v>10108642</v>
      </c>
      <c r="D2168" t="s">
        <v>3523</v>
      </c>
      <c r="F2168" t="s">
        <v>245</v>
      </c>
      <c r="G2168" t="s">
        <v>246</v>
      </c>
      <c r="N2168" t="s">
        <v>723</v>
      </c>
      <c r="O2168" t="s">
        <v>631</v>
      </c>
      <c r="P2168" t="s">
        <v>249</v>
      </c>
      <c r="Q2168" t="s">
        <v>250</v>
      </c>
      <c r="R2168" t="s">
        <v>251</v>
      </c>
      <c r="T2168" t="s">
        <v>389</v>
      </c>
      <c r="U2168" t="s">
        <v>632</v>
      </c>
      <c r="V2168" t="s">
        <v>633</v>
      </c>
      <c r="W2168" t="s">
        <v>634</v>
      </c>
      <c r="X2168" t="s">
        <v>724</v>
      </c>
      <c r="Z2168" t="s">
        <v>315</v>
      </c>
      <c r="AM2168" t="s">
        <v>317</v>
      </c>
      <c r="AN2168" t="s">
        <v>259</v>
      </c>
      <c r="AO2168" t="s">
        <v>260</v>
      </c>
      <c r="AQ2168" t="s">
        <v>261</v>
      </c>
      <c r="AS2168">
        <v>409</v>
      </c>
      <c r="AU2168">
        <v>272</v>
      </c>
      <c r="AW2168">
        <v>544</v>
      </c>
      <c r="AX2168" t="s">
        <v>262</v>
      </c>
      <c r="BO2168" t="s">
        <v>261</v>
      </c>
      <c r="BQ2168">
        <v>0.40899999999999997</v>
      </c>
      <c r="BS2168">
        <v>0.27200000000000002</v>
      </c>
      <c r="BU2168">
        <v>0.54400000000000004</v>
      </c>
      <c r="BV2168" t="s">
        <v>263</v>
      </c>
      <c r="CM2168" t="s">
        <v>264</v>
      </c>
      <c r="CN2168" t="s">
        <v>264</v>
      </c>
      <c r="CP2168" t="s">
        <v>265</v>
      </c>
      <c r="DB2168">
        <v>3</v>
      </c>
      <c r="DG2168" t="s">
        <v>267</v>
      </c>
      <c r="DI2168">
        <v>72</v>
      </c>
      <c r="DN2168" t="s">
        <v>268</v>
      </c>
      <c r="DR2168">
        <v>136140</v>
      </c>
      <c r="DS2168">
        <v>1784</v>
      </c>
      <c r="EW2168" t="s">
        <v>293</v>
      </c>
      <c r="FA2168" t="s">
        <v>803</v>
      </c>
      <c r="FM2168">
        <v>10</v>
      </c>
      <c r="FR2168" t="s">
        <v>295</v>
      </c>
      <c r="GU2168">
        <v>30</v>
      </c>
      <c r="GZ2168" t="s">
        <v>296</v>
      </c>
      <c r="HH2168" t="s">
        <v>272</v>
      </c>
      <c r="IE2168" t="s">
        <v>725</v>
      </c>
      <c r="IF2168">
        <v>14601</v>
      </c>
      <c r="IG2168" t="s">
        <v>3763</v>
      </c>
      <c r="IH2168" t="s">
        <v>805</v>
      </c>
      <c r="II2168">
        <v>1985</v>
      </c>
      <c r="IJ2168" t="s">
        <v>3764</v>
      </c>
    </row>
    <row r="2169" spans="1:244" x14ac:dyDescent="0.45">
      <c r="A2169">
        <v>1193476</v>
      </c>
      <c r="B2169">
        <v>170383</v>
      </c>
      <c r="C2169">
        <v>10108642</v>
      </c>
      <c r="D2169" t="s">
        <v>3523</v>
      </c>
      <c r="F2169" t="s">
        <v>245</v>
      </c>
      <c r="G2169" t="s">
        <v>246</v>
      </c>
      <c r="N2169" t="s">
        <v>1022</v>
      </c>
      <c r="O2169" t="s">
        <v>578</v>
      </c>
      <c r="P2169" t="s">
        <v>249</v>
      </c>
      <c r="Q2169" t="s">
        <v>250</v>
      </c>
      <c r="R2169" t="s">
        <v>251</v>
      </c>
      <c r="T2169" t="s">
        <v>252</v>
      </c>
      <c r="U2169" t="s">
        <v>499</v>
      </c>
      <c r="V2169" t="s">
        <v>992</v>
      </c>
      <c r="W2169" t="s">
        <v>1023</v>
      </c>
      <c r="X2169" t="s">
        <v>1024</v>
      </c>
      <c r="Z2169" t="s">
        <v>3934</v>
      </c>
      <c r="AL2169" t="s">
        <v>3944</v>
      </c>
      <c r="AM2169" t="s">
        <v>317</v>
      </c>
      <c r="AN2169" t="s">
        <v>259</v>
      </c>
      <c r="AO2169" t="s">
        <v>260</v>
      </c>
      <c r="AQ2169" t="s">
        <v>1569</v>
      </c>
      <c r="AS2169">
        <v>90</v>
      </c>
      <c r="AU2169">
        <v>60</v>
      </c>
      <c r="AW2169">
        <v>130</v>
      </c>
      <c r="AX2169" t="s">
        <v>262</v>
      </c>
      <c r="AY2169" t="s">
        <v>261</v>
      </c>
      <c r="BA2169">
        <v>2060</v>
      </c>
      <c r="BC2169">
        <v>1400</v>
      </c>
      <c r="BE2169">
        <v>3100</v>
      </c>
      <c r="BF2169" t="s">
        <v>262</v>
      </c>
      <c r="BO2169" t="s">
        <v>1569</v>
      </c>
      <c r="BQ2169">
        <v>0.09</v>
      </c>
      <c r="BS2169">
        <v>0.06</v>
      </c>
      <c r="BU2169">
        <v>0.13</v>
      </c>
      <c r="BV2169" t="s">
        <v>263</v>
      </c>
      <c r="BW2169" t="s">
        <v>261</v>
      </c>
      <c r="BY2169">
        <v>2.06</v>
      </c>
      <c r="CA2169">
        <v>1.4</v>
      </c>
      <c r="CC2169">
        <v>3.1</v>
      </c>
      <c r="CD2169" t="s">
        <v>263</v>
      </c>
      <c r="CM2169" t="s">
        <v>264</v>
      </c>
      <c r="CN2169" t="s">
        <v>264</v>
      </c>
      <c r="CP2169" t="s">
        <v>265</v>
      </c>
      <c r="CQ2169" t="s">
        <v>890</v>
      </c>
      <c r="CR2169" t="s">
        <v>890</v>
      </c>
      <c r="DB2169">
        <v>4</v>
      </c>
      <c r="DG2169" t="s">
        <v>267</v>
      </c>
      <c r="DI2169">
        <v>96</v>
      </c>
      <c r="DN2169" t="s">
        <v>268</v>
      </c>
      <c r="DR2169">
        <v>247138</v>
      </c>
      <c r="DS2169">
        <v>4424</v>
      </c>
      <c r="EW2169" t="s">
        <v>272</v>
      </c>
      <c r="FM2169">
        <v>20</v>
      </c>
      <c r="FR2169" t="s">
        <v>295</v>
      </c>
      <c r="GU2169">
        <v>20</v>
      </c>
      <c r="GZ2169" t="s">
        <v>296</v>
      </c>
      <c r="HH2169" t="s">
        <v>272</v>
      </c>
      <c r="IE2169" t="s">
        <v>3744</v>
      </c>
      <c r="IF2169">
        <v>17362</v>
      </c>
      <c r="IG2169" t="s">
        <v>3745</v>
      </c>
      <c r="IH2169" t="s">
        <v>3746</v>
      </c>
      <c r="II2169">
        <v>1992</v>
      </c>
      <c r="IJ2169" t="s">
        <v>3747</v>
      </c>
    </row>
    <row r="2170" spans="1:244" x14ac:dyDescent="0.45">
      <c r="A2170">
        <v>1059927</v>
      </c>
      <c r="B2170">
        <v>131251</v>
      </c>
      <c r="C2170">
        <v>10108642</v>
      </c>
      <c r="D2170" t="s">
        <v>3523</v>
      </c>
      <c r="F2170" t="s">
        <v>327</v>
      </c>
      <c r="G2170" t="s">
        <v>246</v>
      </c>
      <c r="N2170" t="s">
        <v>590</v>
      </c>
      <c r="O2170" t="s">
        <v>578</v>
      </c>
      <c r="P2170" t="s">
        <v>249</v>
      </c>
      <c r="Q2170" t="s">
        <v>250</v>
      </c>
      <c r="R2170" t="s">
        <v>251</v>
      </c>
      <c r="T2170" t="s">
        <v>252</v>
      </c>
      <c r="U2170" t="s">
        <v>499</v>
      </c>
      <c r="V2170" t="s">
        <v>591</v>
      </c>
      <c r="W2170" t="s">
        <v>592</v>
      </c>
      <c r="X2170" t="s">
        <v>593</v>
      </c>
      <c r="AM2170" t="s">
        <v>287</v>
      </c>
      <c r="AN2170" t="s">
        <v>259</v>
      </c>
      <c r="AO2170" t="s">
        <v>260</v>
      </c>
      <c r="AQ2170" t="s">
        <v>261</v>
      </c>
      <c r="AS2170">
        <v>200</v>
      </c>
      <c r="AU2170">
        <v>150</v>
      </c>
      <c r="AW2170">
        <v>270</v>
      </c>
      <c r="AX2170" t="s">
        <v>262</v>
      </c>
      <c r="BO2170" t="s">
        <v>261</v>
      </c>
      <c r="BQ2170">
        <v>0.2</v>
      </c>
      <c r="BS2170">
        <v>0.15</v>
      </c>
      <c r="BU2170">
        <v>0.27</v>
      </c>
      <c r="BV2170" t="s">
        <v>263</v>
      </c>
      <c r="CM2170" t="s">
        <v>264</v>
      </c>
      <c r="CN2170" t="s">
        <v>264</v>
      </c>
      <c r="CP2170" t="s">
        <v>265</v>
      </c>
      <c r="CQ2170" t="s">
        <v>890</v>
      </c>
      <c r="DB2170">
        <v>4</v>
      </c>
      <c r="DG2170" t="s">
        <v>267</v>
      </c>
      <c r="DI2170">
        <v>96</v>
      </c>
      <c r="DN2170" t="s">
        <v>268</v>
      </c>
      <c r="DR2170">
        <v>1239313</v>
      </c>
      <c r="DS2170">
        <v>4665</v>
      </c>
      <c r="EW2170" t="s">
        <v>333</v>
      </c>
      <c r="FA2170" t="s">
        <v>3945</v>
      </c>
      <c r="FK2170" t="s">
        <v>3946</v>
      </c>
      <c r="FM2170">
        <v>20</v>
      </c>
      <c r="FR2170" t="s">
        <v>295</v>
      </c>
      <c r="GU2170">
        <v>28</v>
      </c>
      <c r="GZ2170" t="s">
        <v>296</v>
      </c>
      <c r="HH2170" t="s">
        <v>272</v>
      </c>
      <c r="ID2170" t="s">
        <v>3947</v>
      </c>
      <c r="IE2170" t="s">
        <v>3948</v>
      </c>
      <c r="IF2170">
        <v>4443</v>
      </c>
      <c r="IG2170" t="s">
        <v>3949</v>
      </c>
      <c r="IH2170" t="s">
        <v>3950</v>
      </c>
      <c r="II2170">
        <v>1994</v>
      </c>
      <c r="IJ2170" t="s">
        <v>3951</v>
      </c>
    </row>
    <row r="2171" spans="1:244" x14ac:dyDescent="0.45">
      <c r="A2171">
        <v>1194941</v>
      </c>
      <c r="B2171">
        <v>167693</v>
      </c>
      <c r="C2171">
        <v>10108642</v>
      </c>
      <c r="D2171" t="s">
        <v>3523</v>
      </c>
      <c r="F2171" t="s">
        <v>245</v>
      </c>
      <c r="G2171" t="s">
        <v>246</v>
      </c>
      <c r="N2171" t="s">
        <v>2075</v>
      </c>
      <c r="O2171" t="s">
        <v>2076</v>
      </c>
      <c r="P2171" t="s">
        <v>249</v>
      </c>
      <c r="Q2171" t="s">
        <v>250</v>
      </c>
      <c r="R2171" t="s">
        <v>251</v>
      </c>
      <c r="T2171" t="s">
        <v>252</v>
      </c>
      <c r="U2171" t="s">
        <v>253</v>
      </c>
      <c r="V2171" t="s">
        <v>418</v>
      </c>
      <c r="W2171" t="s">
        <v>419</v>
      </c>
      <c r="X2171" t="s">
        <v>2077</v>
      </c>
      <c r="Z2171" t="s">
        <v>649</v>
      </c>
      <c r="AL2171" t="s">
        <v>3895</v>
      </c>
      <c r="AM2171" t="s">
        <v>287</v>
      </c>
      <c r="AN2171" t="s">
        <v>259</v>
      </c>
      <c r="AO2171" t="s">
        <v>260</v>
      </c>
      <c r="AQ2171" t="s">
        <v>261</v>
      </c>
      <c r="AS2171">
        <v>990</v>
      </c>
      <c r="AX2171" t="s">
        <v>262</v>
      </c>
      <c r="BO2171" t="s">
        <v>261</v>
      </c>
      <c r="BQ2171">
        <v>0.99</v>
      </c>
      <c r="BV2171" t="s">
        <v>263</v>
      </c>
      <c r="CM2171" t="s">
        <v>264</v>
      </c>
      <c r="CN2171" t="s">
        <v>264</v>
      </c>
      <c r="CP2171" t="s">
        <v>265</v>
      </c>
      <c r="CQ2171" t="s">
        <v>890</v>
      </c>
      <c r="DB2171">
        <v>3</v>
      </c>
      <c r="DG2171" t="s">
        <v>267</v>
      </c>
      <c r="DI2171">
        <v>72</v>
      </c>
      <c r="DN2171" t="s">
        <v>268</v>
      </c>
      <c r="DR2171">
        <v>64468</v>
      </c>
      <c r="DS2171">
        <v>77</v>
      </c>
      <c r="DT2171" t="s">
        <v>2079</v>
      </c>
      <c r="EW2171" t="s">
        <v>293</v>
      </c>
      <c r="FM2171">
        <v>23</v>
      </c>
      <c r="FR2171" t="s">
        <v>295</v>
      </c>
      <c r="GH2171">
        <v>6.9</v>
      </c>
      <c r="GM2171" t="s">
        <v>356</v>
      </c>
      <c r="GO2171">
        <v>8.3000000000000007</v>
      </c>
      <c r="GU2171">
        <v>11</v>
      </c>
      <c r="GZ2171" t="s">
        <v>296</v>
      </c>
      <c r="HH2171" t="s">
        <v>272</v>
      </c>
      <c r="IE2171" t="s">
        <v>2080</v>
      </c>
      <c r="IF2171">
        <v>17481</v>
      </c>
      <c r="IG2171" t="s">
        <v>2081</v>
      </c>
      <c r="IH2171" t="s">
        <v>2082</v>
      </c>
      <c r="II2171">
        <v>1997</v>
      </c>
      <c r="IJ2171" t="s">
        <v>2083</v>
      </c>
    </row>
    <row r="2172" spans="1:244" x14ac:dyDescent="0.45">
      <c r="A2172">
        <v>1041188</v>
      </c>
      <c r="B2172">
        <v>115046</v>
      </c>
      <c r="C2172">
        <v>10108642</v>
      </c>
      <c r="D2172" t="s">
        <v>3523</v>
      </c>
      <c r="F2172" t="s">
        <v>245</v>
      </c>
      <c r="G2172" t="s">
        <v>246</v>
      </c>
      <c r="N2172" t="s">
        <v>991</v>
      </c>
      <c r="O2172" t="s">
        <v>498</v>
      </c>
      <c r="P2172" t="s">
        <v>249</v>
      </c>
      <c r="Q2172" t="s">
        <v>250</v>
      </c>
      <c r="R2172" t="s">
        <v>251</v>
      </c>
      <c r="T2172" t="s">
        <v>252</v>
      </c>
      <c r="U2172" t="s">
        <v>499</v>
      </c>
      <c r="V2172" t="s">
        <v>992</v>
      </c>
      <c r="W2172" t="s">
        <v>993</v>
      </c>
      <c r="X2172" t="s">
        <v>994</v>
      </c>
      <c r="AM2172" t="s">
        <v>317</v>
      </c>
      <c r="AN2172" t="s">
        <v>259</v>
      </c>
      <c r="AO2172" t="s">
        <v>260</v>
      </c>
      <c r="AQ2172" t="s">
        <v>261</v>
      </c>
      <c r="AS2172">
        <v>1170</v>
      </c>
      <c r="AU2172">
        <v>940</v>
      </c>
      <c r="AW2172">
        <v>1460</v>
      </c>
      <c r="AX2172" t="s">
        <v>262</v>
      </c>
      <c r="BO2172" t="s">
        <v>261</v>
      </c>
      <c r="BQ2172">
        <v>1.17</v>
      </c>
      <c r="BS2172">
        <v>0.94</v>
      </c>
      <c r="BU2172">
        <v>1.46</v>
      </c>
      <c r="BV2172" t="s">
        <v>263</v>
      </c>
      <c r="CM2172" t="s">
        <v>264</v>
      </c>
      <c r="CN2172" t="s">
        <v>264</v>
      </c>
      <c r="CP2172" t="s">
        <v>265</v>
      </c>
      <c r="DB2172">
        <v>4</v>
      </c>
      <c r="DG2172" t="s">
        <v>267</v>
      </c>
      <c r="DI2172">
        <v>96</v>
      </c>
      <c r="DN2172" t="s">
        <v>268</v>
      </c>
      <c r="DR2172">
        <v>429032</v>
      </c>
      <c r="DS2172">
        <v>3026</v>
      </c>
      <c r="DT2172" t="s">
        <v>3560</v>
      </c>
      <c r="EW2172" t="s">
        <v>293</v>
      </c>
      <c r="FM2172">
        <v>19.5</v>
      </c>
      <c r="FR2172" t="s">
        <v>295</v>
      </c>
      <c r="GG2172" t="s">
        <v>288</v>
      </c>
      <c r="GH2172">
        <v>7</v>
      </c>
      <c r="GM2172" t="s">
        <v>356</v>
      </c>
      <c r="GU2172">
        <v>35</v>
      </c>
      <c r="GZ2172" t="s">
        <v>296</v>
      </c>
      <c r="HH2172" t="s">
        <v>272</v>
      </c>
      <c r="IE2172" t="s">
        <v>3561</v>
      </c>
      <c r="IF2172">
        <v>2621</v>
      </c>
      <c r="IG2172" t="s">
        <v>3562</v>
      </c>
      <c r="IH2172" t="s">
        <v>3563</v>
      </c>
      <c r="II2172">
        <v>1987</v>
      </c>
      <c r="IJ2172" t="s">
        <v>3564</v>
      </c>
    </row>
    <row r="2173" spans="1:244" x14ac:dyDescent="0.45">
      <c r="A2173">
        <v>1207255</v>
      </c>
      <c r="B2173">
        <v>182037</v>
      </c>
      <c r="C2173">
        <v>10108642</v>
      </c>
      <c r="D2173" t="s">
        <v>3523</v>
      </c>
      <c r="F2173" t="s">
        <v>245</v>
      </c>
      <c r="G2173" t="s">
        <v>246</v>
      </c>
      <c r="N2173" t="s">
        <v>1022</v>
      </c>
      <c r="O2173" t="s">
        <v>578</v>
      </c>
      <c r="P2173" t="s">
        <v>249</v>
      </c>
      <c r="Q2173" t="s">
        <v>250</v>
      </c>
      <c r="R2173" t="s">
        <v>251</v>
      </c>
      <c r="T2173" t="s">
        <v>252</v>
      </c>
      <c r="U2173" t="s">
        <v>499</v>
      </c>
      <c r="V2173" t="s">
        <v>992</v>
      </c>
      <c r="W2173" t="s">
        <v>1023</v>
      </c>
      <c r="X2173" t="s">
        <v>1024</v>
      </c>
      <c r="AL2173" t="s">
        <v>3952</v>
      </c>
      <c r="AM2173" t="s">
        <v>317</v>
      </c>
      <c r="AN2173" t="s">
        <v>259</v>
      </c>
      <c r="AO2173" t="s">
        <v>260</v>
      </c>
      <c r="AQ2173" t="s">
        <v>261</v>
      </c>
      <c r="AS2173">
        <v>360</v>
      </c>
      <c r="AX2173" t="s">
        <v>262</v>
      </c>
      <c r="BO2173" t="s">
        <v>261</v>
      </c>
      <c r="BQ2173">
        <v>0.36</v>
      </c>
      <c r="BV2173" t="s">
        <v>263</v>
      </c>
      <c r="CM2173" t="s">
        <v>264</v>
      </c>
      <c r="CN2173" t="s">
        <v>264</v>
      </c>
      <c r="CP2173" t="s">
        <v>265</v>
      </c>
      <c r="CQ2173" t="s">
        <v>890</v>
      </c>
      <c r="DB2173">
        <v>4</v>
      </c>
      <c r="DG2173" t="s">
        <v>267</v>
      </c>
      <c r="DI2173">
        <v>96</v>
      </c>
      <c r="DN2173" t="s">
        <v>268</v>
      </c>
      <c r="DR2173">
        <v>247138</v>
      </c>
      <c r="DS2173">
        <v>4424</v>
      </c>
      <c r="DT2173" t="s">
        <v>3860</v>
      </c>
      <c r="EW2173" t="s">
        <v>293</v>
      </c>
      <c r="FM2173">
        <v>25.2</v>
      </c>
      <c r="FO2173">
        <v>23.5</v>
      </c>
      <c r="FQ2173">
        <v>26.2</v>
      </c>
      <c r="FR2173" t="s">
        <v>295</v>
      </c>
      <c r="GH2173">
        <v>7</v>
      </c>
      <c r="GJ2173">
        <v>4</v>
      </c>
      <c r="GL2173">
        <v>8.4</v>
      </c>
      <c r="GM2173" t="s">
        <v>356</v>
      </c>
      <c r="GO2173">
        <v>7.98</v>
      </c>
      <c r="GQ2173">
        <v>7.73</v>
      </c>
      <c r="GS2173">
        <v>8.3000000000000007</v>
      </c>
      <c r="GU2173">
        <v>8</v>
      </c>
      <c r="GZ2173" t="s">
        <v>296</v>
      </c>
      <c r="HH2173" t="s">
        <v>272</v>
      </c>
      <c r="IE2173" t="s">
        <v>3862</v>
      </c>
      <c r="IF2173">
        <v>19002</v>
      </c>
      <c r="IG2173" t="s">
        <v>3863</v>
      </c>
      <c r="IH2173" t="s">
        <v>3864</v>
      </c>
      <c r="II2173">
        <v>1998</v>
      </c>
      <c r="IJ2173" t="s">
        <v>3865</v>
      </c>
    </row>
    <row r="2174" spans="1:244" x14ac:dyDescent="0.45">
      <c r="A2174">
        <v>1068407</v>
      </c>
      <c r="B2174">
        <v>16234</v>
      </c>
      <c r="C2174">
        <v>10108642</v>
      </c>
      <c r="D2174" t="s">
        <v>3523</v>
      </c>
      <c r="F2174" t="s">
        <v>245</v>
      </c>
      <c r="G2174" t="s">
        <v>246</v>
      </c>
      <c r="N2174" t="s">
        <v>1564</v>
      </c>
      <c r="O2174" t="s">
        <v>1565</v>
      </c>
      <c r="P2174" t="s">
        <v>249</v>
      </c>
      <c r="Q2174" t="s">
        <v>250</v>
      </c>
      <c r="R2174" t="s">
        <v>251</v>
      </c>
      <c r="T2174" t="s">
        <v>252</v>
      </c>
      <c r="U2174" t="s">
        <v>253</v>
      </c>
      <c r="V2174" t="s">
        <v>254</v>
      </c>
      <c r="W2174" t="s">
        <v>1566</v>
      </c>
      <c r="X2174" t="s">
        <v>1567</v>
      </c>
      <c r="Z2174" t="s">
        <v>649</v>
      </c>
      <c r="AL2174" t="s">
        <v>3409</v>
      </c>
      <c r="AM2174" t="s">
        <v>317</v>
      </c>
      <c r="AN2174" t="s">
        <v>259</v>
      </c>
      <c r="AO2174" t="s">
        <v>260</v>
      </c>
      <c r="AQ2174" t="s">
        <v>261</v>
      </c>
      <c r="AS2174">
        <v>11600</v>
      </c>
      <c r="AU2174">
        <v>9000</v>
      </c>
      <c r="AW2174">
        <v>15000</v>
      </c>
      <c r="AX2174" t="s">
        <v>262</v>
      </c>
      <c r="BO2174" t="s">
        <v>261</v>
      </c>
      <c r="BQ2174">
        <v>11.6</v>
      </c>
      <c r="BS2174">
        <v>9</v>
      </c>
      <c r="BU2174">
        <v>15</v>
      </c>
      <c r="BV2174" t="s">
        <v>263</v>
      </c>
      <c r="CM2174" t="s">
        <v>264</v>
      </c>
      <c r="CN2174" t="s">
        <v>264</v>
      </c>
      <c r="CP2174" t="s">
        <v>265</v>
      </c>
      <c r="CQ2174" t="s">
        <v>890</v>
      </c>
      <c r="DB2174">
        <v>4</v>
      </c>
      <c r="DG2174" t="s">
        <v>267</v>
      </c>
      <c r="DI2174">
        <v>96</v>
      </c>
      <c r="DN2174" t="s">
        <v>268</v>
      </c>
      <c r="DP2174" t="s">
        <v>570</v>
      </c>
      <c r="DR2174">
        <v>6763</v>
      </c>
      <c r="DS2174">
        <v>76</v>
      </c>
      <c r="DT2174" t="s">
        <v>3410</v>
      </c>
      <c r="EW2174" t="s">
        <v>271</v>
      </c>
      <c r="FO2174">
        <v>20</v>
      </c>
      <c r="FQ2174">
        <v>22</v>
      </c>
      <c r="FR2174" t="s">
        <v>295</v>
      </c>
      <c r="GQ2174">
        <v>7.1</v>
      </c>
      <c r="GS2174">
        <v>8.1999999999999993</v>
      </c>
      <c r="GU2174">
        <v>35</v>
      </c>
      <c r="GZ2174" t="s">
        <v>296</v>
      </c>
      <c r="HH2174" t="s">
        <v>272</v>
      </c>
      <c r="IE2174" t="s">
        <v>3411</v>
      </c>
      <c r="IF2174">
        <v>5384</v>
      </c>
      <c r="IG2174" t="s">
        <v>3412</v>
      </c>
      <c r="IH2174" t="s">
        <v>3413</v>
      </c>
      <c r="II2174">
        <v>1979</v>
      </c>
      <c r="IJ2174" t="s">
        <v>3414</v>
      </c>
    </row>
    <row r="2175" spans="1:244" x14ac:dyDescent="0.45">
      <c r="A2175">
        <v>1036238</v>
      </c>
      <c r="B2175">
        <v>221761</v>
      </c>
      <c r="C2175">
        <v>10108642</v>
      </c>
      <c r="D2175" t="s">
        <v>3523</v>
      </c>
      <c r="F2175" t="s">
        <v>245</v>
      </c>
      <c r="G2175" t="s">
        <v>246</v>
      </c>
      <c r="N2175" t="s">
        <v>312</v>
      </c>
      <c r="O2175" t="s">
        <v>313</v>
      </c>
      <c r="P2175" t="s">
        <v>249</v>
      </c>
      <c r="Q2175" t="s">
        <v>250</v>
      </c>
      <c r="R2175" t="s">
        <v>251</v>
      </c>
      <c r="T2175" t="s">
        <v>252</v>
      </c>
      <c r="U2175" t="s">
        <v>253</v>
      </c>
      <c r="V2175" t="s">
        <v>304</v>
      </c>
      <c r="W2175" t="s">
        <v>305</v>
      </c>
      <c r="X2175" t="s">
        <v>314</v>
      </c>
      <c r="Z2175" t="s">
        <v>315</v>
      </c>
      <c r="AL2175" t="s">
        <v>3953</v>
      </c>
      <c r="AM2175" t="s">
        <v>317</v>
      </c>
      <c r="AN2175" t="s">
        <v>259</v>
      </c>
      <c r="AO2175" t="s">
        <v>260</v>
      </c>
      <c r="AQ2175" t="s">
        <v>261</v>
      </c>
      <c r="AS2175">
        <v>1.83</v>
      </c>
      <c r="AU2175">
        <v>1.44</v>
      </c>
      <c r="AW2175">
        <v>2.34</v>
      </c>
      <c r="AX2175" t="s">
        <v>356</v>
      </c>
      <c r="BO2175" t="s">
        <v>261</v>
      </c>
      <c r="BQ2175">
        <v>1.83</v>
      </c>
      <c r="BS2175">
        <v>1.44</v>
      </c>
      <c r="BU2175">
        <v>2.34</v>
      </c>
      <c r="BV2175" t="s">
        <v>263</v>
      </c>
      <c r="CM2175" t="s">
        <v>264</v>
      </c>
      <c r="CN2175" t="s">
        <v>264</v>
      </c>
      <c r="CP2175" t="s">
        <v>265</v>
      </c>
      <c r="CQ2175" t="s">
        <v>890</v>
      </c>
      <c r="DB2175">
        <v>4</v>
      </c>
      <c r="DG2175" t="s">
        <v>267</v>
      </c>
      <c r="DI2175">
        <v>96</v>
      </c>
      <c r="DN2175" t="s">
        <v>268</v>
      </c>
      <c r="DR2175">
        <v>221654</v>
      </c>
      <c r="DS2175">
        <v>65263</v>
      </c>
      <c r="DT2175" t="s">
        <v>3938</v>
      </c>
      <c r="EW2175" t="s">
        <v>293</v>
      </c>
      <c r="FO2175">
        <v>23</v>
      </c>
      <c r="FQ2175">
        <v>25</v>
      </c>
      <c r="FR2175" t="s">
        <v>295</v>
      </c>
      <c r="GU2175">
        <v>20</v>
      </c>
      <c r="GZ2175" t="s">
        <v>296</v>
      </c>
      <c r="HH2175" t="s">
        <v>272</v>
      </c>
      <c r="IE2175" t="s">
        <v>3940</v>
      </c>
      <c r="IF2175">
        <v>2196</v>
      </c>
      <c r="IG2175" t="s">
        <v>3941</v>
      </c>
      <c r="IH2175" t="s">
        <v>3942</v>
      </c>
      <c r="II2175">
        <v>1988</v>
      </c>
      <c r="IJ2175" t="s">
        <v>3943</v>
      </c>
    </row>
    <row r="2176" spans="1:244" x14ac:dyDescent="0.45">
      <c r="A2176">
        <v>1191628</v>
      </c>
      <c r="B2176">
        <v>166350</v>
      </c>
      <c r="C2176">
        <v>10108642</v>
      </c>
      <c r="D2176" t="s">
        <v>3523</v>
      </c>
      <c r="F2176" t="s">
        <v>327</v>
      </c>
      <c r="G2176" t="s">
        <v>246</v>
      </c>
      <c r="N2176" t="s">
        <v>829</v>
      </c>
      <c r="O2176" t="s">
        <v>631</v>
      </c>
      <c r="P2176" t="s">
        <v>249</v>
      </c>
      <c r="Q2176" t="s">
        <v>250</v>
      </c>
      <c r="R2176" t="s">
        <v>251</v>
      </c>
      <c r="T2176" t="s">
        <v>389</v>
      </c>
      <c r="U2176" t="s">
        <v>632</v>
      </c>
      <c r="V2176" t="s">
        <v>830</v>
      </c>
      <c r="W2176" t="s">
        <v>831</v>
      </c>
      <c r="X2176" t="s">
        <v>832</v>
      </c>
      <c r="Z2176" t="s">
        <v>1025</v>
      </c>
      <c r="AD2176">
        <v>48</v>
      </c>
      <c r="AF2176">
        <v>72</v>
      </c>
      <c r="AG2176" t="s">
        <v>268</v>
      </c>
      <c r="AM2176" t="s">
        <v>317</v>
      </c>
      <c r="AN2176" t="s">
        <v>259</v>
      </c>
      <c r="AO2176" t="s">
        <v>260</v>
      </c>
      <c r="AQ2176" t="s">
        <v>261</v>
      </c>
      <c r="AS2176">
        <v>82.9</v>
      </c>
      <c r="AU2176">
        <v>51.1</v>
      </c>
      <c r="AW2176">
        <v>134.30000000000001</v>
      </c>
      <c r="AX2176" t="s">
        <v>262</v>
      </c>
      <c r="BO2176" t="s">
        <v>261</v>
      </c>
      <c r="BQ2176">
        <v>8.2900000000000001E-2</v>
      </c>
      <c r="BS2176">
        <v>5.11E-2</v>
      </c>
      <c r="BU2176">
        <v>0.1343</v>
      </c>
      <c r="BV2176" t="s">
        <v>263</v>
      </c>
      <c r="CM2176" t="s">
        <v>264</v>
      </c>
      <c r="CN2176" t="s">
        <v>264</v>
      </c>
      <c r="CP2176" t="s">
        <v>265</v>
      </c>
      <c r="CQ2176" t="s">
        <v>890</v>
      </c>
      <c r="DB2176">
        <v>4</v>
      </c>
      <c r="DG2176" t="s">
        <v>267</v>
      </c>
      <c r="DI2176">
        <v>96</v>
      </c>
      <c r="DN2176" t="s">
        <v>268</v>
      </c>
      <c r="DR2176">
        <v>88015</v>
      </c>
      <c r="DS2176">
        <v>649</v>
      </c>
      <c r="EW2176" t="s">
        <v>293</v>
      </c>
      <c r="FO2176">
        <v>24</v>
      </c>
      <c r="FQ2176">
        <v>25</v>
      </c>
      <c r="FR2176" t="s">
        <v>295</v>
      </c>
      <c r="GJ2176">
        <v>6.4</v>
      </c>
      <c r="GL2176">
        <v>7.2</v>
      </c>
      <c r="GM2176" t="s">
        <v>356</v>
      </c>
      <c r="GQ2176">
        <v>7.89</v>
      </c>
      <c r="GS2176">
        <v>8.4499999999999993</v>
      </c>
      <c r="GU2176">
        <v>25</v>
      </c>
      <c r="GW2176">
        <v>24</v>
      </c>
      <c r="GY2176">
        <v>27</v>
      </c>
      <c r="GZ2176" t="s">
        <v>296</v>
      </c>
      <c r="HH2176" t="s">
        <v>272</v>
      </c>
      <c r="IE2176" t="s">
        <v>3869</v>
      </c>
      <c r="IF2176">
        <v>17219</v>
      </c>
      <c r="IG2176" t="s">
        <v>3954</v>
      </c>
      <c r="IH2176" t="s">
        <v>3955</v>
      </c>
      <c r="II2176">
        <v>1994</v>
      </c>
      <c r="IJ2176" t="s">
        <v>3956</v>
      </c>
    </row>
    <row r="2177" spans="1:244" x14ac:dyDescent="0.45">
      <c r="A2177">
        <v>1165809</v>
      </c>
      <c r="B2177">
        <v>189250</v>
      </c>
      <c r="C2177">
        <v>10108642</v>
      </c>
      <c r="D2177" t="s">
        <v>3523</v>
      </c>
      <c r="F2177" t="s">
        <v>245</v>
      </c>
      <c r="G2177" t="s">
        <v>246</v>
      </c>
      <c r="N2177" t="s">
        <v>829</v>
      </c>
      <c r="O2177" t="s">
        <v>631</v>
      </c>
      <c r="P2177" t="s">
        <v>249</v>
      </c>
      <c r="Q2177" t="s">
        <v>250</v>
      </c>
      <c r="R2177" t="s">
        <v>251</v>
      </c>
      <c r="T2177" t="s">
        <v>389</v>
      </c>
      <c r="U2177" t="s">
        <v>632</v>
      </c>
      <c r="V2177" t="s">
        <v>830</v>
      </c>
      <c r="W2177" t="s">
        <v>831</v>
      </c>
      <c r="X2177" t="s">
        <v>832</v>
      </c>
      <c r="Z2177" t="s">
        <v>315</v>
      </c>
      <c r="AM2177" t="s">
        <v>317</v>
      </c>
      <c r="AN2177" t="s">
        <v>259</v>
      </c>
      <c r="AO2177" t="s">
        <v>260</v>
      </c>
      <c r="AQ2177" t="s">
        <v>261</v>
      </c>
      <c r="AS2177">
        <v>1077</v>
      </c>
      <c r="AU2177">
        <v>903</v>
      </c>
      <c r="AW2177">
        <v>1289</v>
      </c>
      <c r="AX2177" t="s">
        <v>262</v>
      </c>
      <c r="BO2177" t="s">
        <v>261</v>
      </c>
      <c r="BQ2177">
        <v>1.077</v>
      </c>
      <c r="BS2177">
        <v>0.90300000000000002</v>
      </c>
      <c r="BU2177">
        <v>1.2889999999999999</v>
      </c>
      <c r="BV2177" t="s">
        <v>263</v>
      </c>
      <c r="CM2177" t="s">
        <v>264</v>
      </c>
      <c r="CN2177" t="s">
        <v>264</v>
      </c>
      <c r="CP2177" t="s">
        <v>265</v>
      </c>
      <c r="DB2177">
        <v>4</v>
      </c>
      <c r="DG2177" t="s">
        <v>267</v>
      </c>
      <c r="DI2177">
        <v>96</v>
      </c>
      <c r="DN2177" t="s">
        <v>268</v>
      </c>
      <c r="DR2177">
        <v>88015</v>
      </c>
      <c r="DS2177">
        <v>649</v>
      </c>
      <c r="EW2177" t="s">
        <v>293</v>
      </c>
      <c r="FA2177" t="s">
        <v>803</v>
      </c>
      <c r="FM2177">
        <v>15</v>
      </c>
      <c r="FR2177" t="s">
        <v>295</v>
      </c>
      <c r="GU2177">
        <v>30</v>
      </c>
      <c r="GZ2177" t="s">
        <v>296</v>
      </c>
      <c r="HH2177" t="s">
        <v>272</v>
      </c>
      <c r="IE2177" t="s">
        <v>725</v>
      </c>
      <c r="IF2177">
        <v>14601</v>
      </c>
      <c r="IG2177" t="s">
        <v>3763</v>
      </c>
      <c r="IH2177" t="s">
        <v>805</v>
      </c>
      <c r="II2177">
        <v>1985</v>
      </c>
      <c r="IJ2177" t="s">
        <v>3764</v>
      </c>
    </row>
    <row r="2178" spans="1:244" x14ac:dyDescent="0.45">
      <c r="A2178">
        <v>1199950</v>
      </c>
      <c r="B2178">
        <v>163659</v>
      </c>
      <c r="C2178">
        <v>10108642</v>
      </c>
      <c r="D2178" t="s">
        <v>3523</v>
      </c>
      <c r="F2178" t="s">
        <v>245</v>
      </c>
      <c r="G2178" t="s">
        <v>246</v>
      </c>
      <c r="N2178" t="s">
        <v>590</v>
      </c>
      <c r="O2178" t="s">
        <v>578</v>
      </c>
      <c r="P2178" t="s">
        <v>249</v>
      </c>
      <c r="Q2178" t="s">
        <v>250</v>
      </c>
      <c r="R2178" t="s">
        <v>251</v>
      </c>
      <c r="T2178" t="s">
        <v>252</v>
      </c>
      <c r="U2178" t="s">
        <v>499</v>
      </c>
      <c r="V2178" t="s">
        <v>591</v>
      </c>
      <c r="W2178" t="s">
        <v>592</v>
      </c>
      <c r="X2178" t="s">
        <v>593</v>
      </c>
      <c r="Z2178" t="s">
        <v>315</v>
      </c>
      <c r="AM2178" t="s">
        <v>287</v>
      </c>
      <c r="AN2178" t="s">
        <v>259</v>
      </c>
      <c r="AO2178" t="s">
        <v>260</v>
      </c>
      <c r="AQ2178" t="s">
        <v>261</v>
      </c>
      <c r="AR2178" t="s">
        <v>288</v>
      </c>
      <c r="AS2178">
        <v>2500</v>
      </c>
      <c r="AX2178" t="s">
        <v>262</v>
      </c>
      <c r="BO2178" t="s">
        <v>261</v>
      </c>
      <c r="BP2178" t="s">
        <v>288</v>
      </c>
      <c r="BQ2178">
        <v>2.5</v>
      </c>
      <c r="BV2178" t="s">
        <v>263</v>
      </c>
      <c r="CM2178" t="s">
        <v>264</v>
      </c>
      <c r="CN2178" t="s">
        <v>264</v>
      </c>
      <c r="CP2178" t="s">
        <v>265</v>
      </c>
      <c r="DB2178">
        <v>1</v>
      </c>
      <c r="DG2178" t="s">
        <v>267</v>
      </c>
      <c r="DI2178">
        <v>24</v>
      </c>
      <c r="DN2178" t="s">
        <v>268</v>
      </c>
      <c r="DR2178">
        <v>1239313</v>
      </c>
      <c r="DS2178">
        <v>4665</v>
      </c>
      <c r="DT2178" t="s">
        <v>3957</v>
      </c>
      <c r="EW2178" t="s">
        <v>272</v>
      </c>
      <c r="FM2178">
        <v>20</v>
      </c>
      <c r="FR2178" t="s">
        <v>295</v>
      </c>
      <c r="GJ2178">
        <v>7.5</v>
      </c>
      <c r="GL2178">
        <v>8.4</v>
      </c>
      <c r="GM2178" t="s">
        <v>356</v>
      </c>
      <c r="GQ2178">
        <v>7.7</v>
      </c>
      <c r="GS2178">
        <v>8.4</v>
      </c>
      <c r="GU2178">
        <v>25</v>
      </c>
      <c r="GZ2178" t="s">
        <v>296</v>
      </c>
      <c r="HH2178" t="s">
        <v>272</v>
      </c>
      <c r="IE2178" t="s">
        <v>3958</v>
      </c>
      <c r="IF2178">
        <v>18129</v>
      </c>
      <c r="IG2178" t="s">
        <v>3959</v>
      </c>
      <c r="IH2178" t="s">
        <v>3960</v>
      </c>
      <c r="II2178">
        <v>1997</v>
      </c>
      <c r="IJ2178" t="s">
        <v>3961</v>
      </c>
    </row>
    <row r="2179" spans="1:244" x14ac:dyDescent="0.45">
      <c r="A2179">
        <v>1055384</v>
      </c>
      <c r="B2179">
        <v>115368</v>
      </c>
      <c r="C2179">
        <v>10108642</v>
      </c>
      <c r="D2179" t="s">
        <v>3523</v>
      </c>
      <c r="F2179" t="s">
        <v>245</v>
      </c>
      <c r="G2179" t="s">
        <v>246</v>
      </c>
      <c r="N2179" t="s">
        <v>3962</v>
      </c>
      <c r="O2179" t="s">
        <v>498</v>
      </c>
      <c r="P2179" t="s">
        <v>249</v>
      </c>
      <c r="Q2179" t="s">
        <v>250</v>
      </c>
      <c r="R2179" t="s">
        <v>251</v>
      </c>
      <c r="T2179" t="s">
        <v>252</v>
      </c>
      <c r="U2179" t="s">
        <v>499</v>
      </c>
      <c r="V2179" t="s">
        <v>3963</v>
      </c>
      <c r="W2179" t="s">
        <v>3964</v>
      </c>
      <c r="X2179" t="s">
        <v>3965</v>
      </c>
      <c r="Z2179" t="s">
        <v>649</v>
      </c>
      <c r="AD2179">
        <v>1</v>
      </c>
      <c r="AF2179">
        <v>2</v>
      </c>
      <c r="AG2179" t="s">
        <v>516</v>
      </c>
      <c r="AM2179" t="s">
        <v>317</v>
      </c>
      <c r="AN2179" t="s">
        <v>259</v>
      </c>
      <c r="AO2179" t="s">
        <v>260</v>
      </c>
      <c r="AQ2179" t="s">
        <v>261</v>
      </c>
      <c r="AS2179">
        <v>190</v>
      </c>
      <c r="AX2179" t="s">
        <v>262</v>
      </c>
      <c r="BO2179" t="s">
        <v>261</v>
      </c>
      <c r="BQ2179">
        <v>0.19</v>
      </c>
      <c r="BV2179" t="s">
        <v>263</v>
      </c>
      <c r="CM2179" t="s">
        <v>264</v>
      </c>
      <c r="CN2179" t="s">
        <v>264</v>
      </c>
      <c r="CP2179" t="s">
        <v>265</v>
      </c>
      <c r="CQ2179" t="s">
        <v>890</v>
      </c>
      <c r="DB2179">
        <v>4</v>
      </c>
      <c r="DG2179" t="s">
        <v>267</v>
      </c>
      <c r="DI2179">
        <v>96</v>
      </c>
      <c r="DN2179" t="s">
        <v>268</v>
      </c>
      <c r="DR2179">
        <v>294128</v>
      </c>
      <c r="DS2179">
        <v>52</v>
      </c>
      <c r="DT2179" t="s">
        <v>3966</v>
      </c>
      <c r="EW2179" t="s">
        <v>333</v>
      </c>
      <c r="FO2179">
        <v>18</v>
      </c>
      <c r="FQ2179">
        <v>20</v>
      </c>
      <c r="FR2179" t="s">
        <v>295</v>
      </c>
      <c r="GU2179">
        <v>6</v>
      </c>
      <c r="GZ2179" t="s">
        <v>296</v>
      </c>
      <c r="HH2179" t="s">
        <v>272</v>
      </c>
      <c r="IE2179" t="s">
        <v>3967</v>
      </c>
      <c r="IF2179">
        <v>3911</v>
      </c>
      <c r="IG2179" t="s">
        <v>3968</v>
      </c>
      <c r="IH2179" t="s">
        <v>3969</v>
      </c>
      <c r="II2179">
        <v>1992</v>
      </c>
      <c r="IJ2179" t="s">
        <v>3970</v>
      </c>
    </row>
    <row r="2180" spans="1:244" x14ac:dyDescent="0.45">
      <c r="A2180">
        <v>1207273</v>
      </c>
      <c r="B2180">
        <v>183878</v>
      </c>
      <c r="C2180">
        <v>10108642</v>
      </c>
      <c r="D2180" t="s">
        <v>3523</v>
      </c>
      <c r="F2180" t="s">
        <v>245</v>
      </c>
      <c r="G2180" t="s">
        <v>246</v>
      </c>
      <c r="N2180" t="s">
        <v>1022</v>
      </c>
      <c r="O2180" t="s">
        <v>578</v>
      </c>
      <c r="P2180" t="s">
        <v>249</v>
      </c>
      <c r="Q2180" t="s">
        <v>250</v>
      </c>
      <c r="R2180" t="s">
        <v>251</v>
      </c>
      <c r="T2180" t="s">
        <v>252</v>
      </c>
      <c r="U2180" t="s">
        <v>499</v>
      </c>
      <c r="V2180" t="s">
        <v>992</v>
      </c>
      <c r="W2180" t="s">
        <v>1023</v>
      </c>
      <c r="X2180" t="s">
        <v>1024</v>
      </c>
      <c r="AM2180" t="s">
        <v>317</v>
      </c>
      <c r="AN2180" t="s">
        <v>259</v>
      </c>
      <c r="AO2180" t="s">
        <v>260</v>
      </c>
      <c r="AQ2180" t="s">
        <v>261</v>
      </c>
      <c r="AT2180" t="s">
        <v>288</v>
      </c>
      <c r="AU2180">
        <v>300</v>
      </c>
      <c r="AV2180" t="s">
        <v>289</v>
      </c>
      <c r="AW2180">
        <v>350</v>
      </c>
      <c r="AX2180" t="s">
        <v>262</v>
      </c>
      <c r="BO2180" t="s">
        <v>261</v>
      </c>
      <c r="BR2180" t="s">
        <v>288</v>
      </c>
      <c r="BS2180">
        <v>0.3</v>
      </c>
      <c r="BT2180" t="s">
        <v>289</v>
      </c>
      <c r="BU2180">
        <v>0.35</v>
      </c>
      <c r="BV2180" t="s">
        <v>263</v>
      </c>
      <c r="CM2180" t="s">
        <v>264</v>
      </c>
      <c r="CN2180" t="s">
        <v>264</v>
      </c>
      <c r="CP2180" t="s">
        <v>265</v>
      </c>
      <c r="CQ2180" t="s">
        <v>890</v>
      </c>
      <c r="DB2180">
        <v>4</v>
      </c>
      <c r="DG2180" t="s">
        <v>267</v>
      </c>
      <c r="DI2180">
        <v>96</v>
      </c>
      <c r="DN2180" t="s">
        <v>268</v>
      </c>
      <c r="DR2180">
        <v>247138</v>
      </c>
      <c r="DS2180">
        <v>4424</v>
      </c>
      <c r="DT2180" t="s">
        <v>3860</v>
      </c>
      <c r="EW2180" t="s">
        <v>293</v>
      </c>
      <c r="FA2180" t="s">
        <v>3884</v>
      </c>
      <c r="FK2180" t="s">
        <v>1186</v>
      </c>
      <c r="FM2180">
        <v>25.2</v>
      </c>
      <c r="FO2180">
        <v>23.5</v>
      </c>
      <c r="FQ2180">
        <v>26.2</v>
      </c>
      <c r="FR2180" t="s">
        <v>295</v>
      </c>
      <c r="GH2180">
        <v>7</v>
      </c>
      <c r="GJ2180">
        <v>4</v>
      </c>
      <c r="GL2180">
        <v>8.4</v>
      </c>
      <c r="GM2180" t="s">
        <v>356</v>
      </c>
      <c r="GO2180">
        <v>7.98</v>
      </c>
      <c r="GQ2180">
        <v>7.73</v>
      </c>
      <c r="GS2180">
        <v>8.3000000000000007</v>
      </c>
      <c r="GU2180">
        <v>8</v>
      </c>
      <c r="GZ2180" t="s">
        <v>296</v>
      </c>
      <c r="HH2180" t="s">
        <v>272</v>
      </c>
      <c r="ID2180" t="s">
        <v>1187</v>
      </c>
      <c r="IE2180" t="s">
        <v>3862</v>
      </c>
      <c r="IF2180">
        <v>19002</v>
      </c>
      <c r="IG2180" t="s">
        <v>3863</v>
      </c>
      <c r="IH2180" t="s">
        <v>3864</v>
      </c>
      <c r="II2180">
        <v>1998</v>
      </c>
      <c r="IJ2180" t="s">
        <v>3865</v>
      </c>
    </row>
    <row r="2181" spans="1:244" x14ac:dyDescent="0.45">
      <c r="A2181">
        <v>2211994</v>
      </c>
      <c r="B2181">
        <v>2432843</v>
      </c>
      <c r="C2181">
        <v>10108642</v>
      </c>
      <c r="D2181" t="s">
        <v>3523</v>
      </c>
      <c r="F2181" t="s">
        <v>327</v>
      </c>
      <c r="G2181" t="s">
        <v>557</v>
      </c>
      <c r="N2181" t="s">
        <v>312</v>
      </c>
      <c r="O2181" t="s">
        <v>313</v>
      </c>
      <c r="P2181" t="s">
        <v>249</v>
      </c>
      <c r="Q2181" t="s">
        <v>250</v>
      </c>
      <c r="R2181" t="s">
        <v>251</v>
      </c>
      <c r="T2181" t="s">
        <v>252</v>
      </c>
      <c r="U2181" t="s">
        <v>253</v>
      </c>
      <c r="V2181" t="s">
        <v>304</v>
      </c>
      <c r="W2181" t="s">
        <v>305</v>
      </c>
      <c r="X2181" t="s">
        <v>314</v>
      </c>
      <c r="Z2181" t="s">
        <v>649</v>
      </c>
      <c r="AJ2181" t="s">
        <v>285</v>
      </c>
      <c r="AL2181" t="s">
        <v>2093</v>
      </c>
      <c r="AM2181" t="s">
        <v>317</v>
      </c>
      <c r="AN2181" t="s">
        <v>259</v>
      </c>
      <c r="AO2181" t="s">
        <v>260</v>
      </c>
      <c r="AP2181" t="s">
        <v>3848</v>
      </c>
      <c r="AQ2181" t="s">
        <v>261</v>
      </c>
      <c r="AS2181">
        <v>0.39</v>
      </c>
      <c r="AU2181">
        <v>0.3</v>
      </c>
      <c r="AW2181">
        <v>0.46</v>
      </c>
      <c r="AX2181" t="s">
        <v>356</v>
      </c>
      <c r="BO2181" t="s">
        <v>261</v>
      </c>
      <c r="BQ2181">
        <v>0.39</v>
      </c>
      <c r="BS2181">
        <v>0.3</v>
      </c>
      <c r="BU2181">
        <v>0.46</v>
      </c>
      <c r="BV2181" t="s">
        <v>263</v>
      </c>
      <c r="CM2181" t="s">
        <v>264</v>
      </c>
      <c r="CN2181" t="s">
        <v>264</v>
      </c>
      <c r="CP2181" t="s">
        <v>265</v>
      </c>
      <c r="CQ2181" t="s">
        <v>890</v>
      </c>
      <c r="DB2181">
        <v>2</v>
      </c>
      <c r="DG2181" t="s">
        <v>267</v>
      </c>
      <c r="DI2181">
        <v>48</v>
      </c>
      <c r="DN2181" t="s">
        <v>268</v>
      </c>
      <c r="DP2181" t="s">
        <v>3849</v>
      </c>
      <c r="DR2181">
        <v>221654</v>
      </c>
      <c r="DS2181">
        <v>65263</v>
      </c>
      <c r="DV2181">
        <v>48</v>
      </c>
      <c r="EA2181" t="s">
        <v>268</v>
      </c>
      <c r="EC2181">
        <v>2</v>
      </c>
      <c r="EH2181" t="s">
        <v>267</v>
      </c>
      <c r="EJ2181">
        <v>48</v>
      </c>
      <c r="EO2181" t="s">
        <v>268</v>
      </c>
      <c r="EQ2181">
        <v>2</v>
      </c>
      <c r="EV2181" t="s">
        <v>267</v>
      </c>
      <c r="EW2181" t="s">
        <v>293</v>
      </c>
      <c r="EY2181" t="s">
        <v>377</v>
      </c>
      <c r="FA2181" t="s">
        <v>3971</v>
      </c>
      <c r="FM2181">
        <v>20</v>
      </c>
      <c r="FR2181" t="s">
        <v>295</v>
      </c>
      <c r="GG2181" t="s">
        <v>288</v>
      </c>
      <c r="GH2181">
        <v>40</v>
      </c>
      <c r="GM2181" t="s">
        <v>900</v>
      </c>
      <c r="GO2181">
        <v>7.5</v>
      </c>
      <c r="GQ2181">
        <v>6.1</v>
      </c>
      <c r="GS2181">
        <v>8</v>
      </c>
      <c r="GU2181">
        <v>10</v>
      </c>
      <c r="GZ2181" t="s">
        <v>296</v>
      </c>
      <c r="HH2181" t="s">
        <v>272</v>
      </c>
      <c r="ID2181" t="s">
        <v>3851</v>
      </c>
      <c r="IE2181" t="s">
        <v>3852</v>
      </c>
      <c r="IF2181">
        <v>177340</v>
      </c>
      <c r="IG2181" t="s">
        <v>3853</v>
      </c>
      <c r="IH2181" t="s">
        <v>3854</v>
      </c>
      <c r="II2181">
        <v>1989</v>
      </c>
      <c r="IJ2181" t="s">
        <v>3855</v>
      </c>
    </row>
    <row r="2182" spans="1:244" x14ac:dyDescent="0.45">
      <c r="A2182">
        <v>1194942</v>
      </c>
      <c r="B2182">
        <v>167694</v>
      </c>
      <c r="C2182">
        <v>10108642</v>
      </c>
      <c r="D2182" t="s">
        <v>3523</v>
      </c>
      <c r="F2182" t="s">
        <v>245</v>
      </c>
      <c r="G2182" t="s">
        <v>246</v>
      </c>
      <c r="N2182" t="s">
        <v>2075</v>
      </c>
      <c r="O2182" t="s">
        <v>2076</v>
      </c>
      <c r="P2182" t="s">
        <v>249</v>
      </c>
      <c r="Q2182" t="s">
        <v>250</v>
      </c>
      <c r="R2182" t="s">
        <v>251</v>
      </c>
      <c r="T2182" t="s">
        <v>252</v>
      </c>
      <c r="U2182" t="s">
        <v>253</v>
      </c>
      <c r="V2182" t="s">
        <v>418</v>
      </c>
      <c r="W2182" t="s">
        <v>419</v>
      </c>
      <c r="X2182" t="s">
        <v>2077</v>
      </c>
      <c r="Z2182" t="s">
        <v>649</v>
      </c>
      <c r="AL2182" t="s">
        <v>3895</v>
      </c>
      <c r="AM2182" t="s">
        <v>287</v>
      </c>
      <c r="AN2182" t="s">
        <v>259</v>
      </c>
      <c r="AO2182" t="s">
        <v>260</v>
      </c>
      <c r="AQ2182" t="s">
        <v>261</v>
      </c>
      <c r="AS2182">
        <v>990</v>
      </c>
      <c r="AX2182" t="s">
        <v>262</v>
      </c>
      <c r="BO2182" t="s">
        <v>261</v>
      </c>
      <c r="BQ2182">
        <v>0.99</v>
      </c>
      <c r="BV2182" t="s">
        <v>263</v>
      </c>
      <c r="CM2182" t="s">
        <v>264</v>
      </c>
      <c r="CN2182" t="s">
        <v>264</v>
      </c>
      <c r="CP2182" t="s">
        <v>265</v>
      </c>
      <c r="CQ2182" t="s">
        <v>890</v>
      </c>
      <c r="DB2182">
        <v>4</v>
      </c>
      <c r="DG2182" t="s">
        <v>267</v>
      </c>
      <c r="DI2182">
        <v>96</v>
      </c>
      <c r="DN2182" t="s">
        <v>268</v>
      </c>
      <c r="DR2182">
        <v>64468</v>
      </c>
      <c r="DS2182">
        <v>77</v>
      </c>
      <c r="DT2182" t="s">
        <v>2079</v>
      </c>
      <c r="EW2182" t="s">
        <v>293</v>
      </c>
      <c r="FM2182">
        <v>23</v>
      </c>
      <c r="FR2182" t="s">
        <v>295</v>
      </c>
      <c r="GH2182">
        <v>6.9</v>
      </c>
      <c r="GM2182" t="s">
        <v>356</v>
      </c>
      <c r="GO2182">
        <v>8.3000000000000007</v>
      </c>
      <c r="GU2182">
        <v>11</v>
      </c>
      <c r="GZ2182" t="s">
        <v>296</v>
      </c>
      <c r="HH2182" t="s">
        <v>272</v>
      </c>
      <c r="IE2182" t="s">
        <v>2080</v>
      </c>
      <c r="IF2182">
        <v>17481</v>
      </c>
      <c r="IG2182" t="s">
        <v>2081</v>
      </c>
      <c r="IH2182" t="s">
        <v>2082</v>
      </c>
      <c r="II2182">
        <v>1997</v>
      </c>
      <c r="IJ2182" t="s">
        <v>2083</v>
      </c>
    </row>
    <row r="2183" spans="1:244" x14ac:dyDescent="0.45">
      <c r="A2183">
        <v>2211988</v>
      </c>
      <c r="B2183">
        <v>2432837</v>
      </c>
      <c r="C2183">
        <v>10108642</v>
      </c>
      <c r="D2183" t="s">
        <v>3523</v>
      </c>
      <c r="F2183" t="s">
        <v>327</v>
      </c>
      <c r="G2183" t="s">
        <v>557</v>
      </c>
      <c r="N2183" t="s">
        <v>312</v>
      </c>
      <c r="O2183" t="s">
        <v>313</v>
      </c>
      <c r="P2183" t="s">
        <v>249</v>
      </c>
      <c r="Q2183" t="s">
        <v>250</v>
      </c>
      <c r="R2183" t="s">
        <v>251</v>
      </c>
      <c r="T2183" t="s">
        <v>252</v>
      </c>
      <c r="U2183" t="s">
        <v>253</v>
      </c>
      <c r="V2183" t="s">
        <v>304</v>
      </c>
      <c r="W2183" t="s">
        <v>305</v>
      </c>
      <c r="X2183" t="s">
        <v>314</v>
      </c>
      <c r="Z2183" t="s">
        <v>649</v>
      </c>
      <c r="AJ2183" t="s">
        <v>285</v>
      </c>
      <c r="AL2183" t="s">
        <v>2093</v>
      </c>
      <c r="AM2183" t="s">
        <v>317</v>
      </c>
      <c r="AN2183" t="s">
        <v>259</v>
      </c>
      <c r="AO2183" t="s">
        <v>260</v>
      </c>
      <c r="AP2183" t="s">
        <v>3848</v>
      </c>
      <c r="AQ2183" t="s">
        <v>261</v>
      </c>
      <c r="AS2183">
        <v>0.95</v>
      </c>
      <c r="AU2183">
        <v>0.71</v>
      </c>
      <c r="AW2183">
        <v>1.24</v>
      </c>
      <c r="AX2183" t="s">
        <v>356</v>
      </c>
      <c r="BO2183" t="s">
        <v>261</v>
      </c>
      <c r="BQ2183">
        <v>0.95</v>
      </c>
      <c r="BS2183">
        <v>0.71</v>
      </c>
      <c r="BU2183">
        <v>1.24</v>
      </c>
      <c r="BV2183" t="s">
        <v>263</v>
      </c>
      <c r="CM2183" t="s">
        <v>264</v>
      </c>
      <c r="CN2183" t="s">
        <v>264</v>
      </c>
      <c r="CP2183" t="s">
        <v>265</v>
      </c>
      <c r="CQ2183" t="s">
        <v>890</v>
      </c>
      <c r="DB2183">
        <v>2</v>
      </c>
      <c r="DG2183" t="s">
        <v>267</v>
      </c>
      <c r="DI2183">
        <v>48</v>
      </c>
      <c r="DN2183" t="s">
        <v>268</v>
      </c>
      <c r="DP2183" t="s">
        <v>3849</v>
      </c>
      <c r="DR2183">
        <v>221654</v>
      </c>
      <c r="DS2183">
        <v>65263</v>
      </c>
      <c r="DV2183">
        <v>48</v>
      </c>
      <c r="EA2183" t="s">
        <v>268</v>
      </c>
      <c r="EC2183">
        <v>2</v>
      </c>
      <c r="EH2183" t="s">
        <v>267</v>
      </c>
      <c r="EJ2183">
        <v>48</v>
      </c>
      <c r="EO2183" t="s">
        <v>268</v>
      </c>
      <c r="EQ2183">
        <v>2</v>
      </c>
      <c r="EV2183" t="s">
        <v>267</v>
      </c>
      <c r="EW2183" t="s">
        <v>293</v>
      </c>
      <c r="EY2183" t="s">
        <v>377</v>
      </c>
      <c r="FA2183" t="s">
        <v>3972</v>
      </c>
      <c r="FM2183">
        <v>20</v>
      </c>
      <c r="FR2183" t="s">
        <v>295</v>
      </c>
      <c r="GG2183" t="s">
        <v>288</v>
      </c>
      <c r="GH2183">
        <v>40</v>
      </c>
      <c r="GM2183" t="s">
        <v>900</v>
      </c>
      <c r="GO2183">
        <v>7.5</v>
      </c>
      <c r="GQ2183">
        <v>6.1</v>
      </c>
      <c r="GS2183">
        <v>8</v>
      </c>
      <c r="GU2183">
        <v>10</v>
      </c>
      <c r="GZ2183" t="s">
        <v>296</v>
      </c>
      <c r="HH2183" t="s">
        <v>272</v>
      </c>
      <c r="ID2183" t="s">
        <v>3851</v>
      </c>
      <c r="IE2183" t="s">
        <v>3852</v>
      </c>
      <c r="IF2183">
        <v>177340</v>
      </c>
      <c r="IG2183" t="s">
        <v>3853</v>
      </c>
      <c r="IH2183" t="s">
        <v>3854</v>
      </c>
      <c r="II2183">
        <v>1989</v>
      </c>
      <c r="IJ2183" t="s">
        <v>3855</v>
      </c>
    </row>
    <row r="2184" spans="1:244" x14ac:dyDescent="0.45">
      <c r="A2184">
        <v>1200163</v>
      </c>
      <c r="B2184">
        <v>154743</v>
      </c>
      <c r="C2184">
        <v>10108642</v>
      </c>
      <c r="D2184" t="s">
        <v>3523</v>
      </c>
      <c r="F2184" t="s">
        <v>245</v>
      </c>
      <c r="G2184" t="s">
        <v>246</v>
      </c>
      <c r="N2184" t="s">
        <v>1022</v>
      </c>
      <c r="O2184" t="s">
        <v>578</v>
      </c>
      <c r="P2184" t="s">
        <v>249</v>
      </c>
      <c r="Q2184" t="s">
        <v>250</v>
      </c>
      <c r="R2184" t="s">
        <v>251</v>
      </c>
      <c r="T2184" t="s">
        <v>252</v>
      </c>
      <c r="U2184" t="s">
        <v>499</v>
      </c>
      <c r="V2184" t="s">
        <v>992</v>
      </c>
      <c r="W2184" t="s">
        <v>1023</v>
      </c>
      <c r="X2184" t="s">
        <v>1024</v>
      </c>
      <c r="AD2184">
        <v>7</v>
      </c>
      <c r="AF2184">
        <v>14</v>
      </c>
      <c r="AG2184" t="s">
        <v>267</v>
      </c>
      <c r="AL2184" t="s">
        <v>3873</v>
      </c>
      <c r="AM2184" t="s">
        <v>317</v>
      </c>
      <c r="AN2184" t="s">
        <v>259</v>
      </c>
      <c r="AO2184" t="s">
        <v>260</v>
      </c>
      <c r="AQ2184" t="s">
        <v>261</v>
      </c>
      <c r="AT2184" t="s">
        <v>288</v>
      </c>
      <c r="AU2184">
        <v>20</v>
      </c>
      <c r="AV2184" t="s">
        <v>289</v>
      </c>
      <c r="AW2184">
        <v>40</v>
      </c>
      <c r="AX2184" t="s">
        <v>262</v>
      </c>
      <c r="BO2184" t="s">
        <v>261</v>
      </c>
      <c r="BR2184" t="s">
        <v>288</v>
      </c>
      <c r="BS2184">
        <v>0.02</v>
      </c>
      <c r="BT2184" t="s">
        <v>289</v>
      </c>
      <c r="BU2184">
        <v>0.04</v>
      </c>
      <c r="BV2184" t="s">
        <v>263</v>
      </c>
      <c r="CM2184" t="s">
        <v>264</v>
      </c>
      <c r="CN2184" t="s">
        <v>264</v>
      </c>
      <c r="CP2184" t="s">
        <v>265</v>
      </c>
      <c r="CQ2184" t="s">
        <v>890</v>
      </c>
      <c r="DB2184">
        <v>4</v>
      </c>
      <c r="DG2184" t="s">
        <v>267</v>
      </c>
      <c r="DI2184">
        <v>96</v>
      </c>
      <c r="DN2184" t="s">
        <v>268</v>
      </c>
      <c r="DR2184">
        <v>247138</v>
      </c>
      <c r="DS2184">
        <v>4424</v>
      </c>
      <c r="DT2184" t="s">
        <v>3874</v>
      </c>
      <c r="EW2184" t="s">
        <v>272</v>
      </c>
      <c r="FK2184" t="s">
        <v>3875</v>
      </c>
      <c r="FM2184">
        <v>23</v>
      </c>
      <c r="FR2184" t="s">
        <v>295</v>
      </c>
      <c r="GU2184">
        <v>5</v>
      </c>
      <c r="GZ2184" t="s">
        <v>296</v>
      </c>
      <c r="HH2184" t="s">
        <v>272</v>
      </c>
      <c r="ID2184" t="s">
        <v>3876</v>
      </c>
      <c r="IE2184" t="s">
        <v>3877</v>
      </c>
      <c r="IF2184">
        <v>18159</v>
      </c>
      <c r="IG2184" t="s">
        <v>3878</v>
      </c>
      <c r="IH2184" t="s">
        <v>3879</v>
      </c>
      <c r="II2184">
        <v>1997</v>
      </c>
      <c r="IJ2184" t="s">
        <v>3880</v>
      </c>
    </row>
    <row r="2185" spans="1:244" x14ac:dyDescent="0.45">
      <c r="A2185">
        <v>2211980</v>
      </c>
      <c r="B2185">
        <v>2432829</v>
      </c>
      <c r="C2185">
        <v>10108642</v>
      </c>
      <c r="D2185" t="s">
        <v>3523</v>
      </c>
      <c r="F2185" t="s">
        <v>327</v>
      </c>
      <c r="G2185" t="s">
        <v>557</v>
      </c>
      <c r="N2185" t="s">
        <v>312</v>
      </c>
      <c r="O2185" t="s">
        <v>313</v>
      </c>
      <c r="P2185" t="s">
        <v>249</v>
      </c>
      <c r="Q2185" t="s">
        <v>250</v>
      </c>
      <c r="R2185" t="s">
        <v>251</v>
      </c>
      <c r="T2185" t="s">
        <v>252</v>
      </c>
      <c r="U2185" t="s">
        <v>253</v>
      </c>
      <c r="V2185" t="s">
        <v>304</v>
      </c>
      <c r="W2185" t="s">
        <v>305</v>
      </c>
      <c r="X2185" t="s">
        <v>314</v>
      </c>
      <c r="Z2185" t="s">
        <v>649</v>
      </c>
      <c r="AJ2185" t="s">
        <v>285</v>
      </c>
      <c r="AL2185" t="s">
        <v>2093</v>
      </c>
      <c r="AM2185" t="s">
        <v>317</v>
      </c>
      <c r="AN2185" t="s">
        <v>259</v>
      </c>
      <c r="AO2185" t="s">
        <v>260</v>
      </c>
      <c r="AP2185" t="s">
        <v>3848</v>
      </c>
      <c r="AQ2185" t="s">
        <v>261</v>
      </c>
      <c r="AS2185">
        <v>2</v>
      </c>
      <c r="AU2185">
        <v>1.65</v>
      </c>
      <c r="AW2185">
        <v>2.58</v>
      </c>
      <c r="AX2185" t="s">
        <v>356</v>
      </c>
      <c r="BO2185" t="s">
        <v>261</v>
      </c>
      <c r="BQ2185">
        <v>2</v>
      </c>
      <c r="BS2185">
        <v>1.65</v>
      </c>
      <c r="BU2185">
        <v>2.58</v>
      </c>
      <c r="BV2185" t="s">
        <v>263</v>
      </c>
      <c r="CM2185" t="s">
        <v>264</v>
      </c>
      <c r="CN2185" t="s">
        <v>264</v>
      </c>
      <c r="CP2185" t="s">
        <v>265</v>
      </c>
      <c r="CQ2185" t="s">
        <v>890</v>
      </c>
      <c r="DB2185">
        <v>2</v>
      </c>
      <c r="DG2185" t="s">
        <v>267</v>
      </c>
      <c r="DI2185">
        <v>48</v>
      </c>
      <c r="DN2185" t="s">
        <v>268</v>
      </c>
      <c r="DP2185" t="s">
        <v>3849</v>
      </c>
      <c r="DR2185">
        <v>221654</v>
      </c>
      <c r="DS2185">
        <v>65263</v>
      </c>
      <c r="DV2185">
        <v>48</v>
      </c>
      <c r="EA2185" t="s">
        <v>268</v>
      </c>
      <c r="EC2185">
        <v>2</v>
      </c>
      <c r="EH2185" t="s">
        <v>267</v>
      </c>
      <c r="EJ2185">
        <v>48</v>
      </c>
      <c r="EO2185" t="s">
        <v>268</v>
      </c>
      <c r="EQ2185">
        <v>2</v>
      </c>
      <c r="EV2185" t="s">
        <v>267</v>
      </c>
      <c r="EW2185" t="s">
        <v>293</v>
      </c>
      <c r="EY2185" t="s">
        <v>377</v>
      </c>
      <c r="FA2185" t="s">
        <v>3973</v>
      </c>
      <c r="FM2185">
        <v>20</v>
      </c>
      <c r="FR2185" t="s">
        <v>295</v>
      </c>
      <c r="GG2185" t="s">
        <v>288</v>
      </c>
      <c r="GH2185">
        <v>40</v>
      </c>
      <c r="GM2185" t="s">
        <v>900</v>
      </c>
      <c r="GO2185">
        <v>7.5</v>
      </c>
      <c r="GQ2185">
        <v>6.1</v>
      </c>
      <c r="GS2185">
        <v>8</v>
      </c>
      <c r="GU2185">
        <v>10</v>
      </c>
      <c r="GZ2185" t="s">
        <v>296</v>
      </c>
      <c r="HH2185" t="s">
        <v>272</v>
      </c>
      <c r="ID2185" t="s">
        <v>3851</v>
      </c>
      <c r="IE2185" t="s">
        <v>3852</v>
      </c>
      <c r="IF2185">
        <v>177340</v>
      </c>
      <c r="IG2185" t="s">
        <v>3853</v>
      </c>
      <c r="IH2185" t="s">
        <v>3854</v>
      </c>
      <c r="II2185">
        <v>1989</v>
      </c>
      <c r="IJ2185" t="s">
        <v>3855</v>
      </c>
    </row>
    <row r="2186" spans="1:244" x14ac:dyDescent="0.45">
      <c r="A2186">
        <v>1129766</v>
      </c>
      <c r="B2186">
        <v>85197</v>
      </c>
      <c r="C2186">
        <v>10108642</v>
      </c>
      <c r="D2186" t="s">
        <v>3523</v>
      </c>
      <c r="F2186" t="s">
        <v>327</v>
      </c>
      <c r="G2186" t="s">
        <v>246</v>
      </c>
      <c r="N2186" t="s">
        <v>369</v>
      </c>
      <c r="O2186" t="s">
        <v>370</v>
      </c>
      <c r="P2186" t="s">
        <v>249</v>
      </c>
      <c r="Q2186" t="s">
        <v>250</v>
      </c>
      <c r="R2186" t="s">
        <v>251</v>
      </c>
      <c r="T2186" t="s">
        <v>252</v>
      </c>
      <c r="U2186" t="s">
        <v>371</v>
      </c>
      <c r="V2186" t="s">
        <v>372</v>
      </c>
      <c r="W2186" t="s">
        <v>373</v>
      </c>
      <c r="X2186" t="s">
        <v>374</v>
      </c>
      <c r="Z2186" t="s">
        <v>315</v>
      </c>
      <c r="AM2186" t="s">
        <v>317</v>
      </c>
      <c r="AN2186" t="s">
        <v>259</v>
      </c>
      <c r="AO2186" t="s">
        <v>260</v>
      </c>
      <c r="AQ2186" t="s">
        <v>261</v>
      </c>
      <c r="AS2186">
        <v>17</v>
      </c>
      <c r="AX2186" t="s">
        <v>262</v>
      </c>
      <c r="BO2186" t="s">
        <v>261</v>
      </c>
      <c r="BQ2186">
        <v>1.7000000000000001E-2</v>
      </c>
      <c r="BV2186" t="s">
        <v>263</v>
      </c>
      <c r="CM2186" t="s">
        <v>264</v>
      </c>
      <c r="CN2186" t="s">
        <v>264</v>
      </c>
      <c r="CP2186" t="s">
        <v>265</v>
      </c>
      <c r="CQ2186" t="s">
        <v>890</v>
      </c>
      <c r="DB2186">
        <v>4</v>
      </c>
      <c r="DG2186" t="s">
        <v>267</v>
      </c>
      <c r="DI2186">
        <v>96</v>
      </c>
      <c r="DN2186" t="s">
        <v>268</v>
      </c>
      <c r="DR2186">
        <v>110441</v>
      </c>
      <c r="DS2186">
        <v>142</v>
      </c>
      <c r="DT2186" t="s">
        <v>3758</v>
      </c>
      <c r="EW2186" t="s">
        <v>293</v>
      </c>
      <c r="FM2186">
        <v>22</v>
      </c>
      <c r="FR2186" t="s">
        <v>295</v>
      </c>
      <c r="GH2186">
        <v>4.5</v>
      </c>
      <c r="GM2186" t="s">
        <v>356</v>
      </c>
      <c r="GO2186">
        <v>7.3</v>
      </c>
      <c r="GU2186">
        <v>20</v>
      </c>
      <c r="GZ2186" t="s">
        <v>296</v>
      </c>
      <c r="HH2186" t="s">
        <v>272</v>
      </c>
      <c r="IE2186" t="s">
        <v>3759</v>
      </c>
      <c r="IF2186">
        <v>10443</v>
      </c>
      <c r="IG2186" t="s">
        <v>3760</v>
      </c>
      <c r="IH2186" t="s">
        <v>3761</v>
      </c>
      <c r="II2186">
        <v>1982</v>
      </c>
      <c r="IJ2186" t="s">
        <v>3762</v>
      </c>
    </row>
    <row r="2187" spans="1:244" x14ac:dyDescent="0.45">
      <c r="A2187">
        <v>1193479</v>
      </c>
      <c r="B2187">
        <v>170386</v>
      </c>
      <c r="C2187">
        <v>10108642</v>
      </c>
      <c r="D2187" t="s">
        <v>3523</v>
      </c>
      <c r="F2187" t="s">
        <v>245</v>
      </c>
      <c r="G2187" t="s">
        <v>246</v>
      </c>
      <c r="N2187" t="s">
        <v>577</v>
      </c>
      <c r="O2187" t="s">
        <v>578</v>
      </c>
      <c r="P2187" t="s">
        <v>249</v>
      </c>
      <c r="Q2187" t="s">
        <v>250</v>
      </c>
      <c r="R2187" t="s">
        <v>251</v>
      </c>
      <c r="T2187" t="s">
        <v>252</v>
      </c>
      <c r="U2187" t="s">
        <v>499</v>
      </c>
      <c r="V2187" t="s">
        <v>579</v>
      </c>
      <c r="W2187" t="s">
        <v>580</v>
      </c>
      <c r="X2187" t="s">
        <v>581</v>
      </c>
      <c r="AM2187" t="s">
        <v>317</v>
      </c>
      <c r="AN2187" t="s">
        <v>259</v>
      </c>
      <c r="AO2187" t="s">
        <v>260</v>
      </c>
      <c r="AQ2187" t="s">
        <v>1569</v>
      </c>
      <c r="AS2187">
        <v>6420</v>
      </c>
      <c r="AU2187">
        <v>4900</v>
      </c>
      <c r="AW2187">
        <v>8300</v>
      </c>
      <c r="AX2187" t="s">
        <v>262</v>
      </c>
      <c r="AY2187" t="s">
        <v>261</v>
      </c>
      <c r="BA2187">
        <v>11410</v>
      </c>
      <c r="BC2187">
        <v>8900</v>
      </c>
      <c r="BE2187">
        <v>14700</v>
      </c>
      <c r="BF2187" t="s">
        <v>262</v>
      </c>
      <c r="BO2187" t="s">
        <v>1569</v>
      </c>
      <c r="BQ2187">
        <v>6.42</v>
      </c>
      <c r="BS2187">
        <v>4.9000000000000004</v>
      </c>
      <c r="BU2187">
        <v>8.3000000000000007</v>
      </c>
      <c r="BV2187" t="s">
        <v>263</v>
      </c>
      <c r="BW2187" t="s">
        <v>261</v>
      </c>
      <c r="BY2187">
        <v>11.41</v>
      </c>
      <c r="CA2187">
        <v>8.9</v>
      </c>
      <c r="CC2187">
        <v>14.7</v>
      </c>
      <c r="CD2187" t="s">
        <v>263</v>
      </c>
      <c r="CM2187" t="s">
        <v>264</v>
      </c>
      <c r="CN2187" t="s">
        <v>264</v>
      </c>
      <c r="CP2187" t="s">
        <v>265</v>
      </c>
      <c r="CQ2187" t="s">
        <v>890</v>
      </c>
      <c r="CR2187" t="s">
        <v>890</v>
      </c>
      <c r="DB2187">
        <v>4</v>
      </c>
      <c r="DG2187" t="s">
        <v>267</v>
      </c>
      <c r="DI2187">
        <v>96</v>
      </c>
      <c r="DN2187" t="s">
        <v>268</v>
      </c>
      <c r="DR2187">
        <v>1450415</v>
      </c>
      <c r="DS2187">
        <v>4619</v>
      </c>
      <c r="EW2187" t="s">
        <v>272</v>
      </c>
      <c r="FM2187">
        <v>15</v>
      </c>
      <c r="FR2187" t="s">
        <v>295</v>
      </c>
      <c r="GU2187">
        <v>28</v>
      </c>
      <c r="GZ2187" t="s">
        <v>296</v>
      </c>
      <c r="HH2187" t="s">
        <v>272</v>
      </c>
      <c r="IE2187" t="s">
        <v>3744</v>
      </c>
      <c r="IF2187">
        <v>17362</v>
      </c>
      <c r="IG2187" t="s">
        <v>3745</v>
      </c>
      <c r="IH2187" t="s">
        <v>3746</v>
      </c>
      <c r="II2187">
        <v>1992</v>
      </c>
      <c r="IJ2187" t="s">
        <v>3747</v>
      </c>
    </row>
    <row r="2188" spans="1:244" x14ac:dyDescent="0.45">
      <c r="A2188">
        <v>2211983</v>
      </c>
      <c r="B2188">
        <v>2432832</v>
      </c>
      <c r="C2188">
        <v>10108642</v>
      </c>
      <c r="D2188" t="s">
        <v>3523</v>
      </c>
      <c r="F2188" t="s">
        <v>327</v>
      </c>
      <c r="G2188" t="s">
        <v>557</v>
      </c>
      <c r="N2188" t="s">
        <v>312</v>
      </c>
      <c r="O2188" t="s">
        <v>313</v>
      </c>
      <c r="P2188" t="s">
        <v>249</v>
      </c>
      <c r="Q2188" t="s">
        <v>250</v>
      </c>
      <c r="R2188" t="s">
        <v>251</v>
      </c>
      <c r="T2188" t="s">
        <v>252</v>
      </c>
      <c r="U2188" t="s">
        <v>253</v>
      </c>
      <c r="V2188" t="s">
        <v>304</v>
      </c>
      <c r="W2188" t="s">
        <v>305</v>
      </c>
      <c r="X2188" t="s">
        <v>314</v>
      </c>
      <c r="Z2188" t="s">
        <v>649</v>
      </c>
      <c r="AJ2188" t="s">
        <v>285</v>
      </c>
      <c r="AL2188" t="s">
        <v>2093</v>
      </c>
      <c r="AM2188" t="s">
        <v>317</v>
      </c>
      <c r="AN2188" t="s">
        <v>259</v>
      </c>
      <c r="AO2188" t="s">
        <v>260</v>
      </c>
      <c r="AP2188" t="s">
        <v>3848</v>
      </c>
      <c r="AQ2188" t="s">
        <v>261</v>
      </c>
      <c r="AS2188">
        <v>2.39</v>
      </c>
      <c r="AU2188">
        <v>1.83</v>
      </c>
      <c r="AW2188">
        <v>3.24</v>
      </c>
      <c r="AX2188" t="s">
        <v>356</v>
      </c>
      <c r="BO2188" t="s">
        <v>261</v>
      </c>
      <c r="BQ2188">
        <v>2.39</v>
      </c>
      <c r="BS2188">
        <v>1.83</v>
      </c>
      <c r="BU2188">
        <v>3.24</v>
      </c>
      <c r="BV2188" t="s">
        <v>263</v>
      </c>
      <c r="CM2188" t="s">
        <v>264</v>
      </c>
      <c r="CN2188" t="s">
        <v>264</v>
      </c>
      <c r="CP2188" t="s">
        <v>265</v>
      </c>
      <c r="CQ2188" t="s">
        <v>890</v>
      </c>
      <c r="DB2188">
        <v>2</v>
      </c>
      <c r="DG2188" t="s">
        <v>267</v>
      </c>
      <c r="DI2188">
        <v>48</v>
      </c>
      <c r="DN2188" t="s">
        <v>268</v>
      </c>
      <c r="DP2188" t="s">
        <v>3849</v>
      </c>
      <c r="DR2188">
        <v>221654</v>
      </c>
      <c r="DS2188">
        <v>65263</v>
      </c>
      <c r="DV2188">
        <v>48</v>
      </c>
      <c r="EA2188" t="s">
        <v>268</v>
      </c>
      <c r="EC2188">
        <v>2</v>
      </c>
      <c r="EH2188" t="s">
        <v>267</v>
      </c>
      <c r="EJ2188">
        <v>48</v>
      </c>
      <c r="EO2188" t="s">
        <v>268</v>
      </c>
      <c r="EQ2188">
        <v>2</v>
      </c>
      <c r="EV2188" t="s">
        <v>267</v>
      </c>
      <c r="EW2188" t="s">
        <v>293</v>
      </c>
      <c r="EY2188" t="s">
        <v>377</v>
      </c>
      <c r="FA2188" t="s">
        <v>3974</v>
      </c>
      <c r="FM2188">
        <v>20</v>
      </c>
      <c r="FR2188" t="s">
        <v>295</v>
      </c>
      <c r="GG2188" t="s">
        <v>288</v>
      </c>
      <c r="GH2188">
        <v>40</v>
      </c>
      <c r="GM2188" t="s">
        <v>900</v>
      </c>
      <c r="GO2188">
        <v>7.5</v>
      </c>
      <c r="GQ2188">
        <v>6.1</v>
      </c>
      <c r="GS2188">
        <v>8</v>
      </c>
      <c r="GU2188">
        <v>10</v>
      </c>
      <c r="GZ2188" t="s">
        <v>296</v>
      </c>
      <c r="HH2188" t="s">
        <v>272</v>
      </c>
      <c r="ID2188" t="s">
        <v>3851</v>
      </c>
      <c r="IE2188" t="s">
        <v>3852</v>
      </c>
      <c r="IF2188">
        <v>177340</v>
      </c>
      <c r="IG2188" t="s">
        <v>3853</v>
      </c>
      <c r="IH2188" t="s">
        <v>3854</v>
      </c>
      <c r="II2188">
        <v>1989</v>
      </c>
      <c r="IJ2188" t="s">
        <v>3855</v>
      </c>
    </row>
    <row r="2189" spans="1:244" x14ac:dyDescent="0.45">
      <c r="A2189">
        <v>1048536</v>
      </c>
      <c r="B2189">
        <v>110016</v>
      </c>
      <c r="C2189">
        <v>10108642</v>
      </c>
      <c r="D2189" t="s">
        <v>3523</v>
      </c>
      <c r="F2189" t="s">
        <v>245</v>
      </c>
      <c r="G2189" t="s">
        <v>246</v>
      </c>
      <c r="N2189" t="s">
        <v>312</v>
      </c>
      <c r="O2189" t="s">
        <v>313</v>
      </c>
      <c r="P2189" t="s">
        <v>249</v>
      </c>
      <c r="Q2189" t="s">
        <v>250</v>
      </c>
      <c r="R2189" t="s">
        <v>251</v>
      </c>
      <c r="T2189" t="s">
        <v>252</v>
      </c>
      <c r="U2189" t="s">
        <v>253</v>
      </c>
      <c r="V2189" t="s">
        <v>304</v>
      </c>
      <c r="W2189" t="s">
        <v>305</v>
      </c>
      <c r="X2189" t="s">
        <v>314</v>
      </c>
      <c r="AM2189" t="s">
        <v>317</v>
      </c>
      <c r="AN2189" t="s">
        <v>259</v>
      </c>
      <c r="AO2189" t="s">
        <v>260</v>
      </c>
      <c r="AQ2189" t="s">
        <v>261</v>
      </c>
      <c r="AS2189">
        <v>2420</v>
      </c>
      <c r="AX2189" t="s">
        <v>262</v>
      </c>
      <c r="BO2189" t="s">
        <v>261</v>
      </c>
      <c r="BQ2189">
        <v>2.42</v>
      </c>
      <c r="BV2189" t="s">
        <v>263</v>
      </c>
      <c r="CM2189" t="s">
        <v>264</v>
      </c>
      <c r="CN2189" t="s">
        <v>264</v>
      </c>
      <c r="CP2189" t="s">
        <v>265</v>
      </c>
      <c r="CQ2189" t="s">
        <v>890</v>
      </c>
      <c r="DB2189">
        <v>4</v>
      </c>
      <c r="DG2189" t="s">
        <v>267</v>
      </c>
      <c r="DI2189">
        <v>96</v>
      </c>
      <c r="DN2189" t="s">
        <v>268</v>
      </c>
      <c r="DR2189">
        <v>221654</v>
      </c>
      <c r="DS2189">
        <v>65263</v>
      </c>
      <c r="DT2189" t="s">
        <v>3975</v>
      </c>
      <c r="EW2189" t="s">
        <v>333</v>
      </c>
      <c r="FM2189">
        <v>20</v>
      </c>
      <c r="FR2189" t="s">
        <v>295</v>
      </c>
      <c r="GU2189">
        <v>35</v>
      </c>
      <c r="GZ2189" t="s">
        <v>296</v>
      </c>
      <c r="HH2189" t="s">
        <v>272</v>
      </c>
      <c r="IE2189" t="s">
        <v>3976</v>
      </c>
      <c r="IF2189">
        <v>3170</v>
      </c>
      <c r="IG2189" t="s">
        <v>3977</v>
      </c>
      <c r="IH2189" t="s">
        <v>3978</v>
      </c>
      <c r="II2189">
        <v>1990</v>
      </c>
      <c r="IJ2189" t="s">
        <v>3979</v>
      </c>
    </row>
    <row r="2190" spans="1:244" x14ac:dyDescent="0.45">
      <c r="A2190">
        <v>2211977</v>
      </c>
      <c r="B2190">
        <v>2432826</v>
      </c>
      <c r="C2190">
        <v>10108642</v>
      </c>
      <c r="D2190" t="s">
        <v>3523</v>
      </c>
      <c r="F2190" t="s">
        <v>327</v>
      </c>
      <c r="G2190" t="s">
        <v>557</v>
      </c>
      <c r="N2190" t="s">
        <v>312</v>
      </c>
      <c r="O2190" t="s">
        <v>313</v>
      </c>
      <c r="P2190" t="s">
        <v>249</v>
      </c>
      <c r="Q2190" t="s">
        <v>250</v>
      </c>
      <c r="R2190" t="s">
        <v>251</v>
      </c>
      <c r="T2190" t="s">
        <v>252</v>
      </c>
      <c r="U2190" t="s">
        <v>253</v>
      </c>
      <c r="V2190" t="s">
        <v>304</v>
      </c>
      <c r="W2190" t="s">
        <v>305</v>
      </c>
      <c r="X2190" t="s">
        <v>314</v>
      </c>
      <c r="Z2190" t="s">
        <v>649</v>
      </c>
      <c r="AJ2190" t="s">
        <v>285</v>
      </c>
      <c r="AL2190" t="s">
        <v>2093</v>
      </c>
      <c r="AM2190" t="s">
        <v>317</v>
      </c>
      <c r="AN2190" t="s">
        <v>259</v>
      </c>
      <c r="AO2190" t="s">
        <v>260</v>
      </c>
      <c r="AP2190" t="s">
        <v>3848</v>
      </c>
      <c r="AQ2190" t="s">
        <v>261</v>
      </c>
      <c r="AS2190">
        <v>1.42</v>
      </c>
      <c r="AU2190">
        <v>1.05</v>
      </c>
      <c r="AW2190">
        <v>2.4500000000000002</v>
      </c>
      <c r="AX2190" t="s">
        <v>356</v>
      </c>
      <c r="BO2190" t="s">
        <v>261</v>
      </c>
      <c r="BQ2190">
        <v>1.42</v>
      </c>
      <c r="BS2190">
        <v>1.05</v>
      </c>
      <c r="BU2190">
        <v>2.4500000000000002</v>
      </c>
      <c r="BV2190" t="s">
        <v>263</v>
      </c>
      <c r="CM2190" t="s">
        <v>264</v>
      </c>
      <c r="CN2190" t="s">
        <v>264</v>
      </c>
      <c r="CP2190" t="s">
        <v>265</v>
      </c>
      <c r="CQ2190" t="s">
        <v>890</v>
      </c>
      <c r="DB2190">
        <v>2</v>
      </c>
      <c r="DG2190" t="s">
        <v>267</v>
      </c>
      <c r="DI2190">
        <v>48</v>
      </c>
      <c r="DN2190" t="s">
        <v>268</v>
      </c>
      <c r="DP2190" t="s">
        <v>3849</v>
      </c>
      <c r="DR2190">
        <v>221654</v>
      </c>
      <c r="DS2190">
        <v>65263</v>
      </c>
      <c r="DV2190">
        <v>48</v>
      </c>
      <c r="EA2190" t="s">
        <v>268</v>
      </c>
      <c r="EC2190">
        <v>2</v>
      </c>
      <c r="EH2190" t="s">
        <v>267</v>
      </c>
      <c r="EJ2190">
        <v>48</v>
      </c>
      <c r="EO2190" t="s">
        <v>268</v>
      </c>
      <c r="EQ2190">
        <v>2</v>
      </c>
      <c r="EV2190" t="s">
        <v>267</v>
      </c>
      <c r="EW2190" t="s">
        <v>293</v>
      </c>
      <c r="EY2190" t="s">
        <v>377</v>
      </c>
      <c r="FA2190" t="s">
        <v>3980</v>
      </c>
      <c r="FM2190">
        <v>20</v>
      </c>
      <c r="FR2190" t="s">
        <v>295</v>
      </c>
      <c r="GG2190" t="s">
        <v>288</v>
      </c>
      <c r="GH2190">
        <v>40</v>
      </c>
      <c r="GM2190" t="s">
        <v>900</v>
      </c>
      <c r="GO2190">
        <v>7.5</v>
      </c>
      <c r="GQ2190">
        <v>6.1</v>
      </c>
      <c r="GS2190">
        <v>8</v>
      </c>
      <c r="GU2190">
        <v>10</v>
      </c>
      <c r="GZ2190" t="s">
        <v>296</v>
      </c>
      <c r="HH2190" t="s">
        <v>272</v>
      </c>
      <c r="ID2190" t="s">
        <v>3851</v>
      </c>
      <c r="IE2190" t="s">
        <v>3852</v>
      </c>
      <c r="IF2190">
        <v>177340</v>
      </c>
      <c r="IG2190" t="s">
        <v>3853</v>
      </c>
      <c r="IH2190" t="s">
        <v>3854</v>
      </c>
      <c r="II2190">
        <v>1989</v>
      </c>
      <c r="IJ2190" t="s">
        <v>3855</v>
      </c>
    </row>
    <row r="2191" spans="1:244" x14ac:dyDescent="0.45">
      <c r="A2191">
        <v>2211987</v>
      </c>
      <c r="B2191">
        <v>2432836</v>
      </c>
      <c r="C2191">
        <v>10108642</v>
      </c>
      <c r="D2191" t="s">
        <v>3523</v>
      </c>
      <c r="F2191" t="s">
        <v>327</v>
      </c>
      <c r="G2191" t="s">
        <v>557</v>
      </c>
      <c r="N2191" t="s">
        <v>312</v>
      </c>
      <c r="O2191" t="s">
        <v>313</v>
      </c>
      <c r="P2191" t="s">
        <v>249</v>
      </c>
      <c r="Q2191" t="s">
        <v>250</v>
      </c>
      <c r="R2191" t="s">
        <v>251</v>
      </c>
      <c r="T2191" t="s">
        <v>252</v>
      </c>
      <c r="U2191" t="s">
        <v>253</v>
      </c>
      <c r="V2191" t="s">
        <v>304</v>
      </c>
      <c r="W2191" t="s">
        <v>305</v>
      </c>
      <c r="X2191" t="s">
        <v>314</v>
      </c>
      <c r="Z2191" t="s">
        <v>649</v>
      </c>
      <c r="AJ2191" t="s">
        <v>285</v>
      </c>
      <c r="AL2191" t="s">
        <v>2093</v>
      </c>
      <c r="AM2191" t="s">
        <v>317</v>
      </c>
      <c r="AN2191" t="s">
        <v>259</v>
      </c>
      <c r="AO2191" t="s">
        <v>260</v>
      </c>
      <c r="AP2191" t="s">
        <v>3848</v>
      </c>
      <c r="AQ2191" t="s">
        <v>261</v>
      </c>
      <c r="AS2191">
        <v>1.64</v>
      </c>
      <c r="AU2191">
        <v>1.24</v>
      </c>
      <c r="AW2191">
        <v>2.2400000000000002</v>
      </c>
      <c r="AX2191" t="s">
        <v>356</v>
      </c>
      <c r="BO2191" t="s">
        <v>261</v>
      </c>
      <c r="BQ2191">
        <v>1.64</v>
      </c>
      <c r="BS2191">
        <v>1.24</v>
      </c>
      <c r="BU2191">
        <v>2.2400000000000002</v>
      </c>
      <c r="BV2191" t="s">
        <v>263</v>
      </c>
      <c r="CM2191" t="s">
        <v>264</v>
      </c>
      <c r="CN2191" t="s">
        <v>264</v>
      </c>
      <c r="CP2191" t="s">
        <v>265</v>
      </c>
      <c r="CQ2191" t="s">
        <v>890</v>
      </c>
      <c r="DB2191">
        <v>2</v>
      </c>
      <c r="DG2191" t="s">
        <v>267</v>
      </c>
      <c r="DI2191">
        <v>48</v>
      </c>
      <c r="DN2191" t="s">
        <v>268</v>
      </c>
      <c r="DP2191" t="s">
        <v>3849</v>
      </c>
      <c r="DR2191">
        <v>221654</v>
      </c>
      <c r="DS2191">
        <v>65263</v>
      </c>
      <c r="DV2191">
        <v>48</v>
      </c>
      <c r="EA2191" t="s">
        <v>268</v>
      </c>
      <c r="EC2191">
        <v>2</v>
      </c>
      <c r="EH2191" t="s">
        <v>267</v>
      </c>
      <c r="EJ2191">
        <v>48</v>
      </c>
      <c r="EO2191" t="s">
        <v>268</v>
      </c>
      <c r="EQ2191">
        <v>2</v>
      </c>
      <c r="EV2191" t="s">
        <v>267</v>
      </c>
      <c r="EW2191" t="s">
        <v>293</v>
      </c>
      <c r="EY2191" t="s">
        <v>377</v>
      </c>
      <c r="FA2191" t="s">
        <v>3981</v>
      </c>
      <c r="FM2191">
        <v>20</v>
      </c>
      <c r="FR2191" t="s">
        <v>295</v>
      </c>
      <c r="GG2191" t="s">
        <v>288</v>
      </c>
      <c r="GH2191">
        <v>40</v>
      </c>
      <c r="GM2191" t="s">
        <v>900</v>
      </c>
      <c r="GO2191">
        <v>7.5</v>
      </c>
      <c r="GQ2191">
        <v>6.1</v>
      </c>
      <c r="GS2191">
        <v>8</v>
      </c>
      <c r="GU2191">
        <v>10</v>
      </c>
      <c r="GZ2191" t="s">
        <v>296</v>
      </c>
      <c r="HH2191" t="s">
        <v>272</v>
      </c>
      <c r="ID2191" t="s">
        <v>3851</v>
      </c>
      <c r="IE2191" t="s">
        <v>3852</v>
      </c>
      <c r="IF2191">
        <v>177340</v>
      </c>
      <c r="IG2191" t="s">
        <v>3853</v>
      </c>
      <c r="IH2191" t="s">
        <v>3854</v>
      </c>
      <c r="II2191">
        <v>1989</v>
      </c>
      <c r="IJ2191" t="s">
        <v>3855</v>
      </c>
    </row>
    <row r="2192" spans="1:244" x14ac:dyDescent="0.45">
      <c r="A2192">
        <v>1202535</v>
      </c>
      <c r="B2192">
        <v>161745</v>
      </c>
      <c r="C2192">
        <v>10108642</v>
      </c>
      <c r="D2192" t="s">
        <v>3523</v>
      </c>
      <c r="F2192" t="s">
        <v>272</v>
      </c>
      <c r="G2192" t="s">
        <v>246</v>
      </c>
      <c r="N2192" t="s">
        <v>729</v>
      </c>
      <c r="O2192" t="s">
        <v>578</v>
      </c>
      <c r="P2192" t="s">
        <v>249</v>
      </c>
      <c r="Q2192" t="s">
        <v>250</v>
      </c>
      <c r="R2192" t="s">
        <v>251</v>
      </c>
      <c r="T2192" t="s">
        <v>252</v>
      </c>
      <c r="U2192" t="s">
        <v>499</v>
      </c>
      <c r="V2192" t="s">
        <v>730</v>
      </c>
      <c r="W2192" t="s">
        <v>731</v>
      </c>
      <c r="X2192" t="s">
        <v>732</v>
      </c>
      <c r="AM2192" t="s">
        <v>258</v>
      </c>
      <c r="AN2192" t="s">
        <v>259</v>
      </c>
      <c r="AO2192" t="s">
        <v>260</v>
      </c>
      <c r="AQ2192" t="s">
        <v>261</v>
      </c>
      <c r="AS2192">
        <v>1510</v>
      </c>
      <c r="AU2192">
        <v>1170</v>
      </c>
      <c r="AW2192">
        <v>1950</v>
      </c>
      <c r="AX2192" t="s">
        <v>262</v>
      </c>
      <c r="BO2192" t="s">
        <v>261</v>
      </c>
      <c r="BQ2192">
        <v>1.51</v>
      </c>
      <c r="BS2192">
        <v>1.17</v>
      </c>
      <c r="BU2192">
        <v>1.95</v>
      </c>
      <c r="BV2192" t="s">
        <v>263</v>
      </c>
      <c r="CM2192" t="s">
        <v>264</v>
      </c>
      <c r="CN2192" t="s">
        <v>264</v>
      </c>
      <c r="CP2192" t="s">
        <v>265</v>
      </c>
      <c r="CQ2192" t="s">
        <v>890</v>
      </c>
      <c r="DB2192">
        <v>4</v>
      </c>
      <c r="DG2192" t="s">
        <v>267</v>
      </c>
      <c r="DI2192">
        <v>4</v>
      </c>
      <c r="DN2192" t="s">
        <v>267</v>
      </c>
      <c r="DS2192">
        <v>2921</v>
      </c>
      <c r="DT2192" t="s">
        <v>3702</v>
      </c>
      <c r="EW2192" t="s">
        <v>293</v>
      </c>
      <c r="FA2192" t="s">
        <v>3982</v>
      </c>
      <c r="FM2192">
        <v>15</v>
      </c>
      <c r="FR2192" t="s">
        <v>295</v>
      </c>
      <c r="GU2192">
        <v>28</v>
      </c>
      <c r="GZ2192" t="s">
        <v>296</v>
      </c>
      <c r="HH2192" t="s">
        <v>272</v>
      </c>
      <c r="IE2192" t="s">
        <v>3704</v>
      </c>
      <c r="IF2192">
        <v>18408</v>
      </c>
      <c r="IG2192" t="s">
        <v>3705</v>
      </c>
      <c r="IH2192" t="s">
        <v>3706</v>
      </c>
      <c r="II2192">
        <v>1997</v>
      </c>
      <c r="IJ2192" t="s">
        <v>3707</v>
      </c>
    </row>
    <row r="2193" spans="1:244" x14ac:dyDescent="0.45">
      <c r="A2193">
        <v>1200167</v>
      </c>
      <c r="B2193">
        <v>154747</v>
      </c>
      <c r="C2193">
        <v>10108642</v>
      </c>
      <c r="D2193" t="s">
        <v>3523</v>
      </c>
      <c r="F2193" t="s">
        <v>245</v>
      </c>
      <c r="G2193" t="s">
        <v>246</v>
      </c>
      <c r="N2193" t="s">
        <v>1022</v>
      </c>
      <c r="O2193" t="s">
        <v>578</v>
      </c>
      <c r="P2193" t="s">
        <v>249</v>
      </c>
      <c r="Q2193" t="s">
        <v>250</v>
      </c>
      <c r="R2193" t="s">
        <v>251</v>
      </c>
      <c r="T2193" t="s">
        <v>252</v>
      </c>
      <c r="U2193" t="s">
        <v>499</v>
      </c>
      <c r="V2193" t="s">
        <v>992</v>
      </c>
      <c r="W2193" t="s">
        <v>1023</v>
      </c>
      <c r="X2193" t="s">
        <v>1024</v>
      </c>
      <c r="AD2193">
        <v>7</v>
      </c>
      <c r="AF2193">
        <v>14</v>
      </c>
      <c r="AG2193" t="s">
        <v>267</v>
      </c>
      <c r="AL2193" t="s">
        <v>3873</v>
      </c>
      <c r="AM2193" t="s">
        <v>317</v>
      </c>
      <c r="AN2193" t="s">
        <v>259</v>
      </c>
      <c r="AO2193" t="s">
        <v>260</v>
      </c>
      <c r="AQ2193" t="s">
        <v>261</v>
      </c>
      <c r="AR2193" t="s">
        <v>515</v>
      </c>
      <c r="AS2193">
        <v>20</v>
      </c>
      <c r="AX2193" t="s">
        <v>262</v>
      </c>
      <c r="BO2193" t="s">
        <v>261</v>
      </c>
      <c r="BP2193" t="s">
        <v>515</v>
      </c>
      <c r="BQ2193">
        <v>0.02</v>
      </c>
      <c r="BV2193" t="s">
        <v>263</v>
      </c>
      <c r="CM2193" t="s">
        <v>264</v>
      </c>
      <c r="CN2193" t="s">
        <v>264</v>
      </c>
      <c r="CP2193" t="s">
        <v>265</v>
      </c>
      <c r="CQ2193" t="s">
        <v>890</v>
      </c>
      <c r="DB2193">
        <v>4</v>
      </c>
      <c r="DG2193" t="s">
        <v>267</v>
      </c>
      <c r="DI2193">
        <v>96</v>
      </c>
      <c r="DN2193" t="s">
        <v>268</v>
      </c>
      <c r="DR2193">
        <v>247138</v>
      </c>
      <c r="DS2193">
        <v>4424</v>
      </c>
      <c r="DT2193" t="s">
        <v>3874</v>
      </c>
      <c r="EW2193" t="s">
        <v>272</v>
      </c>
      <c r="FK2193" t="s">
        <v>3875</v>
      </c>
      <c r="FM2193">
        <v>23</v>
      </c>
      <c r="FR2193" t="s">
        <v>295</v>
      </c>
      <c r="GU2193">
        <v>5</v>
      </c>
      <c r="GZ2193" t="s">
        <v>296</v>
      </c>
      <c r="HH2193" t="s">
        <v>272</v>
      </c>
      <c r="ID2193" t="s">
        <v>3876</v>
      </c>
      <c r="IE2193" t="s">
        <v>3877</v>
      </c>
      <c r="IF2193">
        <v>18159</v>
      </c>
      <c r="IG2193" t="s">
        <v>3878</v>
      </c>
      <c r="IH2193" t="s">
        <v>3879</v>
      </c>
      <c r="II2193">
        <v>1997</v>
      </c>
      <c r="IJ2193" t="s">
        <v>3880</v>
      </c>
    </row>
    <row r="2194" spans="1:244" x14ac:dyDescent="0.45">
      <c r="A2194">
        <v>1057271</v>
      </c>
      <c r="B2194">
        <v>139977</v>
      </c>
      <c r="C2194">
        <v>10108642</v>
      </c>
      <c r="D2194" t="s">
        <v>3523</v>
      </c>
      <c r="F2194" t="s">
        <v>245</v>
      </c>
      <c r="G2194" t="s">
        <v>246</v>
      </c>
      <c r="N2194" t="s">
        <v>729</v>
      </c>
      <c r="O2194" t="s">
        <v>578</v>
      </c>
      <c r="P2194" t="s">
        <v>249</v>
      </c>
      <c r="Q2194" t="s">
        <v>250</v>
      </c>
      <c r="R2194" t="s">
        <v>251</v>
      </c>
      <c r="T2194" t="s">
        <v>252</v>
      </c>
      <c r="U2194" t="s">
        <v>499</v>
      </c>
      <c r="V2194" t="s">
        <v>730</v>
      </c>
      <c r="W2194" t="s">
        <v>731</v>
      </c>
      <c r="X2194" t="s">
        <v>732</v>
      </c>
      <c r="AM2194" t="s">
        <v>287</v>
      </c>
      <c r="AN2194" t="s">
        <v>259</v>
      </c>
      <c r="AO2194" t="s">
        <v>260</v>
      </c>
      <c r="AQ2194" t="s">
        <v>261</v>
      </c>
      <c r="AS2194">
        <v>870</v>
      </c>
      <c r="AX2194" t="s">
        <v>262</v>
      </c>
      <c r="BO2194" t="s">
        <v>261</v>
      </c>
      <c r="BQ2194">
        <v>0.87</v>
      </c>
      <c r="BV2194" t="s">
        <v>263</v>
      </c>
      <c r="CM2194" t="s">
        <v>264</v>
      </c>
      <c r="CN2194" t="s">
        <v>264</v>
      </c>
      <c r="CP2194" t="s">
        <v>265</v>
      </c>
      <c r="CQ2194" t="s">
        <v>890</v>
      </c>
      <c r="DB2194">
        <v>4</v>
      </c>
      <c r="DG2194" t="s">
        <v>267</v>
      </c>
      <c r="DI2194">
        <v>96</v>
      </c>
      <c r="DN2194" t="s">
        <v>268</v>
      </c>
      <c r="DS2194">
        <v>2921</v>
      </c>
      <c r="DT2194" t="s">
        <v>734</v>
      </c>
      <c r="EW2194" t="s">
        <v>272</v>
      </c>
      <c r="HH2194" t="s">
        <v>272</v>
      </c>
      <c r="IE2194" t="s">
        <v>735</v>
      </c>
      <c r="IF2194">
        <v>4092</v>
      </c>
      <c r="IG2194" t="s">
        <v>736</v>
      </c>
      <c r="IH2194" t="s">
        <v>737</v>
      </c>
      <c r="II2194">
        <v>1993</v>
      </c>
      <c r="IJ2194" t="s">
        <v>738</v>
      </c>
    </row>
    <row r="2195" spans="1:244" x14ac:dyDescent="0.45">
      <c r="A2195">
        <v>1037866</v>
      </c>
      <c r="B2195">
        <v>104471</v>
      </c>
      <c r="C2195">
        <v>10108642</v>
      </c>
      <c r="D2195" t="s">
        <v>3523</v>
      </c>
      <c r="F2195" t="s">
        <v>245</v>
      </c>
      <c r="G2195" t="s">
        <v>246</v>
      </c>
      <c r="N2195" t="s">
        <v>566</v>
      </c>
      <c r="O2195" t="s">
        <v>388</v>
      </c>
      <c r="P2195" t="s">
        <v>249</v>
      </c>
      <c r="Q2195" t="s">
        <v>250</v>
      </c>
      <c r="R2195" t="s">
        <v>251</v>
      </c>
      <c r="T2195" t="s">
        <v>389</v>
      </c>
      <c r="U2195" t="s">
        <v>390</v>
      </c>
      <c r="V2195" t="s">
        <v>567</v>
      </c>
      <c r="W2195" t="s">
        <v>568</v>
      </c>
      <c r="X2195" t="s">
        <v>569</v>
      </c>
      <c r="AL2195" t="s">
        <v>2122</v>
      </c>
      <c r="AM2195" t="s">
        <v>307</v>
      </c>
      <c r="AN2195" t="s">
        <v>259</v>
      </c>
      <c r="AO2195" t="s">
        <v>260</v>
      </c>
      <c r="AQ2195" t="s">
        <v>261</v>
      </c>
      <c r="AS2195">
        <v>660</v>
      </c>
      <c r="AU2195">
        <v>530</v>
      </c>
      <c r="AW2195">
        <v>820</v>
      </c>
      <c r="AX2195" t="s">
        <v>262</v>
      </c>
      <c r="BO2195" t="s">
        <v>261</v>
      </c>
      <c r="BQ2195">
        <v>0.66</v>
      </c>
      <c r="BS2195">
        <v>0.53</v>
      </c>
      <c r="BU2195">
        <v>0.82</v>
      </c>
      <c r="BV2195" t="s">
        <v>263</v>
      </c>
      <c r="CM2195" t="s">
        <v>264</v>
      </c>
      <c r="CN2195" t="s">
        <v>264</v>
      </c>
      <c r="CP2195" t="s">
        <v>265</v>
      </c>
      <c r="CQ2195" t="s">
        <v>890</v>
      </c>
      <c r="DB2195">
        <v>4</v>
      </c>
      <c r="DG2195" t="s">
        <v>267</v>
      </c>
      <c r="DI2195">
        <v>96</v>
      </c>
      <c r="DN2195" t="s">
        <v>268</v>
      </c>
      <c r="DS2195">
        <v>212</v>
      </c>
      <c r="DT2195" t="s">
        <v>2123</v>
      </c>
      <c r="EW2195" t="s">
        <v>271</v>
      </c>
      <c r="GU2195">
        <v>7</v>
      </c>
      <c r="GZ2195" t="s">
        <v>296</v>
      </c>
      <c r="HH2195" t="s">
        <v>272</v>
      </c>
      <c r="IE2195" t="s">
        <v>2124</v>
      </c>
      <c r="IF2195">
        <v>2332</v>
      </c>
      <c r="IG2195" t="s">
        <v>2125</v>
      </c>
      <c r="IH2195" t="s">
        <v>2126</v>
      </c>
      <c r="II2195">
        <v>1987</v>
      </c>
      <c r="IJ2195" t="s">
        <v>2127</v>
      </c>
    </row>
    <row r="2196" spans="1:244" x14ac:dyDescent="0.45">
      <c r="A2196">
        <v>2211990</v>
      </c>
      <c r="B2196">
        <v>2432839</v>
      </c>
      <c r="C2196">
        <v>10108642</v>
      </c>
      <c r="D2196" t="s">
        <v>3523</v>
      </c>
      <c r="F2196" t="s">
        <v>327</v>
      </c>
      <c r="G2196" t="s">
        <v>557</v>
      </c>
      <c r="N2196" t="s">
        <v>312</v>
      </c>
      <c r="O2196" t="s">
        <v>313</v>
      </c>
      <c r="P2196" t="s">
        <v>249</v>
      </c>
      <c r="Q2196" t="s">
        <v>250</v>
      </c>
      <c r="R2196" t="s">
        <v>251</v>
      </c>
      <c r="T2196" t="s">
        <v>252</v>
      </c>
      <c r="U2196" t="s">
        <v>253</v>
      </c>
      <c r="V2196" t="s">
        <v>304</v>
      </c>
      <c r="W2196" t="s">
        <v>305</v>
      </c>
      <c r="X2196" t="s">
        <v>314</v>
      </c>
      <c r="Z2196" t="s">
        <v>649</v>
      </c>
      <c r="AJ2196" t="s">
        <v>285</v>
      </c>
      <c r="AL2196" t="s">
        <v>2093</v>
      </c>
      <c r="AM2196" t="s">
        <v>317</v>
      </c>
      <c r="AN2196" t="s">
        <v>259</v>
      </c>
      <c r="AO2196" t="s">
        <v>260</v>
      </c>
      <c r="AP2196" t="s">
        <v>3848</v>
      </c>
      <c r="AQ2196" t="s">
        <v>261</v>
      </c>
      <c r="AS2196">
        <v>1.46</v>
      </c>
      <c r="AU2196">
        <v>1.2</v>
      </c>
      <c r="AW2196">
        <v>1.8</v>
      </c>
      <c r="AX2196" t="s">
        <v>356</v>
      </c>
      <c r="BO2196" t="s">
        <v>261</v>
      </c>
      <c r="BQ2196">
        <v>1.46</v>
      </c>
      <c r="BS2196">
        <v>1.2</v>
      </c>
      <c r="BU2196">
        <v>1.8</v>
      </c>
      <c r="BV2196" t="s">
        <v>263</v>
      </c>
      <c r="CM2196" t="s">
        <v>264</v>
      </c>
      <c r="CN2196" t="s">
        <v>264</v>
      </c>
      <c r="CP2196" t="s">
        <v>265</v>
      </c>
      <c r="CQ2196" t="s">
        <v>890</v>
      </c>
      <c r="DB2196">
        <v>2</v>
      </c>
      <c r="DG2196" t="s">
        <v>267</v>
      </c>
      <c r="DI2196">
        <v>48</v>
      </c>
      <c r="DN2196" t="s">
        <v>268</v>
      </c>
      <c r="DP2196" t="s">
        <v>3849</v>
      </c>
      <c r="DR2196">
        <v>221654</v>
      </c>
      <c r="DS2196">
        <v>65263</v>
      </c>
      <c r="DV2196">
        <v>48</v>
      </c>
      <c r="EA2196" t="s">
        <v>268</v>
      </c>
      <c r="EC2196">
        <v>2</v>
      </c>
      <c r="EH2196" t="s">
        <v>267</v>
      </c>
      <c r="EJ2196">
        <v>48</v>
      </c>
      <c r="EO2196" t="s">
        <v>268</v>
      </c>
      <c r="EQ2196">
        <v>2</v>
      </c>
      <c r="EV2196" t="s">
        <v>267</v>
      </c>
      <c r="EW2196" t="s">
        <v>293</v>
      </c>
      <c r="EY2196" t="s">
        <v>377</v>
      </c>
      <c r="FA2196" t="s">
        <v>3983</v>
      </c>
      <c r="FM2196">
        <v>20</v>
      </c>
      <c r="FR2196" t="s">
        <v>295</v>
      </c>
      <c r="GG2196" t="s">
        <v>288</v>
      </c>
      <c r="GH2196">
        <v>40</v>
      </c>
      <c r="GM2196" t="s">
        <v>900</v>
      </c>
      <c r="GO2196">
        <v>7.5</v>
      </c>
      <c r="GQ2196">
        <v>6.1</v>
      </c>
      <c r="GS2196">
        <v>8</v>
      </c>
      <c r="GU2196">
        <v>10</v>
      </c>
      <c r="GZ2196" t="s">
        <v>296</v>
      </c>
      <c r="HH2196" t="s">
        <v>272</v>
      </c>
      <c r="ID2196" t="s">
        <v>3851</v>
      </c>
      <c r="IE2196" t="s">
        <v>3852</v>
      </c>
      <c r="IF2196">
        <v>177340</v>
      </c>
      <c r="IG2196" t="s">
        <v>3853</v>
      </c>
      <c r="IH2196" t="s">
        <v>3854</v>
      </c>
      <c r="II2196">
        <v>1989</v>
      </c>
      <c r="IJ2196" t="s">
        <v>3855</v>
      </c>
    </row>
    <row r="2197" spans="1:244" x14ac:dyDescent="0.45">
      <c r="A2197">
        <v>1207259</v>
      </c>
      <c r="B2197">
        <v>182041</v>
      </c>
      <c r="C2197">
        <v>10108642</v>
      </c>
      <c r="D2197" t="s">
        <v>3523</v>
      </c>
      <c r="F2197" t="s">
        <v>245</v>
      </c>
      <c r="G2197" t="s">
        <v>246</v>
      </c>
      <c r="N2197" t="s">
        <v>1022</v>
      </c>
      <c r="O2197" t="s">
        <v>578</v>
      </c>
      <c r="P2197" t="s">
        <v>249</v>
      </c>
      <c r="Q2197" t="s">
        <v>250</v>
      </c>
      <c r="R2197" t="s">
        <v>251</v>
      </c>
      <c r="T2197" t="s">
        <v>252</v>
      </c>
      <c r="U2197" t="s">
        <v>499</v>
      </c>
      <c r="V2197" t="s">
        <v>992</v>
      </c>
      <c r="W2197" t="s">
        <v>1023</v>
      </c>
      <c r="X2197" t="s">
        <v>1024</v>
      </c>
      <c r="AL2197" t="s">
        <v>3984</v>
      </c>
      <c r="AM2197" t="s">
        <v>317</v>
      </c>
      <c r="AN2197" t="s">
        <v>259</v>
      </c>
      <c r="AO2197" t="s">
        <v>260</v>
      </c>
      <c r="AQ2197" t="s">
        <v>261</v>
      </c>
      <c r="AT2197" t="s">
        <v>288</v>
      </c>
      <c r="AU2197">
        <v>900</v>
      </c>
      <c r="AV2197" t="s">
        <v>289</v>
      </c>
      <c r="AW2197">
        <v>1200</v>
      </c>
      <c r="AX2197" t="s">
        <v>262</v>
      </c>
      <c r="BO2197" t="s">
        <v>261</v>
      </c>
      <c r="BR2197" t="s">
        <v>288</v>
      </c>
      <c r="BS2197">
        <v>0.9</v>
      </c>
      <c r="BT2197" t="s">
        <v>289</v>
      </c>
      <c r="BU2197">
        <v>1.2</v>
      </c>
      <c r="BV2197" t="s">
        <v>263</v>
      </c>
      <c r="CM2197" t="s">
        <v>264</v>
      </c>
      <c r="CN2197" t="s">
        <v>264</v>
      </c>
      <c r="CP2197" t="s">
        <v>265</v>
      </c>
      <c r="CQ2197" t="s">
        <v>890</v>
      </c>
      <c r="DB2197">
        <v>4</v>
      </c>
      <c r="DG2197" t="s">
        <v>267</v>
      </c>
      <c r="DI2197">
        <v>96</v>
      </c>
      <c r="DN2197" t="s">
        <v>268</v>
      </c>
      <c r="DR2197">
        <v>247138</v>
      </c>
      <c r="DS2197">
        <v>4424</v>
      </c>
      <c r="DT2197" t="s">
        <v>3860</v>
      </c>
      <c r="EW2197" t="s">
        <v>293</v>
      </c>
      <c r="FK2197" t="s">
        <v>1186</v>
      </c>
      <c r="FM2197">
        <v>25.2</v>
      </c>
      <c r="FO2197">
        <v>23.5</v>
      </c>
      <c r="FQ2197">
        <v>26.2</v>
      </c>
      <c r="FR2197" t="s">
        <v>295</v>
      </c>
      <c r="GH2197">
        <v>7</v>
      </c>
      <c r="GJ2197">
        <v>4</v>
      </c>
      <c r="GL2197">
        <v>8.4</v>
      </c>
      <c r="GM2197" t="s">
        <v>356</v>
      </c>
      <c r="GO2197">
        <v>7.98</v>
      </c>
      <c r="GQ2197">
        <v>7.73</v>
      </c>
      <c r="GS2197">
        <v>8.3000000000000007</v>
      </c>
      <c r="GU2197">
        <v>8</v>
      </c>
      <c r="GZ2197" t="s">
        <v>296</v>
      </c>
      <c r="HH2197" t="s">
        <v>272</v>
      </c>
      <c r="ID2197" t="s">
        <v>1187</v>
      </c>
      <c r="IE2197" t="s">
        <v>3862</v>
      </c>
      <c r="IF2197">
        <v>19002</v>
      </c>
      <c r="IG2197" t="s">
        <v>3863</v>
      </c>
      <c r="IH2197" t="s">
        <v>3864</v>
      </c>
      <c r="II2197">
        <v>1998</v>
      </c>
      <c r="IJ2197" t="s">
        <v>3865</v>
      </c>
    </row>
    <row r="2198" spans="1:244" x14ac:dyDescent="0.45">
      <c r="A2198">
        <v>1193477</v>
      </c>
      <c r="B2198">
        <v>170384</v>
      </c>
      <c r="C2198">
        <v>10108642</v>
      </c>
      <c r="D2198" t="s">
        <v>3523</v>
      </c>
      <c r="F2198" t="s">
        <v>245</v>
      </c>
      <c r="G2198" t="s">
        <v>246</v>
      </c>
      <c r="N2198" t="s">
        <v>1022</v>
      </c>
      <c r="O2198" t="s">
        <v>578</v>
      </c>
      <c r="P2198" t="s">
        <v>249</v>
      </c>
      <c r="Q2198" t="s">
        <v>250</v>
      </c>
      <c r="R2198" t="s">
        <v>251</v>
      </c>
      <c r="T2198" t="s">
        <v>252</v>
      </c>
      <c r="U2198" t="s">
        <v>499</v>
      </c>
      <c r="V2198" t="s">
        <v>992</v>
      </c>
      <c r="W2198" t="s">
        <v>1023</v>
      </c>
      <c r="X2198" t="s">
        <v>1024</v>
      </c>
      <c r="Z2198" t="s">
        <v>3934</v>
      </c>
      <c r="AL2198" t="s">
        <v>3944</v>
      </c>
      <c r="AM2198" t="s">
        <v>317</v>
      </c>
      <c r="AN2198" t="s">
        <v>259</v>
      </c>
      <c r="AO2198" t="s">
        <v>260</v>
      </c>
      <c r="AQ2198" t="s">
        <v>1569</v>
      </c>
      <c r="AS2198">
        <v>560</v>
      </c>
      <c r="AU2198">
        <v>400</v>
      </c>
      <c r="AW2198">
        <v>800</v>
      </c>
      <c r="AX2198" t="s">
        <v>262</v>
      </c>
      <c r="AY2198" t="s">
        <v>261</v>
      </c>
      <c r="BA2198">
        <v>13370</v>
      </c>
      <c r="BC2198">
        <v>9900</v>
      </c>
      <c r="BE2198">
        <v>18000</v>
      </c>
      <c r="BF2198" t="s">
        <v>262</v>
      </c>
      <c r="BO2198" t="s">
        <v>1569</v>
      </c>
      <c r="BQ2198">
        <v>0.56000000000000005</v>
      </c>
      <c r="BS2198">
        <v>0.4</v>
      </c>
      <c r="BU2198">
        <v>0.8</v>
      </c>
      <c r="BV2198" t="s">
        <v>263</v>
      </c>
      <c r="BW2198" t="s">
        <v>261</v>
      </c>
      <c r="BY2198">
        <v>13.37</v>
      </c>
      <c r="CA2198">
        <v>9.9</v>
      </c>
      <c r="CC2198">
        <v>18</v>
      </c>
      <c r="CD2198" t="s">
        <v>263</v>
      </c>
      <c r="CM2198" t="s">
        <v>264</v>
      </c>
      <c r="CN2198" t="s">
        <v>264</v>
      </c>
      <c r="CP2198" t="s">
        <v>265</v>
      </c>
      <c r="CQ2198" t="s">
        <v>890</v>
      </c>
      <c r="CR2198" t="s">
        <v>890</v>
      </c>
      <c r="DB2198">
        <v>4</v>
      </c>
      <c r="DG2198" t="s">
        <v>267</v>
      </c>
      <c r="DI2198">
        <v>96</v>
      </c>
      <c r="DN2198" t="s">
        <v>268</v>
      </c>
      <c r="DR2198">
        <v>247138</v>
      </c>
      <c r="DS2198">
        <v>4424</v>
      </c>
      <c r="EW2198" t="s">
        <v>272</v>
      </c>
      <c r="FM2198">
        <v>15</v>
      </c>
      <c r="FR2198" t="s">
        <v>295</v>
      </c>
      <c r="GU2198">
        <v>20</v>
      </c>
      <c r="GZ2198" t="s">
        <v>296</v>
      </c>
      <c r="HH2198" t="s">
        <v>272</v>
      </c>
      <c r="IE2198" t="s">
        <v>3744</v>
      </c>
      <c r="IF2198">
        <v>17362</v>
      </c>
      <c r="IG2198" t="s">
        <v>3745</v>
      </c>
      <c r="IH2198" t="s">
        <v>3746</v>
      </c>
      <c r="II2198">
        <v>1992</v>
      </c>
      <c r="IJ2198" t="s">
        <v>3747</v>
      </c>
    </row>
    <row r="2199" spans="1:244" x14ac:dyDescent="0.45">
      <c r="A2199">
        <v>1193487</v>
      </c>
      <c r="B2199">
        <v>203477</v>
      </c>
      <c r="C2199">
        <v>10108642</v>
      </c>
      <c r="D2199" t="s">
        <v>3523</v>
      </c>
      <c r="F2199" t="s">
        <v>245</v>
      </c>
      <c r="G2199" t="s">
        <v>246</v>
      </c>
      <c r="N2199" t="s">
        <v>3931</v>
      </c>
      <c r="O2199" t="s">
        <v>578</v>
      </c>
      <c r="P2199" t="s">
        <v>249</v>
      </c>
      <c r="Q2199" t="s">
        <v>250</v>
      </c>
      <c r="R2199" t="s">
        <v>251</v>
      </c>
      <c r="T2199" t="s">
        <v>252</v>
      </c>
      <c r="U2199" t="s">
        <v>499</v>
      </c>
      <c r="V2199" t="s">
        <v>579</v>
      </c>
      <c r="W2199" t="s">
        <v>3932</v>
      </c>
      <c r="X2199" t="s">
        <v>3933</v>
      </c>
      <c r="Z2199" t="s">
        <v>3934</v>
      </c>
      <c r="AL2199" t="s">
        <v>3734</v>
      </c>
      <c r="AM2199" t="s">
        <v>317</v>
      </c>
      <c r="AN2199" t="s">
        <v>259</v>
      </c>
      <c r="AO2199" t="s">
        <v>260</v>
      </c>
      <c r="AQ2199" t="s">
        <v>1569</v>
      </c>
      <c r="AS2199">
        <v>280</v>
      </c>
      <c r="AU2199">
        <v>200</v>
      </c>
      <c r="AW2199">
        <v>400</v>
      </c>
      <c r="AX2199" t="s">
        <v>262</v>
      </c>
      <c r="AY2199" t="s">
        <v>261</v>
      </c>
      <c r="BA2199">
        <v>6820</v>
      </c>
      <c r="BC2199">
        <v>4400</v>
      </c>
      <c r="BE2199">
        <v>10500</v>
      </c>
      <c r="BF2199" t="s">
        <v>262</v>
      </c>
      <c r="BO2199" t="s">
        <v>1569</v>
      </c>
      <c r="BQ2199">
        <v>0.28000000000000003</v>
      </c>
      <c r="BS2199">
        <v>0.2</v>
      </c>
      <c r="BU2199">
        <v>0.4</v>
      </c>
      <c r="BV2199" t="s">
        <v>263</v>
      </c>
      <c r="BW2199" t="s">
        <v>261</v>
      </c>
      <c r="BY2199">
        <v>6.82</v>
      </c>
      <c r="CA2199">
        <v>4.4000000000000004</v>
      </c>
      <c r="CC2199">
        <v>10.5</v>
      </c>
      <c r="CD2199" t="s">
        <v>263</v>
      </c>
      <c r="CM2199" t="s">
        <v>264</v>
      </c>
      <c r="CN2199" t="s">
        <v>264</v>
      </c>
      <c r="CP2199" t="s">
        <v>265</v>
      </c>
      <c r="CQ2199" t="s">
        <v>890</v>
      </c>
      <c r="CR2199" t="s">
        <v>890</v>
      </c>
      <c r="DB2199">
        <v>4</v>
      </c>
      <c r="DG2199" t="s">
        <v>267</v>
      </c>
      <c r="DI2199">
        <v>96</v>
      </c>
      <c r="DN2199" t="s">
        <v>268</v>
      </c>
      <c r="DS2199">
        <v>10798</v>
      </c>
      <c r="EW2199" t="s">
        <v>272</v>
      </c>
      <c r="FK2199" t="s">
        <v>3935</v>
      </c>
      <c r="FM2199">
        <v>15</v>
      </c>
      <c r="FR2199" t="s">
        <v>295</v>
      </c>
      <c r="GU2199">
        <v>28</v>
      </c>
      <c r="GZ2199" t="s">
        <v>296</v>
      </c>
      <c r="HH2199" t="s">
        <v>272</v>
      </c>
      <c r="ID2199" t="s">
        <v>3936</v>
      </c>
      <c r="IE2199" t="s">
        <v>3744</v>
      </c>
      <c r="IF2199">
        <v>17362</v>
      </c>
      <c r="IG2199" t="s">
        <v>3745</v>
      </c>
      <c r="IH2199" t="s">
        <v>3746</v>
      </c>
      <c r="II2199">
        <v>1992</v>
      </c>
      <c r="IJ2199" t="s">
        <v>3747</v>
      </c>
    </row>
    <row r="2200" spans="1:244" x14ac:dyDescent="0.45">
      <c r="A2200">
        <v>1225318</v>
      </c>
      <c r="B2200">
        <v>226795</v>
      </c>
      <c r="C2200">
        <v>10108642</v>
      </c>
      <c r="D2200" t="s">
        <v>3523</v>
      </c>
      <c r="F2200" t="s">
        <v>327</v>
      </c>
      <c r="G2200" t="s">
        <v>246</v>
      </c>
      <c r="N2200" t="s">
        <v>1564</v>
      </c>
      <c r="O2200" t="s">
        <v>1565</v>
      </c>
      <c r="P2200" t="s">
        <v>249</v>
      </c>
      <c r="Q2200" t="s">
        <v>250</v>
      </c>
      <c r="R2200" t="s">
        <v>251</v>
      </c>
      <c r="T2200" t="s">
        <v>252</v>
      </c>
      <c r="U2200" t="s">
        <v>253</v>
      </c>
      <c r="V2200" t="s">
        <v>254</v>
      </c>
      <c r="W2200" t="s">
        <v>1566</v>
      </c>
      <c r="X2200" t="s">
        <v>1567</v>
      </c>
      <c r="Z2200" t="s">
        <v>649</v>
      </c>
      <c r="AL2200" t="s">
        <v>3985</v>
      </c>
      <c r="AM2200" t="s">
        <v>317</v>
      </c>
      <c r="AN2200" t="s">
        <v>259</v>
      </c>
      <c r="AO2200" t="s">
        <v>260</v>
      </c>
      <c r="AQ2200" t="s">
        <v>261</v>
      </c>
      <c r="AT2200" t="s">
        <v>288</v>
      </c>
      <c r="AU2200">
        <v>2.5</v>
      </c>
      <c r="AV2200" t="s">
        <v>289</v>
      </c>
      <c r="AW2200">
        <v>3</v>
      </c>
      <c r="AX2200" t="s">
        <v>356</v>
      </c>
      <c r="BO2200" t="s">
        <v>261</v>
      </c>
      <c r="BR2200" t="s">
        <v>288</v>
      </c>
      <c r="BS2200">
        <v>2.5</v>
      </c>
      <c r="BT2200" t="s">
        <v>289</v>
      </c>
      <c r="BU2200">
        <v>3</v>
      </c>
      <c r="BV2200" t="s">
        <v>263</v>
      </c>
      <c r="CM2200" t="s">
        <v>264</v>
      </c>
      <c r="CN2200" t="s">
        <v>264</v>
      </c>
      <c r="CP2200" t="s">
        <v>265</v>
      </c>
      <c r="CQ2200" t="s">
        <v>890</v>
      </c>
      <c r="DB2200">
        <v>4</v>
      </c>
      <c r="DG2200" t="s">
        <v>267</v>
      </c>
      <c r="DI2200">
        <v>4</v>
      </c>
      <c r="DN2200" t="s">
        <v>267</v>
      </c>
      <c r="DR2200">
        <v>6763</v>
      </c>
      <c r="DS2200">
        <v>76</v>
      </c>
      <c r="DT2200" t="s">
        <v>3986</v>
      </c>
      <c r="EW2200" t="s">
        <v>293</v>
      </c>
      <c r="FK2200" t="s">
        <v>1186</v>
      </c>
      <c r="FO2200">
        <v>22</v>
      </c>
      <c r="FQ2200">
        <v>23</v>
      </c>
      <c r="FR2200" t="s">
        <v>295</v>
      </c>
      <c r="GU2200">
        <v>25</v>
      </c>
      <c r="GZ2200" t="s">
        <v>296</v>
      </c>
      <c r="HH2200" t="s">
        <v>272</v>
      </c>
      <c r="ID2200" t="s">
        <v>1187</v>
      </c>
      <c r="IE2200" t="s">
        <v>3987</v>
      </c>
      <c r="IF2200">
        <v>49789</v>
      </c>
      <c r="IG2200" t="s">
        <v>3988</v>
      </c>
      <c r="IH2200" t="s">
        <v>3989</v>
      </c>
      <c r="II2200">
        <v>1995</v>
      </c>
      <c r="IJ2200" t="s">
        <v>3990</v>
      </c>
    </row>
    <row r="2201" spans="1:244" x14ac:dyDescent="0.45">
      <c r="A2201">
        <v>1204995</v>
      </c>
      <c r="B2201">
        <v>171133</v>
      </c>
      <c r="C2201">
        <v>10108642</v>
      </c>
      <c r="D2201" t="s">
        <v>3523</v>
      </c>
      <c r="F2201" t="s">
        <v>272</v>
      </c>
      <c r="G2201" t="s">
        <v>246</v>
      </c>
      <c r="N2201" t="s">
        <v>829</v>
      </c>
      <c r="O2201" t="s">
        <v>631</v>
      </c>
      <c r="P2201" t="s">
        <v>249</v>
      </c>
      <c r="Q2201" t="s">
        <v>250</v>
      </c>
      <c r="R2201" t="s">
        <v>251</v>
      </c>
      <c r="T2201" t="s">
        <v>389</v>
      </c>
      <c r="U2201" t="s">
        <v>632</v>
      </c>
      <c r="V2201" t="s">
        <v>830</v>
      </c>
      <c r="W2201" t="s">
        <v>831</v>
      </c>
      <c r="X2201" t="s">
        <v>832</v>
      </c>
      <c r="Z2201" t="s">
        <v>2426</v>
      </c>
      <c r="AD2201">
        <v>48</v>
      </c>
      <c r="AF2201">
        <v>72</v>
      </c>
      <c r="AG2201" t="s">
        <v>268</v>
      </c>
      <c r="AM2201" t="s">
        <v>317</v>
      </c>
      <c r="AN2201" t="s">
        <v>259</v>
      </c>
      <c r="AO2201" t="s">
        <v>260</v>
      </c>
      <c r="AQ2201" t="s">
        <v>1569</v>
      </c>
      <c r="AT2201" t="s">
        <v>288</v>
      </c>
      <c r="AU2201">
        <v>10</v>
      </c>
      <c r="AV2201" t="s">
        <v>289</v>
      </c>
      <c r="AW2201">
        <v>20</v>
      </c>
      <c r="AX2201" t="s">
        <v>262</v>
      </c>
      <c r="AY2201" t="s">
        <v>261</v>
      </c>
      <c r="BA2201">
        <v>213.2</v>
      </c>
      <c r="BC2201">
        <v>182</v>
      </c>
      <c r="BE2201">
        <v>249.7</v>
      </c>
      <c r="BF2201" t="s">
        <v>262</v>
      </c>
      <c r="BO2201" t="s">
        <v>1569</v>
      </c>
      <c r="BR2201" t="s">
        <v>288</v>
      </c>
      <c r="BS2201">
        <v>0.01</v>
      </c>
      <c r="BT2201" t="s">
        <v>289</v>
      </c>
      <c r="BU2201">
        <v>0.02</v>
      </c>
      <c r="BV2201" t="s">
        <v>263</v>
      </c>
      <c r="BW2201" t="s">
        <v>261</v>
      </c>
      <c r="BY2201">
        <v>0.2132</v>
      </c>
      <c r="CA2201">
        <v>0.182</v>
      </c>
      <c r="CC2201">
        <v>0.24970000000000001</v>
      </c>
      <c r="CD2201" t="s">
        <v>263</v>
      </c>
      <c r="CM2201" t="s">
        <v>264</v>
      </c>
      <c r="CN2201" t="s">
        <v>264</v>
      </c>
      <c r="CP2201" t="s">
        <v>265</v>
      </c>
      <c r="CR2201" t="s">
        <v>890</v>
      </c>
      <c r="DB2201">
        <v>4</v>
      </c>
      <c r="DG2201" t="s">
        <v>267</v>
      </c>
      <c r="DI2201">
        <v>96</v>
      </c>
      <c r="DN2201" t="s">
        <v>268</v>
      </c>
      <c r="DR2201">
        <v>88015</v>
      </c>
      <c r="DS2201">
        <v>649</v>
      </c>
      <c r="DT2201" t="s">
        <v>3866</v>
      </c>
      <c r="EW2201" t="s">
        <v>293</v>
      </c>
      <c r="FK2201" t="s">
        <v>3867</v>
      </c>
      <c r="FM2201">
        <v>24</v>
      </c>
      <c r="FR2201" t="s">
        <v>295</v>
      </c>
      <c r="GJ2201">
        <v>7.5</v>
      </c>
      <c r="GL2201">
        <v>7.9</v>
      </c>
      <c r="GM2201" t="s">
        <v>356</v>
      </c>
      <c r="GQ2201">
        <v>8.09</v>
      </c>
      <c r="GS2201">
        <v>8.3800000000000008</v>
      </c>
      <c r="GW2201">
        <v>14</v>
      </c>
      <c r="GY2201">
        <v>16</v>
      </c>
      <c r="GZ2201" t="s">
        <v>296</v>
      </c>
      <c r="HH2201" t="s">
        <v>272</v>
      </c>
      <c r="ID2201" t="s">
        <v>3868</v>
      </c>
      <c r="IE2201" t="s">
        <v>3869</v>
      </c>
      <c r="IF2201">
        <v>18671</v>
      </c>
      <c r="IG2201" t="s">
        <v>3870</v>
      </c>
      <c r="IH2201" t="s">
        <v>3871</v>
      </c>
      <c r="II2201">
        <v>1995</v>
      </c>
      <c r="IJ2201" t="s">
        <v>3872</v>
      </c>
    </row>
    <row r="2202" spans="1:244" x14ac:dyDescent="0.45">
      <c r="A2202">
        <v>2211992</v>
      </c>
      <c r="B2202">
        <v>2432841</v>
      </c>
      <c r="C2202">
        <v>10108642</v>
      </c>
      <c r="D2202" t="s">
        <v>3523</v>
      </c>
      <c r="F2202" t="s">
        <v>327</v>
      </c>
      <c r="G2202" t="s">
        <v>557</v>
      </c>
      <c r="N2202" t="s">
        <v>312</v>
      </c>
      <c r="O2202" t="s">
        <v>313</v>
      </c>
      <c r="P2202" t="s">
        <v>249</v>
      </c>
      <c r="Q2202" t="s">
        <v>250</v>
      </c>
      <c r="R2202" t="s">
        <v>251</v>
      </c>
      <c r="T2202" t="s">
        <v>252</v>
      </c>
      <c r="U2202" t="s">
        <v>253</v>
      </c>
      <c r="V2202" t="s">
        <v>304</v>
      </c>
      <c r="W2202" t="s">
        <v>305</v>
      </c>
      <c r="X2202" t="s">
        <v>314</v>
      </c>
      <c r="Z2202" t="s">
        <v>649</v>
      </c>
      <c r="AJ2202" t="s">
        <v>285</v>
      </c>
      <c r="AL2202" t="s">
        <v>2093</v>
      </c>
      <c r="AM2202" t="s">
        <v>317</v>
      </c>
      <c r="AN2202" t="s">
        <v>259</v>
      </c>
      <c r="AO2202" t="s">
        <v>260</v>
      </c>
      <c r="AP2202" t="s">
        <v>3848</v>
      </c>
      <c r="AQ2202" t="s">
        <v>261</v>
      </c>
      <c r="AS2202">
        <v>1.28</v>
      </c>
      <c r="AU2202">
        <v>0.99</v>
      </c>
      <c r="AW2202">
        <v>1.6</v>
      </c>
      <c r="AX2202" t="s">
        <v>356</v>
      </c>
      <c r="BO2202" t="s">
        <v>261</v>
      </c>
      <c r="BQ2202">
        <v>1.28</v>
      </c>
      <c r="BS2202">
        <v>0.99</v>
      </c>
      <c r="BU2202">
        <v>1.6</v>
      </c>
      <c r="BV2202" t="s">
        <v>263</v>
      </c>
      <c r="CM2202" t="s">
        <v>264</v>
      </c>
      <c r="CN2202" t="s">
        <v>264</v>
      </c>
      <c r="CP2202" t="s">
        <v>265</v>
      </c>
      <c r="CQ2202" t="s">
        <v>890</v>
      </c>
      <c r="DB2202">
        <v>2</v>
      </c>
      <c r="DG2202" t="s">
        <v>267</v>
      </c>
      <c r="DI2202">
        <v>48</v>
      </c>
      <c r="DN2202" t="s">
        <v>268</v>
      </c>
      <c r="DP2202" t="s">
        <v>3849</v>
      </c>
      <c r="DR2202">
        <v>221654</v>
      </c>
      <c r="DS2202">
        <v>65263</v>
      </c>
      <c r="DV2202">
        <v>48</v>
      </c>
      <c r="EA2202" t="s">
        <v>268</v>
      </c>
      <c r="EC2202">
        <v>2</v>
      </c>
      <c r="EH2202" t="s">
        <v>267</v>
      </c>
      <c r="EJ2202">
        <v>48</v>
      </c>
      <c r="EO2202" t="s">
        <v>268</v>
      </c>
      <c r="EQ2202">
        <v>2</v>
      </c>
      <c r="EV2202" t="s">
        <v>267</v>
      </c>
      <c r="EW2202" t="s">
        <v>293</v>
      </c>
      <c r="EY2202" t="s">
        <v>377</v>
      </c>
      <c r="FA2202" t="s">
        <v>3991</v>
      </c>
      <c r="FM2202">
        <v>20</v>
      </c>
      <c r="FR2202" t="s">
        <v>295</v>
      </c>
      <c r="GG2202" t="s">
        <v>288</v>
      </c>
      <c r="GH2202">
        <v>40</v>
      </c>
      <c r="GM2202" t="s">
        <v>900</v>
      </c>
      <c r="GO2202">
        <v>7.5</v>
      </c>
      <c r="GQ2202">
        <v>6.1</v>
      </c>
      <c r="GS2202">
        <v>8</v>
      </c>
      <c r="GU2202">
        <v>10</v>
      </c>
      <c r="GZ2202" t="s">
        <v>296</v>
      </c>
      <c r="HH2202" t="s">
        <v>272</v>
      </c>
      <c r="ID2202" t="s">
        <v>3851</v>
      </c>
      <c r="IE2202" t="s">
        <v>3852</v>
      </c>
      <c r="IF2202">
        <v>177340</v>
      </c>
      <c r="IG2202" t="s">
        <v>3853</v>
      </c>
      <c r="IH2202" t="s">
        <v>3854</v>
      </c>
      <c r="II2202">
        <v>1989</v>
      </c>
      <c r="IJ2202" t="s">
        <v>3855</v>
      </c>
    </row>
    <row r="2203" spans="1:244" x14ac:dyDescent="0.45">
      <c r="A2203">
        <v>1068404</v>
      </c>
      <c r="B2203">
        <v>16231</v>
      </c>
      <c r="C2203">
        <v>10108642</v>
      </c>
      <c r="D2203" t="s">
        <v>3523</v>
      </c>
      <c r="F2203" t="s">
        <v>245</v>
      </c>
      <c r="G2203" t="s">
        <v>246</v>
      </c>
      <c r="N2203" t="s">
        <v>1564</v>
      </c>
      <c r="O2203" t="s">
        <v>1565</v>
      </c>
      <c r="P2203" t="s">
        <v>249</v>
      </c>
      <c r="Q2203" t="s">
        <v>250</v>
      </c>
      <c r="R2203" t="s">
        <v>251</v>
      </c>
      <c r="T2203" t="s">
        <v>252</v>
      </c>
      <c r="U2203" t="s">
        <v>253</v>
      </c>
      <c r="V2203" t="s">
        <v>254</v>
      </c>
      <c r="W2203" t="s">
        <v>1566</v>
      </c>
      <c r="X2203" t="s">
        <v>1567</v>
      </c>
      <c r="Z2203" t="s">
        <v>649</v>
      </c>
      <c r="AL2203" t="s">
        <v>3409</v>
      </c>
      <c r="AM2203" t="s">
        <v>317</v>
      </c>
      <c r="AN2203" t="s">
        <v>259</v>
      </c>
      <c r="AO2203" t="s">
        <v>260</v>
      </c>
      <c r="AQ2203" t="s">
        <v>261</v>
      </c>
      <c r="AS2203">
        <v>17800</v>
      </c>
      <c r="AU2203">
        <v>13900</v>
      </c>
      <c r="AW2203">
        <v>22900</v>
      </c>
      <c r="AX2203" t="s">
        <v>262</v>
      </c>
      <c r="BO2203" t="s">
        <v>261</v>
      </c>
      <c r="BQ2203">
        <v>17.8</v>
      </c>
      <c r="BS2203">
        <v>13.9</v>
      </c>
      <c r="BU2203">
        <v>22.9</v>
      </c>
      <c r="BV2203" t="s">
        <v>263</v>
      </c>
      <c r="CM2203" t="s">
        <v>264</v>
      </c>
      <c r="CN2203" t="s">
        <v>264</v>
      </c>
      <c r="CP2203" t="s">
        <v>265</v>
      </c>
      <c r="CQ2203" t="s">
        <v>890</v>
      </c>
      <c r="DB2203">
        <v>3</v>
      </c>
      <c r="DG2203" t="s">
        <v>267</v>
      </c>
      <c r="DI2203">
        <v>72</v>
      </c>
      <c r="DN2203" t="s">
        <v>268</v>
      </c>
      <c r="DP2203" t="s">
        <v>570</v>
      </c>
      <c r="DR2203">
        <v>6763</v>
      </c>
      <c r="DS2203">
        <v>76</v>
      </c>
      <c r="DT2203" t="s">
        <v>3410</v>
      </c>
      <c r="EW2203" t="s">
        <v>271</v>
      </c>
      <c r="FO2203">
        <v>20</v>
      </c>
      <c r="FQ2203">
        <v>22</v>
      </c>
      <c r="FR2203" t="s">
        <v>295</v>
      </c>
      <c r="GQ2203">
        <v>7.1</v>
      </c>
      <c r="GS2203">
        <v>8.1999999999999993</v>
      </c>
      <c r="GU2203">
        <v>35</v>
      </c>
      <c r="GZ2203" t="s">
        <v>296</v>
      </c>
      <c r="HH2203" t="s">
        <v>272</v>
      </c>
      <c r="IE2203" t="s">
        <v>3411</v>
      </c>
      <c r="IF2203">
        <v>5384</v>
      </c>
      <c r="IG2203" t="s">
        <v>3412</v>
      </c>
      <c r="IH2203" t="s">
        <v>3413</v>
      </c>
      <c r="II2203">
        <v>1979</v>
      </c>
      <c r="IJ2203" t="s">
        <v>3414</v>
      </c>
    </row>
    <row r="2204" spans="1:244" x14ac:dyDescent="0.45">
      <c r="A2204">
        <v>1202542</v>
      </c>
      <c r="B2204">
        <v>161752</v>
      </c>
      <c r="C2204">
        <v>10108642</v>
      </c>
      <c r="D2204" t="s">
        <v>3523</v>
      </c>
      <c r="F2204" t="s">
        <v>272</v>
      </c>
      <c r="G2204" t="s">
        <v>246</v>
      </c>
      <c r="N2204" t="s">
        <v>991</v>
      </c>
      <c r="O2204" t="s">
        <v>498</v>
      </c>
      <c r="P2204" t="s">
        <v>249</v>
      </c>
      <c r="Q2204" t="s">
        <v>250</v>
      </c>
      <c r="R2204" t="s">
        <v>251</v>
      </c>
      <c r="T2204" t="s">
        <v>252</v>
      </c>
      <c r="U2204" t="s">
        <v>499</v>
      </c>
      <c r="V2204" t="s">
        <v>992</v>
      </c>
      <c r="W2204" t="s">
        <v>993</v>
      </c>
      <c r="X2204" t="s">
        <v>994</v>
      </c>
      <c r="AM2204" t="s">
        <v>258</v>
      </c>
      <c r="AN2204" t="s">
        <v>259</v>
      </c>
      <c r="AO2204" t="s">
        <v>260</v>
      </c>
      <c r="AQ2204" t="s">
        <v>261</v>
      </c>
      <c r="AS2204">
        <v>340</v>
      </c>
      <c r="AU2204">
        <v>190</v>
      </c>
      <c r="AW2204">
        <v>630</v>
      </c>
      <c r="AX2204" t="s">
        <v>262</v>
      </c>
      <c r="BO2204" t="s">
        <v>261</v>
      </c>
      <c r="BQ2204">
        <v>0.34</v>
      </c>
      <c r="BS2204">
        <v>0.19</v>
      </c>
      <c r="BU2204">
        <v>0.63</v>
      </c>
      <c r="BV2204" t="s">
        <v>263</v>
      </c>
      <c r="CM2204" t="s">
        <v>264</v>
      </c>
      <c r="CN2204" t="s">
        <v>264</v>
      </c>
      <c r="CP2204" t="s">
        <v>265</v>
      </c>
      <c r="CQ2204" t="s">
        <v>890</v>
      </c>
      <c r="DB2204">
        <v>4</v>
      </c>
      <c r="DG2204" t="s">
        <v>267</v>
      </c>
      <c r="DI2204">
        <v>4</v>
      </c>
      <c r="DN2204" t="s">
        <v>267</v>
      </c>
      <c r="DR2204">
        <v>429032</v>
      </c>
      <c r="DS2204">
        <v>3026</v>
      </c>
      <c r="DT2204" t="s">
        <v>3702</v>
      </c>
      <c r="EW2204" t="s">
        <v>293</v>
      </c>
      <c r="FA2204" t="s">
        <v>3748</v>
      </c>
      <c r="FM2204">
        <v>20</v>
      </c>
      <c r="FR2204" t="s">
        <v>295</v>
      </c>
      <c r="GU2204">
        <v>28</v>
      </c>
      <c r="GZ2204" t="s">
        <v>296</v>
      </c>
      <c r="HH2204" t="s">
        <v>272</v>
      </c>
      <c r="IE2204" t="s">
        <v>3704</v>
      </c>
      <c r="IF2204">
        <v>18408</v>
      </c>
      <c r="IG2204" t="s">
        <v>3705</v>
      </c>
      <c r="IH2204" t="s">
        <v>3706</v>
      </c>
      <c r="II2204">
        <v>1997</v>
      </c>
      <c r="IJ2204" t="s">
        <v>3707</v>
      </c>
    </row>
    <row r="2205" spans="1:244" x14ac:dyDescent="0.45">
      <c r="A2205">
        <v>1207264</v>
      </c>
      <c r="B2205">
        <v>182046</v>
      </c>
      <c r="C2205">
        <v>10108642</v>
      </c>
      <c r="D2205" t="s">
        <v>3523</v>
      </c>
      <c r="F2205" t="s">
        <v>245</v>
      </c>
      <c r="G2205" t="s">
        <v>246</v>
      </c>
      <c r="N2205" t="s">
        <v>1022</v>
      </c>
      <c r="O2205" t="s">
        <v>578</v>
      </c>
      <c r="P2205" t="s">
        <v>249</v>
      </c>
      <c r="Q2205" t="s">
        <v>250</v>
      </c>
      <c r="R2205" t="s">
        <v>251</v>
      </c>
      <c r="T2205" t="s">
        <v>252</v>
      </c>
      <c r="U2205" t="s">
        <v>499</v>
      </c>
      <c r="V2205" t="s">
        <v>992</v>
      </c>
      <c r="W2205" t="s">
        <v>1023</v>
      </c>
      <c r="X2205" t="s">
        <v>1024</v>
      </c>
      <c r="Z2205" t="s">
        <v>315</v>
      </c>
      <c r="AM2205" t="s">
        <v>317</v>
      </c>
      <c r="AN2205" t="s">
        <v>259</v>
      </c>
      <c r="AO2205" t="s">
        <v>260</v>
      </c>
      <c r="AQ2205" t="s">
        <v>261</v>
      </c>
      <c r="AS2205">
        <v>520</v>
      </c>
      <c r="AX2205" t="s">
        <v>262</v>
      </c>
      <c r="BO2205" t="s">
        <v>261</v>
      </c>
      <c r="BQ2205">
        <v>0.52</v>
      </c>
      <c r="BV2205" t="s">
        <v>263</v>
      </c>
      <c r="CM2205" t="s">
        <v>264</v>
      </c>
      <c r="CN2205" t="s">
        <v>264</v>
      </c>
      <c r="CP2205" t="s">
        <v>265</v>
      </c>
      <c r="CQ2205" t="s">
        <v>890</v>
      </c>
      <c r="DB2205">
        <v>4</v>
      </c>
      <c r="DG2205" t="s">
        <v>267</v>
      </c>
      <c r="DI2205">
        <v>96</v>
      </c>
      <c r="DN2205" t="s">
        <v>268</v>
      </c>
      <c r="DR2205">
        <v>247138</v>
      </c>
      <c r="DS2205">
        <v>4424</v>
      </c>
      <c r="DT2205" t="s">
        <v>3860</v>
      </c>
      <c r="EW2205" t="s">
        <v>293</v>
      </c>
      <c r="FA2205" t="s">
        <v>2298</v>
      </c>
      <c r="FK2205" t="s">
        <v>1186</v>
      </c>
      <c r="FM2205">
        <v>25.2</v>
      </c>
      <c r="FO2205">
        <v>23.5</v>
      </c>
      <c r="FQ2205">
        <v>26.2</v>
      </c>
      <c r="FR2205" t="s">
        <v>295</v>
      </c>
      <c r="GH2205">
        <v>7</v>
      </c>
      <c r="GJ2205">
        <v>4</v>
      </c>
      <c r="GL2205">
        <v>8.4</v>
      </c>
      <c r="GM2205" t="s">
        <v>356</v>
      </c>
      <c r="GO2205">
        <v>7.98</v>
      </c>
      <c r="GQ2205">
        <v>7.73</v>
      </c>
      <c r="GS2205">
        <v>8.3000000000000007</v>
      </c>
      <c r="GU2205">
        <v>8</v>
      </c>
      <c r="GZ2205" t="s">
        <v>296</v>
      </c>
      <c r="HH2205" t="s">
        <v>272</v>
      </c>
      <c r="ID2205" t="s">
        <v>1187</v>
      </c>
      <c r="IE2205" t="s">
        <v>3862</v>
      </c>
      <c r="IF2205">
        <v>19002</v>
      </c>
      <c r="IG2205" t="s">
        <v>3863</v>
      </c>
      <c r="IH2205" t="s">
        <v>3864</v>
      </c>
      <c r="II2205">
        <v>1998</v>
      </c>
      <c r="IJ2205" t="s">
        <v>3865</v>
      </c>
    </row>
    <row r="2206" spans="1:244" x14ac:dyDescent="0.45">
      <c r="A2206">
        <v>1272816</v>
      </c>
      <c r="B2206">
        <v>724115</v>
      </c>
      <c r="C2206">
        <v>10108642</v>
      </c>
      <c r="D2206" t="s">
        <v>3523</v>
      </c>
      <c r="F2206" t="s">
        <v>245</v>
      </c>
      <c r="G2206" t="s">
        <v>246</v>
      </c>
      <c r="N2206" t="s">
        <v>2183</v>
      </c>
      <c r="O2206" t="s">
        <v>498</v>
      </c>
      <c r="P2206" t="s">
        <v>249</v>
      </c>
      <c r="Q2206" t="s">
        <v>250</v>
      </c>
      <c r="R2206" t="s">
        <v>251</v>
      </c>
      <c r="T2206" t="s">
        <v>252</v>
      </c>
      <c r="U2206" t="s">
        <v>499</v>
      </c>
      <c r="V2206" t="s">
        <v>1281</v>
      </c>
      <c r="W2206" t="s">
        <v>1282</v>
      </c>
      <c r="X2206" t="s">
        <v>2184</v>
      </c>
      <c r="Z2206" t="s">
        <v>315</v>
      </c>
      <c r="AL2206" t="s">
        <v>2475</v>
      </c>
      <c r="AM2206" t="s">
        <v>317</v>
      </c>
      <c r="AN2206" t="s">
        <v>259</v>
      </c>
      <c r="AO2206" t="s">
        <v>260</v>
      </c>
      <c r="AQ2206" t="s">
        <v>261</v>
      </c>
      <c r="AS2206">
        <v>12.5</v>
      </c>
      <c r="AU2206">
        <v>8.48</v>
      </c>
      <c r="AW2206">
        <v>18.399999999999999</v>
      </c>
      <c r="AX2206" t="s">
        <v>356</v>
      </c>
      <c r="BO2206" t="s">
        <v>261</v>
      </c>
      <c r="BQ2206">
        <v>12.5</v>
      </c>
      <c r="BS2206">
        <v>8.48</v>
      </c>
      <c r="BU2206">
        <v>18.399999999999999</v>
      </c>
      <c r="BV2206" t="s">
        <v>263</v>
      </c>
      <c r="CM2206" t="s">
        <v>264</v>
      </c>
      <c r="CN2206" t="s">
        <v>264</v>
      </c>
      <c r="CP2206" t="s">
        <v>265</v>
      </c>
      <c r="CQ2206" t="s">
        <v>890</v>
      </c>
      <c r="DB2206">
        <v>4</v>
      </c>
      <c r="DG2206" t="s">
        <v>267</v>
      </c>
      <c r="DI2206">
        <v>96</v>
      </c>
      <c r="DN2206" t="s">
        <v>268</v>
      </c>
      <c r="DP2206" t="s">
        <v>3628</v>
      </c>
      <c r="DR2206">
        <v>371472</v>
      </c>
      <c r="DS2206">
        <v>1342</v>
      </c>
      <c r="DT2206" t="s">
        <v>2476</v>
      </c>
      <c r="EW2206" t="s">
        <v>293</v>
      </c>
      <c r="FA2206" t="s">
        <v>2477</v>
      </c>
      <c r="FK2206" t="s">
        <v>3992</v>
      </c>
      <c r="FM2206">
        <v>11</v>
      </c>
      <c r="FR2206" t="s">
        <v>295</v>
      </c>
      <c r="GH2206">
        <v>75</v>
      </c>
      <c r="GM2206" t="s">
        <v>1224</v>
      </c>
      <c r="GO2206">
        <v>7.24</v>
      </c>
      <c r="GU2206">
        <v>32</v>
      </c>
      <c r="GZ2206" t="s">
        <v>296</v>
      </c>
      <c r="HH2206" t="s">
        <v>272</v>
      </c>
      <c r="ID2206" t="s">
        <v>3993</v>
      </c>
      <c r="IE2206" t="s">
        <v>2480</v>
      </c>
      <c r="IF2206">
        <v>47359</v>
      </c>
      <c r="IG2206" t="s">
        <v>2481</v>
      </c>
      <c r="IH2206" t="s">
        <v>2482</v>
      </c>
      <c r="II2206">
        <v>1998</v>
      </c>
      <c r="IJ2206" t="s">
        <v>2483</v>
      </c>
    </row>
    <row r="2207" spans="1:244" x14ac:dyDescent="0.45">
      <c r="A2207">
        <v>1200160</v>
      </c>
      <c r="B2207">
        <v>154740</v>
      </c>
      <c r="C2207">
        <v>10108642</v>
      </c>
      <c r="D2207" t="s">
        <v>3523</v>
      </c>
      <c r="F2207" t="s">
        <v>245</v>
      </c>
      <c r="G2207" t="s">
        <v>246</v>
      </c>
      <c r="N2207" t="s">
        <v>1022</v>
      </c>
      <c r="O2207" t="s">
        <v>578</v>
      </c>
      <c r="P2207" t="s">
        <v>249</v>
      </c>
      <c r="Q2207" t="s">
        <v>250</v>
      </c>
      <c r="R2207" t="s">
        <v>251</v>
      </c>
      <c r="T2207" t="s">
        <v>252</v>
      </c>
      <c r="U2207" t="s">
        <v>499</v>
      </c>
      <c r="V2207" t="s">
        <v>992</v>
      </c>
      <c r="W2207" t="s">
        <v>1023</v>
      </c>
      <c r="X2207" t="s">
        <v>1024</v>
      </c>
      <c r="AD2207">
        <v>7</v>
      </c>
      <c r="AF2207">
        <v>14</v>
      </c>
      <c r="AG2207" t="s">
        <v>267</v>
      </c>
      <c r="AL2207" t="s">
        <v>3873</v>
      </c>
      <c r="AM2207" t="s">
        <v>317</v>
      </c>
      <c r="AN2207" t="s">
        <v>259</v>
      </c>
      <c r="AO2207" t="s">
        <v>260</v>
      </c>
      <c r="AQ2207" t="s">
        <v>261</v>
      </c>
      <c r="AT2207" t="s">
        <v>288</v>
      </c>
      <c r="AU2207">
        <v>40</v>
      </c>
      <c r="AV2207" t="s">
        <v>289</v>
      </c>
      <c r="AW2207">
        <v>80</v>
      </c>
      <c r="AX2207" t="s">
        <v>262</v>
      </c>
      <c r="BO2207" t="s">
        <v>261</v>
      </c>
      <c r="BR2207" t="s">
        <v>288</v>
      </c>
      <c r="BS2207">
        <v>0.04</v>
      </c>
      <c r="BT2207" t="s">
        <v>289</v>
      </c>
      <c r="BU2207">
        <v>0.08</v>
      </c>
      <c r="BV2207" t="s">
        <v>263</v>
      </c>
      <c r="CM2207" t="s">
        <v>264</v>
      </c>
      <c r="CN2207" t="s">
        <v>264</v>
      </c>
      <c r="CP2207" t="s">
        <v>265</v>
      </c>
      <c r="CQ2207" t="s">
        <v>890</v>
      </c>
      <c r="DB2207">
        <v>4</v>
      </c>
      <c r="DG2207" t="s">
        <v>267</v>
      </c>
      <c r="DI2207">
        <v>96</v>
      </c>
      <c r="DN2207" t="s">
        <v>268</v>
      </c>
      <c r="DR2207">
        <v>247138</v>
      </c>
      <c r="DS2207">
        <v>4424</v>
      </c>
      <c r="DT2207" t="s">
        <v>3874</v>
      </c>
      <c r="EW2207" t="s">
        <v>272</v>
      </c>
      <c r="FK2207" t="s">
        <v>3875</v>
      </c>
      <c r="FM2207">
        <v>23</v>
      </c>
      <c r="FR2207" t="s">
        <v>295</v>
      </c>
      <c r="GU2207">
        <v>5</v>
      </c>
      <c r="GZ2207" t="s">
        <v>296</v>
      </c>
      <c r="HH2207" t="s">
        <v>272</v>
      </c>
      <c r="ID2207" t="s">
        <v>3876</v>
      </c>
      <c r="IE2207" t="s">
        <v>3877</v>
      </c>
      <c r="IF2207">
        <v>18159</v>
      </c>
      <c r="IG2207" t="s">
        <v>3878</v>
      </c>
      <c r="IH2207" t="s">
        <v>3879</v>
      </c>
      <c r="II2207">
        <v>1997</v>
      </c>
      <c r="IJ2207" t="s">
        <v>3880</v>
      </c>
    </row>
    <row r="2208" spans="1:244" x14ac:dyDescent="0.45">
      <c r="A2208">
        <v>1059924</v>
      </c>
      <c r="B2208">
        <v>131248</v>
      </c>
      <c r="C2208">
        <v>10108642</v>
      </c>
      <c r="D2208" t="s">
        <v>3523</v>
      </c>
      <c r="F2208" t="s">
        <v>327</v>
      </c>
      <c r="G2208" t="s">
        <v>246</v>
      </c>
      <c r="N2208" t="s">
        <v>590</v>
      </c>
      <c r="O2208" t="s">
        <v>578</v>
      </c>
      <c r="P2208" t="s">
        <v>249</v>
      </c>
      <c r="Q2208" t="s">
        <v>250</v>
      </c>
      <c r="R2208" t="s">
        <v>251</v>
      </c>
      <c r="T2208" t="s">
        <v>252</v>
      </c>
      <c r="U2208" t="s">
        <v>499</v>
      </c>
      <c r="V2208" t="s">
        <v>591</v>
      </c>
      <c r="W2208" t="s">
        <v>592</v>
      </c>
      <c r="X2208" t="s">
        <v>593</v>
      </c>
      <c r="AM2208" t="s">
        <v>287</v>
      </c>
      <c r="AN2208" t="s">
        <v>259</v>
      </c>
      <c r="AO2208" t="s">
        <v>260</v>
      </c>
      <c r="AQ2208" t="s">
        <v>261</v>
      </c>
      <c r="AS2208">
        <v>400</v>
      </c>
      <c r="AU2208">
        <v>320</v>
      </c>
      <c r="AW2208">
        <v>500</v>
      </c>
      <c r="AX2208" t="s">
        <v>262</v>
      </c>
      <c r="BO2208" t="s">
        <v>261</v>
      </c>
      <c r="BQ2208">
        <v>0.4</v>
      </c>
      <c r="BS2208">
        <v>0.32</v>
      </c>
      <c r="BU2208">
        <v>0.5</v>
      </c>
      <c r="BV2208" t="s">
        <v>263</v>
      </c>
      <c r="CM2208" t="s">
        <v>264</v>
      </c>
      <c r="CN2208" t="s">
        <v>264</v>
      </c>
      <c r="CP2208" t="s">
        <v>265</v>
      </c>
      <c r="CQ2208" t="s">
        <v>890</v>
      </c>
      <c r="DB2208">
        <v>4</v>
      </c>
      <c r="DG2208" t="s">
        <v>267</v>
      </c>
      <c r="DI2208">
        <v>96</v>
      </c>
      <c r="DN2208" t="s">
        <v>268</v>
      </c>
      <c r="DR2208">
        <v>1239313</v>
      </c>
      <c r="DS2208">
        <v>4665</v>
      </c>
      <c r="EW2208" t="s">
        <v>333</v>
      </c>
      <c r="FK2208" t="s">
        <v>3946</v>
      </c>
      <c r="FM2208">
        <v>20</v>
      </c>
      <c r="FR2208" t="s">
        <v>295</v>
      </c>
      <c r="GU2208">
        <v>28</v>
      </c>
      <c r="GZ2208" t="s">
        <v>296</v>
      </c>
      <c r="HH2208" t="s">
        <v>272</v>
      </c>
      <c r="ID2208" t="s">
        <v>3947</v>
      </c>
      <c r="IE2208" t="s">
        <v>3948</v>
      </c>
      <c r="IF2208">
        <v>4443</v>
      </c>
      <c r="IG2208" t="s">
        <v>3949</v>
      </c>
      <c r="IH2208" t="s">
        <v>3950</v>
      </c>
      <c r="II2208">
        <v>1994</v>
      </c>
      <c r="IJ2208" t="s">
        <v>3951</v>
      </c>
    </row>
    <row r="2209" spans="1:244" x14ac:dyDescent="0.45">
      <c r="A2209">
        <v>1180089</v>
      </c>
      <c r="B2209">
        <v>82512</v>
      </c>
      <c r="C2209">
        <v>10108642</v>
      </c>
      <c r="D2209" t="s">
        <v>3523</v>
      </c>
      <c r="F2209" t="s">
        <v>327</v>
      </c>
      <c r="G2209" t="s">
        <v>246</v>
      </c>
      <c r="N2209" t="s">
        <v>645</v>
      </c>
      <c r="O2209" t="s">
        <v>646</v>
      </c>
      <c r="P2209" t="s">
        <v>249</v>
      </c>
      <c r="Q2209" t="s">
        <v>250</v>
      </c>
      <c r="R2209" t="s">
        <v>251</v>
      </c>
      <c r="T2209" t="s">
        <v>252</v>
      </c>
      <c r="U2209" t="s">
        <v>371</v>
      </c>
      <c r="V2209" t="s">
        <v>372</v>
      </c>
      <c r="W2209" t="s">
        <v>647</v>
      </c>
      <c r="X2209" t="s">
        <v>648</v>
      </c>
      <c r="Z2209" t="s">
        <v>649</v>
      </c>
      <c r="AB2209">
        <v>24</v>
      </c>
      <c r="AG2209" t="s">
        <v>268</v>
      </c>
      <c r="AM2209" t="s">
        <v>307</v>
      </c>
      <c r="AN2209" t="s">
        <v>259</v>
      </c>
      <c r="AO2209" t="s">
        <v>260</v>
      </c>
      <c r="AQ2209" t="s">
        <v>261</v>
      </c>
      <c r="AS2209">
        <v>110</v>
      </c>
      <c r="AX2209" t="s">
        <v>262</v>
      </c>
      <c r="BO2209" t="s">
        <v>261</v>
      </c>
      <c r="BQ2209">
        <v>0.11</v>
      </c>
      <c r="BV2209" t="s">
        <v>263</v>
      </c>
      <c r="CM2209" t="s">
        <v>264</v>
      </c>
      <c r="CN2209" t="s">
        <v>264</v>
      </c>
      <c r="CP2209" t="s">
        <v>265</v>
      </c>
      <c r="CQ2209" t="s">
        <v>890</v>
      </c>
      <c r="DB2209">
        <v>4</v>
      </c>
      <c r="DG2209" t="s">
        <v>267</v>
      </c>
      <c r="DI2209">
        <v>96</v>
      </c>
      <c r="DN2209" t="s">
        <v>268</v>
      </c>
      <c r="DP2209" t="s">
        <v>636</v>
      </c>
      <c r="DS2209">
        <v>1197</v>
      </c>
      <c r="DT2209" t="s">
        <v>3885</v>
      </c>
      <c r="EW2209" t="s">
        <v>271</v>
      </c>
      <c r="FM2209">
        <v>21</v>
      </c>
      <c r="FR2209" t="s">
        <v>295</v>
      </c>
      <c r="GU2209">
        <v>30</v>
      </c>
      <c r="GZ2209" t="s">
        <v>296</v>
      </c>
      <c r="HH2209" t="s">
        <v>272</v>
      </c>
      <c r="IE2209" t="s">
        <v>3886</v>
      </c>
      <c r="IF2209">
        <v>15744</v>
      </c>
      <c r="IG2209" t="s">
        <v>3887</v>
      </c>
      <c r="IH2209" t="s">
        <v>3888</v>
      </c>
      <c r="II2209">
        <v>1982</v>
      </c>
      <c r="IJ2209" t="s">
        <v>3889</v>
      </c>
    </row>
    <row r="2210" spans="1:244" x14ac:dyDescent="0.45">
      <c r="A2210">
        <v>1057378</v>
      </c>
      <c r="B2210">
        <v>127331</v>
      </c>
      <c r="C2210">
        <v>10108642</v>
      </c>
      <c r="D2210" t="s">
        <v>3523</v>
      </c>
      <c r="E2210" t="s">
        <v>386</v>
      </c>
      <c r="F2210" t="s">
        <v>327</v>
      </c>
      <c r="G2210" t="s">
        <v>246</v>
      </c>
      <c r="I2210">
        <v>99.4</v>
      </c>
      <c r="N2210" t="s">
        <v>577</v>
      </c>
      <c r="O2210" t="s">
        <v>578</v>
      </c>
      <c r="P2210" t="s">
        <v>249</v>
      </c>
      <c r="Q2210" t="s">
        <v>250</v>
      </c>
      <c r="R2210" t="s">
        <v>251</v>
      </c>
      <c r="T2210" t="s">
        <v>252</v>
      </c>
      <c r="U2210" t="s">
        <v>499</v>
      </c>
      <c r="V2210" t="s">
        <v>579</v>
      </c>
      <c r="W2210" t="s">
        <v>580</v>
      </c>
      <c r="X2210" t="s">
        <v>581</v>
      </c>
      <c r="AL2210" t="s">
        <v>3994</v>
      </c>
      <c r="AM2210" t="s">
        <v>258</v>
      </c>
      <c r="AN2210" t="s">
        <v>259</v>
      </c>
      <c r="AO2210" t="s">
        <v>260</v>
      </c>
      <c r="AQ2210" t="s">
        <v>261</v>
      </c>
      <c r="AS2210">
        <v>36.1</v>
      </c>
      <c r="AX2210" t="s">
        <v>262</v>
      </c>
      <c r="BO2210" t="s">
        <v>261</v>
      </c>
      <c r="BQ2210">
        <v>3.61E-2</v>
      </c>
      <c r="BV2210" t="s">
        <v>263</v>
      </c>
      <c r="CM2210" t="s">
        <v>264</v>
      </c>
      <c r="CN2210" t="s">
        <v>264</v>
      </c>
      <c r="CO2210" t="s">
        <v>3900</v>
      </c>
      <c r="CP2210" t="s">
        <v>265</v>
      </c>
      <c r="CQ2210" t="s">
        <v>890</v>
      </c>
      <c r="DB2210">
        <v>4</v>
      </c>
      <c r="DG2210" t="s">
        <v>267</v>
      </c>
      <c r="DI2210">
        <v>4</v>
      </c>
      <c r="DN2210" t="s">
        <v>267</v>
      </c>
      <c r="DO2210" t="s">
        <v>1587</v>
      </c>
      <c r="DR2210">
        <v>1450415</v>
      </c>
      <c r="DS2210">
        <v>4619</v>
      </c>
      <c r="DT2210" t="s">
        <v>3901</v>
      </c>
      <c r="EW2210" t="s">
        <v>333</v>
      </c>
      <c r="FA2210" t="s">
        <v>3995</v>
      </c>
      <c r="GG2210" t="s">
        <v>288</v>
      </c>
      <c r="GH2210">
        <v>60</v>
      </c>
      <c r="GM2210" t="s">
        <v>900</v>
      </c>
      <c r="GU2210">
        <v>30</v>
      </c>
      <c r="GZ2210" t="s">
        <v>296</v>
      </c>
      <c r="HH2210" t="s">
        <v>883</v>
      </c>
      <c r="HL2210">
        <v>1.2</v>
      </c>
      <c r="HN2210">
        <v>3.7</v>
      </c>
      <c r="HO2210" t="s">
        <v>3903</v>
      </c>
      <c r="IE2210" t="s">
        <v>3904</v>
      </c>
      <c r="IF2210">
        <v>4114</v>
      </c>
      <c r="IG2210" t="s">
        <v>3905</v>
      </c>
      <c r="IH2210" t="s">
        <v>3906</v>
      </c>
      <c r="II2210">
        <v>1993</v>
      </c>
      <c r="IJ2210" t="s">
        <v>3907</v>
      </c>
    </row>
    <row r="2211" spans="1:244" x14ac:dyDescent="0.45">
      <c r="A2211">
        <v>2211995</v>
      </c>
      <c r="B2211">
        <v>2432844</v>
      </c>
      <c r="C2211">
        <v>10108642</v>
      </c>
      <c r="D2211" t="s">
        <v>3523</v>
      </c>
      <c r="F2211" t="s">
        <v>327</v>
      </c>
      <c r="G2211" t="s">
        <v>557</v>
      </c>
      <c r="N2211" t="s">
        <v>312</v>
      </c>
      <c r="O2211" t="s">
        <v>313</v>
      </c>
      <c r="P2211" t="s">
        <v>249</v>
      </c>
      <c r="Q2211" t="s">
        <v>250</v>
      </c>
      <c r="R2211" t="s">
        <v>251</v>
      </c>
      <c r="T2211" t="s">
        <v>252</v>
      </c>
      <c r="U2211" t="s">
        <v>253</v>
      </c>
      <c r="V2211" t="s">
        <v>304</v>
      </c>
      <c r="W2211" t="s">
        <v>305</v>
      </c>
      <c r="X2211" t="s">
        <v>314</v>
      </c>
      <c r="Z2211" t="s">
        <v>649</v>
      </c>
      <c r="AJ2211" t="s">
        <v>285</v>
      </c>
      <c r="AL2211" t="s">
        <v>2093</v>
      </c>
      <c r="AM2211" t="s">
        <v>317</v>
      </c>
      <c r="AN2211" t="s">
        <v>259</v>
      </c>
      <c r="AO2211" t="s">
        <v>260</v>
      </c>
      <c r="AP2211" t="s">
        <v>3848</v>
      </c>
      <c r="AQ2211" t="s">
        <v>261</v>
      </c>
      <c r="AS2211">
        <v>1.78</v>
      </c>
      <c r="AU2211">
        <v>1.24</v>
      </c>
      <c r="AW2211">
        <v>3.1</v>
      </c>
      <c r="AX2211" t="s">
        <v>356</v>
      </c>
      <c r="BO2211" t="s">
        <v>261</v>
      </c>
      <c r="BQ2211">
        <v>1.78</v>
      </c>
      <c r="BS2211">
        <v>1.24</v>
      </c>
      <c r="BU2211">
        <v>3.1</v>
      </c>
      <c r="BV2211" t="s">
        <v>263</v>
      </c>
      <c r="CM2211" t="s">
        <v>264</v>
      </c>
      <c r="CN2211" t="s">
        <v>264</v>
      </c>
      <c r="CP2211" t="s">
        <v>265</v>
      </c>
      <c r="CQ2211" t="s">
        <v>890</v>
      </c>
      <c r="DB2211">
        <v>2</v>
      </c>
      <c r="DG2211" t="s">
        <v>267</v>
      </c>
      <c r="DI2211">
        <v>48</v>
      </c>
      <c r="DN2211" t="s">
        <v>268</v>
      </c>
      <c r="DP2211" t="s">
        <v>3849</v>
      </c>
      <c r="DR2211">
        <v>221654</v>
      </c>
      <c r="DS2211">
        <v>65263</v>
      </c>
      <c r="DV2211">
        <v>48</v>
      </c>
      <c r="EA2211" t="s">
        <v>268</v>
      </c>
      <c r="EC2211">
        <v>2</v>
      </c>
      <c r="EH2211" t="s">
        <v>267</v>
      </c>
      <c r="EJ2211">
        <v>48</v>
      </c>
      <c r="EO2211" t="s">
        <v>268</v>
      </c>
      <c r="EQ2211">
        <v>2</v>
      </c>
      <c r="EV2211" t="s">
        <v>267</v>
      </c>
      <c r="EW2211" t="s">
        <v>293</v>
      </c>
      <c r="EY2211" t="s">
        <v>377</v>
      </c>
      <c r="FA2211" t="s">
        <v>3996</v>
      </c>
      <c r="FM2211">
        <v>20</v>
      </c>
      <c r="FR2211" t="s">
        <v>295</v>
      </c>
      <c r="GG2211" t="s">
        <v>288</v>
      </c>
      <c r="GH2211">
        <v>40</v>
      </c>
      <c r="GM2211" t="s">
        <v>900</v>
      </c>
      <c r="GO2211">
        <v>7.5</v>
      </c>
      <c r="GQ2211">
        <v>6.1</v>
      </c>
      <c r="GS2211">
        <v>8</v>
      </c>
      <c r="GU2211">
        <v>10</v>
      </c>
      <c r="GZ2211" t="s">
        <v>296</v>
      </c>
      <c r="HH2211" t="s">
        <v>272</v>
      </c>
      <c r="ID2211" t="s">
        <v>3851</v>
      </c>
      <c r="IE2211" t="s">
        <v>3852</v>
      </c>
      <c r="IF2211">
        <v>177340</v>
      </c>
      <c r="IG2211" t="s">
        <v>3853</v>
      </c>
      <c r="IH2211" t="s">
        <v>3854</v>
      </c>
      <c r="II2211">
        <v>1989</v>
      </c>
      <c r="IJ2211" t="s">
        <v>3855</v>
      </c>
    </row>
    <row r="2212" spans="1:244" x14ac:dyDescent="0.45">
      <c r="A2212">
        <v>2212000</v>
      </c>
      <c r="B2212">
        <v>2432849</v>
      </c>
      <c r="C2212">
        <v>10108642</v>
      </c>
      <c r="D2212" t="s">
        <v>3523</v>
      </c>
      <c r="F2212" t="s">
        <v>327</v>
      </c>
      <c r="G2212" t="s">
        <v>557</v>
      </c>
      <c r="N2212" t="s">
        <v>312</v>
      </c>
      <c r="O2212" t="s">
        <v>313</v>
      </c>
      <c r="P2212" t="s">
        <v>249</v>
      </c>
      <c r="Q2212" t="s">
        <v>250</v>
      </c>
      <c r="R2212" t="s">
        <v>251</v>
      </c>
      <c r="T2212" t="s">
        <v>252</v>
      </c>
      <c r="U2212" t="s">
        <v>253</v>
      </c>
      <c r="V2212" t="s">
        <v>304</v>
      </c>
      <c r="W2212" t="s">
        <v>305</v>
      </c>
      <c r="X2212" t="s">
        <v>314</v>
      </c>
      <c r="Z2212" t="s">
        <v>649</v>
      </c>
      <c r="AJ2212" t="s">
        <v>285</v>
      </c>
      <c r="AL2212" t="s">
        <v>2093</v>
      </c>
      <c r="AM2212" t="s">
        <v>317</v>
      </c>
      <c r="AN2212" t="s">
        <v>259</v>
      </c>
      <c r="AO2212" t="s">
        <v>260</v>
      </c>
      <c r="AP2212" t="s">
        <v>3848</v>
      </c>
      <c r="AQ2212" t="s">
        <v>261</v>
      </c>
      <c r="AS2212">
        <v>1.06</v>
      </c>
      <c r="AU2212">
        <v>0.83</v>
      </c>
      <c r="AW2212">
        <v>1.33</v>
      </c>
      <c r="AX2212" t="s">
        <v>356</v>
      </c>
      <c r="BO2212" t="s">
        <v>261</v>
      </c>
      <c r="BQ2212">
        <v>1.06</v>
      </c>
      <c r="BS2212">
        <v>0.83</v>
      </c>
      <c r="BU2212">
        <v>1.33</v>
      </c>
      <c r="BV2212" t="s">
        <v>263</v>
      </c>
      <c r="CM2212" t="s">
        <v>264</v>
      </c>
      <c r="CN2212" t="s">
        <v>264</v>
      </c>
      <c r="CP2212" t="s">
        <v>265</v>
      </c>
      <c r="CQ2212" t="s">
        <v>890</v>
      </c>
      <c r="DB2212">
        <v>2</v>
      </c>
      <c r="DG2212" t="s">
        <v>267</v>
      </c>
      <c r="DI2212">
        <v>48</v>
      </c>
      <c r="DN2212" t="s">
        <v>268</v>
      </c>
      <c r="DP2212" t="s">
        <v>3849</v>
      </c>
      <c r="DR2212">
        <v>221654</v>
      </c>
      <c r="DS2212">
        <v>65263</v>
      </c>
      <c r="DV2212">
        <v>48</v>
      </c>
      <c r="EA2212" t="s">
        <v>268</v>
      </c>
      <c r="EC2212">
        <v>2</v>
      </c>
      <c r="EH2212" t="s">
        <v>267</v>
      </c>
      <c r="EJ2212">
        <v>48</v>
      </c>
      <c r="EO2212" t="s">
        <v>268</v>
      </c>
      <c r="EQ2212">
        <v>2</v>
      </c>
      <c r="EV2212" t="s">
        <v>267</v>
      </c>
      <c r="EW2212" t="s">
        <v>293</v>
      </c>
      <c r="EY2212" t="s">
        <v>377</v>
      </c>
      <c r="FA2212" t="s">
        <v>3997</v>
      </c>
      <c r="FM2212">
        <v>20</v>
      </c>
      <c r="FR2212" t="s">
        <v>295</v>
      </c>
      <c r="GG2212" t="s">
        <v>288</v>
      </c>
      <c r="GH2212">
        <v>40</v>
      </c>
      <c r="GM2212" t="s">
        <v>900</v>
      </c>
      <c r="GO2212">
        <v>7.5</v>
      </c>
      <c r="GQ2212">
        <v>6.1</v>
      </c>
      <c r="GS2212">
        <v>8</v>
      </c>
      <c r="GU2212">
        <v>10</v>
      </c>
      <c r="GZ2212" t="s">
        <v>296</v>
      </c>
      <c r="HH2212" t="s">
        <v>272</v>
      </c>
      <c r="ID2212" t="s">
        <v>3851</v>
      </c>
      <c r="IE2212" t="s">
        <v>3852</v>
      </c>
      <c r="IF2212">
        <v>177340</v>
      </c>
      <c r="IG2212" t="s">
        <v>3853</v>
      </c>
      <c r="IH2212" t="s">
        <v>3854</v>
      </c>
      <c r="II2212">
        <v>1989</v>
      </c>
      <c r="IJ2212" t="s">
        <v>3855</v>
      </c>
    </row>
    <row r="2213" spans="1:244" x14ac:dyDescent="0.45">
      <c r="A2213">
        <v>1202539</v>
      </c>
      <c r="B2213">
        <v>161749</v>
      </c>
      <c r="C2213">
        <v>10108642</v>
      </c>
      <c r="D2213" t="s">
        <v>3523</v>
      </c>
      <c r="F2213" t="s">
        <v>272</v>
      </c>
      <c r="G2213" t="s">
        <v>246</v>
      </c>
      <c r="N2213" t="s">
        <v>1022</v>
      </c>
      <c r="O2213" t="s">
        <v>578</v>
      </c>
      <c r="P2213" t="s">
        <v>249</v>
      </c>
      <c r="Q2213" t="s">
        <v>250</v>
      </c>
      <c r="R2213" t="s">
        <v>251</v>
      </c>
      <c r="T2213" t="s">
        <v>252</v>
      </c>
      <c r="U2213" t="s">
        <v>499</v>
      </c>
      <c r="V2213" t="s">
        <v>992</v>
      </c>
      <c r="W2213" t="s">
        <v>1023</v>
      </c>
      <c r="X2213" t="s">
        <v>1024</v>
      </c>
      <c r="AM2213" t="s">
        <v>258</v>
      </c>
      <c r="AN2213" t="s">
        <v>259</v>
      </c>
      <c r="AO2213" t="s">
        <v>260</v>
      </c>
      <c r="AQ2213" t="s">
        <v>261</v>
      </c>
      <c r="AS2213">
        <v>1450</v>
      </c>
      <c r="AU2213">
        <v>1120</v>
      </c>
      <c r="AW2213">
        <v>1860</v>
      </c>
      <c r="AX2213" t="s">
        <v>262</v>
      </c>
      <c r="BO2213" t="s">
        <v>261</v>
      </c>
      <c r="BQ2213">
        <v>1.45</v>
      </c>
      <c r="BS2213">
        <v>1.1200000000000001</v>
      </c>
      <c r="BU2213">
        <v>1.86</v>
      </c>
      <c r="BV2213" t="s">
        <v>263</v>
      </c>
      <c r="CM2213" t="s">
        <v>264</v>
      </c>
      <c r="CN2213" t="s">
        <v>264</v>
      </c>
      <c r="CP2213" t="s">
        <v>265</v>
      </c>
      <c r="CQ2213" t="s">
        <v>890</v>
      </c>
      <c r="DB2213">
        <v>4</v>
      </c>
      <c r="DG2213" t="s">
        <v>267</v>
      </c>
      <c r="DI2213">
        <v>4</v>
      </c>
      <c r="DN2213" t="s">
        <v>267</v>
      </c>
      <c r="DR2213">
        <v>247138</v>
      </c>
      <c r="DS2213">
        <v>4424</v>
      </c>
      <c r="DT2213" t="s">
        <v>3702</v>
      </c>
      <c r="EW2213" t="s">
        <v>293</v>
      </c>
      <c r="FA2213" t="s">
        <v>3748</v>
      </c>
      <c r="FM2213">
        <v>25</v>
      </c>
      <c r="FR2213" t="s">
        <v>295</v>
      </c>
      <c r="GU2213">
        <v>20</v>
      </c>
      <c r="GZ2213" t="s">
        <v>296</v>
      </c>
      <c r="HH2213" t="s">
        <v>272</v>
      </c>
      <c r="IE2213" t="s">
        <v>3704</v>
      </c>
      <c r="IF2213">
        <v>18408</v>
      </c>
      <c r="IG2213" t="s">
        <v>3705</v>
      </c>
      <c r="IH2213" t="s">
        <v>3706</v>
      </c>
      <c r="II2213">
        <v>1997</v>
      </c>
      <c r="IJ2213" t="s">
        <v>3707</v>
      </c>
    </row>
    <row r="2214" spans="1:244" x14ac:dyDescent="0.45">
      <c r="A2214">
        <v>1165808</v>
      </c>
      <c r="B2214">
        <v>189249</v>
      </c>
      <c r="C2214">
        <v>10108642</v>
      </c>
      <c r="D2214" t="s">
        <v>3523</v>
      </c>
      <c r="F2214" t="s">
        <v>245</v>
      </c>
      <c r="G2214" t="s">
        <v>246</v>
      </c>
      <c r="N2214" t="s">
        <v>829</v>
      </c>
      <c r="O2214" t="s">
        <v>631</v>
      </c>
      <c r="P2214" t="s">
        <v>249</v>
      </c>
      <c r="Q2214" t="s">
        <v>250</v>
      </c>
      <c r="R2214" t="s">
        <v>251</v>
      </c>
      <c r="T2214" t="s">
        <v>389</v>
      </c>
      <c r="U2214" t="s">
        <v>632</v>
      </c>
      <c r="V2214" t="s">
        <v>830</v>
      </c>
      <c r="W2214" t="s">
        <v>831</v>
      </c>
      <c r="X2214" t="s">
        <v>832</v>
      </c>
      <c r="Z2214" t="s">
        <v>315</v>
      </c>
      <c r="AM2214" t="s">
        <v>317</v>
      </c>
      <c r="AN2214" t="s">
        <v>259</v>
      </c>
      <c r="AO2214" t="s">
        <v>260</v>
      </c>
      <c r="AQ2214" t="s">
        <v>261</v>
      </c>
      <c r="AS2214">
        <v>1651</v>
      </c>
      <c r="AU2214">
        <v>1337</v>
      </c>
      <c r="AW2214">
        <v>2025</v>
      </c>
      <c r="AX2214" t="s">
        <v>262</v>
      </c>
      <c r="BO2214" t="s">
        <v>261</v>
      </c>
      <c r="BQ2214">
        <v>1.651</v>
      </c>
      <c r="BS2214">
        <v>1.337</v>
      </c>
      <c r="BU2214">
        <v>2.0249999999999999</v>
      </c>
      <c r="BV2214" t="s">
        <v>263</v>
      </c>
      <c r="CM2214" t="s">
        <v>264</v>
      </c>
      <c r="CN2214" t="s">
        <v>264</v>
      </c>
      <c r="CP2214" t="s">
        <v>265</v>
      </c>
      <c r="DB2214">
        <v>4</v>
      </c>
      <c r="DG2214" t="s">
        <v>267</v>
      </c>
      <c r="DI2214">
        <v>96</v>
      </c>
      <c r="DN2214" t="s">
        <v>268</v>
      </c>
      <c r="DR2214">
        <v>88015</v>
      </c>
      <c r="DS2214">
        <v>649</v>
      </c>
      <c r="EW2214" t="s">
        <v>293</v>
      </c>
      <c r="FA2214" t="s">
        <v>803</v>
      </c>
      <c r="FM2214">
        <v>15</v>
      </c>
      <c r="FR2214" t="s">
        <v>295</v>
      </c>
      <c r="GU2214">
        <v>30</v>
      </c>
      <c r="GZ2214" t="s">
        <v>296</v>
      </c>
      <c r="HH2214" t="s">
        <v>272</v>
      </c>
      <c r="IE2214" t="s">
        <v>725</v>
      </c>
      <c r="IF2214">
        <v>14601</v>
      </c>
      <c r="IG2214" t="s">
        <v>3763</v>
      </c>
      <c r="IH2214" t="s">
        <v>805</v>
      </c>
      <c r="II2214">
        <v>1985</v>
      </c>
      <c r="IJ2214" t="s">
        <v>3764</v>
      </c>
    </row>
    <row r="2215" spans="1:244" x14ac:dyDescent="0.45">
      <c r="A2215">
        <v>1200169</v>
      </c>
      <c r="B2215">
        <v>154749</v>
      </c>
      <c r="C2215">
        <v>10108642</v>
      </c>
      <c r="D2215" t="s">
        <v>3523</v>
      </c>
      <c r="F2215" t="s">
        <v>245</v>
      </c>
      <c r="G2215" t="s">
        <v>246</v>
      </c>
      <c r="N2215" t="s">
        <v>1022</v>
      </c>
      <c r="O2215" t="s">
        <v>578</v>
      </c>
      <c r="P2215" t="s">
        <v>249</v>
      </c>
      <c r="Q2215" t="s">
        <v>250</v>
      </c>
      <c r="R2215" t="s">
        <v>251</v>
      </c>
      <c r="T2215" t="s">
        <v>252</v>
      </c>
      <c r="U2215" t="s">
        <v>499</v>
      </c>
      <c r="V2215" t="s">
        <v>992</v>
      </c>
      <c r="W2215" t="s">
        <v>1023</v>
      </c>
      <c r="X2215" t="s">
        <v>1024</v>
      </c>
      <c r="AD2215">
        <v>7</v>
      </c>
      <c r="AF2215">
        <v>14</v>
      </c>
      <c r="AG2215" t="s">
        <v>267</v>
      </c>
      <c r="AL2215" t="s">
        <v>3873</v>
      </c>
      <c r="AM2215" t="s">
        <v>317</v>
      </c>
      <c r="AN2215" t="s">
        <v>259</v>
      </c>
      <c r="AO2215" t="s">
        <v>260</v>
      </c>
      <c r="AQ2215" t="s">
        <v>261</v>
      </c>
      <c r="AT2215" t="s">
        <v>288</v>
      </c>
      <c r="AU2215">
        <v>80</v>
      </c>
      <c r="AV2215" t="s">
        <v>289</v>
      </c>
      <c r="AW2215">
        <v>100</v>
      </c>
      <c r="AX2215" t="s">
        <v>262</v>
      </c>
      <c r="BO2215" t="s">
        <v>261</v>
      </c>
      <c r="BR2215" t="s">
        <v>288</v>
      </c>
      <c r="BS2215">
        <v>0.08</v>
      </c>
      <c r="BT2215" t="s">
        <v>289</v>
      </c>
      <c r="BU2215">
        <v>0.1</v>
      </c>
      <c r="BV2215" t="s">
        <v>263</v>
      </c>
      <c r="CM2215" t="s">
        <v>264</v>
      </c>
      <c r="CN2215" t="s">
        <v>264</v>
      </c>
      <c r="CP2215" t="s">
        <v>265</v>
      </c>
      <c r="CQ2215" t="s">
        <v>890</v>
      </c>
      <c r="DB2215">
        <v>4</v>
      </c>
      <c r="DG2215" t="s">
        <v>267</v>
      </c>
      <c r="DI2215">
        <v>96</v>
      </c>
      <c r="DN2215" t="s">
        <v>268</v>
      </c>
      <c r="DR2215">
        <v>247138</v>
      </c>
      <c r="DS2215">
        <v>4424</v>
      </c>
      <c r="DT2215" t="s">
        <v>3874</v>
      </c>
      <c r="EW2215" t="s">
        <v>272</v>
      </c>
      <c r="FK2215" t="s">
        <v>3875</v>
      </c>
      <c r="FM2215">
        <v>23</v>
      </c>
      <c r="FR2215" t="s">
        <v>295</v>
      </c>
      <c r="GU2215">
        <v>5</v>
      </c>
      <c r="GZ2215" t="s">
        <v>296</v>
      </c>
      <c r="HH2215" t="s">
        <v>272</v>
      </c>
      <c r="ID2215" t="s">
        <v>3876</v>
      </c>
      <c r="IE2215" t="s">
        <v>3877</v>
      </c>
      <c r="IF2215">
        <v>18159</v>
      </c>
      <c r="IG2215" t="s">
        <v>3878</v>
      </c>
      <c r="IH2215" t="s">
        <v>3879</v>
      </c>
      <c r="II2215">
        <v>1997</v>
      </c>
      <c r="IJ2215" t="s">
        <v>3880</v>
      </c>
    </row>
    <row r="2216" spans="1:244" x14ac:dyDescent="0.45">
      <c r="A2216">
        <v>1078276</v>
      </c>
      <c r="B2216">
        <v>12799</v>
      </c>
      <c r="C2216">
        <v>10108642</v>
      </c>
      <c r="D2216" t="s">
        <v>3523</v>
      </c>
      <c r="F2216" t="s">
        <v>327</v>
      </c>
      <c r="G2216" t="s">
        <v>246</v>
      </c>
      <c r="N2216" t="s">
        <v>369</v>
      </c>
      <c r="O2216" t="s">
        <v>370</v>
      </c>
      <c r="P2216" t="s">
        <v>249</v>
      </c>
      <c r="Q2216" t="s">
        <v>250</v>
      </c>
      <c r="R2216" t="s">
        <v>251</v>
      </c>
      <c r="T2216" t="s">
        <v>252</v>
      </c>
      <c r="U2216" t="s">
        <v>371</v>
      </c>
      <c r="V2216" t="s">
        <v>372</v>
      </c>
      <c r="W2216" t="s">
        <v>373</v>
      </c>
      <c r="X2216" t="s">
        <v>374</v>
      </c>
      <c r="Z2216" t="s">
        <v>649</v>
      </c>
      <c r="AB2216">
        <v>48</v>
      </c>
      <c r="AG2216" t="s">
        <v>268</v>
      </c>
      <c r="AM2216" t="s">
        <v>307</v>
      </c>
      <c r="AN2216" t="s">
        <v>259</v>
      </c>
      <c r="AO2216" t="s">
        <v>260</v>
      </c>
      <c r="AQ2216" t="s">
        <v>261</v>
      </c>
      <c r="AS2216">
        <v>15.5</v>
      </c>
      <c r="AU2216">
        <v>12.6</v>
      </c>
      <c r="AW2216">
        <v>19.600000000000001</v>
      </c>
      <c r="AX2216" t="s">
        <v>262</v>
      </c>
      <c r="BO2216" t="s">
        <v>261</v>
      </c>
      <c r="BQ2216">
        <v>1.55E-2</v>
      </c>
      <c r="BS2216">
        <v>1.26E-2</v>
      </c>
      <c r="BU2216">
        <v>1.9599999999999999E-2</v>
      </c>
      <c r="BV2216" t="s">
        <v>263</v>
      </c>
      <c r="CM2216" t="s">
        <v>264</v>
      </c>
      <c r="CN2216" t="s">
        <v>264</v>
      </c>
      <c r="CP2216" t="s">
        <v>265</v>
      </c>
      <c r="CQ2216" t="s">
        <v>890</v>
      </c>
      <c r="DB2216">
        <v>4</v>
      </c>
      <c r="DG2216" t="s">
        <v>267</v>
      </c>
      <c r="DI2216">
        <v>96</v>
      </c>
      <c r="DN2216" t="s">
        <v>268</v>
      </c>
      <c r="DR2216">
        <v>110441</v>
      </c>
      <c r="DS2216">
        <v>142</v>
      </c>
      <c r="EW2216" t="s">
        <v>333</v>
      </c>
      <c r="FO2216">
        <v>25</v>
      </c>
      <c r="FQ2216">
        <v>28</v>
      </c>
      <c r="FR2216" t="s">
        <v>295</v>
      </c>
      <c r="GW2216">
        <v>10</v>
      </c>
      <c r="GY2216">
        <v>17</v>
      </c>
      <c r="GZ2216" t="s">
        <v>296</v>
      </c>
      <c r="HH2216" t="s">
        <v>272</v>
      </c>
      <c r="IE2216" t="s">
        <v>3998</v>
      </c>
      <c r="IF2216">
        <v>6036</v>
      </c>
      <c r="IG2216" t="s">
        <v>3999</v>
      </c>
      <c r="IH2216" t="s">
        <v>4000</v>
      </c>
      <c r="II2216">
        <v>1977</v>
      </c>
      <c r="IJ2216" t="s">
        <v>4001</v>
      </c>
    </row>
    <row r="2217" spans="1:244" x14ac:dyDescent="0.45">
      <c r="A2217">
        <v>1200172</v>
      </c>
      <c r="B2217">
        <v>154752</v>
      </c>
      <c r="C2217">
        <v>10108642</v>
      </c>
      <c r="D2217" t="s">
        <v>3523</v>
      </c>
      <c r="F2217" t="s">
        <v>245</v>
      </c>
      <c r="G2217" t="s">
        <v>246</v>
      </c>
      <c r="N2217" t="s">
        <v>1022</v>
      </c>
      <c r="O2217" t="s">
        <v>578</v>
      </c>
      <c r="P2217" t="s">
        <v>249</v>
      </c>
      <c r="Q2217" t="s">
        <v>250</v>
      </c>
      <c r="R2217" t="s">
        <v>251</v>
      </c>
      <c r="T2217" t="s">
        <v>252</v>
      </c>
      <c r="U2217" t="s">
        <v>499</v>
      </c>
      <c r="V2217" t="s">
        <v>992</v>
      </c>
      <c r="W2217" t="s">
        <v>1023</v>
      </c>
      <c r="X2217" t="s">
        <v>1024</v>
      </c>
      <c r="AD2217">
        <v>7</v>
      </c>
      <c r="AF2217">
        <v>14</v>
      </c>
      <c r="AG2217" t="s">
        <v>267</v>
      </c>
      <c r="AL2217" t="s">
        <v>3873</v>
      </c>
      <c r="AM2217" t="s">
        <v>317</v>
      </c>
      <c r="AN2217" t="s">
        <v>259</v>
      </c>
      <c r="AO2217" t="s">
        <v>260</v>
      </c>
      <c r="AQ2217" t="s">
        <v>261</v>
      </c>
      <c r="AR2217" t="s">
        <v>515</v>
      </c>
      <c r="AS2217">
        <v>40</v>
      </c>
      <c r="AX2217" t="s">
        <v>262</v>
      </c>
      <c r="BO2217" t="s">
        <v>261</v>
      </c>
      <c r="BP2217" t="s">
        <v>515</v>
      </c>
      <c r="BQ2217">
        <v>0.04</v>
      </c>
      <c r="BV2217" t="s">
        <v>263</v>
      </c>
      <c r="CM2217" t="s">
        <v>264</v>
      </c>
      <c r="CN2217" t="s">
        <v>264</v>
      </c>
      <c r="CP2217" t="s">
        <v>265</v>
      </c>
      <c r="CQ2217" t="s">
        <v>890</v>
      </c>
      <c r="DB2217">
        <v>4</v>
      </c>
      <c r="DG2217" t="s">
        <v>267</v>
      </c>
      <c r="DI2217">
        <v>96</v>
      </c>
      <c r="DN2217" t="s">
        <v>268</v>
      </c>
      <c r="DR2217">
        <v>247138</v>
      </c>
      <c r="DS2217">
        <v>4424</v>
      </c>
      <c r="DT2217" t="s">
        <v>3874</v>
      </c>
      <c r="EW2217" t="s">
        <v>272</v>
      </c>
      <c r="FK2217" t="s">
        <v>3875</v>
      </c>
      <c r="FM2217">
        <v>23</v>
      </c>
      <c r="FR2217" t="s">
        <v>295</v>
      </c>
      <c r="GU2217">
        <v>5</v>
      </c>
      <c r="GZ2217" t="s">
        <v>296</v>
      </c>
      <c r="HH2217" t="s">
        <v>272</v>
      </c>
      <c r="ID2217" t="s">
        <v>3876</v>
      </c>
      <c r="IE2217" t="s">
        <v>3877</v>
      </c>
      <c r="IF2217">
        <v>18159</v>
      </c>
      <c r="IG2217" t="s">
        <v>3878</v>
      </c>
      <c r="IH2217" t="s">
        <v>3879</v>
      </c>
      <c r="II2217">
        <v>1997</v>
      </c>
      <c r="IJ2217" t="s">
        <v>3880</v>
      </c>
    </row>
    <row r="2218" spans="1:244" x14ac:dyDescent="0.45">
      <c r="A2218">
        <v>1119852</v>
      </c>
      <c r="B2218">
        <v>70062</v>
      </c>
      <c r="C2218">
        <v>10108642</v>
      </c>
      <c r="D2218" t="s">
        <v>3523</v>
      </c>
      <c r="F2218" t="s">
        <v>327</v>
      </c>
      <c r="G2218" t="s">
        <v>246</v>
      </c>
      <c r="N2218" t="s">
        <v>3856</v>
      </c>
      <c r="O2218" t="s">
        <v>3857</v>
      </c>
      <c r="P2218" t="s">
        <v>249</v>
      </c>
      <c r="Q2218" t="s">
        <v>250</v>
      </c>
      <c r="R2218" t="s">
        <v>251</v>
      </c>
      <c r="T2218" t="s">
        <v>252</v>
      </c>
      <c r="U2218" t="s">
        <v>253</v>
      </c>
      <c r="V2218" t="s">
        <v>548</v>
      </c>
      <c r="W2218" t="s">
        <v>549</v>
      </c>
      <c r="X2218" t="s">
        <v>3858</v>
      </c>
      <c r="AL2218" t="s">
        <v>3859</v>
      </c>
      <c r="AM2218" t="s">
        <v>317</v>
      </c>
      <c r="AN2218" t="s">
        <v>259</v>
      </c>
      <c r="AO2218" t="s">
        <v>260</v>
      </c>
      <c r="AQ2218" t="s">
        <v>261</v>
      </c>
      <c r="AS2218">
        <v>320</v>
      </c>
      <c r="AX2218" t="s">
        <v>262</v>
      </c>
      <c r="BO2218" t="s">
        <v>261</v>
      </c>
      <c r="BQ2218">
        <v>0.32</v>
      </c>
      <c r="BV2218" t="s">
        <v>263</v>
      </c>
      <c r="CM2218" t="s">
        <v>264</v>
      </c>
      <c r="CN2218" t="s">
        <v>264</v>
      </c>
      <c r="CP2218" t="s">
        <v>265</v>
      </c>
      <c r="CQ2218" t="s">
        <v>890</v>
      </c>
      <c r="DB2218">
        <v>4</v>
      </c>
      <c r="DG2218" t="s">
        <v>267</v>
      </c>
      <c r="DI2218">
        <v>96</v>
      </c>
      <c r="DN2218" t="s">
        <v>268</v>
      </c>
      <c r="DP2218" t="s">
        <v>570</v>
      </c>
      <c r="DR2218">
        <v>587144</v>
      </c>
      <c r="DS2218">
        <v>347</v>
      </c>
      <c r="DT2218" t="s">
        <v>3532</v>
      </c>
      <c r="EW2218" t="s">
        <v>333</v>
      </c>
      <c r="FK2218" t="s">
        <v>3533</v>
      </c>
      <c r="FM2218">
        <v>20</v>
      </c>
      <c r="FR2218" t="s">
        <v>295</v>
      </c>
      <c r="GJ2218">
        <v>4</v>
      </c>
      <c r="GL2218">
        <v>6</v>
      </c>
      <c r="GM2218" t="s">
        <v>356</v>
      </c>
      <c r="GO2218">
        <v>8</v>
      </c>
      <c r="GU2218">
        <v>20</v>
      </c>
      <c r="GZ2218" t="s">
        <v>296</v>
      </c>
      <c r="HH2218" t="s">
        <v>272</v>
      </c>
      <c r="ID2218" t="s">
        <v>3534</v>
      </c>
      <c r="IE2218" t="s">
        <v>3535</v>
      </c>
      <c r="IF2218">
        <v>9316</v>
      </c>
      <c r="IG2218" t="s">
        <v>3536</v>
      </c>
      <c r="IH2218" t="s">
        <v>3537</v>
      </c>
      <c r="II2218">
        <v>1971</v>
      </c>
      <c r="IJ2218" t="s">
        <v>3538</v>
      </c>
    </row>
    <row r="2219" spans="1:244" x14ac:dyDescent="0.45">
      <c r="A2219">
        <v>2211981</v>
      </c>
      <c r="B2219">
        <v>2432830</v>
      </c>
      <c r="C2219">
        <v>10108642</v>
      </c>
      <c r="D2219" t="s">
        <v>3523</v>
      </c>
      <c r="F2219" t="s">
        <v>327</v>
      </c>
      <c r="G2219" t="s">
        <v>557</v>
      </c>
      <c r="N2219" t="s">
        <v>312</v>
      </c>
      <c r="O2219" t="s">
        <v>313</v>
      </c>
      <c r="P2219" t="s">
        <v>249</v>
      </c>
      <c r="Q2219" t="s">
        <v>250</v>
      </c>
      <c r="R2219" t="s">
        <v>251</v>
      </c>
      <c r="T2219" t="s">
        <v>252</v>
      </c>
      <c r="U2219" t="s">
        <v>253</v>
      </c>
      <c r="V2219" t="s">
        <v>304</v>
      </c>
      <c r="W2219" t="s">
        <v>305</v>
      </c>
      <c r="X2219" t="s">
        <v>314</v>
      </c>
      <c r="Z2219" t="s">
        <v>649</v>
      </c>
      <c r="AJ2219" t="s">
        <v>285</v>
      </c>
      <c r="AL2219" t="s">
        <v>2093</v>
      </c>
      <c r="AM2219" t="s">
        <v>317</v>
      </c>
      <c r="AN2219" t="s">
        <v>259</v>
      </c>
      <c r="AO2219" t="s">
        <v>260</v>
      </c>
      <c r="AP2219" t="s">
        <v>3848</v>
      </c>
      <c r="AQ2219" t="s">
        <v>261</v>
      </c>
      <c r="AS2219">
        <v>1.46</v>
      </c>
      <c r="AU2219">
        <v>1.2</v>
      </c>
      <c r="AW2219">
        <v>1.78</v>
      </c>
      <c r="AX2219" t="s">
        <v>356</v>
      </c>
      <c r="BO2219" t="s">
        <v>261</v>
      </c>
      <c r="BQ2219">
        <v>1.46</v>
      </c>
      <c r="BS2219">
        <v>1.2</v>
      </c>
      <c r="BU2219">
        <v>1.78</v>
      </c>
      <c r="BV2219" t="s">
        <v>263</v>
      </c>
      <c r="CM2219" t="s">
        <v>264</v>
      </c>
      <c r="CN2219" t="s">
        <v>264</v>
      </c>
      <c r="CP2219" t="s">
        <v>265</v>
      </c>
      <c r="CQ2219" t="s">
        <v>890</v>
      </c>
      <c r="DB2219">
        <v>2</v>
      </c>
      <c r="DG2219" t="s">
        <v>267</v>
      </c>
      <c r="DI2219">
        <v>48</v>
      </c>
      <c r="DN2219" t="s">
        <v>268</v>
      </c>
      <c r="DP2219" t="s">
        <v>3849</v>
      </c>
      <c r="DR2219">
        <v>221654</v>
      </c>
      <c r="DS2219">
        <v>65263</v>
      </c>
      <c r="DV2219">
        <v>48</v>
      </c>
      <c r="EA2219" t="s">
        <v>268</v>
      </c>
      <c r="EC2219">
        <v>2</v>
      </c>
      <c r="EH2219" t="s">
        <v>267</v>
      </c>
      <c r="EJ2219">
        <v>48</v>
      </c>
      <c r="EO2219" t="s">
        <v>268</v>
      </c>
      <c r="EQ2219">
        <v>2</v>
      </c>
      <c r="EV2219" t="s">
        <v>267</v>
      </c>
      <c r="EW2219" t="s">
        <v>293</v>
      </c>
      <c r="EY2219" t="s">
        <v>377</v>
      </c>
      <c r="FA2219" t="s">
        <v>4002</v>
      </c>
      <c r="FM2219">
        <v>20</v>
      </c>
      <c r="FR2219" t="s">
        <v>295</v>
      </c>
      <c r="GG2219" t="s">
        <v>288</v>
      </c>
      <c r="GH2219">
        <v>40</v>
      </c>
      <c r="GM2219" t="s">
        <v>900</v>
      </c>
      <c r="GO2219">
        <v>7.5</v>
      </c>
      <c r="GQ2219">
        <v>6.1</v>
      </c>
      <c r="GS2219">
        <v>8</v>
      </c>
      <c r="GU2219">
        <v>10</v>
      </c>
      <c r="GZ2219" t="s">
        <v>296</v>
      </c>
      <c r="HH2219" t="s">
        <v>272</v>
      </c>
      <c r="ID2219" t="s">
        <v>3851</v>
      </c>
      <c r="IE2219" t="s">
        <v>3852</v>
      </c>
      <c r="IF2219">
        <v>177340</v>
      </c>
      <c r="IG2219" t="s">
        <v>3853</v>
      </c>
      <c r="IH2219" t="s">
        <v>3854</v>
      </c>
      <c r="II2219">
        <v>1989</v>
      </c>
      <c r="IJ2219" t="s">
        <v>3855</v>
      </c>
    </row>
    <row r="2220" spans="1:244" x14ac:dyDescent="0.45">
      <c r="A2220">
        <v>1207262</v>
      </c>
      <c r="B2220">
        <v>182044</v>
      </c>
      <c r="C2220">
        <v>10108642</v>
      </c>
      <c r="D2220" t="s">
        <v>3523</v>
      </c>
      <c r="F2220" t="s">
        <v>245</v>
      </c>
      <c r="G2220" t="s">
        <v>246</v>
      </c>
      <c r="N2220" t="s">
        <v>1022</v>
      </c>
      <c r="O2220" t="s">
        <v>578</v>
      </c>
      <c r="P2220" t="s">
        <v>249</v>
      </c>
      <c r="Q2220" t="s">
        <v>250</v>
      </c>
      <c r="R2220" t="s">
        <v>251</v>
      </c>
      <c r="T2220" t="s">
        <v>252</v>
      </c>
      <c r="U2220" t="s">
        <v>499</v>
      </c>
      <c r="V2220" t="s">
        <v>992</v>
      </c>
      <c r="W2220" t="s">
        <v>1023</v>
      </c>
      <c r="X2220" t="s">
        <v>1024</v>
      </c>
      <c r="Z2220" t="s">
        <v>649</v>
      </c>
      <c r="AM2220" t="s">
        <v>317</v>
      </c>
      <c r="AN2220" t="s">
        <v>259</v>
      </c>
      <c r="AO2220" t="s">
        <v>260</v>
      </c>
      <c r="AQ2220" t="s">
        <v>261</v>
      </c>
      <c r="AS2220">
        <v>300</v>
      </c>
      <c r="AX2220" t="s">
        <v>262</v>
      </c>
      <c r="BO2220" t="s">
        <v>261</v>
      </c>
      <c r="BQ2220">
        <v>0.3</v>
      </c>
      <c r="BV2220" t="s">
        <v>263</v>
      </c>
      <c r="CM2220" t="s">
        <v>264</v>
      </c>
      <c r="CN2220" t="s">
        <v>264</v>
      </c>
      <c r="CP2220" t="s">
        <v>265</v>
      </c>
      <c r="CQ2220" t="s">
        <v>890</v>
      </c>
      <c r="DB2220">
        <v>4</v>
      </c>
      <c r="DG2220" t="s">
        <v>267</v>
      </c>
      <c r="DI2220">
        <v>96</v>
      </c>
      <c r="DN2220" t="s">
        <v>268</v>
      </c>
      <c r="DR2220">
        <v>247138</v>
      </c>
      <c r="DS2220">
        <v>4424</v>
      </c>
      <c r="DT2220" t="s">
        <v>3860</v>
      </c>
      <c r="EW2220" t="s">
        <v>293</v>
      </c>
      <c r="FA2220" t="s">
        <v>2298</v>
      </c>
      <c r="FK2220" t="s">
        <v>1186</v>
      </c>
      <c r="FM2220">
        <v>25.2</v>
      </c>
      <c r="FO2220">
        <v>23.5</v>
      </c>
      <c r="FQ2220">
        <v>26.2</v>
      </c>
      <c r="FR2220" t="s">
        <v>295</v>
      </c>
      <c r="GH2220">
        <v>7</v>
      </c>
      <c r="GJ2220">
        <v>4</v>
      </c>
      <c r="GL2220">
        <v>8.4</v>
      </c>
      <c r="GM2220" t="s">
        <v>356</v>
      </c>
      <c r="GO2220">
        <v>7.98</v>
      </c>
      <c r="GQ2220">
        <v>7.73</v>
      </c>
      <c r="GS2220">
        <v>8.3000000000000007</v>
      </c>
      <c r="GU2220">
        <v>8</v>
      </c>
      <c r="GZ2220" t="s">
        <v>296</v>
      </c>
      <c r="HH2220" t="s">
        <v>272</v>
      </c>
      <c r="ID2220" t="s">
        <v>1187</v>
      </c>
      <c r="IE2220" t="s">
        <v>3862</v>
      </c>
      <c r="IF2220">
        <v>19002</v>
      </c>
      <c r="IG2220" t="s">
        <v>3863</v>
      </c>
      <c r="IH2220" t="s">
        <v>3864</v>
      </c>
      <c r="II2220">
        <v>1998</v>
      </c>
      <c r="IJ2220" t="s">
        <v>3865</v>
      </c>
    </row>
    <row r="2221" spans="1:244" x14ac:dyDescent="0.45">
      <c r="A2221">
        <v>1035623</v>
      </c>
      <c r="B2221">
        <v>54864</v>
      </c>
      <c r="C2221">
        <v>10108642</v>
      </c>
      <c r="D2221" t="s">
        <v>3523</v>
      </c>
      <c r="F2221" t="s">
        <v>245</v>
      </c>
      <c r="G2221" t="s">
        <v>246</v>
      </c>
      <c r="N2221" t="s">
        <v>566</v>
      </c>
      <c r="O2221" t="s">
        <v>388</v>
      </c>
      <c r="P2221" t="s">
        <v>249</v>
      </c>
      <c r="Q2221" t="s">
        <v>250</v>
      </c>
      <c r="R2221" t="s">
        <v>251</v>
      </c>
      <c r="T2221" t="s">
        <v>389</v>
      </c>
      <c r="U2221" t="s">
        <v>390</v>
      </c>
      <c r="V2221" t="s">
        <v>567</v>
      </c>
      <c r="W2221" t="s">
        <v>568</v>
      </c>
      <c r="X2221" t="s">
        <v>569</v>
      </c>
      <c r="Z2221" t="s">
        <v>315</v>
      </c>
      <c r="AM2221" t="s">
        <v>317</v>
      </c>
      <c r="AN2221" t="s">
        <v>259</v>
      </c>
      <c r="AO2221" t="s">
        <v>260</v>
      </c>
      <c r="AQ2221" t="s">
        <v>261</v>
      </c>
      <c r="AS2221">
        <v>1800</v>
      </c>
      <c r="AU2221">
        <v>1200</v>
      </c>
      <c r="AW2221">
        <v>2800</v>
      </c>
      <c r="AX2221" t="s">
        <v>262</v>
      </c>
      <c r="BO2221" t="s">
        <v>261</v>
      </c>
      <c r="BQ2221">
        <v>1.8</v>
      </c>
      <c r="BS2221">
        <v>1.2</v>
      </c>
      <c r="BU2221">
        <v>2.8</v>
      </c>
      <c r="BV2221" t="s">
        <v>263</v>
      </c>
      <c r="CM2221" t="s">
        <v>264</v>
      </c>
      <c r="CN2221" t="s">
        <v>264</v>
      </c>
      <c r="CP2221" t="s">
        <v>265</v>
      </c>
      <c r="CQ2221" t="s">
        <v>890</v>
      </c>
      <c r="DB2221">
        <v>4</v>
      </c>
      <c r="DG2221" t="s">
        <v>267</v>
      </c>
      <c r="DI2221">
        <v>96</v>
      </c>
      <c r="DN2221" t="s">
        <v>268</v>
      </c>
      <c r="DP2221" t="s">
        <v>570</v>
      </c>
      <c r="DS2221">
        <v>212</v>
      </c>
      <c r="DT2221" t="s">
        <v>571</v>
      </c>
      <c r="EW2221" t="s">
        <v>271</v>
      </c>
      <c r="FM2221">
        <v>20</v>
      </c>
      <c r="FR2221" t="s">
        <v>295</v>
      </c>
      <c r="GA2221">
        <v>75</v>
      </c>
      <c r="GF2221" t="s">
        <v>572</v>
      </c>
      <c r="GO2221">
        <v>8</v>
      </c>
      <c r="GU2221">
        <v>7</v>
      </c>
      <c r="GZ2221" t="s">
        <v>296</v>
      </c>
      <c r="HH2221" t="s">
        <v>272</v>
      </c>
      <c r="IE2221" t="s">
        <v>573</v>
      </c>
      <c r="IF2221">
        <v>2183</v>
      </c>
      <c r="IG2221" t="s">
        <v>574</v>
      </c>
      <c r="IH2221" t="s">
        <v>575</v>
      </c>
      <c r="II2221">
        <v>1978</v>
      </c>
      <c r="IJ2221" t="s">
        <v>576</v>
      </c>
    </row>
    <row r="2222" spans="1:244" x14ac:dyDescent="0.45">
      <c r="A2222">
        <v>1193483</v>
      </c>
      <c r="B2222">
        <v>170390</v>
      </c>
      <c r="C2222">
        <v>10108642</v>
      </c>
      <c r="D2222" t="s">
        <v>3523</v>
      </c>
      <c r="F2222" t="s">
        <v>245</v>
      </c>
      <c r="G2222" t="s">
        <v>246</v>
      </c>
      <c r="N2222" t="s">
        <v>1022</v>
      </c>
      <c r="O2222" t="s">
        <v>578</v>
      </c>
      <c r="P2222" t="s">
        <v>249</v>
      </c>
      <c r="Q2222" t="s">
        <v>250</v>
      </c>
      <c r="R2222" t="s">
        <v>251</v>
      </c>
      <c r="T2222" t="s">
        <v>252</v>
      </c>
      <c r="U2222" t="s">
        <v>499</v>
      </c>
      <c r="V2222" t="s">
        <v>992</v>
      </c>
      <c r="W2222" t="s">
        <v>1023</v>
      </c>
      <c r="X2222" t="s">
        <v>1024</v>
      </c>
      <c r="AB2222">
        <v>1</v>
      </c>
      <c r="AG2222" t="s">
        <v>516</v>
      </c>
      <c r="AM2222" t="s">
        <v>317</v>
      </c>
      <c r="AN2222" t="s">
        <v>259</v>
      </c>
      <c r="AO2222" t="s">
        <v>260</v>
      </c>
      <c r="AQ2222" t="s">
        <v>261</v>
      </c>
      <c r="AS2222">
        <v>280</v>
      </c>
      <c r="AU2222">
        <v>180</v>
      </c>
      <c r="AW2222">
        <v>460</v>
      </c>
      <c r="AX2222" t="s">
        <v>262</v>
      </c>
      <c r="BO2222" t="s">
        <v>261</v>
      </c>
      <c r="BQ2222">
        <v>0.28000000000000003</v>
      </c>
      <c r="BS2222">
        <v>0.18</v>
      </c>
      <c r="BU2222">
        <v>0.46</v>
      </c>
      <c r="BV2222" t="s">
        <v>263</v>
      </c>
      <c r="CM2222" t="s">
        <v>264</v>
      </c>
      <c r="CN2222" t="s">
        <v>264</v>
      </c>
      <c r="CP2222" t="s">
        <v>265</v>
      </c>
      <c r="CQ2222" t="s">
        <v>890</v>
      </c>
      <c r="DB2222">
        <v>4</v>
      </c>
      <c r="DG2222" t="s">
        <v>267</v>
      </c>
      <c r="DI2222">
        <v>96</v>
      </c>
      <c r="DN2222" t="s">
        <v>268</v>
      </c>
      <c r="DR2222">
        <v>247138</v>
      </c>
      <c r="DS2222">
        <v>4424</v>
      </c>
      <c r="EW2222" t="s">
        <v>293</v>
      </c>
      <c r="FM2222">
        <v>25</v>
      </c>
      <c r="FR2222" t="s">
        <v>295</v>
      </c>
      <c r="GU2222">
        <v>20</v>
      </c>
      <c r="GZ2222" t="s">
        <v>296</v>
      </c>
      <c r="HH2222" t="s">
        <v>272</v>
      </c>
      <c r="IE2222" t="s">
        <v>3744</v>
      </c>
      <c r="IF2222">
        <v>17362</v>
      </c>
      <c r="IG2222" t="s">
        <v>3745</v>
      </c>
      <c r="IH2222" t="s">
        <v>3746</v>
      </c>
      <c r="II2222">
        <v>1992</v>
      </c>
      <c r="IJ2222" t="s">
        <v>3747</v>
      </c>
    </row>
    <row r="2223" spans="1:244" x14ac:dyDescent="0.45">
      <c r="A2223">
        <v>1129767</v>
      </c>
      <c r="B2223">
        <v>85198</v>
      </c>
      <c r="C2223">
        <v>10108642</v>
      </c>
      <c r="D2223" t="s">
        <v>3523</v>
      </c>
      <c r="F2223" t="s">
        <v>327</v>
      </c>
      <c r="G2223" t="s">
        <v>246</v>
      </c>
      <c r="N2223" t="s">
        <v>369</v>
      </c>
      <c r="O2223" t="s">
        <v>370</v>
      </c>
      <c r="P2223" t="s">
        <v>249</v>
      </c>
      <c r="Q2223" t="s">
        <v>250</v>
      </c>
      <c r="R2223" t="s">
        <v>251</v>
      </c>
      <c r="T2223" t="s">
        <v>252</v>
      </c>
      <c r="U2223" t="s">
        <v>371</v>
      </c>
      <c r="V2223" t="s">
        <v>372</v>
      </c>
      <c r="W2223" t="s">
        <v>373</v>
      </c>
      <c r="X2223" t="s">
        <v>374</v>
      </c>
      <c r="Z2223" t="s">
        <v>315</v>
      </c>
      <c r="AM2223" t="s">
        <v>317</v>
      </c>
      <c r="AN2223" t="s">
        <v>259</v>
      </c>
      <c r="AO2223" t="s">
        <v>260</v>
      </c>
      <c r="AQ2223" t="s">
        <v>261</v>
      </c>
      <c r="AS2223">
        <v>29</v>
      </c>
      <c r="AU2223">
        <v>13</v>
      </c>
      <c r="AW2223">
        <v>43</v>
      </c>
      <c r="AX2223" t="s">
        <v>262</v>
      </c>
      <c r="BO2223" t="s">
        <v>261</v>
      </c>
      <c r="BQ2223">
        <v>2.9000000000000001E-2</v>
      </c>
      <c r="BS2223">
        <v>1.2999999999999999E-2</v>
      </c>
      <c r="BU2223">
        <v>4.2999999999999997E-2</v>
      </c>
      <c r="BV2223" t="s">
        <v>263</v>
      </c>
      <c r="CM2223" t="s">
        <v>264</v>
      </c>
      <c r="CN2223" t="s">
        <v>264</v>
      </c>
      <c r="CP2223" t="s">
        <v>265</v>
      </c>
      <c r="CQ2223" t="s">
        <v>890</v>
      </c>
      <c r="DB2223">
        <v>4</v>
      </c>
      <c r="DG2223" t="s">
        <v>267</v>
      </c>
      <c r="DI2223">
        <v>96</v>
      </c>
      <c r="DN2223" t="s">
        <v>268</v>
      </c>
      <c r="DR2223">
        <v>110441</v>
      </c>
      <c r="DS2223">
        <v>142</v>
      </c>
      <c r="DT2223" t="s">
        <v>3758</v>
      </c>
      <c r="EW2223" t="s">
        <v>293</v>
      </c>
      <c r="FM2223">
        <v>22</v>
      </c>
      <c r="FR2223" t="s">
        <v>295</v>
      </c>
      <c r="GH2223">
        <v>6.4</v>
      </c>
      <c r="GM2223" t="s">
        <v>356</v>
      </c>
      <c r="GO2223">
        <v>7.7</v>
      </c>
      <c r="GU2223">
        <v>20</v>
      </c>
      <c r="GZ2223" t="s">
        <v>296</v>
      </c>
      <c r="HH2223" t="s">
        <v>272</v>
      </c>
      <c r="IE2223" t="s">
        <v>3759</v>
      </c>
      <c r="IF2223">
        <v>10443</v>
      </c>
      <c r="IG2223" t="s">
        <v>3760</v>
      </c>
      <c r="IH2223" t="s">
        <v>3761</v>
      </c>
      <c r="II2223">
        <v>1982</v>
      </c>
      <c r="IJ2223" t="s">
        <v>3762</v>
      </c>
    </row>
    <row r="2224" spans="1:244" x14ac:dyDescent="0.45">
      <c r="A2224">
        <v>1165806</v>
      </c>
      <c r="B2224">
        <v>189247</v>
      </c>
      <c r="C2224">
        <v>10108642</v>
      </c>
      <c r="D2224" t="s">
        <v>3523</v>
      </c>
      <c r="F2224" t="s">
        <v>245</v>
      </c>
      <c r="G2224" t="s">
        <v>246</v>
      </c>
      <c r="N2224" t="s">
        <v>723</v>
      </c>
      <c r="O2224" t="s">
        <v>631</v>
      </c>
      <c r="P2224" t="s">
        <v>249</v>
      </c>
      <c r="Q2224" t="s">
        <v>250</v>
      </c>
      <c r="R2224" t="s">
        <v>251</v>
      </c>
      <c r="T2224" t="s">
        <v>389</v>
      </c>
      <c r="U2224" t="s">
        <v>632</v>
      </c>
      <c r="V2224" t="s">
        <v>633</v>
      </c>
      <c r="W2224" t="s">
        <v>634</v>
      </c>
      <c r="X2224" t="s">
        <v>724</v>
      </c>
      <c r="Z2224" t="s">
        <v>315</v>
      </c>
      <c r="AM2224" t="s">
        <v>317</v>
      </c>
      <c r="AN2224" t="s">
        <v>259</v>
      </c>
      <c r="AO2224" t="s">
        <v>260</v>
      </c>
      <c r="AQ2224" t="s">
        <v>261</v>
      </c>
      <c r="AS2224">
        <v>200</v>
      </c>
      <c r="AU2224">
        <v>154</v>
      </c>
      <c r="AW2224">
        <v>260</v>
      </c>
      <c r="AX2224" t="s">
        <v>262</v>
      </c>
      <c r="BO2224" t="s">
        <v>261</v>
      </c>
      <c r="BQ2224">
        <v>0.2</v>
      </c>
      <c r="BS2224">
        <v>0.154</v>
      </c>
      <c r="BU2224">
        <v>0.26</v>
      </c>
      <c r="BV2224" t="s">
        <v>263</v>
      </c>
      <c r="CM2224" t="s">
        <v>264</v>
      </c>
      <c r="CN2224" t="s">
        <v>264</v>
      </c>
      <c r="CP2224" t="s">
        <v>265</v>
      </c>
      <c r="DB2224">
        <v>4</v>
      </c>
      <c r="DG2224" t="s">
        <v>267</v>
      </c>
      <c r="DI2224">
        <v>96</v>
      </c>
      <c r="DN2224" t="s">
        <v>268</v>
      </c>
      <c r="DR2224">
        <v>136140</v>
      </c>
      <c r="DS2224">
        <v>1784</v>
      </c>
      <c r="EW2224" t="s">
        <v>293</v>
      </c>
      <c r="FA2224" t="s">
        <v>803</v>
      </c>
      <c r="FM2224">
        <v>10</v>
      </c>
      <c r="FR2224" t="s">
        <v>295</v>
      </c>
      <c r="GU2224">
        <v>30</v>
      </c>
      <c r="GZ2224" t="s">
        <v>296</v>
      </c>
      <c r="HH2224" t="s">
        <v>272</v>
      </c>
      <c r="IE2224" t="s">
        <v>725</v>
      </c>
      <c r="IF2224">
        <v>14601</v>
      </c>
      <c r="IG2224" t="s">
        <v>3763</v>
      </c>
      <c r="IH2224" t="s">
        <v>805</v>
      </c>
      <c r="II2224">
        <v>1985</v>
      </c>
      <c r="IJ2224" t="s">
        <v>3764</v>
      </c>
    </row>
    <row r="2225" spans="1:244" x14ac:dyDescent="0.45">
      <c r="A2225">
        <v>1068400</v>
      </c>
      <c r="B2225">
        <v>16227</v>
      </c>
      <c r="C2225">
        <v>10108642</v>
      </c>
      <c r="D2225" t="s">
        <v>3523</v>
      </c>
      <c r="F2225" t="s">
        <v>245</v>
      </c>
      <c r="G2225" t="s">
        <v>246</v>
      </c>
      <c r="N2225" t="s">
        <v>1564</v>
      </c>
      <c r="O2225" t="s">
        <v>1565</v>
      </c>
      <c r="P2225" t="s">
        <v>249</v>
      </c>
      <c r="Q2225" t="s">
        <v>250</v>
      </c>
      <c r="R2225" t="s">
        <v>251</v>
      </c>
      <c r="T2225" t="s">
        <v>252</v>
      </c>
      <c r="U2225" t="s">
        <v>253</v>
      </c>
      <c r="V2225" t="s">
        <v>254</v>
      </c>
      <c r="W2225" t="s">
        <v>1566</v>
      </c>
      <c r="X2225" t="s">
        <v>1567</v>
      </c>
      <c r="Z2225" t="s">
        <v>649</v>
      </c>
      <c r="AL2225" t="s">
        <v>3409</v>
      </c>
      <c r="AM2225" t="s">
        <v>317</v>
      </c>
      <c r="AN2225" t="s">
        <v>259</v>
      </c>
      <c r="AO2225" t="s">
        <v>260</v>
      </c>
      <c r="AQ2225" t="s">
        <v>261</v>
      </c>
      <c r="AS2225">
        <v>9400</v>
      </c>
      <c r="AU2225">
        <v>7800</v>
      </c>
      <c r="AW2225">
        <v>11300</v>
      </c>
      <c r="AX2225" t="s">
        <v>262</v>
      </c>
      <c r="BO2225" t="s">
        <v>261</v>
      </c>
      <c r="BQ2225">
        <v>9.4</v>
      </c>
      <c r="BS2225">
        <v>7.8</v>
      </c>
      <c r="BU2225">
        <v>11.3</v>
      </c>
      <c r="BV2225" t="s">
        <v>263</v>
      </c>
      <c r="CM2225" t="s">
        <v>264</v>
      </c>
      <c r="CN2225" t="s">
        <v>264</v>
      </c>
      <c r="CP2225" t="s">
        <v>265</v>
      </c>
      <c r="CQ2225" t="s">
        <v>890</v>
      </c>
      <c r="DB2225">
        <v>2</v>
      </c>
      <c r="DG2225" t="s">
        <v>267</v>
      </c>
      <c r="DI2225">
        <v>48</v>
      </c>
      <c r="DN2225" t="s">
        <v>268</v>
      </c>
      <c r="DP2225" t="s">
        <v>570</v>
      </c>
      <c r="DR2225">
        <v>6763</v>
      </c>
      <c r="DS2225">
        <v>76</v>
      </c>
      <c r="DT2225" t="s">
        <v>3410</v>
      </c>
      <c r="EW2225" t="s">
        <v>271</v>
      </c>
      <c r="FO2225">
        <v>20</v>
      </c>
      <c r="FQ2225">
        <v>22</v>
      </c>
      <c r="FR2225" t="s">
        <v>295</v>
      </c>
      <c r="GQ2225">
        <v>7.1</v>
      </c>
      <c r="GS2225">
        <v>8.1999999999999993</v>
      </c>
      <c r="GU2225">
        <v>15</v>
      </c>
      <c r="GZ2225" t="s">
        <v>296</v>
      </c>
      <c r="HH2225" t="s">
        <v>272</v>
      </c>
      <c r="IE2225" t="s">
        <v>3411</v>
      </c>
      <c r="IF2225">
        <v>5384</v>
      </c>
      <c r="IG2225" t="s">
        <v>3412</v>
      </c>
      <c r="IH2225" t="s">
        <v>3413</v>
      </c>
      <c r="II2225">
        <v>1979</v>
      </c>
      <c r="IJ2225" t="s">
        <v>3414</v>
      </c>
    </row>
    <row r="2226" spans="1:244" x14ac:dyDescent="0.45">
      <c r="A2226">
        <v>1037865</v>
      </c>
      <c r="B2226">
        <v>104470</v>
      </c>
      <c r="C2226">
        <v>10108642</v>
      </c>
      <c r="D2226" t="s">
        <v>3523</v>
      </c>
      <c r="F2226" t="s">
        <v>245</v>
      </c>
      <c r="G2226" t="s">
        <v>246</v>
      </c>
      <c r="N2226" t="s">
        <v>566</v>
      </c>
      <c r="O2226" t="s">
        <v>388</v>
      </c>
      <c r="P2226" t="s">
        <v>249</v>
      </c>
      <c r="Q2226" t="s">
        <v>250</v>
      </c>
      <c r="R2226" t="s">
        <v>251</v>
      </c>
      <c r="T2226" t="s">
        <v>389</v>
      </c>
      <c r="U2226" t="s">
        <v>390</v>
      </c>
      <c r="V2226" t="s">
        <v>567</v>
      </c>
      <c r="W2226" t="s">
        <v>568</v>
      </c>
      <c r="X2226" t="s">
        <v>569</v>
      </c>
      <c r="AL2226" t="s">
        <v>2122</v>
      </c>
      <c r="AM2226" t="s">
        <v>307</v>
      </c>
      <c r="AN2226" t="s">
        <v>259</v>
      </c>
      <c r="AO2226" t="s">
        <v>260</v>
      </c>
      <c r="AQ2226" t="s">
        <v>261</v>
      </c>
      <c r="AS2226">
        <v>780</v>
      </c>
      <c r="AU2226">
        <v>410</v>
      </c>
      <c r="AW2226">
        <v>1200</v>
      </c>
      <c r="AX2226" t="s">
        <v>262</v>
      </c>
      <c r="BO2226" t="s">
        <v>261</v>
      </c>
      <c r="BQ2226">
        <v>0.78</v>
      </c>
      <c r="BS2226">
        <v>0.41</v>
      </c>
      <c r="BU2226">
        <v>1.2</v>
      </c>
      <c r="BV2226" t="s">
        <v>263</v>
      </c>
      <c r="CM2226" t="s">
        <v>264</v>
      </c>
      <c r="CN2226" t="s">
        <v>264</v>
      </c>
      <c r="CP2226" t="s">
        <v>265</v>
      </c>
      <c r="CQ2226" t="s">
        <v>890</v>
      </c>
      <c r="DB2226">
        <v>4</v>
      </c>
      <c r="DG2226" t="s">
        <v>267</v>
      </c>
      <c r="DI2226">
        <v>96</v>
      </c>
      <c r="DN2226" t="s">
        <v>268</v>
      </c>
      <c r="DS2226">
        <v>212</v>
      </c>
      <c r="DT2226" t="s">
        <v>2123</v>
      </c>
      <c r="EW2226" t="s">
        <v>271</v>
      </c>
      <c r="GU2226">
        <v>15</v>
      </c>
      <c r="GZ2226" t="s">
        <v>296</v>
      </c>
      <c r="HH2226" t="s">
        <v>272</v>
      </c>
      <c r="IE2226" t="s">
        <v>2124</v>
      </c>
      <c r="IF2226">
        <v>2332</v>
      </c>
      <c r="IG2226" t="s">
        <v>2125</v>
      </c>
      <c r="IH2226" t="s">
        <v>2126</v>
      </c>
      <c r="II2226">
        <v>1987</v>
      </c>
      <c r="IJ2226" t="s">
        <v>2127</v>
      </c>
    </row>
    <row r="2227" spans="1:244" x14ac:dyDescent="0.45">
      <c r="A2227">
        <v>1202538</v>
      </c>
      <c r="B2227">
        <v>161748</v>
      </c>
      <c r="C2227">
        <v>10108642</v>
      </c>
      <c r="D2227" t="s">
        <v>3523</v>
      </c>
      <c r="F2227" t="s">
        <v>272</v>
      </c>
      <c r="G2227" t="s">
        <v>246</v>
      </c>
      <c r="N2227" t="s">
        <v>577</v>
      </c>
      <c r="O2227" t="s">
        <v>578</v>
      </c>
      <c r="P2227" t="s">
        <v>249</v>
      </c>
      <c r="Q2227" t="s">
        <v>250</v>
      </c>
      <c r="R2227" t="s">
        <v>251</v>
      </c>
      <c r="T2227" t="s">
        <v>252</v>
      </c>
      <c r="U2227" t="s">
        <v>499</v>
      </c>
      <c r="V2227" t="s">
        <v>579</v>
      </c>
      <c r="W2227" t="s">
        <v>580</v>
      </c>
      <c r="X2227" t="s">
        <v>581</v>
      </c>
      <c r="AM2227" t="s">
        <v>258</v>
      </c>
      <c r="AN2227" t="s">
        <v>259</v>
      </c>
      <c r="AO2227" t="s">
        <v>260</v>
      </c>
      <c r="AQ2227" t="s">
        <v>261</v>
      </c>
      <c r="AS2227">
        <v>12510</v>
      </c>
      <c r="AU2227">
        <v>10180</v>
      </c>
      <c r="AW2227">
        <v>15360</v>
      </c>
      <c r="AX2227" t="s">
        <v>262</v>
      </c>
      <c r="BO2227" t="s">
        <v>261</v>
      </c>
      <c r="BQ2227">
        <v>12.51</v>
      </c>
      <c r="BS2227">
        <v>10.18</v>
      </c>
      <c r="BU2227">
        <v>15.36</v>
      </c>
      <c r="BV2227" t="s">
        <v>263</v>
      </c>
      <c r="CM2227" t="s">
        <v>264</v>
      </c>
      <c r="CN2227" t="s">
        <v>264</v>
      </c>
      <c r="CP2227" t="s">
        <v>265</v>
      </c>
      <c r="CQ2227" t="s">
        <v>890</v>
      </c>
      <c r="DB2227">
        <v>4</v>
      </c>
      <c r="DG2227" t="s">
        <v>267</v>
      </c>
      <c r="DI2227">
        <v>4</v>
      </c>
      <c r="DN2227" t="s">
        <v>267</v>
      </c>
      <c r="DR2227">
        <v>1450415</v>
      </c>
      <c r="DS2227">
        <v>4619</v>
      </c>
      <c r="DT2227" t="s">
        <v>3702</v>
      </c>
      <c r="EW2227" t="s">
        <v>293</v>
      </c>
      <c r="FA2227" t="s">
        <v>3982</v>
      </c>
      <c r="FM2227">
        <v>15</v>
      </c>
      <c r="FR2227" t="s">
        <v>295</v>
      </c>
      <c r="GU2227">
        <v>28</v>
      </c>
      <c r="GZ2227" t="s">
        <v>296</v>
      </c>
      <c r="HH2227" t="s">
        <v>272</v>
      </c>
      <c r="IE2227" t="s">
        <v>3704</v>
      </c>
      <c r="IF2227">
        <v>18408</v>
      </c>
      <c r="IG2227" t="s">
        <v>3705</v>
      </c>
      <c r="IH2227" t="s">
        <v>3706</v>
      </c>
      <c r="II2227">
        <v>1997</v>
      </c>
      <c r="IJ2227" t="s">
        <v>3707</v>
      </c>
    </row>
    <row r="2228" spans="1:244" x14ac:dyDescent="0.45">
      <c r="A2228">
        <v>2211999</v>
      </c>
      <c r="B2228">
        <v>2432848</v>
      </c>
      <c r="C2228">
        <v>10108642</v>
      </c>
      <c r="D2228" t="s">
        <v>3523</v>
      </c>
      <c r="F2228" t="s">
        <v>327</v>
      </c>
      <c r="G2228" t="s">
        <v>557</v>
      </c>
      <c r="N2228" t="s">
        <v>312</v>
      </c>
      <c r="O2228" t="s">
        <v>313</v>
      </c>
      <c r="P2228" t="s">
        <v>249</v>
      </c>
      <c r="Q2228" t="s">
        <v>250</v>
      </c>
      <c r="R2228" t="s">
        <v>251</v>
      </c>
      <c r="T2228" t="s">
        <v>252</v>
      </c>
      <c r="U2228" t="s">
        <v>253</v>
      </c>
      <c r="V2228" t="s">
        <v>304</v>
      </c>
      <c r="W2228" t="s">
        <v>305</v>
      </c>
      <c r="X2228" t="s">
        <v>314</v>
      </c>
      <c r="Z2228" t="s">
        <v>649</v>
      </c>
      <c r="AJ2228" t="s">
        <v>285</v>
      </c>
      <c r="AL2228" t="s">
        <v>2093</v>
      </c>
      <c r="AM2228" t="s">
        <v>317</v>
      </c>
      <c r="AN2228" t="s">
        <v>259</v>
      </c>
      <c r="AO2228" t="s">
        <v>260</v>
      </c>
      <c r="AP2228" t="s">
        <v>3848</v>
      </c>
      <c r="AQ2228" t="s">
        <v>261</v>
      </c>
      <c r="AS2228">
        <v>0.9</v>
      </c>
      <c r="AU2228">
        <v>0.71</v>
      </c>
      <c r="AW2228">
        <v>1.1200000000000001</v>
      </c>
      <c r="AX2228" t="s">
        <v>356</v>
      </c>
      <c r="BO2228" t="s">
        <v>261</v>
      </c>
      <c r="BQ2228">
        <v>0.9</v>
      </c>
      <c r="BS2228">
        <v>0.71</v>
      </c>
      <c r="BU2228">
        <v>1.1200000000000001</v>
      </c>
      <c r="BV2228" t="s">
        <v>263</v>
      </c>
      <c r="CM2228" t="s">
        <v>264</v>
      </c>
      <c r="CN2228" t="s">
        <v>264</v>
      </c>
      <c r="CP2228" t="s">
        <v>265</v>
      </c>
      <c r="CQ2228" t="s">
        <v>890</v>
      </c>
      <c r="DB2228">
        <v>2</v>
      </c>
      <c r="DG2228" t="s">
        <v>267</v>
      </c>
      <c r="DI2228">
        <v>48</v>
      </c>
      <c r="DN2228" t="s">
        <v>268</v>
      </c>
      <c r="DP2228" t="s">
        <v>3849</v>
      </c>
      <c r="DR2228">
        <v>221654</v>
      </c>
      <c r="DS2228">
        <v>65263</v>
      </c>
      <c r="DV2228">
        <v>48</v>
      </c>
      <c r="EA2228" t="s">
        <v>268</v>
      </c>
      <c r="EC2228">
        <v>2</v>
      </c>
      <c r="EH2228" t="s">
        <v>267</v>
      </c>
      <c r="EJ2228">
        <v>48</v>
      </c>
      <c r="EO2228" t="s">
        <v>268</v>
      </c>
      <c r="EQ2228">
        <v>2</v>
      </c>
      <c r="EV2228" t="s">
        <v>267</v>
      </c>
      <c r="EW2228" t="s">
        <v>293</v>
      </c>
      <c r="EY2228" t="s">
        <v>377</v>
      </c>
      <c r="FA2228" t="s">
        <v>4003</v>
      </c>
      <c r="FM2228">
        <v>20</v>
      </c>
      <c r="FR2228" t="s">
        <v>295</v>
      </c>
      <c r="GG2228" t="s">
        <v>288</v>
      </c>
      <c r="GH2228">
        <v>40</v>
      </c>
      <c r="GM2228" t="s">
        <v>900</v>
      </c>
      <c r="GO2228">
        <v>7.5</v>
      </c>
      <c r="GQ2228">
        <v>6.1</v>
      </c>
      <c r="GS2228">
        <v>8</v>
      </c>
      <c r="GU2228">
        <v>10</v>
      </c>
      <c r="GZ2228" t="s">
        <v>296</v>
      </c>
      <c r="HH2228" t="s">
        <v>272</v>
      </c>
      <c r="ID2228" t="s">
        <v>3851</v>
      </c>
      <c r="IE2228" t="s">
        <v>3852</v>
      </c>
      <c r="IF2228">
        <v>177340</v>
      </c>
      <c r="IG2228" t="s">
        <v>3853</v>
      </c>
      <c r="IH2228" t="s">
        <v>3854</v>
      </c>
      <c r="II2228">
        <v>1989</v>
      </c>
      <c r="IJ2228" t="s">
        <v>3855</v>
      </c>
    </row>
    <row r="2229" spans="1:244" x14ac:dyDescent="0.45">
      <c r="A2229">
        <v>1068401</v>
      </c>
      <c r="B2229">
        <v>16228</v>
      </c>
      <c r="C2229">
        <v>10108642</v>
      </c>
      <c r="D2229" t="s">
        <v>3523</v>
      </c>
      <c r="F2229" t="s">
        <v>245</v>
      </c>
      <c r="G2229" t="s">
        <v>246</v>
      </c>
      <c r="N2229" t="s">
        <v>1564</v>
      </c>
      <c r="O2229" t="s">
        <v>1565</v>
      </c>
      <c r="P2229" t="s">
        <v>249</v>
      </c>
      <c r="Q2229" t="s">
        <v>250</v>
      </c>
      <c r="R2229" t="s">
        <v>251</v>
      </c>
      <c r="T2229" t="s">
        <v>252</v>
      </c>
      <c r="U2229" t="s">
        <v>253</v>
      </c>
      <c r="V2229" t="s">
        <v>254</v>
      </c>
      <c r="W2229" t="s">
        <v>1566</v>
      </c>
      <c r="X2229" t="s">
        <v>1567</v>
      </c>
      <c r="Z2229" t="s">
        <v>649</v>
      </c>
      <c r="AL2229" t="s">
        <v>3409</v>
      </c>
      <c r="AM2229" t="s">
        <v>317</v>
      </c>
      <c r="AN2229" t="s">
        <v>259</v>
      </c>
      <c r="AO2229" t="s">
        <v>260</v>
      </c>
      <c r="AQ2229" t="s">
        <v>261</v>
      </c>
      <c r="AS2229">
        <v>23800</v>
      </c>
      <c r="AU2229">
        <v>19900</v>
      </c>
      <c r="AW2229">
        <v>28500</v>
      </c>
      <c r="AX2229" t="s">
        <v>262</v>
      </c>
      <c r="BO2229" t="s">
        <v>261</v>
      </c>
      <c r="BQ2229">
        <v>23.8</v>
      </c>
      <c r="BS2229">
        <v>19.899999999999999</v>
      </c>
      <c r="BU2229">
        <v>28.5</v>
      </c>
      <c r="BV2229" t="s">
        <v>263</v>
      </c>
      <c r="CM2229" t="s">
        <v>264</v>
      </c>
      <c r="CN2229" t="s">
        <v>264</v>
      </c>
      <c r="CP2229" t="s">
        <v>265</v>
      </c>
      <c r="CQ2229" t="s">
        <v>890</v>
      </c>
      <c r="DB2229">
        <v>2</v>
      </c>
      <c r="DG2229" t="s">
        <v>267</v>
      </c>
      <c r="DI2229">
        <v>48</v>
      </c>
      <c r="DN2229" t="s">
        <v>268</v>
      </c>
      <c r="DP2229" t="s">
        <v>570</v>
      </c>
      <c r="DR2229">
        <v>6763</v>
      </c>
      <c r="DS2229">
        <v>76</v>
      </c>
      <c r="DT2229" t="s">
        <v>3410</v>
      </c>
      <c r="EW2229" t="s">
        <v>271</v>
      </c>
      <c r="FO2229">
        <v>20</v>
      </c>
      <c r="FQ2229">
        <v>22</v>
      </c>
      <c r="FR2229" t="s">
        <v>295</v>
      </c>
      <c r="GQ2229">
        <v>7.1</v>
      </c>
      <c r="GS2229">
        <v>8.1999999999999993</v>
      </c>
      <c r="GU2229">
        <v>35</v>
      </c>
      <c r="GZ2229" t="s">
        <v>296</v>
      </c>
      <c r="HH2229" t="s">
        <v>272</v>
      </c>
      <c r="IE2229" t="s">
        <v>3411</v>
      </c>
      <c r="IF2229">
        <v>5384</v>
      </c>
      <c r="IG2229" t="s">
        <v>3412</v>
      </c>
      <c r="IH2229" t="s">
        <v>3413</v>
      </c>
      <c r="II2229">
        <v>1979</v>
      </c>
      <c r="IJ2229" t="s">
        <v>3414</v>
      </c>
    </row>
    <row r="2230" spans="1:244" x14ac:dyDescent="0.45">
      <c r="A2230">
        <v>2211993</v>
      </c>
      <c r="B2230">
        <v>2432842</v>
      </c>
      <c r="C2230">
        <v>10108642</v>
      </c>
      <c r="D2230" t="s">
        <v>3523</v>
      </c>
      <c r="F2230" t="s">
        <v>327</v>
      </c>
      <c r="G2230" t="s">
        <v>557</v>
      </c>
      <c r="N2230" t="s">
        <v>312</v>
      </c>
      <c r="O2230" t="s">
        <v>313</v>
      </c>
      <c r="P2230" t="s">
        <v>249</v>
      </c>
      <c r="Q2230" t="s">
        <v>250</v>
      </c>
      <c r="R2230" t="s">
        <v>251</v>
      </c>
      <c r="T2230" t="s">
        <v>252</v>
      </c>
      <c r="U2230" t="s">
        <v>253</v>
      </c>
      <c r="V2230" t="s">
        <v>304</v>
      </c>
      <c r="W2230" t="s">
        <v>305</v>
      </c>
      <c r="X2230" t="s">
        <v>314</v>
      </c>
      <c r="Z2230" t="s">
        <v>649</v>
      </c>
      <c r="AJ2230" t="s">
        <v>285</v>
      </c>
      <c r="AL2230" t="s">
        <v>2093</v>
      </c>
      <c r="AM2230" t="s">
        <v>317</v>
      </c>
      <c r="AN2230" t="s">
        <v>259</v>
      </c>
      <c r="AO2230" t="s">
        <v>260</v>
      </c>
      <c r="AP2230" t="s">
        <v>3848</v>
      </c>
      <c r="AQ2230" t="s">
        <v>261</v>
      </c>
      <c r="AS2230">
        <v>0.97</v>
      </c>
      <c r="AU2230">
        <v>0.72</v>
      </c>
      <c r="AW2230">
        <v>1.28</v>
      </c>
      <c r="AX2230" t="s">
        <v>356</v>
      </c>
      <c r="BO2230" t="s">
        <v>261</v>
      </c>
      <c r="BQ2230">
        <v>0.97</v>
      </c>
      <c r="BS2230">
        <v>0.72</v>
      </c>
      <c r="BU2230">
        <v>1.28</v>
      </c>
      <c r="BV2230" t="s">
        <v>263</v>
      </c>
      <c r="CM2230" t="s">
        <v>264</v>
      </c>
      <c r="CN2230" t="s">
        <v>264</v>
      </c>
      <c r="CP2230" t="s">
        <v>265</v>
      </c>
      <c r="CQ2230" t="s">
        <v>890</v>
      </c>
      <c r="DB2230">
        <v>2</v>
      </c>
      <c r="DG2230" t="s">
        <v>267</v>
      </c>
      <c r="DI2230">
        <v>48</v>
      </c>
      <c r="DN2230" t="s">
        <v>268</v>
      </c>
      <c r="DP2230" t="s">
        <v>3849</v>
      </c>
      <c r="DR2230">
        <v>221654</v>
      </c>
      <c r="DS2230">
        <v>65263</v>
      </c>
      <c r="DV2230">
        <v>48</v>
      </c>
      <c r="EA2230" t="s">
        <v>268</v>
      </c>
      <c r="EC2230">
        <v>2</v>
      </c>
      <c r="EH2230" t="s">
        <v>267</v>
      </c>
      <c r="EJ2230">
        <v>48</v>
      </c>
      <c r="EO2230" t="s">
        <v>268</v>
      </c>
      <c r="EQ2230">
        <v>2</v>
      </c>
      <c r="EV2230" t="s">
        <v>267</v>
      </c>
      <c r="EW2230" t="s">
        <v>293</v>
      </c>
      <c r="EY2230" t="s">
        <v>377</v>
      </c>
      <c r="FA2230" t="s">
        <v>4004</v>
      </c>
      <c r="FM2230">
        <v>20</v>
      </c>
      <c r="FR2230" t="s">
        <v>295</v>
      </c>
      <c r="GG2230" t="s">
        <v>288</v>
      </c>
      <c r="GH2230">
        <v>40</v>
      </c>
      <c r="GM2230" t="s">
        <v>900</v>
      </c>
      <c r="GO2230">
        <v>7.5</v>
      </c>
      <c r="GQ2230">
        <v>6.1</v>
      </c>
      <c r="GS2230">
        <v>8</v>
      </c>
      <c r="GU2230">
        <v>10</v>
      </c>
      <c r="GZ2230" t="s">
        <v>296</v>
      </c>
      <c r="HH2230" t="s">
        <v>272</v>
      </c>
      <c r="ID2230" t="s">
        <v>3851</v>
      </c>
      <c r="IE2230" t="s">
        <v>3852</v>
      </c>
      <c r="IF2230">
        <v>177340</v>
      </c>
      <c r="IG2230" t="s">
        <v>3853</v>
      </c>
      <c r="IH2230" t="s">
        <v>3854</v>
      </c>
      <c r="II2230">
        <v>1989</v>
      </c>
      <c r="IJ2230" t="s">
        <v>3855</v>
      </c>
    </row>
    <row r="2231" spans="1:244" x14ac:dyDescent="0.45">
      <c r="A2231">
        <v>1207256</v>
      </c>
      <c r="B2231">
        <v>182038</v>
      </c>
      <c r="C2231">
        <v>10108642</v>
      </c>
      <c r="D2231" t="s">
        <v>3523</v>
      </c>
      <c r="F2231" t="s">
        <v>245</v>
      </c>
      <c r="G2231" t="s">
        <v>246</v>
      </c>
      <c r="N2231" t="s">
        <v>1022</v>
      </c>
      <c r="O2231" t="s">
        <v>578</v>
      </c>
      <c r="P2231" t="s">
        <v>249</v>
      </c>
      <c r="Q2231" t="s">
        <v>250</v>
      </c>
      <c r="R2231" t="s">
        <v>251</v>
      </c>
      <c r="T2231" t="s">
        <v>252</v>
      </c>
      <c r="U2231" t="s">
        <v>499</v>
      </c>
      <c r="V2231" t="s">
        <v>992</v>
      </c>
      <c r="W2231" t="s">
        <v>1023</v>
      </c>
      <c r="X2231" t="s">
        <v>1024</v>
      </c>
      <c r="AL2231" t="s">
        <v>4005</v>
      </c>
      <c r="AM2231" t="s">
        <v>317</v>
      </c>
      <c r="AN2231" t="s">
        <v>259</v>
      </c>
      <c r="AO2231" t="s">
        <v>260</v>
      </c>
      <c r="AQ2231" t="s">
        <v>261</v>
      </c>
      <c r="AS2231">
        <v>650</v>
      </c>
      <c r="AX2231" t="s">
        <v>262</v>
      </c>
      <c r="BO2231" t="s">
        <v>261</v>
      </c>
      <c r="BQ2231">
        <v>0.65</v>
      </c>
      <c r="BV2231" t="s">
        <v>263</v>
      </c>
      <c r="CM2231" t="s">
        <v>264</v>
      </c>
      <c r="CN2231" t="s">
        <v>264</v>
      </c>
      <c r="CP2231" t="s">
        <v>265</v>
      </c>
      <c r="CQ2231" t="s">
        <v>890</v>
      </c>
      <c r="DB2231">
        <v>4</v>
      </c>
      <c r="DG2231" t="s">
        <v>267</v>
      </c>
      <c r="DI2231">
        <v>96</v>
      </c>
      <c r="DN2231" t="s">
        <v>268</v>
      </c>
      <c r="DR2231">
        <v>247138</v>
      </c>
      <c r="DS2231">
        <v>4424</v>
      </c>
      <c r="DT2231" t="s">
        <v>3860</v>
      </c>
      <c r="EW2231" t="s">
        <v>293</v>
      </c>
      <c r="FM2231">
        <v>25.2</v>
      </c>
      <c r="FO2231">
        <v>23.5</v>
      </c>
      <c r="FQ2231">
        <v>26.2</v>
      </c>
      <c r="FR2231" t="s">
        <v>295</v>
      </c>
      <c r="GH2231">
        <v>7</v>
      </c>
      <c r="GJ2231">
        <v>4</v>
      </c>
      <c r="GL2231">
        <v>8.4</v>
      </c>
      <c r="GM2231" t="s">
        <v>356</v>
      </c>
      <c r="GO2231">
        <v>7.98</v>
      </c>
      <c r="GQ2231">
        <v>7.73</v>
      </c>
      <c r="GS2231">
        <v>8.3000000000000007</v>
      </c>
      <c r="GU2231">
        <v>8</v>
      </c>
      <c r="GZ2231" t="s">
        <v>296</v>
      </c>
      <c r="HH2231" t="s">
        <v>272</v>
      </c>
      <c r="IE2231" t="s">
        <v>3862</v>
      </c>
      <c r="IF2231">
        <v>19002</v>
      </c>
      <c r="IG2231" t="s">
        <v>3863</v>
      </c>
      <c r="IH2231" t="s">
        <v>3864</v>
      </c>
      <c r="II2231">
        <v>1998</v>
      </c>
      <c r="IJ2231" t="s">
        <v>3865</v>
      </c>
    </row>
    <row r="2232" spans="1:244" x14ac:dyDescent="0.45">
      <c r="A2232">
        <v>1204996</v>
      </c>
      <c r="B2232">
        <v>171134</v>
      </c>
      <c r="C2232">
        <v>10108642</v>
      </c>
      <c r="D2232" t="s">
        <v>3523</v>
      </c>
      <c r="F2232" t="s">
        <v>272</v>
      </c>
      <c r="G2232" t="s">
        <v>246</v>
      </c>
      <c r="N2232" t="s">
        <v>829</v>
      </c>
      <c r="O2232" t="s">
        <v>631</v>
      </c>
      <c r="P2232" t="s">
        <v>249</v>
      </c>
      <c r="Q2232" t="s">
        <v>250</v>
      </c>
      <c r="R2232" t="s">
        <v>251</v>
      </c>
      <c r="T2232" t="s">
        <v>389</v>
      </c>
      <c r="U2232" t="s">
        <v>632</v>
      </c>
      <c r="V2232" t="s">
        <v>830</v>
      </c>
      <c r="W2232" t="s">
        <v>831</v>
      </c>
      <c r="X2232" t="s">
        <v>832</v>
      </c>
      <c r="Z2232" t="s">
        <v>2426</v>
      </c>
      <c r="AD2232">
        <v>48</v>
      </c>
      <c r="AF2232">
        <v>72</v>
      </c>
      <c r="AG2232" t="s">
        <v>268</v>
      </c>
      <c r="AM2232" t="s">
        <v>317</v>
      </c>
      <c r="AN2232" t="s">
        <v>259</v>
      </c>
      <c r="AO2232" t="s">
        <v>260</v>
      </c>
      <c r="AQ2232" t="s">
        <v>1569</v>
      </c>
      <c r="AT2232" t="s">
        <v>288</v>
      </c>
      <c r="AU2232">
        <v>0</v>
      </c>
      <c r="AV2232" t="s">
        <v>289</v>
      </c>
      <c r="AW2232">
        <v>10</v>
      </c>
      <c r="AX2232" t="s">
        <v>262</v>
      </c>
      <c r="AY2232" t="s">
        <v>261</v>
      </c>
      <c r="BA2232">
        <v>82.9</v>
      </c>
      <c r="BC2232">
        <v>51.1</v>
      </c>
      <c r="BE2232">
        <v>134.30000000000001</v>
      </c>
      <c r="BF2232" t="s">
        <v>262</v>
      </c>
      <c r="BO2232" t="s">
        <v>1569</v>
      </c>
      <c r="BR2232" t="s">
        <v>288</v>
      </c>
      <c r="BS2232">
        <v>0</v>
      </c>
      <c r="BT2232" t="s">
        <v>289</v>
      </c>
      <c r="BU2232">
        <v>0.01</v>
      </c>
      <c r="BV2232" t="s">
        <v>263</v>
      </c>
      <c r="BW2232" t="s">
        <v>261</v>
      </c>
      <c r="BY2232">
        <v>8.2900000000000001E-2</v>
      </c>
      <c r="CA2232">
        <v>5.11E-2</v>
      </c>
      <c r="CC2232">
        <v>0.1343</v>
      </c>
      <c r="CD2232" t="s">
        <v>263</v>
      </c>
      <c r="CM2232" t="s">
        <v>264</v>
      </c>
      <c r="CN2232" t="s">
        <v>264</v>
      </c>
      <c r="CP2232" t="s">
        <v>265</v>
      </c>
      <c r="CR2232" t="s">
        <v>890</v>
      </c>
      <c r="DB2232">
        <v>4</v>
      </c>
      <c r="DG2232" t="s">
        <v>267</v>
      </c>
      <c r="DI2232">
        <v>96</v>
      </c>
      <c r="DN2232" t="s">
        <v>268</v>
      </c>
      <c r="DR2232">
        <v>88015</v>
      </c>
      <c r="DS2232">
        <v>649</v>
      </c>
      <c r="DT2232" t="s">
        <v>3866</v>
      </c>
      <c r="EW2232" t="s">
        <v>293</v>
      </c>
      <c r="FK2232" t="s">
        <v>3867</v>
      </c>
      <c r="FO2232">
        <v>24</v>
      </c>
      <c r="FQ2232">
        <v>25</v>
      </c>
      <c r="FR2232" t="s">
        <v>295</v>
      </c>
      <c r="GJ2232">
        <v>6.4</v>
      </c>
      <c r="GL2232">
        <v>7.2</v>
      </c>
      <c r="GM2232" t="s">
        <v>356</v>
      </c>
      <c r="GQ2232">
        <v>7.89</v>
      </c>
      <c r="GS2232">
        <v>8.4499999999999993</v>
      </c>
      <c r="GW2232">
        <v>24</v>
      </c>
      <c r="GY2232">
        <v>27</v>
      </c>
      <c r="GZ2232" t="s">
        <v>296</v>
      </c>
      <c r="HH2232" t="s">
        <v>272</v>
      </c>
      <c r="ID2232" t="s">
        <v>3868</v>
      </c>
      <c r="IE2232" t="s">
        <v>3869</v>
      </c>
      <c r="IF2232">
        <v>18671</v>
      </c>
      <c r="IG2232" t="s">
        <v>3870</v>
      </c>
      <c r="IH2232" t="s">
        <v>3871</v>
      </c>
      <c r="II2232">
        <v>1995</v>
      </c>
      <c r="IJ2232" t="s">
        <v>3872</v>
      </c>
    </row>
    <row r="2233" spans="1:244" x14ac:dyDescent="0.45">
      <c r="A2233">
        <v>1036239</v>
      </c>
      <c r="B2233">
        <v>221762</v>
      </c>
      <c r="C2233">
        <v>10108642</v>
      </c>
      <c r="D2233" t="s">
        <v>3523</v>
      </c>
      <c r="F2233" t="s">
        <v>245</v>
      </c>
      <c r="G2233" t="s">
        <v>246</v>
      </c>
      <c r="N2233" t="s">
        <v>312</v>
      </c>
      <c r="O2233" t="s">
        <v>313</v>
      </c>
      <c r="P2233" t="s">
        <v>249</v>
      </c>
      <c r="Q2233" t="s">
        <v>250</v>
      </c>
      <c r="R2233" t="s">
        <v>251</v>
      </c>
      <c r="T2233" t="s">
        <v>252</v>
      </c>
      <c r="U2233" t="s">
        <v>253</v>
      </c>
      <c r="V2233" t="s">
        <v>304</v>
      </c>
      <c r="W2233" t="s">
        <v>305</v>
      </c>
      <c r="X2233" t="s">
        <v>314</v>
      </c>
      <c r="Z2233" t="s">
        <v>315</v>
      </c>
      <c r="AL2233" t="s">
        <v>3953</v>
      </c>
      <c r="AM2233" t="s">
        <v>317</v>
      </c>
      <c r="AN2233" t="s">
        <v>259</v>
      </c>
      <c r="AO2233" t="s">
        <v>260</v>
      </c>
      <c r="AQ2233" t="s">
        <v>261</v>
      </c>
      <c r="AS2233">
        <v>3.89</v>
      </c>
      <c r="AU2233">
        <v>2.95</v>
      </c>
      <c r="AW2233">
        <v>4.5599999999999996</v>
      </c>
      <c r="AX2233" t="s">
        <v>356</v>
      </c>
      <c r="BO2233" t="s">
        <v>261</v>
      </c>
      <c r="BQ2233">
        <v>3.89</v>
      </c>
      <c r="BS2233">
        <v>2.95</v>
      </c>
      <c r="BU2233">
        <v>4.5599999999999996</v>
      </c>
      <c r="BV2233" t="s">
        <v>263</v>
      </c>
      <c r="CM2233" t="s">
        <v>264</v>
      </c>
      <c r="CN2233" t="s">
        <v>264</v>
      </c>
      <c r="CP2233" t="s">
        <v>265</v>
      </c>
      <c r="CQ2233" t="s">
        <v>890</v>
      </c>
      <c r="DB2233">
        <v>4</v>
      </c>
      <c r="DG2233" t="s">
        <v>267</v>
      </c>
      <c r="DI2233">
        <v>96</v>
      </c>
      <c r="DN2233" t="s">
        <v>268</v>
      </c>
      <c r="DR2233">
        <v>221654</v>
      </c>
      <c r="DS2233">
        <v>65263</v>
      </c>
      <c r="DT2233" t="s">
        <v>3938</v>
      </c>
      <c r="EW2233" t="s">
        <v>293</v>
      </c>
      <c r="FA2233" t="s">
        <v>3939</v>
      </c>
      <c r="FO2233">
        <v>23</v>
      </c>
      <c r="FQ2233">
        <v>25</v>
      </c>
      <c r="FR2233" t="s">
        <v>295</v>
      </c>
      <c r="GU2233">
        <v>20</v>
      </c>
      <c r="GZ2233" t="s">
        <v>296</v>
      </c>
      <c r="HH2233" t="s">
        <v>272</v>
      </c>
      <c r="IE2233" t="s">
        <v>3940</v>
      </c>
      <c r="IF2233">
        <v>2196</v>
      </c>
      <c r="IG2233" t="s">
        <v>3941</v>
      </c>
      <c r="IH2233" t="s">
        <v>3942</v>
      </c>
      <c r="II2233">
        <v>1988</v>
      </c>
      <c r="IJ2233" t="s">
        <v>3943</v>
      </c>
    </row>
    <row r="2234" spans="1:244" x14ac:dyDescent="0.45">
      <c r="A2234">
        <v>1116276</v>
      </c>
      <c r="B2234">
        <v>107518</v>
      </c>
      <c r="C2234">
        <v>10108642</v>
      </c>
      <c r="D2234" t="s">
        <v>3523</v>
      </c>
      <c r="F2234" t="s">
        <v>245</v>
      </c>
      <c r="G2234" t="s">
        <v>246</v>
      </c>
      <c r="N2234" t="s">
        <v>630</v>
      </c>
      <c r="O2234" t="s">
        <v>631</v>
      </c>
      <c r="P2234" t="s">
        <v>249</v>
      </c>
      <c r="Q2234" t="s">
        <v>250</v>
      </c>
      <c r="R2234" t="s">
        <v>251</v>
      </c>
      <c r="T2234" t="s">
        <v>389</v>
      </c>
      <c r="U2234" t="s">
        <v>632</v>
      </c>
      <c r="V2234" t="s">
        <v>633</v>
      </c>
      <c r="W2234" t="s">
        <v>634</v>
      </c>
      <c r="X2234" t="s">
        <v>635</v>
      </c>
      <c r="Z2234" t="s">
        <v>315</v>
      </c>
      <c r="AM2234" t="s">
        <v>317</v>
      </c>
      <c r="AN2234" t="s">
        <v>259</v>
      </c>
      <c r="AO2234" t="s">
        <v>260</v>
      </c>
      <c r="AQ2234" t="s">
        <v>261</v>
      </c>
      <c r="AS2234">
        <v>93</v>
      </c>
      <c r="AU2234">
        <v>82</v>
      </c>
      <c r="AW2234">
        <v>106</v>
      </c>
      <c r="AX2234" t="s">
        <v>262</v>
      </c>
      <c r="BO2234" t="s">
        <v>261</v>
      </c>
      <c r="BQ2234">
        <v>9.2999999999999999E-2</v>
      </c>
      <c r="BS2234">
        <v>8.2000000000000003E-2</v>
      </c>
      <c r="BU2234">
        <v>0.106</v>
      </c>
      <c r="BV2234" t="s">
        <v>263</v>
      </c>
      <c r="CM2234" t="s">
        <v>264</v>
      </c>
      <c r="CN2234" t="s">
        <v>264</v>
      </c>
      <c r="CP2234" t="s">
        <v>265</v>
      </c>
      <c r="CQ2234" t="s">
        <v>890</v>
      </c>
      <c r="DB2234">
        <v>4</v>
      </c>
      <c r="DG2234" t="s">
        <v>267</v>
      </c>
      <c r="DI2234">
        <v>96</v>
      </c>
      <c r="DN2234" t="s">
        <v>268</v>
      </c>
      <c r="DR2234">
        <v>136180</v>
      </c>
      <c r="DS2234">
        <v>376</v>
      </c>
      <c r="DT2234" t="s">
        <v>3890</v>
      </c>
      <c r="EW2234" t="s">
        <v>271</v>
      </c>
      <c r="FM2234">
        <v>18</v>
      </c>
      <c r="FR2234" t="s">
        <v>295</v>
      </c>
      <c r="GU2234">
        <v>15</v>
      </c>
      <c r="GZ2234" t="s">
        <v>296</v>
      </c>
      <c r="HH2234" t="s">
        <v>272</v>
      </c>
      <c r="IE2234" t="s">
        <v>3891</v>
      </c>
      <c r="IF2234">
        <v>9029</v>
      </c>
      <c r="IG2234" t="s">
        <v>3892</v>
      </c>
      <c r="IH2234" t="s">
        <v>3893</v>
      </c>
      <c r="II2234">
        <v>1987</v>
      </c>
      <c r="IJ2234" t="s">
        <v>3894</v>
      </c>
    </row>
    <row r="2235" spans="1:244" x14ac:dyDescent="0.45">
      <c r="A2235">
        <v>1200166</v>
      </c>
      <c r="B2235">
        <v>154746</v>
      </c>
      <c r="C2235">
        <v>10108642</v>
      </c>
      <c r="D2235" t="s">
        <v>3523</v>
      </c>
      <c r="F2235" t="s">
        <v>245</v>
      </c>
      <c r="G2235" t="s">
        <v>246</v>
      </c>
      <c r="N2235" t="s">
        <v>1022</v>
      </c>
      <c r="O2235" t="s">
        <v>578</v>
      </c>
      <c r="P2235" t="s">
        <v>249</v>
      </c>
      <c r="Q2235" t="s">
        <v>250</v>
      </c>
      <c r="R2235" t="s">
        <v>251</v>
      </c>
      <c r="T2235" t="s">
        <v>252</v>
      </c>
      <c r="U2235" t="s">
        <v>499</v>
      </c>
      <c r="V2235" t="s">
        <v>992</v>
      </c>
      <c r="W2235" t="s">
        <v>1023</v>
      </c>
      <c r="X2235" t="s">
        <v>1024</v>
      </c>
      <c r="AD2235">
        <v>7</v>
      </c>
      <c r="AF2235">
        <v>14</v>
      </c>
      <c r="AG2235" t="s">
        <v>267</v>
      </c>
      <c r="AL2235" t="s">
        <v>3873</v>
      </c>
      <c r="AM2235" t="s">
        <v>317</v>
      </c>
      <c r="AN2235" t="s">
        <v>259</v>
      </c>
      <c r="AO2235" t="s">
        <v>260</v>
      </c>
      <c r="AQ2235" t="s">
        <v>261</v>
      </c>
      <c r="AT2235" t="s">
        <v>288</v>
      </c>
      <c r="AU2235">
        <v>20</v>
      </c>
      <c r="AV2235" t="s">
        <v>289</v>
      </c>
      <c r="AW2235">
        <v>40</v>
      </c>
      <c r="AX2235" t="s">
        <v>262</v>
      </c>
      <c r="BO2235" t="s">
        <v>261</v>
      </c>
      <c r="BR2235" t="s">
        <v>288</v>
      </c>
      <c r="BS2235">
        <v>0.02</v>
      </c>
      <c r="BT2235" t="s">
        <v>289</v>
      </c>
      <c r="BU2235">
        <v>0.04</v>
      </c>
      <c r="BV2235" t="s">
        <v>263</v>
      </c>
      <c r="CM2235" t="s">
        <v>264</v>
      </c>
      <c r="CN2235" t="s">
        <v>264</v>
      </c>
      <c r="CP2235" t="s">
        <v>265</v>
      </c>
      <c r="CQ2235" t="s">
        <v>890</v>
      </c>
      <c r="DB2235">
        <v>4</v>
      </c>
      <c r="DG2235" t="s">
        <v>267</v>
      </c>
      <c r="DI2235">
        <v>96</v>
      </c>
      <c r="DN2235" t="s">
        <v>268</v>
      </c>
      <c r="DR2235">
        <v>247138</v>
      </c>
      <c r="DS2235">
        <v>4424</v>
      </c>
      <c r="DT2235" t="s">
        <v>3874</v>
      </c>
      <c r="EW2235" t="s">
        <v>272</v>
      </c>
      <c r="FK2235" t="s">
        <v>3875</v>
      </c>
      <c r="FM2235">
        <v>23</v>
      </c>
      <c r="FR2235" t="s">
        <v>295</v>
      </c>
      <c r="GU2235">
        <v>5</v>
      </c>
      <c r="GZ2235" t="s">
        <v>296</v>
      </c>
      <c r="HH2235" t="s">
        <v>272</v>
      </c>
      <c r="ID2235" t="s">
        <v>3876</v>
      </c>
      <c r="IE2235" t="s">
        <v>3877</v>
      </c>
      <c r="IF2235">
        <v>18159</v>
      </c>
      <c r="IG2235" t="s">
        <v>3878</v>
      </c>
      <c r="IH2235" t="s">
        <v>3879</v>
      </c>
      <c r="II2235">
        <v>1997</v>
      </c>
      <c r="IJ2235" t="s">
        <v>3880</v>
      </c>
    </row>
    <row r="2236" spans="1:244" x14ac:dyDescent="0.45">
      <c r="A2236">
        <v>1059926</v>
      </c>
      <c r="B2236">
        <v>131250</v>
      </c>
      <c r="C2236">
        <v>10108642</v>
      </c>
      <c r="D2236" t="s">
        <v>3523</v>
      </c>
      <c r="F2236" t="s">
        <v>327</v>
      </c>
      <c r="G2236" t="s">
        <v>246</v>
      </c>
      <c r="N2236" t="s">
        <v>590</v>
      </c>
      <c r="O2236" t="s">
        <v>578</v>
      </c>
      <c r="P2236" t="s">
        <v>249</v>
      </c>
      <c r="Q2236" t="s">
        <v>250</v>
      </c>
      <c r="R2236" t="s">
        <v>251</v>
      </c>
      <c r="T2236" t="s">
        <v>252</v>
      </c>
      <c r="U2236" t="s">
        <v>499</v>
      </c>
      <c r="V2236" t="s">
        <v>591</v>
      </c>
      <c r="W2236" t="s">
        <v>592</v>
      </c>
      <c r="X2236" t="s">
        <v>593</v>
      </c>
      <c r="AM2236" t="s">
        <v>287</v>
      </c>
      <c r="AN2236" t="s">
        <v>259</v>
      </c>
      <c r="AO2236" t="s">
        <v>260</v>
      </c>
      <c r="AQ2236" t="s">
        <v>261</v>
      </c>
      <c r="AS2236">
        <v>580</v>
      </c>
      <c r="AU2236">
        <v>350</v>
      </c>
      <c r="AW2236">
        <v>980</v>
      </c>
      <c r="AX2236" t="s">
        <v>262</v>
      </c>
      <c r="BO2236" t="s">
        <v>261</v>
      </c>
      <c r="BQ2236">
        <v>0.57999999999999996</v>
      </c>
      <c r="BS2236">
        <v>0.35</v>
      </c>
      <c r="BU2236">
        <v>0.98</v>
      </c>
      <c r="BV2236" t="s">
        <v>263</v>
      </c>
      <c r="CM2236" t="s">
        <v>264</v>
      </c>
      <c r="CN2236" t="s">
        <v>264</v>
      </c>
      <c r="CP2236" t="s">
        <v>265</v>
      </c>
      <c r="CQ2236" t="s">
        <v>890</v>
      </c>
      <c r="DB2236">
        <v>4</v>
      </c>
      <c r="DG2236" t="s">
        <v>267</v>
      </c>
      <c r="DI2236">
        <v>96</v>
      </c>
      <c r="DN2236" t="s">
        <v>268</v>
      </c>
      <c r="DR2236">
        <v>1239313</v>
      </c>
      <c r="DS2236">
        <v>4665</v>
      </c>
      <c r="EW2236" t="s">
        <v>333</v>
      </c>
      <c r="FA2236" t="s">
        <v>4006</v>
      </c>
      <c r="FK2236" t="s">
        <v>3946</v>
      </c>
      <c r="FM2236">
        <v>20</v>
      </c>
      <c r="FR2236" t="s">
        <v>295</v>
      </c>
      <c r="GU2236">
        <v>28</v>
      </c>
      <c r="GZ2236" t="s">
        <v>296</v>
      </c>
      <c r="HH2236" t="s">
        <v>272</v>
      </c>
      <c r="ID2236" t="s">
        <v>3947</v>
      </c>
      <c r="IE2236" t="s">
        <v>3948</v>
      </c>
      <c r="IF2236">
        <v>4443</v>
      </c>
      <c r="IG2236" t="s">
        <v>3949</v>
      </c>
      <c r="IH2236" t="s">
        <v>3950</v>
      </c>
      <c r="II2236">
        <v>1994</v>
      </c>
      <c r="IJ2236" t="s">
        <v>3951</v>
      </c>
    </row>
    <row r="2237" spans="1:244" x14ac:dyDescent="0.45">
      <c r="A2237">
        <v>1207257</v>
      </c>
      <c r="B2237">
        <v>182039</v>
      </c>
      <c r="C2237">
        <v>10108642</v>
      </c>
      <c r="D2237" t="s">
        <v>3523</v>
      </c>
      <c r="F2237" t="s">
        <v>245</v>
      </c>
      <c r="G2237" t="s">
        <v>246</v>
      </c>
      <c r="N2237" t="s">
        <v>1022</v>
      </c>
      <c r="O2237" t="s">
        <v>578</v>
      </c>
      <c r="P2237" t="s">
        <v>249</v>
      </c>
      <c r="Q2237" t="s">
        <v>250</v>
      </c>
      <c r="R2237" t="s">
        <v>251</v>
      </c>
      <c r="T2237" t="s">
        <v>252</v>
      </c>
      <c r="U2237" t="s">
        <v>499</v>
      </c>
      <c r="V2237" t="s">
        <v>992</v>
      </c>
      <c r="W2237" t="s">
        <v>1023</v>
      </c>
      <c r="X2237" t="s">
        <v>1024</v>
      </c>
      <c r="AL2237" t="s">
        <v>4007</v>
      </c>
      <c r="AM2237" t="s">
        <v>317</v>
      </c>
      <c r="AN2237" t="s">
        <v>259</v>
      </c>
      <c r="AO2237" t="s">
        <v>260</v>
      </c>
      <c r="AQ2237" t="s">
        <v>261</v>
      </c>
      <c r="AS2237">
        <v>880</v>
      </c>
      <c r="AX2237" t="s">
        <v>262</v>
      </c>
      <c r="BO2237" t="s">
        <v>261</v>
      </c>
      <c r="BQ2237">
        <v>0.88</v>
      </c>
      <c r="BV2237" t="s">
        <v>263</v>
      </c>
      <c r="CM2237" t="s">
        <v>264</v>
      </c>
      <c r="CN2237" t="s">
        <v>264</v>
      </c>
      <c r="CP2237" t="s">
        <v>265</v>
      </c>
      <c r="CQ2237" t="s">
        <v>890</v>
      </c>
      <c r="DB2237">
        <v>4</v>
      </c>
      <c r="DG2237" t="s">
        <v>267</v>
      </c>
      <c r="DI2237">
        <v>96</v>
      </c>
      <c r="DN2237" t="s">
        <v>268</v>
      </c>
      <c r="DR2237">
        <v>247138</v>
      </c>
      <c r="DS2237">
        <v>4424</v>
      </c>
      <c r="DT2237" t="s">
        <v>3860</v>
      </c>
      <c r="EW2237" t="s">
        <v>293</v>
      </c>
      <c r="FM2237">
        <v>25.2</v>
      </c>
      <c r="FO2237">
        <v>23.5</v>
      </c>
      <c r="FQ2237">
        <v>26.2</v>
      </c>
      <c r="FR2237" t="s">
        <v>295</v>
      </c>
      <c r="GH2237">
        <v>7</v>
      </c>
      <c r="GJ2237">
        <v>4</v>
      </c>
      <c r="GL2237">
        <v>8.4</v>
      </c>
      <c r="GM2237" t="s">
        <v>356</v>
      </c>
      <c r="GO2237">
        <v>7.98</v>
      </c>
      <c r="GQ2237">
        <v>7.73</v>
      </c>
      <c r="GS2237">
        <v>8.3000000000000007</v>
      </c>
      <c r="GU2237">
        <v>8</v>
      </c>
      <c r="GZ2237" t="s">
        <v>296</v>
      </c>
      <c r="HH2237" t="s">
        <v>272</v>
      </c>
      <c r="IE2237" t="s">
        <v>3862</v>
      </c>
      <c r="IF2237">
        <v>19002</v>
      </c>
      <c r="IG2237" t="s">
        <v>3863</v>
      </c>
      <c r="IH2237" t="s">
        <v>3864</v>
      </c>
      <c r="II2237">
        <v>1998</v>
      </c>
      <c r="IJ2237" t="s">
        <v>3865</v>
      </c>
    </row>
    <row r="2238" spans="1:244" x14ac:dyDescent="0.45">
      <c r="A2238">
        <v>1207263</v>
      </c>
      <c r="B2238">
        <v>182045</v>
      </c>
      <c r="C2238">
        <v>10108642</v>
      </c>
      <c r="D2238" t="s">
        <v>3523</v>
      </c>
      <c r="F2238" t="s">
        <v>245</v>
      </c>
      <c r="G2238" t="s">
        <v>246</v>
      </c>
      <c r="N2238" t="s">
        <v>1022</v>
      </c>
      <c r="O2238" t="s">
        <v>578</v>
      </c>
      <c r="P2238" t="s">
        <v>249</v>
      </c>
      <c r="Q2238" t="s">
        <v>250</v>
      </c>
      <c r="R2238" t="s">
        <v>251</v>
      </c>
      <c r="T2238" t="s">
        <v>252</v>
      </c>
      <c r="U2238" t="s">
        <v>499</v>
      </c>
      <c r="V2238" t="s">
        <v>992</v>
      </c>
      <c r="W2238" t="s">
        <v>1023</v>
      </c>
      <c r="X2238" t="s">
        <v>1024</v>
      </c>
      <c r="Z2238" t="s">
        <v>315</v>
      </c>
      <c r="AM2238" t="s">
        <v>317</v>
      </c>
      <c r="AN2238" t="s">
        <v>259</v>
      </c>
      <c r="AO2238" t="s">
        <v>260</v>
      </c>
      <c r="AQ2238" t="s">
        <v>261</v>
      </c>
      <c r="AS2238">
        <v>370</v>
      </c>
      <c r="AX2238" t="s">
        <v>262</v>
      </c>
      <c r="BO2238" t="s">
        <v>261</v>
      </c>
      <c r="BQ2238">
        <v>0.37</v>
      </c>
      <c r="BV2238" t="s">
        <v>263</v>
      </c>
      <c r="CM2238" t="s">
        <v>264</v>
      </c>
      <c r="CN2238" t="s">
        <v>264</v>
      </c>
      <c r="CP2238" t="s">
        <v>265</v>
      </c>
      <c r="CQ2238" t="s">
        <v>890</v>
      </c>
      <c r="DB2238">
        <v>4</v>
      </c>
      <c r="DG2238" t="s">
        <v>267</v>
      </c>
      <c r="DI2238">
        <v>96</v>
      </c>
      <c r="DN2238" t="s">
        <v>268</v>
      </c>
      <c r="DR2238">
        <v>247138</v>
      </c>
      <c r="DS2238">
        <v>4424</v>
      </c>
      <c r="DT2238" t="s">
        <v>3860</v>
      </c>
      <c r="EW2238" t="s">
        <v>293</v>
      </c>
      <c r="FA2238" t="s">
        <v>3916</v>
      </c>
      <c r="FK2238" t="s">
        <v>1186</v>
      </c>
      <c r="FM2238">
        <v>25.2</v>
      </c>
      <c r="FO2238">
        <v>23.5</v>
      </c>
      <c r="FQ2238">
        <v>26.2</v>
      </c>
      <c r="FR2238" t="s">
        <v>295</v>
      </c>
      <c r="GH2238">
        <v>7</v>
      </c>
      <c r="GJ2238">
        <v>4</v>
      </c>
      <c r="GL2238">
        <v>8.4</v>
      </c>
      <c r="GM2238" t="s">
        <v>356</v>
      </c>
      <c r="GO2238">
        <v>7.98</v>
      </c>
      <c r="GQ2238">
        <v>7.73</v>
      </c>
      <c r="GS2238">
        <v>8.3000000000000007</v>
      </c>
      <c r="GU2238">
        <v>8</v>
      </c>
      <c r="GZ2238" t="s">
        <v>296</v>
      </c>
      <c r="HH2238" t="s">
        <v>272</v>
      </c>
      <c r="ID2238" t="s">
        <v>1187</v>
      </c>
      <c r="IE2238" t="s">
        <v>3862</v>
      </c>
      <c r="IF2238">
        <v>19002</v>
      </c>
      <c r="IG2238" t="s">
        <v>3863</v>
      </c>
      <c r="IH2238" t="s">
        <v>3864</v>
      </c>
      <c r="II2238">
        <v>1998</v>
      </c>
      <c r="IJ2238" t="s">
        <v>3865</v>
      </c>
    </row>
    <row r="2239" spans="1:244" x14ac:dyDescent="0.45">
      <c r="A2239">
        <v>2211989</v>
      </c>
      <c r="B2239">
        <v>2432838</v>
      </c>
      <c r="C2239">
        <v>10108642</v>
      </c>
      <c r="D2239" t="s">
        <v>3523</v>
      </c>
      <c r="F2239" t="s">
        <v>327</v>
      </c>
      <c r="G2239" t="s">
        <v>557</v>
      </c>
      <c r="N2239" t="s">
        <v>312</v>
      </c>
      <c r="O2239" t="s">
        <v>313</v>
      </c>
      <c r="P2239" t="s">
        <v>249</v>
      </c>
      <c r="Q2239" t="s">
        <v>250</v>
      </c>
      <c r="R2239" t="s">
        <v>251</v>
      </c>
      <c r="T2239" t="s">
        <v>252</v>
      </c>
      <c r="U2239" t="s">
        <v>253</v>
      </c>
      <c r="V2239" t="s">
        <v>304</v>
      </c>
      <c r="W2239" t="s">
        <v>305</v>
      </c>
      <c r="X2239" t="s">
        <v>314</v>
      </c>
      <c r="Z2239" t="s">
        <v>649</v>
      </c>
      <c r="AJ2239" t="s">
        <v>285</v>
      </c>
      <c r="AL2239" t="s">
        <v>2093</v>
      </c>
      <c r="AM2239" t="s">
        <v>317</v>
      </c>
      <c r="AN2239" t="s">
        <v>259</v>
      </c>
      <c r="AO2239" t="s">
        <v>260</v>
      </c>
      <c r="AP2239" t="s">
        <v>3848</v>
      </c>
      <c r="AQ2239" t="s">
        <v>261</v>
      </c>
      <c r="AS2239">
        <v>1.33</v>
      </c>
      <c r="AU2239">
        <v>1.03</v>
      </c>
      <c r="AW2239">
        <v>1.71</v>
      </c>
      <c r="AX2239" t="s">
        <v>356</v>
      </c>
      <c r="BO2239" t="s">
        <v>261</v>
      </c>
      <c r="BQ2239">
        <v>1.33</v>
      </c>
      <c r="BS2239">
        <v>1.03</v>
      </c>
      <c r="BU2239">
        <v>1.71</v>
      </c>
      <c r="BV2239" t="s">
        <v>263</v>
      </c>
      <c r="CM2239" t="s">
        <v>264</v>
      </c>
      <c r="CN2239" t="s">
        <v>264</v>
      </c>
      <c r="CP2239" t="s">
        <v>265</v>
      </c>
      <c r="CQ2239" t="s">
        <v>890</v>
      </c>
      <c r="DB2239">
        <v>2</v>
      </c>
      <c r="DG2239" t="s">
        <v>267</v>
      </c>
      <c r="DI2239">
        <v>48</v>
      </c>
      <c r="DN2239" t="s">
        <v>268</v>
      </c>
      <c r="DP2239" t="s">
        <v>3849</v>
      </c>
      <c r="DR2239">
        <v>221654</v>
      </c>
      <c r="DS2239">
        <v>65263</v>
      </c>
      <c r="DV2239">
        <v>48</v>
      </c>
      <c r="EA2239" t="s">
        <v>268</v>
      </c>
      <c r="EC2239">
        <v>2</v>
      </c>
      <c r="EH2239" t="s">
        <v>267</v>
      </c>
      <c r="EJ2239">
        <v>48</v>
      </c>
      <c r="EO2239" t="s">
        <v>268</v>
      </c>
      <c r="EQ2239">
        <v>2</v>
      </c>
      <c r="EV2239" t="s">
        <v>267</v>
      </c>
      <c r="EW2239" t="s">
        <v>293</v>
      </c>
      <c r="EY2239" t="s">
        <v>377</v>
      </c>
      <c r="FA2239" t="s">
        <v>4008</v>
      </c>
      <c r="FM2239">
        <v>20</v>
      </c>
      <c r="FR2239" t="s">
        <v>295</v>
      </c>
      <c r="GG2239" t="s">
        <v>288</v>
      </c>
      <c r="GH2239">
        <v>40</v>
      </c>
      <c r="GM2239" t="s">
        <v>900</v>
      </c>
      <c r="GO2239">
        <v>7.5</v>
      </c>
      <c r="GQ2239">
        <v>6.1</v>
      </c>
      <c r="GS2239">
        <v>8</v>
      </c>
      <c r="GU2239">
        <v>10</v>
      </c>
      <c r="GZ2239" t="s">
        <v>296</v>
      </c>
      <c r="HH2239" t="s">
        <v>272</v>
      </c>
      <c r="ID2239" t="s">
        <v>3851</v>
      </c>
      <c r="IE2239" t="s">
        <v>3852</v>
      </c>
      <c r="IF2239">
        <v>177340</v>
      </c>
      <c r="IG2239" t="s">
        <v>3853</v>
      </c>
      <c r="IH2239" t="s">
        <v>3854</v>
      </c>
      <c r="II2239">
        <v>1989</v>
      </c>
      <c r="IJ2239" t="s">
        <v>3855</v>
      </c>
    </row>
    <row r="2240" spans="1:244" x14ac:dyDescent="0.45">
      <c r="A2240">
        <v>2211991</v>
      </c>
      <c r="B2240">
        <v>2432840</v>
      </c>
      <c r="C2240">
        <v>10108642</v>
      </c>
      <c r="D2240" t="s">
        <v>3523</v>
      </c>
      <c r="F2240" t="s">
        <v>327</v>
      </c>
      <c r="G2240" t="s">
        <v>557</v>
      </c>
      <c r="N2240" t="s">
        <v>312</v>
      </c>
      <c r="O2240" t="s">
        <v>313</v>
      </c>
      <c r="P2240" t="s">
        <v>249</v>
      </c>
      <c r="Q2240" t="s">
        <v>250</v>
      </c>
      <c r="R2240" t="s">
        <v>251</v>
      </c>
      <c r="T2240" t="s">
        <v>252</v>
      </c>
      <c r="U2240" t="s">
        <v>253</v>
      </c>
      <c r="V2240" t="s">
        <v>304</v>
      </c>
      <c r="W2240" t="s">
        <v>305</v>
      </c>
      <c r="X2240" t="s">
        <v>314</v>
      </c>
      <c r="Z2240" t="s">
        <v>649</v>
      </c>
      <c r="AJ2240" t="s">
        <v>285</v>
      </c>
      <c r="AL2240" t="s">
        <v>2093</v>
      </c>
      <c r="AM2240" t="s">
        <v>317</v>
      </c>
      <c r="AN2240" t="s">
        <v>259</v>
      </c>
      <c r="AO2240" t="s">
        <v>260</v>
      </c>
      <c r="AP2240" t="s">
        <v>3848</v>
      </c>
      <c r="AQ2240" t="s">
        <v>261</v>
      </c>
      <c r="AS2240">
        <v>0.38</v>
      </c>
      <c r="AU2240">
        <v>0.27</v>
      </c>
      <c r="AW2240">
        <v>0.47</v>
      </c>
      <c r="AX2240" t="s">
        <v>356</v>
      </c>
      <c r="BO2240" t="s">
        <v>261</v>
      </c>
      <c r="BQ2240">
        <v>0.38</v>
      </c>
      <c r="BS2240">
        <v>0.27</v>
      </c>
      <c r="BU2240">
        <v>0.47</v>
      </c>
      <c r="BV2240" t="s">
        <v>263</v>
      </c>
      <c r="CM2240" t="s">
        <v>264</v>
      </c>
      <c r="CN2240" t="s">
        <v>264</v>
      </c>
      <c r="CP2240" t="s">
        <v>265</v>
      </c>
      <c r="CQ2240" t="s">
        <v>890</v>
      </c>
      <c r="DB2240">
        <v>2</v>
      </c>
      <c r="DG2240" t="s">
        <v>267</v>
      </c>
      <c r="DI2240">
        <v>48</v>
      </c>
      <c r="DN2240" t="s">
        <v>268</v>
      </c>
      <c r="DP2240" t="s">
        <v>3849</v>
      </c>
      <c r="DR2240">
        <v>221654</v>
      </c>
      <c r="DS2240">
        <v>65263</v>
      </c>
      <c r="DV2240">
        <v>48</v>
      </c>
      <c r="EA2240" t="s">
        <v>268</v>
      </c>
      <c r="EC2240">
        <v>2</v>
      </c>
      <c r="EH2240" t="s">
        <v>267</v>
      </c>
      <c r="EJ2240">
        <v>48</v>
      </c>
      <c r="EO2240" t="s">
        <v>268</v>
      </c>
      <c r="EQ2240">
        <v>2</v>
      </c>
      <c r="EV2240" t="s">
        <v>267</v>
      </c>
      <c r="EW2240" t="s">
        <v>293</v>
      </c>
      <c r="EY2240" t="s">
        <v>377</v>
      </c>
      <c r="FA2240" t="s">
        <v>4009</v>
      </c>
      <c r="FM2240">
        <v>20</v>
      </c>
      <c r="FR2240" t="s">
        <v>295</v>
      </c>
      <c r="GG2240" t="s">
        <v>288</v>
      </c>
      <c r="GH2240">
        <v>40</v>
      </c>
      <c r="GM2240" t="s">
        <v>900</v>
      </c>
      <c r="GO2240">
        <v>7.5</v>
      </c>
      <c r="GQ2240">
        <v>6.1</v>
      </c>
      <c r="GS2240">
        <v>8</v>
      </c>
      <c r="GU2240">
        <v>10</v>
      </c>
      <c r="GZ2240" t="s">
        <v>296</v>
      </c>
      <c r="HH2240" t="s">
        <v>272</v>
      </c>
      <c r="ID2240" t="s">
        <v>3851</v>
      </c>
      <c r="IE2240" t="s">
        <v>3852</v>
      </c>
      <c r="IF2240">
        <v>177340</v>
      </c>
      <c r="IG2240" t="s">
        <v>3853</v>
      </c>
      <c r="IH2240" t="s">
        <v>3854</v>
      </c>
      <c r="II2240">
        <v>1989</v>
      </c>
      <c r="IJ2240" t="s">
        <v>3855</v>
      </c>
    </row>
    <row r="2241" spans="1:244" x14ac:dyDescent="0.45">
      <c r="A2241">
        <v>1048537</v>
      </c>
      <c r="B2241">
        <v>110017</v>
      </c>
      <c r="C2241">
        <v>10108642</v>
      </c>
      <c r="D2241" t="s">
        <v>3523</v>
      </c>
      <c r="F2241" t="s">
        <v>245</v>
      </c>
      <c r="G2241" t="s">
        <v>246</v>
      </c>
      <c r="N2241" t="s">
        <v>312</v>
      </c>
      <c r="O2241" t="s">
        <v>313</v>
      </c>
      <c r="P2241" t="s">
        <v>249</v>
      </c>
      <c r="Q2241" t="s">
        <v>250</v>
      </c>
      <c r="R2241" t="s">
        <v>251</v>
      </c>
      <c r="T2241" t="s">
        <v>252</v>
      </c>
      <c r="U2241" t="s">
        <v>253</v>
      </c>
      <c r="V2241" t="s">
        <v>304</v>
      </c>
      <c r="W2241" t="s">
        <v>305</v>
      </c>
      <c r="X2241" t="s">
        <v>314</v>
      </c>
      <c r="AM2241" t="s">
        <v>317</v>
      </c>
      <c r="AN2241" t="s">
        <v>259</v>
      </c>
      <c r="AO2241" t="s">
        <v>260</v>
      </c>
      <c r="AQ2241" t="s">
        <v>261</v>
      </c>
      <c r="AS2241">
        <v>190</v>
      </c>
      <c r="AX2241" t="s">
        <v>262</v>
      </c>
      <c r="BO2241" t="s">
        <v>261</v>
      </c>
      <c r="BQ2241">
        <v>0.19</v>
      </c>
      <c r="BV2241" t="s">
        <v>263</v>
      </c>
      <c r="CM2241" t="s">
        <v>264</v>
      </c>
      <c r="CN2241" t="s">
        <v>264</v>
      </c>
      <c r="CP2241" t="s">
        <v>265</v>
      </c>
      <c r="CQ2241" t="s">
        <v>890</v>
      </c>
      <c r="DB2241">
        <v>4</v>
      </c>
      <c r="DG2241" t="s">
        <v>267</v>
      </c>
      <c r="DI2241">
        <v>96</v>
      </c>
      <c r="DN2241" t="s">
        <v>268</v>
      </c>
      <c r="DR2241">
        <v>221654</v>
      </c>
      <c r="DS2241">
        <v>65263</v>
      </c>
      <c r="DT2241" t="s">
        <v>3975</v>
      </c>
      <c r="EW2241" t="s">
        <v>333</v>
      </c>
      <c r="FM2241">
        <v>30</v>
      </c>
      <c r="FR2241" t="s">
        <v>295</v>
      </c>
      <c r="GU2241">
        <v>15</v>
      </c>
      <c r="GZ2241" t="s">
        <v>296</v>
      </c>
      <c r="HH2241" t="s">
        <v>272</v>
      </c>
      <c r="IE2241" t="s">
        <v>3976</v>
      </c>
      <c r="IF2241">
        <v>3170</v>
      </c>
      <c r="IG2241" t="s">
        <v>3977</v>
      </c>
      <c r="IH2241" t="s">
        <v>3978</v>
      </c>
      <c r="II2241">
        <v>1990</v>
      </c>
      <c r="IJ2241" t="s">
        <v>3979</v>
      </c>
    </row>
    <row r="2242" spans="1:244" x14ac:dyDescent="0.45">
      <c r="A2242">
        <v>1068398</v>
      </c>
      <c r="B2242">
        <v>16225</v>
      </c>
      <c r="C2242">
        <v>10108642</v>
      </c>
      <c r="D2242" t="s">
        <v>3523</v>
      </c>
      <c r="F2242" t="s">
        <v>245</v>
      </c>
      <c r="G2242" t="s">
        <v>246</v>
      </c>
      <c r="N2242" t="s">
        <v>1564</v>
      </c>
      <c r="O2242" t="s">
        <v>1565</v>
      </c>
      <c r="P2242" t="s">
        <v>249</v>
      </c>
      <c r="Q2242" t="s">
        <v>250</v>
      </c>
      <c r="R2242" t="s">
        <v>251</v>
      </c>
      <c r="T2242" t="s">
        <v>252</v>
      </c>
      <c r="U2242" t="s">
        <v>253</v>
      </c>
      <c r="V2242" t="s">
        <v>254</v>
      </c>
      <c r="W2242" t="s">
        <v>1566</v>
      </c>
      <c r="X2242" t="s">
        <v>1567</v>
      </c>
      <c r="Z2242" t="s">
        <v>649</v>
      </c>
      <c r="AL2242" t="s">
        <v>3409</v>
      </c>
      <c r="AM2242" t="s">
        <v>317</v>
      </c>
      <c r="AN2242" t="s">
        <v>259</v>
      </c>
      <c r="AO2242" t="s">
        <v>260</v>
      </c>
      <c r="AQ2242" t="s">
        <v>261</v>
      </c>
      <c r="AS2242">
        <v>34100</v>
      </c>
      <c r="AU2242">
        <v>27700</v>
      </c>
      <c r="AW2242">
        <v>41900</v>
      </c>
      <c r="AX2242" t="s">
        <v>262</v>
      </c>
      <c r="BO2242" t="s">
        <v>261</v>
      </c>
      <c r="BQ2242">
        <v>34.1</v>
      </c>
      <c r="BS2242">
        <v>27.7</v>
      </c>
      <c r="BU2242">
        <v>41.9</v>
      </c>
      <c r="BV2242" t="s">
        <v>263</v>
      </c>
      <c r="CM2242" t="s">
        <v>264</v>
      </c>
      <c r="CN2242" t="s">
        <v>264</v>
      </c>
      <c r="CP2242" t="s">
        <v>265</v>
      </c>
      <c r="CQ2242" t="s">
        <v>890</v>
      </c>
      <c r="DB2242">
        <v>1</v>
      </c>
      <c r="DG2242" t="s">
        <v>267</v>
      </c>
      <c r="DI2242">
        <v>24</v>
      </c>
      <c r="DN2242" t="s">
        <v>268</v>
      </c>
      <c r="DP2242" t="s">
        <v>570</v>
      </c>
      <c r="DR2242">
        <v>6763</v>
      </c>
      <c r="DS2242">
        <v>76</v>
      </c>
      <c r="DT2242" t="s">
        <v>3410</v>
      </c>
      <c r="EW2242" t="s">
        <v>271</v>
      </c>
      <c r="FO2242">
        <v>20</v>
      </c>
      <c r="FQ2242">
        <v>22</v>
      </c>
      <c r="FR2242" t="s">
        <v>295</v>
      </c>
      <c r="GQ2242">
        <v>7.1</v>
      </c>
      <c r="GS2242">
        <v>8.1999999999999993</v>
      </c>
      <c r="GU2242">
        <v>35</v>
      </c>
      <c r="GZ2242" t="s">
        <v>296</v>
      </c>
      <c r="HH2242" t="s">
        <v>272</v>
      </c>
      <c r="IE2242" t="s">
        <v>3411</v>
      </c>
      <c r="IF2242">
        <v>5384</v>
      </c>
      <c r="IG2242" t="s">
        <v>3412</v>
      </c>
      <c r="IH2242" t="s">
        <v>3413</v>
      </c>
      <c r="II2242">
        <v>1979</v>
      </c>
      <c r="IJ2242" t="s">
        <v>3414</v>
      </c>
    </row>
    <row r="2243" spans="1:244" x14ac:dyDescent="0.45">
      <c r="A2243">
        <v>1068397</v>
      </c>
      <c r="B2243">
        <v>16224</v>
      </c>
      <c r="C2243">
        <v>10108642</v>
      </c>
      <c r="D2243" t="s">
        <v>3523</v>
      </c>
      <c r="F2243" t="s">
        <v>245</v>
      </c>
      <c r="G2243" t="s">
        <v>246</v>
      </c>
      <c r="N2243" t="s">
        <v>1564</v>
      </c>
      <c r="O2243" t="s">
        <v>1565</v>
      </c>
      <c r="P2243" t="s">
        <v>249</v>
      </c>
      <c r="Q2243" t="s">
        <v>250</v>
      </c>
      <c r="R2243" t="s">
        <v>251</v>
      </c>
      <c r="T2243" t="s">
        <v>252</v>
      </c>
      <c r="U2243" t="s">
        <v>253</v>
      </c>
      <c r="V2243" t="s">
        <v>254</v>
      </c>
      <c r="W2243" t="s">
        <v>1566</v>
      </c>
      <c r="X2243" t="s">
        <v>1567</v>
      </c>
      <c r="Z2243" t="s">
        <v>649</v>
      </c>
      <c r="AL2243" t="s">
        <v>3409</v>
      </c>
      <c r="AM2243" t="s">
        <v>317</v>
      </c>
      <c r="AN2243" t="s">
        <v>259</v>
      </c>
      <c r="AO2243" t="s">
        <v>260</v>
      </c>
      <c r="AQ2243" t="s">
        <v>261</v>
      </c>
      <c r="AS2243">
        <v>13800</v>
      </c>
      <c r="AU2243">
        <v>11300</v>
      </c>
      <c r="AW2243">
        <v>16900</v>
      </c>
      <c r="AX2243" t="s">
        <v>262</v>
      </c>
      <c r="BO2243" t="s">
        <v>261</v>
      </c>
      <c r="BQ2243">
        <v>13.8</v>
      </c>
      <c r="BS2243">
        <v>11.3</v>
      </c>
      <c r="BU2243">
        <v>16.899999999999999</v>
      </c>
      <c r="BV2243" t="s">
        <v>263</v>
      </c>
      <c r="CM2243" t="s">
        <v>264</v>
      </c>
      <c r="CN2243" t="s">
        <v>264</v>
      </c>
      <c r="CP2243" t="s">
        <v>265</v>
      </c>
      <c r="CQ2243" t="s">
        <v>890</v>
      </c>
      <c r="DB2243">
        <v>1</v>
      </c>
      <c r="DG2243" t="s">
        <v>267</v>
      </c>
      <c r="DI2243">
        <v>24</v>
      </c>
      <c r="DN2243" t="s">
        <v>268</v>
      </c>
      <c r="DP2243" t="s">
        <v>570</v>
      </c>
      <c r="DR2243">
        <v>6763</v>
      </c>
      <c r="DS2243">
        <v>76</v>
      </c>
      <c r="DT2243" t="s">
        <v>3410</v>
      </c>
      <c r="EW2243" t="s">
        <v>271</v>
      </c>
      <c r="FO2243">
        <v>20</v>
      </c>
      <c r="FQ2243">
        <v>22</v>
      </c>
      <c r="FR2243" t="s">
        <v>295</v>
      </c>
      <c r="GQ2243">
        <v>7.1</v>
      </c>
      <c r="GS2243">
        <v>8.1999999999999993</v>
      </c>
      <c r="GU2243">
        <v>15</v>
      </c>
      <c r="GZ2243" t="s">
        <v>296</v>
      </c>
      <c r="HH2243" t="s">
        <v>272</v>
      </c>
      <c r="IE2243" t="s">
        <v>3411</v>
      </c>
      <c r="IF2243">
        <v>5384</v>
      </c>
      <c r="IG2243" t="s">
        <v>3412</v>
      </c>
      <c r="IH2243" t="s">
        <v>3413</v>
      </c>
      <c r="II2243">
        <v>1979</v>
      </c>
      <c r="IJ2243" t="s">
        <v>3414</v>
      </c>
    </row>
    <row r="2244" spans="1:244" x14ac:dyDescent="0.45">
      <c r="A2244">
        <v>1155954</v>
      </c>
      <c r="B2244">
        <v>134618</v>
      </c>
      <c r="C2244">
        <v>10108642</v>
      </c>
      <c r="D2244" t="s">
        <v>3523</v>
      </c>
      <c r="F2244" t="s">
        <v>245</v>
      </c>
      <c r="G2244" t="s">
        <v>246</v>
      </c>
      <c r="I2244">
        <v>99.9</v>
      </c>
      <c r="N2244" t="s">
        <v>369</v>
      </c>
      <c r="O2244" t="s">
        <v>370</v>
      </c>
      <c r="P2244" t="s">
        <v>249</v>
      </c>
      <c r="Q2244" t="s">
        <v>250</v>
      </c>
      <c r="R2244" t="s">
        <v>251</v>
      </c>
      <c r="T2244" t="s">
        <v>252</v>
      </c>
      <c r="U2244" t="s">
        <v>371</v>
      </c>
      <c r="V2244" t="s">
        <v>372</v>
      </c>
      <c r="W2244" t="s">
        <v>373</v>
      </c>
      <c r="X2244" t="s">
        <v>374</v>
      </c>
      <c r="Z2244" t="s">
        <v>649</v>
      </c>
      <c r="AA2244" t="s">
        <v>352</v>
      </c>
      <c r="AB2244">
        <v>24</v>
      </c>
      <c r="AG2244" t="s">
        <v>268</v>
      </c>
      <c r="AM2244" t="s">
        <v>317</v>
      </c>
      <c r="AN2244" t="s">
        <v>259</v>
      </c>
      <c r="AO2244" t="s">
        <v>260</v>
      </c>
      <c r="AQ2244" t="s">
        <v>261</v>
      </c>
      <c r="AS2244">
        <v>19.600000000000001</v>
      </c>
      <c r="AU2244">
        <v>17.3</v>
      </c>
      <c r="AW2244">
        <v>22.1</v>
      </c>
      <c r="AX2244" t="s">
        <v>262</v>
      </c>
      <c r="BO2244" t="s">
        <v>261</v>
      </c>
      <c r="BQ2244">
        <v>1.9599999999999999E-2</v>
      </c>
      <c r="BS2244">
        <v>1.7299999999999999E-2</v>
      </c>
      <c r="BU2244">
        <v>2.2100000000000002E-2</v>
      </c>
      <c r="BV2244" t="s">
        <v>263</v>
      </c>
      <c r="CM2244" t="s">
        <v>264</v>
      </c>
      <c r="CN2244" t="s">
        <v>264</v>
      </c>
      <c r="CP2244" t="s">
        <v>265</v>
      </c>
      <c r="CQ2244" t="s">
        <v>890</v>
      </c>
      <c r="DB2244">
        <v>4</v>
      </c>
      <c r="DG2244" t="s">
        <v>267</v>
      </c>
      <c r="DI2244">
        <v>96</v>
      </c>
      <c r="DN2244" t="s">
        <v>268</v>
      </c>
      <c r="DO2244" t="s">
        <v>1587</v>
      </c>
      <c r="DQ2244" t="s">
        <v>1588</v>
      </c>
      <c r="DR2244">
        <v>110441</v>
      </c>
      <c r="DS2244">
        <v>142</v>
      </c>
      <c r="DT2244" t="s">
        <v>1589</v>
      </c>
      <c r="EW2244" t="s">
        <v>638</v>
      </c>
      <c r="FM2244">
        <v>25</v>
      </c>
      <c r="FR2244" t="s">
        <v>295</v>
      </c>
      <c r="GJ2244">
        <v>4.3</v>
      </c>
      <c r="GL2244">
        <v>5.9</v>
      </c>
      <c r="GM2244" t="s">
        <v>356</v>
      </c>
      <c r="GQ2244">
        <v>7.8</v>
      </c>
      <c r="GS2244">
        <v>8.1</v>
      </c>
      <c r="GU2244">
        <v>25</v>
      </c>
      <c r="GZ2244" t="s">
        <v>296</v>
      </c>
      <c r="HH2244" t="s">
        <v>272</v>
      </c>
      <c r="IE2244" t="s">
        <v>1590</v>
      </c>
      <c r="IF2244">
        <v>13513</v>
      </c>
      <c r="IG2244" t="s">
        <v>1591</v>
      </c>
      <c r="IH2244" t="s">
        <v>1592</v>
      </c>
      <c r="II2244">
        <v>1994</v>
      </c>
      <c r="IJ2244" t="s">
        <v>1593</v>
      </c>
    </row>
    <row r="2245" spans="1:244" x14ac:dyDescent="0.45">
      <c r="A2245">
        <v>1200162</v>
      </c>
      <c r="B2245">
        <v>154742</v>
      </c>
      <c r="C2245">
        <v>10108642</v>
      </c>
      <c r="D2245" t="s">
        <v>3523</v>
      </c>
      <c r="F2245" t="s">
        <v>245</v>
      </c>
      <c r="G2245" t="s">
        <v>246</v>
      </c>
      <c r="N2245" t="s">
        <v>1022</v>
      </c>
      <c r="O2245" t="s">
        <v>578</v>
      </c>
      <c r="P2245" t="s">
        <v>249</v>
      </c>
      <c r="Q2245" t="s">
        <v>250</v>
      </c>
      <c r="R2245" t="s">
        <v>251</v>
      </c>
      <c r="T2245" t="s">
        <v>252</v>
      </c>
      <c r="U2245" t="s">
        <v>499</v>
      </c>
      <c r="V2245" t="s">
        <v>992</v>
      </c>
      <c r="W2245" t="s">
        <v>1023</v>
      </c>
      <c r="X2245" t="s">
        <v>1024</v>
      </c>
      <c r="AD2245">
        <v>7</v>
      </c>
      <c r="AF2245">
        <v>14</v>
      </c>
      <c r="AG2245" t="s">
        <v>267</v>
      </c>
      <c r="AL2245" t="s">
        <v>3873</v>
      </c>
      <c r="AM2245" t="s">
        <v>317</v>
      </c>
      <c r="AN2245" t="s">
        <v>259</v>
      </c>
      <c r="AO2245" t="s">
        <v>260</v>
      </c>
      <c r="AQ2245" t="s">
        <v>261</v>
      </c>
      <c r="AT2245" t="s">
        <v>288</v>
      </c>
      <c r="AU2245">
        <v>40</v>
      </c>
      <c r="AV2245" t="s">
        <v>289</v>
      </c>
      <c r="AW2245">
        <v>80</v>
      </c>
      <c r="AX2245" t="s">
        <v>262</v>
      </c>
      <c r="BO2245" t="s">
        <v>261</v>
      </c>
      <c r="BR2245" t="s">
        <v>288</v>
      </c>
      <c r="BS2245">
        <v>0.04</v>
      </c>
      <c r="BT2245" t="s">
        <v>289</v>
      </c>
      <c r="BU2245">
        <v>0.08</v>
      </c>
      <c r="BV2245" t="s">
        <v>263</v>
      </c>
      <c r="CM2245" t="s">
        <v>264</v>
      </c>
      <c r="CN2245" t="s">
        <v>264</v>
      </c>
      <c r="CP2245" t="s">
        <v>265</v>
      </c>
      <c r="CQ2245" t="s">
        <v>890</v>
      </c>
      <c r="DB2245">
        <v>4</v>
      </c>
      <c r="DG2245" t="s">
        <v>267</v>
      </c>
      <c r="DI2245">
        <v>96</v>
      </c>
      <c r="DN2245" t="s">
        <v>268</v>
      </c>
      <c r="DR2245">
        <v>247138</v>
      </c>
      <c r="DS2245">
        <v>4424</v>
      </c>
      <c r="DT2245" t="s">
        <v>3874</v>
      </c>
      <c r="EW2245" t="s">
        <v>272</v>
      </c>
      <c r="FK2245" t="s">
        <v>3875</v>
      </c>
      <c r="FM2245">
        <v>23</v>
      </c>
      <c r="FR2245" t="s">
        <v>295</v>
      </c>
      <c r="GU2245">
        <v>5</v>
      </c>
      <c r="GZ2245" t="s">
        <v>296</v>
      </c>
      <c r="HH2245" t="s">
        <v>272</v>
      </c>
      <c r="ID2245" t="s">
        <v>3876</v>
      </c>
      <c r="IE2245" t="s">
        <v>3877</v>
      </c>
      <c r="IF2245">
        <v>18159</v>
      </c>
      <c r="IG2245" t="s">
        <v>3878</v>
      </c>
      <c r="IH2245" t="s">
        <v>3879</v>
      </c>
      <c r="II2245">
        <v>1997</v>
      </c>
      <c r="IJ2245" t="s">
        <v>3880</v>
      </c>
    </row>
    <row r="2246" spans="1:244" x14ac:dyDescent="0.45">
      <c r="A2246">
        <v>1068406</v>
      </c>
      <c r="B2246">
        <v>16233</v>
      </c>
      <c r="C2246">
        <v>10108642</v>
      </c>
      <c r="D2246" t="s">
        <v>3523</v>
      </c>
      <c r="F2246" t="s">
        <v>245</v>
      </c>
      <c r="G2246" t="s">
        <v>246</v>
      </c>
      <c r="N2246" t="s">
        <v>1564</v>
      </c>
      <c r="O2246" t="s">
        <v>1565</v>
      </c>
      <c r="P2246" t="s">
        <v>249</v>
      </c>
      <c r="Q2246" t="s">
        <v>250</v>
      </c>
      <c r="R2246" t="s">
        <v>251</v>
      </c>
      <c r="T2246" t="s">
        <v>252</v>
      </c>
      <c r="U2246" t="s">
        <v>253</v>
      </c>
      <c r="V2246" t="s">
        <v>254</v>
      </c>
      <c r="W2246" t="s">
        <v>1566</v>
      </c>
      <c r="X2246" t="s">
        <v>1567</v>
      </c>
      <c r="Z2246" t="s">
        <v>649</v>
      </c>
      <c r="AL2246" t="s">
        <v>3409</v>
      </c>
      <c r="AM2246" t="s">
        <v>317</v>
      </c>
      <c r="AN2246" t="s">
        <v>259</v>
      </c>
      <c r="AO2246" t="s">
        <v>260</v>
      </c>
      <c r="AQ2246" t="s">
        <v>261</v>
      </c>
      <c r="AS2246">
        <v>4700</v>
      </c>
      <c r="AU2246">
        <v>3500</v>
      </c>
      <c r="AW2246">
        <v>6300</v>
      </c>
      <c r="AX2246" t="s">
        <v>262</v>
      </c>
      <c r="BO2246" t="s">
        <v>261</v>
      </c>
      <c r="BQ2246">
        <v>4.7</v>
      </c>
      <c r="BS2246">
        <v>3.5</v>
      </c>
      <c r="BU2246">
        <v>6.3</v>
      </c>
      <c r="BV2246" t="s">
        <v>263</v>
      </c>
      <c r="CM2246" t="s">
        <v>264</v>
      </c>
      <c r="CN2246" t="s">
        <v>264</v>
      </c>
      <c r="CP2246" t="s">
        <v>265</v>
      </c>
      <c r="CQ2246" t="s">
        <v>890</v>
      </c>
      <c r="DB2246">
        <v>4</v>
      </c>
      <c r="DG2246" t="s">
        <v>267</v>
      </c>
      <c r="DI2246">
        <v>96</v>
      </c>
      <c r="DN2246" t="s">
        <v>268</v>
      </c>
      <c r="DP2246" t="s">
        <v>570</v>
      </c>
      <c r="DR2246">
        <v>6763</v>
      </c>
      <c r="DS2246">
        <v>76</v>
      </c>
      <c r="DT2246" t="s">
        <v>3410</v>
      </c>
      <c r="EW2246" t="s">
        <v>271</v>
      </c>
      <c r="FO2246">
        <v>20</v>
      </c>
      <c r="FQ2246">
        <v>22</v>
      </c>
      <c r="FR2246" t="s">
        <v>295</v>
      </c>
      <c r="GQ2246">
        <v>7.1</v>
      </c>
      <c r="GS2246">
        <v>8.1999999999999993</v>
      </c>
      <c r="GU2246">
        <v>15</v>
      </c>
      <c r="GZ2246" t="s">
        <v>296</v>
      </c>
      <c r="HH2246" t="s">
        <v>272</v>
      </c>
      <c r="IE2246" t="s">
        <v>3411</v>
      </c>
      <c r="IF2246">
        <v>5384</v>
      </c>
      <c r="IG2246" t="s">
        <v>3412</v>
      </c>
      <c r="IH2246" t="s">
        <v>3413</v>
      </c>
      <c r="II2246">
        <v>1979</v>
      </c>
      <c r="IJ2246" t="s">
        <v>3414</v>
      </c>
    </row>
    <row r="2247" spans="1:244" x14ac:dyDescent="0.45">
      <c r="A2247">
        <v>1207267</v>
      </c>
      <c r="B2247">
        <v>182049</v>
      </c>
      <c r="C2247">
        <v>10108642</v>
      </c>
      <c r="D2247" t="s">
        <v>3523</v>
      </c>
      <c r="F2247" t="s">
        <v>245</v>
      </c>
      <c r="G2247" t="s">
        <v>246</v>
      </c>
      <c r="N2247" t="s">
        <v>1022</v>
      </c>
      <c r="O2247" t="s">
        <v>578</v>
      </c>
      <c r="P2247" t="s">
        <v>249</v>
      </c>
      <c r="Q2247" t="s">
        <v>250</v>
      </c>
      <c r="R2247" t="s">
        <v>251</v>
      </c>
      <c r="T2247" t="s">
        <v>252</v>
      </c>
      <c r="U2247" t="s">
        <v>499</v>
      </c>
      <c r="V2247" t="s">
        <v>992</v>
      </c>
      <c r="W2247" t="s">
        <v>1023</v>
      </c>
      <c r="X2247" t="s">
        <v>1024</v>
      </c>
      <c r="AM2247" t="s">
        <v>317</v>
      </c>
      <c r="AN2247" t="s">
        <v>259</v>
      </c>
      <c r="AO2247" t="s">
        <v>260</v>
      </c>
      <c r="AQ2247" t="s">
        <v>261</v>
      </c>
      <c r="AT2247" t="s">
        <v>288</v>
      </c>
      <c r="AU2247">
        <v>100</v>
      </c>
      <c r="AV2247" t="s">
        <v>289</v>
      </c>
      <c r="AW2247">
        <v>150</v>
      </c>
      <c r="AX2247" t="s">
        <v>262</v>
      </c>
      <c r="BO2247" t="s">
        <v>261</v>
      </c>
      <c r="BR2247" t="s">
        <v>288</v>
      </c>
      <c r="BS2247">
        <v>0.1</v>
      </c>
      <c r="BT2247" t="s">
        <v>289</v>
      </c>
      <c r="BU2247">
        <v>0.15</v>
      </c>
      <c r="BV2247" t="s">
        <v>263</v>
      </c>
      <c r="CM2247" t="s">
        <v>264</v>
      </c>
      <c r="CN2247" t="s">
        <v>264</v>
      </c>
      <c r="CP2247" t="s">
        <v>265</v>
      </c>
      <c r="CQ2247" t="s">
        <v>890</v>
      </c>
      <c r="DB2247">
        <v>4</v>
      </c>
      <c r="DG2247" t="s">
        <v>267</v>
      </c>
      <c r="DI2247">
        <v>96</v>
      </c>
      <c r="DN2247" t="s">
        <v>268</v>
      </c>
      <c r="DR2247">
        <v>247138</v>
      </c>
      <c r="DS2247">
        <v>4424</v>
      </c>
      <c r="DT2247" t="s">
        <v>3860</v>
      </c>
      <c r="EW2247" t="s">
        <v>293</v>
      </c>
      <c r="FA2247" t="s">
        <v>4010</v>
      </c>
      <c r="FK2247" t="s">
        <v>1186</v>
      </c>
      <c r="FM2247">
        <v>25.2</v>
      </c>
      <c r="FO2247">
        <v>23.5</v>
      </c>
      <c r="FQ2247">
        <v>26.2</v>
      </c>
      <c r="FR2247" t="s">
        <v>295</v>
      </c>
      <c r="GH2247">
        <v>7</v>
      </c>
      <c r="GJ2247">
        <v>4</v>
      </c>
      <c r="GL2247">
        <v>8.4</v>
      </c>
      <c r="GM2247" t="s">
        <v>356</v>
      </c>
      <c r="GO2247">
        <v>7.98</v>
      </c>
      <c r="GQ2247">
        <v>7.73</v>
      </c>
      <c r="GS2247">
        <v>8.3000000000000007</v>
      </c>
      <c r="GU2247">
        <v>8</v>
      </c>
      <c r="GZ2247" t="s">
        <v>296</v>
      </c>
      <c r="HH2247" t="s">
        <v>272</v>
      </c>
      <c r="ID2247" t="s">
        <v>1187</v>
      </c>
      <c r="IE2247" t="s">
        <v>3862</v>
      </c>
      <c r="IF2247">
        <v>19002</v>
      </c>
      <c r="IG2247" t="s">
        <v>3863</v>
      </c>
      <c r="IH2247" t="s">
        <v>3864</v>
      </c>
      <c r="II2247">
        <v>1998</v>
      </c>
      <c r="IJ2247" t="s">
        <v>3865</v>
      </c>
    </row>
    <row r="2248" spans="1:244" x14ac:dyDescent="0.45">
      <c r="A2248">
        <v>1207265</v>
      </c>
      <c r="B2248">
        <v>182047</v>
      </c>
      <c r="C2248">
        <v>10108642</v>
      </c>
      <c r="D2248" t="s">
        <v>3523</v>
      </c>
      <c r="F2248" t="s">
        <v>245</v>
      </c>
      <c r="G2248" t="s">
        <v>246</v>
      </c>
      <c r="N2248" t="s">
        <v>1022</v>
      </c>
      <c r="O2248" t="s">
        <v>578</v>
      </c>
      <c r="P2248" t="s">
        <v>249</v>
      </c>
      <c r="Q2248" t="s">
        <v>250</v>
      </c>
      <c r="R2248" t="s">
        <v>251</v>
      </c>
      <c r="T2248" t="s">
        <v>252</v>
      </c>
      <c r="U2248" t="s">
        <v>499</v>
      </c>
      <c r="V2248" t="s">
        <v>992</v>
      </c>
      <c r="W2248" t="s">
        <v>1023</v>
      </c>
      <c r="X2248" t="s">
        <v>1024</v>
      </c>
      <c r="AM2248" t="s">
        <v>317</v>
      </c>
      <c r="AN2248" t="s">
        <v>259</v>
      </c>
      <c r="AO2248" t="s">
        <v>260</v>
      </c>
      <c r="AQ2248" t="s">
        <v>261</v>
      </c>
      <c r="AS2248">
        <v>90</v>
      </c>
      <c r="AX2248" t="s">
        <v>262</v>
      </c>
      <c r="BO2248" t="s">
        <v>261</v>
      </c>
      <c r="BQ2248">
        <v>0.09</v>
      </c>
      <c r="BV2248" t="s">
        <v>263</v>
      </c>
      <c r="CM2248" t="s">
        <v>264</v>
      </c>
      <c r="CN2248" t="s">
        <v>264</v>
      </c>
      <c r="CP2248" t="s">
        <v>265</v>
      </c>
      <c r="CQ2248" t="s">
        <v>890</v>
      </c>
      <c r="DB2248">
        <v>4</v>
      </c>
      <c r="DG2248" t="s">
        <v>267</v>
      </c>
      <c r="DI2248">
        <v>96</v>
      </c>
      <c r="DN2248" t="s">
        <v>268</v>
      </c>
      <c r="DR2248">
        <v>247138</v>
      </c>
      <c r="DS2248">
        <v>4424</v>
      </c>
      <c r="DT2248" t="s">
        <v>3860</v>
      </c>
      <c r="EW2248" t="s">
        <v>293</v>
      </c>
      <c r="FA2248" t="s">
        <v>4011</v>
      </c>
      <c r="FK2248" t="s">
        <v>1186</v>
      </c>
      <c r="FM2248">
        <v>25.2</v>
      </c>
      <c r="FO2248">
        <v>23.5</v>
      </c>
      <c r="FQ2248">
        <v>26.2</v>
      </c>
      <c r="FR2248" t="s">
        <v>295</v>
      </c>
      <c r="GH2248">
        <v>7</v>
      </c>
      <c r="GJ2248">
        <v>4</v>
      </c>
      <c r="GL2248">
        <v>8.4</v>
      </c>
      <c r="GM2248" t="s">
        <v>356</v>
      </c>
      <c r="GO2248">
        <v>7.98</v>
      </c>
      <c r="GQ2248">
        <v>7.73</v>
      </c>
      <c r="GS2248">
        <v>8.3000000000000007</v>
      </c>
      <c r="GU2248">
        <v>8</v>
      </c>
      <c r="GZ2248" t="s">
        <v>296</v>
      </c>
      <c r="HH2248" t="s">
        <v>272</v>
      </c>
      <c r="ID2248" t="s">
        <v>1187</v>
      </c>
      <c r="IE2248" t="s">
        <v>3862</v>
      </c>
      <c r="IF2248">
        <v>19002</v>
      </c>
      <c r="IG2248" t="s">
        <v>3863</v>
      </c>
      <c r="IH2248" t="s">
        <v>3864</v>
      </c>
      <c r="II2248">
        <v>1998</v>
      </c>
      <c r="IJ2248" t="s">
        <v>3865</v>
      </c>
    </row>
    <row r="2249" spans="1:244" x14ac:dyDescent="0.45">
      <c r="A2249">
        <v>1191627</v>
      </c>
      <c r="B2249">
        <v>166349</v>
      </c>
      <c r="C2249">
        <v>10108642</v>
      </c>
      <c r="D2249" t="s">
        <v>3523</v>
      </c>
      <c r="F2249" t="s">
        <v>327</v>
      </c>
      <c r="G2249" t="s">
        <v>246</v>
      </c>
      <c r="N2249" t="s">
        <v>829</v>
      </c>
      <c r="O2249" t="s">
        <v>631</v>
      </c>
      <c r="P2249" t="s">
        <v>249</v>
      </c>
      <c r="Q2249" t="s">
        <v>250</v>
      </c>
      <c r="R2249" t="s">
        <v>251</v>
      </c>
      <c r="T2249" t="s">
        <v>389</v>
      </c>
      <c r="U2249" t="s">
        <v>632</v>
      </c>
      <c r="V2249" t="s">
        <v>830</v>
      </c>
      <c r="W2249" t="s">
        <v>831</v>
      </c>
      <c r="X2249" t="s">
        <v>832</v>
      </c>
      <c r="Z2249" t="s">
        <v>1025</v>
      </c>
      <c r="AD2249">
        <v>48</v>
      </c>
      <c r="AF2249">
        <v>72</v>
      </c>
      <c r="AG2249" t="s">
        <v>268</v>
      </c>
      <c r="AM2249" t="s">
        <v>317</v>
      </c>
      <c r="AN2249" t="s">
        <v>259</v>
      </c>
      <c r="AO2249" t="s">
        <v>260</v>
      </c>
      <c r="AQ2249" t="s">
        <v>261</v>
      </c>
      <c r="AS2249">
        <v>213.2</v>
      </c>
      <c r="AU2249">
        <v>182</v>
      </c>
      <c r="AW2249">
        <v>249.7</v>
      </c>
      <c r="AX2249" t="s">
        <v>262</v>
      </c>
      <c r="BO2249" t="s">
        <v>261</v>
      </c>
      <c r="BQ2249">
        <v>0.2132</v>
      </c>
      <c r="BS2249">
        <v>0.182</v>
      </c>
      <c r="BU2249">
        <v>0.24970000000000001</v>
      </c>
      <c r="BV2249" t="s">
        <v>263</v>
      </c>
      <c r="CM2249" t="s">
        <v>264</v>
      </c>
      <c r="CN2249" t="s">
        <v>264</v>
      </c>
      <c r="CP2249" t="s">
        <v>265</v>
      </c>
      <c r="CQ2249" t="s">
        <v>890</v>
      </c>
      <c r="DB2249">
        <v>4</v>
      </c>
      <c r="DG2249" t="s">
        <v>267</v>
      </c>
      <c r="DI2249">
        <v>96</v>
      </c>
      <c r="DN2249" t="s">
        <v>268</v>
      </c>
      <c r="DR2249">
        <v>88015</v>
      </c>
      <c r="DS2249">
        <v>649</v>
      </c>
      <c r="EW2249" t="s">
        <v>293</v>
      </c>
      <c r="FM2249">
        <v>24</v>
      </c>
      <c r="FR2249" t="s">
        <v>295</v>
      </c>
      <c r="GJ2249">
        <v>7.5</v>
      </c>
      <c r="GL2249">
        <v>7.9</v>
      </c>
      <c r="GM2249" t="s">
        <v>356</v>
      </c>
      <c r="GQ2249">
        <v>8.09</v>
      </c>
      <c r="GS2249">
        <v>8.3800000000000008</v>
      </c>
      <c r="GU2249">
        <v>15</v>
      </c>
      <c r="GW2249">
        <v>14</v>
      </c>
      <c r="GY2249">
        <v>16</v>
      </c>
      <c r="GZ2249" t="s">
        <v>296</v>
      </c>
      <c r="HH2249" t="s">
        <v>272</v>
      </c>
      <c r="IE2249" t="s">
        <v>3869</v>
      </c>
      <c r="IF2249">
        <v>17219</v>
      </c>
      <c r="IG2249" t="s">
        <v>3954</v>
      </c>
      <c r="IH2249" t="s">
        <v>3955</v>
      </c>
      <c r="II2249">
        <v>1994</v>
      </c>
      <c r="IJ2249" t="s">
        <v>3956</v>
      </c>
    </row>
    <row r="2250" spans="1:244" x14ac:dyDescent="0.45">
      <c r="A2250">
        <v>1036237</v>
      </c>
      <c r="B2250">
        <v>221760</v>
      </c>
      <c r="C2250">
        <v>10108642</v>
      </c>
      <c r="D2250" t="s">
        <v>3523</v>
      </c>
      <c r="F2250" t="s">
        <v>245</v>
      </c>
      <c r="G2250" t="s">
        <v>246</v>
      </c>
      <c r="N2250" t="s">
        <v>312</v>
      </c>
      <c r="O2250" t="s">
        <v>313</v>
      </c>
      <c r="P2250" t="s">
        <v>249</v>
      </c>
      <c r="Q2250" t="s">
        <v>250</v>
      </c>
      <c r="R2250" t="s">
        <v>251</v>
      </c>
      <c r="T2250" t="s">
        <v>252</v>
      </c>
      <c r="U2250" t="s">
        <v>253</v>
      </c>
      <c r="V2250" t="s">
        <v>304</v>
      </c>
      <c r="W2250" t="s">
        <v>305</v>
      </c>
      <c r="X2250" t="s">
        <v>314</v>
      </c>
      <c r="Z2250" t="s">
        <v>315</v>
      </c>
      <c r="AL2250" t="s">
        <v>3937</v>
      </c>
      <c r="AM2250" t="s">
        <v>317</v>
      </c>
      <c r="AN2250" t="s">
        <v>259</v>
      </c>
      <c r="AO2250" t="s">
        <v>260</v>
      </c>
      <c r="AQ2250" t="s">
        <v>261</v>
      </c>
      <c r="AS2250">
        <v>3.28</v>
      </c>
      <c r="AU2250">
        <v>2.89</v>
      </c>
      <c r="AW2250">
        <v>4.46</v>
      </c>
      <c r="AX2250" t="s">
        <v>356</v>
      </c>
      <c r="BO2250" t="s">
        <v>261</v>
      </c>
      <c r="BQ2250">
        <v>3.28</v>
      </c>
      <c r="BS2250">
        <v>2.89</v>
      </c>
      <c r="BU2250">
        <v>4.46</v>
      </c>
      <c r="BV2250" t="s">
        <v>263</v>
      </c>
      <c r="CM2250" t="s">
        <v>264</v>
      </c>
      <c r="CN2250" t="s">
        <v>264</v>
      </c>
      <c r="CP2250" t="s">
        <v>265</v>
      </c>
      <c r="CQ2250" t="s">
        <v>890</v>
      </c>
      <c r="DB2250">
        <v>4</v>
      </c>
      <c r="DG2250" t="s">
        <v>267</v>
      </c>
      <c r="DI2250">
        <v>96</v>
      </c>
      <c r="DN2250" t="s">
        <v>268</v>
      </c>
      <c r="DR2250">
        <v>221654</v>
      </c>
      <c r="DS2250">
        <v>65263</v>
      </c>
      <c r="DT2250" t="s">
        <v>3938</v>
      </c>
      <c r="EW2250" t="s">
        <v>293</v>
      </c>
      <c r="FO2250">
        <v>23</v>
      </c>
      <c r="FQ2250">
        <v>25</v>
      </c>
      <c r="FR2250" t="s">
        <v>295</v>
      </c>
      <c r="GU2250">
        <v>20</v>
      </c>
      <c r="GZ2250" t="s">
        <v>296</v>
      </c>
      <c r="HH2250" t="s">
        <v>272</v>
      </c>
      <c r="IE2250" t="s">
        <v>3940</v>
      </c>
      <c r="IF2250">
        <v>2196</v>
      </c>
      <c r="IG2250" t="s">
        <v>3941</v>
      </c>
      <c r="IH2250" t="s">
        <v>3942</v>
      </c>
      <c r="II2250">
        <v>1988</v>
      </c>
      <c r="IJ2250" t="s">
        <v>3943</v>
      </c>
    </row>
    <row r="2251" spans="1:244" x14ac:dyDescent="0.45">
      <c r="A2251">
        <v>1041183</v>
      </c>
      <c r="B2251">
        <v>110026</v>
      </c>
      <c r="C2251">
        <v>10108642</v>
      </c>
      <c r="D2251" t="s">
        <v>3523</v>
      </c>
      <c r="F2251" t="s">
        <v>245</v>
      </c>
      <c r="G2251" t="s">
        <v>246</v>
      </c>
      <c r="N2251" t="s">
        <v>729</v>
      </c>
      <c r="O2251" t="s">
        <v>578</v>
      </c>
      <c r="P2251" t="s">
        <v>249</v>
      </c>
      <c r="Q2251" t="s">
        <v>250</v>
      </c>
      <c r="R2251" t="s">
        <v>251</v>
      </c>
      <c r="T2251" t="s">
        <v>252</v>
      </c>
      <c r="U2251" t="s">
        <v>499</v>
      </c>
      <c r="V2251" t="s">
        <v>730</v>
      </c>
      <c r="W2251" t="s">
        <v>731</v>
      </c>
      <c r="X2251" t="s">
        <v>732</v>
      </c>
      <c r="AM2251" t="s">
        <v>317</v>
      </c>
      <c r="AN2251" t="s">
        <v>259</v>
      </c>
      <c r="AO2251" t="s">
        <v>260</v>
      </c>
      <c r="AQ2251" t="s">
        <v>261</v>
      </c>
      <c r="AS2251">
        <v>240</v>
      </c>
      <c r="AU2251">
        <v>190</v>
      </c>
      <c r="AW2251">
        <v>320</v>
      </c>
      <c r="AX2251" t="s">
        <v>262</v>
      </c>
      <c r="BO2251" t="s">
        <v>261</v>
      </c>
      <c r="BQ2251">
        <v>0.24</v>
      </c>
      <c r="BS2251">
        <v>0.19</v>
      </c>
      <c r="BU2251">
        <v>0.32</v>
      </c>
      <c r="BV2251" t="s">
        <v>263</v>
      </c>
      <c r="CM2251" t="s">
        <v>264</v>
      </c>
      <c r="CN2251" t="s">
        <v>264</v>
      </c>
      <c r="CP2251" t="s">
        <v>265</v>
      </c>
      <c r="DB2251">
        <v>4</v>
      </c>
      <c r="DG2251" t="s">
        <v>267</v>
      </c>
      <c r="DI2251">
        <v>96</v>
      </c>
      <c r="DN2251" t="s">
        <v>268</v>
      </c>
      <c r="DS2251">
        <v>2921</v>
      </c>
      <c r="DT2251" t="s">
        <v>3560</v>
      </c>
      <c r="EW2251" t="s">
        <v>293</v>
      </c>
      <c r="FM2251">
        <v>19.5</v>
      </c>
      <c r="FR2251" t="s">
        <v>295</v>
      </c>
      <c r="GG2251" t="s">
        <v>288</v>
      </c>
      <c r="GH2251">
        <v>7</v>
      </c>
      <c r="GM2251" t="s">
        <v>356</v>
      </c>
      <c r="GU2251">
        <v>35</v>
      </c>
      <c r="GZ2251" t="s">
        <v>296</v>
      </c>
      <c r="HH2251" t="s">
        <v>272</v>
      </c>
      <c r="IE2251" t="s">
        <v>3561</v>
      </c>
      <c r="IF2251">
        <v>2621</v>
      </c>
      <c r="IG2251" t="s">
        <v>3562</v>
      </c>
      <c r="IH2251" t="s">
        <v>3563</v>
      </c>
      <c r="II2251">
        <v>1987</v>
      </c>
      <c r="IJ2251" t="s">
        <v>3564</v>
      </c>
    </row>
    <row r="2252" spans="1:244" x14ac:dyDescent="0.45">
      <c r="A2252">
        <v>1272815</v>
      </c>
      <c r="B2252">
        <v>724114</v>
      </c>
      <c r="C2252">
        <v>10108642</v>
      </c>
      <c r="D2252" t="s">
        <v>3523</v>
      </c>
      <c r="F2252" t="s">
        <v>245</v>
      </c>
      <c r="G2252" t="s">
        <v>246</v>
      </c>
      <c r="N2252" t="s">
        <v>2183</v>
      </c>
      <c r="O2252" t="s">
        <v>498</v>
      </c>
      <c r="P2252" t="s">
        <v>249</v>
      </c>
      <c r="Q2252" t="s">
        <v>250</v>
      </c>
      <c r="R2252" t="s">
        <v>251</v>
      </c>
      <c r="T2252" t="s">
        <v>252</v>
      </c>
      <c r="U2252" t="s">
        <v>499</v>
      </c>
      <c r="V2252" t="s">
        <v>1281</v>
      </c>
      <c r="W2252" t="s">
        <v>1282</v>
      </c>
      <c r="X2252" t="s">
        <v>2184</v>
      </c>
      <c r="Z2252" t="s">
        <v>315</v>
      </c>
      <c r="AL2252" t="s">
        <v>2475</v>
      </c>
      <c r="AM2252" t="s">
        <v>317</v>
      </c>
      <c r="AN2252" t="s">
        <v>259</v>
      </c>
      <c r="AO2252" t="s">
        <v>260</v>
      </c>
      <c r="AQ2252" t="s">
        <v>261</v>
      </c>
      <c r="AS2252">
        <v>9.0299999999999994</v>
      </c>
      <c r="AU2252">
        <v>6.15</v>
      </c>
      <c r="AW2252">
        <v>13.26</v>
      </c>
      <c r="AX2252" t="s">
        <v>356</v>
      </c>
      <c r="BO2252" t="s">
        <v>261</v>
      </c>
      <c r="BQ2252">
        <v>9.0299999999999994</v>
      </c>
      <c r="BS2252">
        <v>6.15</v>
      </c>
      <c r="BU2252">
        <v>13.26</v>
      </c>
      <c r="BV2252" t="s">
        <v>263</v>
      </c>
      <c r="CM2252" t="s">
        <v>264</v>
      </c>
      <c r="CN2252" t="s">
        <v>264</v>
      </c>
      <c r="CP2252" t="s">
        <v>265</v>
      </c>
      <c r="CQ2252" t="s">
        <v>890</v>
      </c>
      <c r="DB2252">
        <v>4</v>
      </c>
      <c r="DG2252" t="s">
        <v>267</v>
      </c>
      <c r="DI2252">
        <v>96</v>
      </c>
      <c r="DN2252" t="s">
        <v>268</v>
      </c>
      <c r="DP2252" t="s">
        <v>3628</v>
      </c>
      <c r="DR2252">
        <v>371472</v>
      </c>
      <c r="DS2252">
        <v>1342</v>
      </c>
      <c r="DT2252" t="s">
        <v>2476</v>
      </c>
      <c r="EW2252" t="s">
        <v>293</v>
      </c>
      <c r="FK2252" t="s">
        <v>4012</v>
      </c>
      <c r="FM2252">
        <v>11</v>
      </c>
      <c r="FR2252" t="s">
        <v>295</v>
      </c>
      <c r="GH2252">
        <v>75</v>
      </c>
      <c r="GM2252" t="s">
        <v>1224</v>
      </c>
      <c r="GO2252">
        <v>7.24</v>
      </c>
      <c r="GU2252">
        <v>32</v>
      </c>
      <c r="GZ2252" t="s">
        <v>296</v>
      </c>
      <c r="HH2252" t="s">
        <v>272</v>
      </c>
      <c r="ID2252" t="s">
        <v>4013</v>
      </c>
      <c r="IE2252" t="s">
        <v>2480</v>
      </c>
      <c r="IF2252">
        <v>47359</v>
      </c>
      <c r="IG2252" t="s">
        <v>2481</v>
      </c>
      <c r="IH2252" t="s">
        <v>2482</v>
      </c>
      <c r="II2252">
        <v>1998</v>
      </c>
      <c r="IJ2252" t="s">
        <v>2483</v>
      </c>
    </row>
    <row r="2253" spans="1:244" x14ac:dyDescent="0.45">
      <c r="A2253">
        <v>1193474</v>
      </c>
      <c r="B2253">
        <v>170381</v>
      </c>
      <c r="C2253">
        <v>10108642</v>
      </c>
      <c r="D2253" t="s">
        <v>3523</v>
      </c>
      <c r="F2253" t="s">
        <v>245</v>
      </c>
      <c r="G2253" t="s">
        <v>246</v>
      </c>
      <c r="N2253" t="s">
        <v>1022</v>
      </c>
      <c r="O2253" t="s">
        <v>578</v>
      </c>
      <c r="P2253" t="s">
        <v>249</v>
      </c>
      <c r="Q2253" t="s">
        <v>250</v>
      </c>
      <c r="R2253" t="s">
        <v>251</v>
      </c>
      <c r="T2253" t="s">
        <v>252</v>
      </c>
      <c r="U2253" t="s">
        <v>499</v>
      </c>
      <c r="V2253" t="s">
        <v>992</v>
      </c>
      <c r="W2253" t="s">
        <v>1023</v>
      </c>
      <c r="X2253" t="s">
        <v>1024</v>
      </c>
      <c r="Z2253" t="s">
        <v>315</v>
      </c>
      <c r="AL2253" t="s">
        <v>3944</v>
      </c>
      <c r="AM2253" t="s">
        <v>317</v>
      </c>
      <c r="AN2253" t="s">
        <v>259</v>
      </c>
      <c r="AO2253" t="s">
        <v>260</v>
      </c>
      <c r="AQ2253" t="s">
        <v>1569</v>
      </c>
      <c r="AS2253">
        <v>190</v>
      </c>
      <c r="AU2253">
        <v>100</v>
      </c>
      <c r="AW2253">
        <v>300</v>
      </c>
      <c r="AX2253" t="s">
        <v>262</v>
      </c>
      <c r="AY2253" t="s">
        <v>261</v>
      </c>
      <c r="BA2253">
        <v>2790</v>
      </c>
      <c r="BC2253">
        <v>1700</v>
      </c>
      <c r="BE2253">
        <v>4700</v>
      </c>
      <c r="BF2253" t="s">
        <v>262</v>
      </c>
      <c r="BO2253" t="s">
        <v>1569</v>
      </c>
      <c r="BQ2253">
        <v>0.19</v>
      </c>
      <c r="BS2253">
        <v>0.1</v>
      </c>
      <c r="BU2253">
        <v>0.3</v>
      </c>
      <c r="BV2253" t="s">
        <v>263</v>
      </c>
      <c r="BW2253" t="s">
        <v>261</v>
      </c>
      <c r="BY2253">
        <v>2.79</v>
      </c>
      <c r="CA2253">
        <v>1.7</v>
      </c>
      <c r="CC2253">
        <v>4.7</v>
      </c>
      <c r="CD2253" t="s">
        <v>263</v>
      </c>
      <c r="CM2253" t="s">
        <v>264</v>
      </c>
      <c r="CN2253" t="s">
        <v>264</v>
      </c>
      <c r="CP2253" t="s">
        <v>265</v>
      </c>
      <c r="CQ2253" t="s">
        <v>890</v>
      </c>
      <c r="CR2253" t="s">
        <v>890</v>
      </c>
      <c r="DB2253">
        <v>4</v>
      </c>
      <c r="DG2253" t="s">
        <v>267</v>
      </c>
      <c r="DI2253">
        <v>96</v>
      </c>
      <c r="DN2253" t="s">
        <v>268</v>
      </c>
      <c r="DR2253">
        <v>247138</v>
      </c>
      <c r="DS2253">
        <v>4424</v>
      </c>
      <c r="EW2253" t="s">
        <v>272</v>
      </c>
      <c r="FM2253">
        <v>20</v>
      </c>
      <c r="FR2253" t="s">
        <v>295</v>
      </c>
      <c r="GU2253">
        <v>28</v>
      </c>
      <c r="GZ2253" t="s">
        <v>296</v>
      </c>
      <c r="HH2253" t="s">
        <v>272</v>
      </c>
      <c r="IE2253" t="s">
        <v>3744</v>
      </c>
      <c r="IF2253">
        <v>17362</v>
      </c>
      <c r="IG2253" t="s">
        <v>3745</v>
      </c>
      <c r="IH2253" t="s">
        <v>3746</v>
      </c>
      <c r="II2253">
        <v>1992</v>
      </c>
      <c r="IJ2253" t="s">
        <v>3747</v>
      </c>
    </row>
    <row r="2254" spans="1:244" x14ac:dyDescent="0.45">
      <c r="A2254">
        <v>1059685</v>
      </c>
      <c r="B2254">
        <v>13972</v>
      </c>
      <c r="C2254">
        <v>10108642</v>
      </c>
      <c r="D2254" t="s">
        <v>3523</v>
      </c>
      <c r="E2254" t="s">
        <v>622</v>
      </c>
      <c r="F2254" t="s">
        <v>245</v>
      </c>
      <c r="G2254" t="s">
        <v>246</v>
      </c>
      <c r="N2254" t="s">
        <v>369</v>
      </c>
      <c r="O2254" t="s">
        <v>370</v>
      </c>
      <c r="P2254" t="s">
        <v>249</v>
      </c>
      <c r="Q2254" t="s">
        <v>250</v>
      </c>
      <c r="R2254" t="s">
        <v>251</v>
      </c>
      <c r="T2254" t="s">
        <v>252</v>
      </c>
      <c r="U2254" t="s">
        <v>371</v>
      </c>
      <c r="V2254" t="s">
        <v>372</v>
      </c>
      <c r="W2254" t="s">
        <v>373</v>
      </c>
      <c r="X2254" t="s">
        <v>374</v>
      </c>
      <c r="Z2254" t="s">
        <v>315</v>
      </c>
      <c r="AM2254" t="s">
        <v>258</v>
      </c>
      <c r="AN2254" t="s">
        <v>259</v>
      </c>
      <c r="AO2254" t="s">
        <v>260</v>
      </c>
      <c r="AQ2254" t="s">
        <v>261</v>
      </c>
      <c r="AS2254">
        <v>2.0499999999999998</v>
      </c>
      <c r="AU2254">
        <v>0.59</v>
      </c>
      <c r="AW2254">
        <v>7.17</v>
      </c>
      <c r="AX2254" t="s">
        <v>262</v>
      </c>
      <c r="BO2254" t="s">
        <v>261</v>
      </c>
      <c r="BQ2254">
        <v>2.0500000000000002E-3</v>
      </c>
      <c r="BS2254">
        <v>5.9000000000000003E-4</v>
      </c>
      <c r="BU2254">
        <v>7.1700000000000002E-3</v>
      </c>
      <c r="BV2254" t="s">
        <v>263</v>
      </c>
      <c r="CM2254" t="s">
        <v>264</v>
      </c>
      <c r="CN2254" t="s">
        <v>264</v>
      </c>
      <c r="CO2254" t="s">
        <v>3673</v>
      </c>
      <c r="CP2254" t="s">
        <v>265</v>
      </c>
      <c r="CQ2254" t="s">
        <v>890</v>
      </c>
      <c r="DB2254">
        <v>4</v>
      </c>
      <c r="DG2254" t="s">
        <v>267</v>
      </c>
      <c r="DI2254">
        <v>96</v>
      </c>
      <c r="DN2254" t="s">
        <v>268</v>
      </c>
      <c r="DR2254">
        <v>110441</v>
      </c>
      <c r="DS2254">
        <v>142</v>
      </c>
      <c r="DT2254" t="s">
        <v>3674</v>
      </c>
      <c r="EW2254" t="s">
        <v>271</v>
      </c>
      <c r="FM2254">
        <v>20</v>
      </c>
      <c r="FR2254" t="s">
        <v>295</v>
      </c>
      <c r="GU2254">
        <v>20</v>
      </c>
      <c r="GZ2254" t="s">
        <v>296</v>
      </c>
      <c r="HH2254" t="s">
        <v>272</v>
      </c>
      <c r="IE2254" t="s">
        <v>3675</v>
      </c>
      <c r="IF2254">
        <v>4439</v>
      </c>
      <c r="IG2254" t="s">
        <v>3676</v>
      </c>
      <c r="IH2254" t="s">
        <v>3677</v>
      </c>
      <c r="II2254">
        <v>1994</v>
      </c>
      <c r="IJ2254" t="s">
        <v>3678</v>
      </c>
    </row>
    <row r="2255" spans="1:244" x14ac:dyDescent="0.45">
      <c r="A2255">
        <v>1210146</v>
      </c>
      <c r="B2255">
        <v>186386</v>
      </c>
      <c r="C2255">
        <v>10108642</v>
      </c>
      <c r="D2255" t="s">
        <v>3523</v>
      </c>
      <c r="F2255" t="s">
        <v>245</v>
      </c>
      <c r="G2255" t="s">
        <v>246</v>
      </c>
      <c r="I2255">
        <v>99.9</v>
      </c>
      <c r="N2255" t="s">
        <v>2498</v>
      </c>
      <c r="O2255" t="s">
        <v>388</v>
      </c>
      <c r="P2255" t="s">
        <v>249</v>
      </c>
      <c r="Q2255" t="s">
        <v>250</v>
      </c>
      <c r="R2255" t="s">
        <v>251</v>
      </c>
      <c r="T2255" t="s">
        <v>389</v>
      </c>
      <c r="U2255" t="s">
        <v>390</v>
      </c>
      <c r="V2255" t="s">
        <v>391</v>
      </c>
      <c r="W2255" t="s">
        <v>392</v>
      </c>
      <c r="X2255" t="s">
        <v>2499</v>
      </c>
      <c r="Z2255" t="s">
        <v>2426</v>
      </c>
      <c r="AM2255" t="s">
        <v>317</v>
      </c>
      <c r="AN2255" t="s">
        <v>259</v>
      </c>
      <c r="AO2255" t="s">
        <v>260</v>
      </c>
      <c r="AQ2255" t="s">
        <v>261</v>
      </c>
      <c r="AS2255">
        <v>29.7</v>
      </c>
      <c r="AU2255">
        <v>27.7</v>
      </c>
      <c r="AW2255">
        <v>31.7</v>
      </c>
      <c r="AX2255" t="s">
        <v>262</v>
      </c>
      <c r="BO2255" t="s">
        <v>261</v>
      </c>
      <c r="BQ2255">
        <v>2.9700000000000001E-2</v>
      </c>
      <c r="BS2255">
        <v>2.7699999999999999E-2</v>
      </c>
      <c r="BU2255">
        <v>3.1699999999999999E-2</v>
      </c>
      <c r="BV2255" t="s">
        <v>263</v>
      </c>
      <c r="CM2255" t="s">
        <v>264</v>
      </c>
      <c r="CN2255" t="s">
        <v>264</v>
      </c>
      <c r="CP2255" t="s">
        <v>265</v>
      </c>
      <c r="DB2255">
        <v>4</v>
      </c>
      <c r="DG2255" t="s">
        <v>267</v>
      </c>
      <c r="DI2255">
        <v>96</v>
      </c>
      <c r="DN2255" t="s">
        <v>268</v>
      </c>
      <c r="DO2255" t="s">
        <v>1587</v>
      </c>
      <c r="DR2255">
        <v>272819</v>
      </c>
      <c r="DS2255">
        <v>4707</v>
      </c>
      <c r="DT2255" t="s">
        <v>3917</v>
      </c>
      <c r="EW2255" t="s">
        <v>293</v>
      </c>
      <c r="FM2255">
        <v>20</v>
      </c>
      <c r="FR2255" t="s">
        <v>295</v>
      </c>
      <c r="GJ2255">
        <v>7</v>
      </c>
      <c r="GL2255">
        <v>7.9</v>
      </c>
      <c r="GM2255" t="s">
        <v>356</v>
      </c>
      <c r="GQ2255">
        <v>7.7</v>
      </c>
      <c r="GS2255">
        <v>8.14</v>
      </c>
      <c r="GW2255">
        <v>34.5</v>
      </c>
      <c r="GY2255">
        <v>35</v>
      </c>
      <c r="GZ2255" t="s">
        <v>296</v>
      </c>
      <c r="HH2255" t="s">
        <v>272</v>
      </c>
      <c r="IE2255" t="s">
        <v>3918</v>
      </c>
      <c r="IF2255">
        <v>19281</v>
      </c>
      <c r="IG2255" t="s">
        <v>3919</v>
      </c>
      <c r="IH2255" t="s">
        <v>3920</v>
      </c>
      <c r="II2255">
        <v>1998</v>
      </c>
      <c r="IJ2255" t="s">
        <v>3921</v>
      </c>
    </row>
    <row r="2256" spans="1:244" x14ac:dyDescent="0.45">
      <c r="A2256">
        <v>1055385</v>
      </c>
      <c r="B2256">
        <v>118606</v>
      </c>
      <c r="C2256">
        <v>10108642</v>
      </c>
      <c r="D2256" t="s">
        <v>3523</v>
      </c>
      <c r="F2256" t="s">
        <v>245</v>
      </c>
      <c r="G2256" t="s">
        <v>246</v>
      </c>
      <c r="N2256" t="s">
        <v>1022</v>
      </c>
      <c r="O2256" t="s">
        <v>578</v>
      </c>
      <c r="P2256" t="s">
        <v>249</v>
      </c>
      <c r="Q2256" t="s">
        <v>250</v>
      </c>
      <c r="R2256" t="s">
        <v>251</v>
      </c>
      <c r="T2256" t="s">
        <v>252</v>
      </c>
      <c r="U2256" t="s">
        <v>499</v>
      </c>
      <c r="V2256" t="s">
        <v>992</v>
      </c>
      <c r="W2256" t="s">
        <v>1023</v>
      </c>
      <c r="X2256" t="s">
        <v>1024</v>
      </c>
      <c r="AL2256" t="s">
        <v>4014</v>
      </c>
      <c r="AM2256" t="s">
        <v>317</v>
      </c>
      <c r="AN2256" t="s">
        <v>259</v>
      </c>
      <c r="AO2256" t="s">
        <v>260</v>
      </c>
      <c r="AQ2256" t="s">
        <v>261</v>
      </c>
      <c r="AS2256">
        <v>300</v>
      </c>
      <c r="AX2256" t="s">
        <v>262</v>
      </c>
      <c r="BO2256" t="s">
        <v>261</v>
      </c>
      <c r="BQ2256">
        <v>0.3</v>
      </c>
      <c r="BV2256" t="s">
        <v>263</v>
      </c>
      <c r="CM2256" t="s">
        <v>264</v>
      </c>
      <c r="CN2256" t="s">
        <v>264</v>
      </c>
      <c r="CP2256" t="s">
        <v>265</v>
      </c>
      <c r="CQ2256" t="s">
        <v>890</v>
      </c>
      <c r="DB2256">
        <v>4</v>
      </c>
      <c r="DG2256" t="s">
        <v>267</v>
      </c>
      <c r="DI2256">
        <v>96</v>
      </c>
      <c r="DN2256" t="s">
        <v>268</v>
      </c>
      <c r="DR2256">
        <v>247138</v>
      </c>
      <c r="DS2256">
        <v>4424</v>
      </c>
      <c r="DT2256" t="s">
        <v>3966</v>
      </c>
      <c r="EW2256" t="s">
        <v>333</v>
      </c>
      <c r="FO2256">
        <v>18</v>
      </c>
      <c r="FQ2256">
        <v>20</v>
      </c>
      <c r="FR2256" t="s">
        <v>295</v>
      </c>
      <c r="GU2256">
        <v>6</v>
      </c>
      <c r="GZ2256" t="s">
        <v>296</v>
      </c>
      <c r="HH2256" t="s">
        <v>272</v>
      </c>
      <c r="IE2256" t="s">
        <v>3967</v>
      </c>
      <c r="IF2256">
        <v>3911</v>
      </c>
      <c r="IG2256" t="s">
        <v>3968</v>
      </c>
      <c r="IH2256" t="s">
        <v>3969</v>
      </c>
      <c r="II2256">
        <v>1992</v>
      </c>
      <c r="IJ2256" t="s">
        <v>3970</v>
      </c>
    </row>
    <row r="2257" spans="1:244" x14ac:dyDescent="0.45">
      <c r="A2257">
        <v>1295986</v>
      </c>
      <c r="B2257">
        <v>751250</v>
      </c>
      <c r="C2257">
        <v>10108642</v>
      </c>
      <c r="D2257" t="s">
        <v>3523</v>
      </c>
      <c r="F2257" t="s">
        <v>245</v>
      </c>
      <c r="G2257" t="s">
        <v>246</v>
      </c>
      <c r="H2257" t="s">
        <v>288</v>
      </c>
      <c r="I2257">
        <v>99</v>
      </c>
      <c r="N2257" t="s">
        <v>387</v>
      </c>
      <c r="O2257" t="s">
        <v>388</v>
      </c>
      <c r="P2257" t="s">
        <v>249</v>
      </c>
      <c r="Q2257" t="s">
        <v>250</v>
      </c>
      <c r="R2257" t="s">
        <v>251</v>
      </c>
      <c r="T2257" t="s">
        <v>389</v>
      </c>
      <c r="U2257" t="s">
        <v>390</v>
      </c>
      <c r="V2257" t="s">
        <v>391</v>
      </c>
      <c r="W2257" t="s">
        <v>392</v>
      </c>
      <c r="X2257" t="s">
        <v>393</v>
      </c>
      <c r="Z2257" t="s">
        <v>315</v>
      </c>
      <c r="AB2257">
        <v>2</v>
      </c>
      <c r="AG2257" t="s">
        <v>516</v>
      </c>
      <c r="AL2257" t="s">
        <v>2100</v>
      </c>
      <c r="AM2257" t="s">
        <v>258</v>
      </c>
      <c r="AN2257" t="s">
        <v>259</v>
      </c>
      <c r="AO2257" t="s">
        <v>260</v>
      </c>
      <c r="AQ2257" t="s">
        <v>261</v>
      </c>
      <c r="AS2257">
        <v>25.2</v>
      </c>
      <c r="AU2257">
        <v>17.809999999999999</v>
      </c>
      <c r="AW2257">
        <v>35.549999999999997</v>
      </c>
      <c r="AX2257" t="s">
        <v>356</v>
      </c>
      <c r="BO2257" t="s">
        <v>261</v>
      </c>
      <c r="BQ2257">
        <v>25.2</v>
      </c>
      <c r="BS2257">
        <v>17.809999999999999</v>
      </c>
      <c r="BU2257">
        <v>35.549999999999997</v>
      </c>
      <c r="BV2257" t="s">
        <v>263</v>
      </c>
      <c r="CM2257" t="s">
        <v>264</v>
      </c>
      <c r="CN2257" t="s">
        <v>264</v>
      </c>
      <c r="CP2257" t="s">
        <v>265</v>
      </c>
      <c r="CQ2257" t="s">
        <v>890</v>
      </c>
      <c r="DB2257">
        <v>4</v>
      </c>
      <c r="DG2257" t="s">
        <v>267</v>
      </c>
      <c r="DI2257">
        <v>96</v>
      </c>
      <c r="DN2257" t="s">
        <v>268</v>
      </c>
      <c r="DO2257" t="s">
        <v>1587</v>
      </c>
      <c r="DP2257" t="s">
        <v>3597</v>
      </c>
      <c r="DR2257">
        <v>158387</v>
      </c>
      <c r="DS2257">
        <v>6038</v>
      </c>
      <c r="DT2257" t="s">
        <v>2101</v>
      </c>
      <c r="EW2257" t="s">
        <v>293</v>
      </c>
      <c r="FK2257" t="s">
        <v>4015</v>
      </c>
      <c r="FM2257">
        <v>20</v>
      </c>
      <c r="FR2257" t="s">
        <v>295</v>
      </c>
      <c r="GH2257">
        <v>5.24</v>
      </c>
      <c r="GM2257" t="s">
        <v>356</v>
      </c>
      <c r="GO2257">
        <v>7.9</v>
      </c>
      <c r="GU2257">
        <v>32</v>
      </c>
      <c r="GZ2257" t="s">
        <v>296</v>
      </c>
      <c r="HH2257" t="s">
        <v>272</v>
      </c>
      <c r="ID2257" t="s">
        <v>4016</v>
      </c>
      <c r="IE2257" t="s">
        <v>2104</v>
      </c>
      <c r="IF2257">
        <v>111315</v>
      </c>
      <c r="IG2257" t="s">
        <v>2105</v>
      </c>
      <c r="IH2257" t="s">
        <v>2106</v>
      </c>
      <c r="II2257">
        <v>2007</v>
      </c>
      <c r="IJ2257" t="s">
        <v>2107</v>
      </c>
    </row>
    <row r="2258" spans="1:244" x14ac:dyDescent="0.45">
      <c r="A2258">
        <v>1119850</v>
      </c>
      <c r="B2258">
        <v>70060</v>
      </c>
      <c r="C2258">
        <v>10108642</v>
      </c>
      <c r="D2258" t="s">
        <v>3523</v>
      </c>
      <c r="F2258" t="s">
        <v>327</v>
      </c>
      <c r="G2258" t="s">
        <v>246</v>
      </c>
      <c r="N2258" t="s">
        <v>3856</v>
      </c>
      <c r="O2258" t="s">
        <v>3857</v>
      </c>
      <c r="P2258" t="s">
        <v>249</v>
      </c>
      <c r="Q2258" t="s">
        <v>250</v>
      </c>
      <c r="R2258" t="s">
        <v>251</v>
      </c>
      <c r="T2258" t="s">
        <v>252</v>
      </c>
      <c r="U2258" t="s">
        <v>253</v>
      </c>
      <c r="V2258" t="s">
        <v>548</v>
      </c>
      <c r="W2258" t="s">
        <v>549</v>
      </c>
      <c r="X2258" t="s">
        <v>3858</v>
      </c>
      <c r="AL2258" t="s">
        <v>3859</v>
      </c>
      <c r="AM2258" t="s">
        <v>317</v>
      </c>
      <c r="AN2258" t="s">
        <v>259</v>
      </c>
      <c r="AO2258" t="s">
        <v>260</v>
      </c>
      <c r="AQ2258" t="s">
        <v>261</v>
      </c>
      <c r="AS2258">
        <v>2400</v>
      </c>
      <c r="AX2258" t="s">
        <v>262</v>
      </c>
      <c r="BO2258" t="s">
        <v>261</v>
      </c>
      <c r="BQ2258">
        <v>2.4</v>
      </c>
      <c r="BV2258" t="s">
        <v>263</v>
      </c>
      <c r="CM2258" t="s">
        <v>264</v>
      </c>
      <c r="CN2258" t="s">
        <v>264</v>
      </c>
      <c r="CP2258" t="s">
        <v>265</v>
      </c>
      <c r="CQ2258" t="s">
        <v>890</v>
      </c>
      <c r="DB2258">
        <v>1</v>
      </c>
      <c r="DG2258" t="s">
        <v>267</v>
      </c>
      <c r="DI2258">
        <v>24</v>
      </c>
      <c r="DN2258" t="s">
        <v>268</v>
      </c>
      <c r="DP2258" t="s">
        <v>570</v>
      </c>
      <c r="DR2258">
        <v>587144</v>
      </c>
      <c r="DS2258">
        <v>347</v>
      </c>
      <c r="DT2258" t="s">
        <v>3532</v>
      </c>
      <c r="EW2258" t="s">
        <v>333</v>
      </c>
      <c r="FK2258" t="s">
        <v>3533</v>
      </c>
      <c r="FM2258">
        <v>20</v>
      </c>
      <c r="FR2258" t="s">
        <v>295</v>
      </c>
      <c r="GJ2258">
        <v>4</v>
      </c>
      <c r="GL2258">
        <v>6</v>
      </c>
      <c r="GM2258" t="s">
        <v>356</v>
      </c>
      <c r="GO2258">
        <v>8</v>
      </c>
      <c r="GU2258">
        <v>20</v>
      </c>
      <c r="GZ2258" t="s">
        <v>296</v>
      </c>
      <c r="HH2258" t="s">
        <v>272</v>
      </c>
      <c r="ID2258" t="s">
        <v>3534</v>
      </c>
      <c r="IE2258" t="s">
        <v>3535</v>
      </c>
      <c r="IF2258">
        <v>9316</v>
      </c>
      <c r="IG2258" t="s">
        <v>3536</v>
      </c>
      <c r="IH2258" t="s">
        <v>3537</v>
      </c>
      <c r="II2258">
        <v>1971</v>
      </c>
      <c r="IJ2258" t="s">
        <v>3538</v>
      </c>
    </row>
    <row r="2259" spans="1:244" x14ac:dyDescent="0.45">
      <c r="A2259">
        <v>1059925</v>
      </c>
      <c r="B2259">
        <v>131249</v>
      </c>
      <c r="C2259">
        <v>10108642</v>
      </c>
      <c r="D2259" t="s">
        <v>3523</v>
      </c>
      <c r="F2259" t="s">
        <v>327</v>
      </c>
      <c r="G2259" t="s">
        <v>246</v>
      </c>
      <c r="N2259" t="s">
        <v>590</v>
      </c>
      <c r="O2259" t="s">
        <v>578</v>
      </c>
      <c r="P2259" t="s">
        <v>249</v>
      </c>
      <c r="Q2259" t="s">
        <v>250</v>
      </c>
      <c r="R2259" t="s">
        <v>251</v>
      </c>
      <c r="T2259" t="s">
        <v>252</v>
      </c>
      <c r="U2259" t="s">
        <v>499</v>
      </c>
      <c r="V2259" t="s">
        <v>591</v>
      </c>
      <c r="W2259" t="s">
        <v>592</v>
      </c>
      <c r="X2259" t="s">
        <v>593</v>
      </c>
      <c r="AM2259" t="s">
        <v>287</v>
      </c>
      <c r="AN2259" t="s">
        <v>259</v>
      </c>
      <c r="AO2259" t="s">
        <v>260</v>
      </c>
      <c r="AQ2259" t="s">
        <v>261</v>
      </c>
      <c r="AS2259">
        <v>280</v>
      </c>
      <c r="AU2259">
        <v>220</v>
      </c>
      <c r="AW2259">
        <v>370</v>
      </c>
      <c r="AX2259" t="s">
        <v>262</v>
      </c>
      <c r="BO2259" t="s">
        <v>261</v>
      </c>
      <c r="BQ2259">
        <v>0.28000000000000003</v>
      </c>
      <c r="BS2259">
        <v>0.22</v>
      </c>
      <c r="BU2259">
        <v>0.37</v>
      </c>
      <c r="BV2259" t="s">
        <v>263</v>
      </c>
      <c r="CM2259" t="s">
        <v>264</v>
      </c>
      <c r="CN2259" t="s">
        <v>264</v>
      </c>
      <c r="CP2259" t="s">
        <v>265</v>
      </c>
      <c r="CQ2259" t="s">
        <v>890</v>
      </c>
      <c r="DB2259">
        <v>4</v>
      </c>
      <c r="DG2259" t="s">
        <v>267</v>
      </c>
      <c r="DI2259">
        <v>96</v>
      </c>
      <c r="DN2259" t="s">
        <v>268</v>
      </c>
      <c r="DR2259">
        <v>1239313</v>
      </c>
      <c r="DS2259">
        <v>4665</v>
      </c>
      <c r="EW2259" t="s">
        <v>333</v>
      </c>
      <c r="FK2259" t="s">
        <v>3946</v>
      </c>
      <c r="FM2259">
        <v>20</v>
      </c>
      <c r="FR2259" t="s">
        <v>295</v>
      </c>
      <c r="GU2259">
        <v>28</v>
      </c>
      <c r="GZ2259" t="s">
        <v>296</v>
      </c>
      <c r="HH2259" t="s">
        <v>272</v>
      </c>
      <c r="ID2259" t="s">
        <v>3947</v>
      </c>
      <c r="IE2259" t="s">
        <v>3948</v>
      </c>
      <c r="IF2259">
        <v>4443</v>
      </c>
      <c r="IG2259" t="s">
        <v>3949</v>
      </c>
      <c r="IH2259" t="s">
        <v>3950</v>
      </c>
      <c r="II2259">
        <v>1994</v>
      </c>
      <c r="IJ2259" t="s">
        <v>3951</v>
      </c>
    </row>
    <row r="2260" spans="1:244" x14ac:dyDescent="0.45">
      <c r="A2260">
        <v>1191626</v>
      </c>
      <c r="B2260">
        <v>166348</v>
      </c>
      <c r="C2260">
        <v>10108642</v>
      </c>
      <c r="D2260" t="s">
        <v>3523</v>
      </c>
      <c r="F2260" t="s">
        <v>327</v>
      </c>
      <c r="G2260" t="s">
        <v>246</v>
      </c>
      <c r="N2260" t="s">
        <v>829</v>
      </c>
      <c r="O2260" t="s">
        <v>631</v>
      </c>
      <c r="P2260" t="s">
        <v>249</v>
      </c>
      <c r="Q2260" t="s">
        <v>250</v>
      </c>
      <c r="R2260" t="s">
        <v>251</v>
      </c>
      <c r="T2260" t="s">
        <v>389</v>
      </c>
      <c r="U2260" t="s">
        <v>632</v>
      </c>
      <c r="V2260" t="s">
        <v>830</v>
      </c>
      <c r="W2260" t="s">
        <v>831</v>
      </c>
      <c r="X2260" t="s">
        <v>832</v>
      </c>
      <c r="Z2260" t="s">
        <v>1025</v>
      </c>
      <c r="AD2260">
        <v>48</v>
      </c>
      <c r="AF2260">
        <v>72</v>
      </c>
      <c r="AG2260" t="s">
        <v>268</v>
      </c>
      <c r="AM2260" t="s">
        <v>317</v>
      </c>
      <c r="AN2260" t="s">
        <v>259</v>
      </c>
      <c r="AO2260" t="s">
        <v>260</v>
      </c>
      <c r="AQ2260" t="s">
        <v>261</v>
      </c>
      <c r="AS2260">
        <v>51.6</v>
      </c>
      <c r="AU2260">
        <v>36.200000000000003</v>
      </c>
      <c r="AW2260">
        <v>73.5</v>
      </c>
      <c r="AX2260" t="s">
        <v>262</v>
      </c>
      <c r="BO2260" t="s">
        <v>261</v>
      </c>
      <c r="BQ2260">
        <v>5.16E-2</v>
      </c>
      <c r="BS2260">
        <v>3.6200000000000003E-2</v>
      </c>
      <c r="BU2260">
        <v>7.3499999999999996E-2</v>
      </c>
      <c r="BV2260" t="s">
        <v>263</v>
      </c>
      <c r="CM2260" t="s">
        <v>264</v>
      </c>
      <c r="CN2260" t="s">
        <v>264</v>
      </c>
      <c r="CP2260" t="s">
        <v>265</v>
      </c>
      <c r="CQ2260" t="s">
        <v>890</v>
      </c>
      <c r="DB2260">
        <v>4</v>
      </c>
      <c r="DG2260" t="s">
        <v>267</v>
      </c>
      <c r="DI2260">
        <v>96</v>
      </c>
      <c r="DN2260" t="s">
        <v>268</v>
      </c>
      <c r="DR2260">
        <v>88015</v>
      </c>
      <c r="DS2260">
        <v>649</v>
      </c>
      <c r="EW2260" t="s">
        <v>293</v>
      </c>
      <c r="FO2260">
        <v>24</v>
      </c>
      <c r="FQ2260">
        <v>25</v>
      </c>
      <c r="FR2260" t="s">
        <v>295</v>
      </c>
      <c r="GJ2260">
        <v>7.5</v>
      </c>
      <c r="GL2260">
        <v>8.9</v>
      </c>
      <c r="GM2260" t="s">
        <v>356</v>
      </c>
      <c r="GQ2260">
        <v>7.53</v>
      </c>
      <c r="GS2260">
        <v>8.76</v>
      </c>
      <c r="GU2260">
        <v>5</v>
      </c>
      <c r="GW2260">
        <v>5</v>
      </c>
      <c r="GY2260">
        <v>6</v>
      </c>
      <c r="GZ2260" t="s">
        <v>296</v>
      </c>
      <c r="HH2260" t="s">
        <v>272</v>
      </c>
      <c r="IE2260" t="s">
        <v>3869</v>
      </c>
      <c r="IF2260">
        <v>17219</v>
      </c>
      <c r="IG2260" t="s">
        <v>3954</v>
      </c>
      <c r="IH2260" t="s">
        <v>3955</v>
      </c>
      <c r="II2260">
        <v>1994</v>
      </c>
      <c r="IJ2260" t="s">
        <v>3956</v>
      </c>
    </row>
    <row r="2261" spans="1:244" x14ac:dyDescent="0.45">
      <c r="A2261">
        <v>1200165</v>
      </c>
      <c r="B2261">
        <v>154745</v>
      </c>
      <c r="C2261">
        <v>10108642</v>
      </c>
      <c r="D2261" t="s">
        <v>3523</v>
      </c>
      <c r="F2261" t="s">
        <v>245</v>
      </c>
      <c r="G2261" t="s">
        <v>246</v>
      </c>
      <c r="N2261" t="s">
        <v>1022</v>
      </c>
      <c r="O2261" t="s">
        <v>578</v>
      </c>
      <c r="P2261" t="s">
        <v>249</v>
      </c>
      <c r="Q2261" t="s">
        <v>250</v>
      </c>
      <c r="R2261" t="s">
        <v>251</v>
      </c>
      <c r="T2261" t="s">
        <v>252</v>
      </c>
      <c r="U2261" t="s">
        <v>499</v>
      </c>
      <c r="V2261" t="s">
        <v>992</v>
      </c>
      <c r="W2261" t="s">
        <v>1023</v>
      </c>
      <c r="X2261" t="s">
        <v>1024</v>
      </c>
      <c r="AD2261">
        <v>7</v>
      </c>
      <c r="AF2261">
        <v>14</v>
      </c>
      <c r="AG2261" t="s">
        <v>267</v>
      </c>
      <c r="AL2261" t="s">
        <v>3873</v>
      </c>
      <c r="AM2261" t="s">
        <v>317</v>
      </c>
      <c r="AN2261" t="s">
        <v>259</v>
      </c>
      <c r="AO2261" t="s">
        <v>260</v>
      </c>
      <c r="AQ2261" t="s">
        <v>261</v>
      </c>
      <c r="AR2261" t="s">
        <v>515</v>
      </c>
      <c r="AS2261">
        <v>20</v>
      </c>
      <c r="AX2261" t="s">
        <v>262</v>
      </c>
      <c r="BO2261" t="s">
        <v>261</v>
      </c>
      <c r="BP2261" t="s">
        <v>515</v>
      </c>
      <c r="BQ2261">
        <v>0.02</v>
      </c>
      <c r="BV2261" t="s">
        <v>263</v>
      </c>
      <c r="CM2261" t="s">
        <v>264</v>
      </c>
      <c r="CN2261" t="s">
        <v>264</v>
      </c>
      <c r="CP2261" t="s">
        <v>265</v>
      </c>
      <c r="CQ2261" t="s">
        <v>890</v>
      </c>
      <c r="DB2261">
        <v>4</v>
      </c>
      <c r="DG2261" t="s">
        <v>267</v>
      </c>
      <c r="DI2261">
        <v>96</v>
      </c>
      <c r="DN2261" t="s">
        <v>268</v>
      </c>
      <c r="DR2261">
        <v>247138</v>
      </c>
      <c r="DS2261">
        <v>4424</v>
      </c>
      <c r="DT2261" t="s">
        <v>3874</v>
      </c>
      <c r="EW2261" t="s">
        <v>272</v>
      </c>
      <c r="FK2261" t="s">
        <v>4017</v>
      </c>
      <c r="FM2261">
        <v>23</v>
      </c>
      <c r="FR2261" t="s">
        <v>295</v>
      </c>
      <c r="GU2261">
        <v>5</v>
      </c>
      <c r="GZ2261" t="s">
        <v>296</v>
      </c>
      <c r="HH2261" t="s">
        <v>272</v>
      </c>
      <c r="ID2261" t="s">
        <v>4018</v>
      </c>
      <c r="IE2261" t="s">
        <v>3877</v>
      </c>
      <c r="IF2261">
        <v>18159</v>
      </c>
      <c r="IG2261" t="s">
        <v>3878</v>
      </c>
      <c r="IH2261" t="s">
        <v>3879</v>
      </c>
      <c r="II2261">
        <v>1997</v>
      </c>
      <c r="IJ2261" t="s">
        <v>3880</v>
      </c>
    </row>
    <row r="2262" spans="1:244" x14ac:dyDescent="0.45">
      <c r="A2262">
        <v>1193475</v>
      </c>
      <c r="B2262">
        <v>170382</v>
      </c>
      <c r="C2262">
        <v>10108642</v>
      </c>
      <c r="D2262" t="s">
        <v>3523</v>
      </c>
      <c r="F2262" t="s">
        <v>245</v>
      </c>
      <c r="G2262" t="s">
        <v>246</v>
      </c>
      <c r="N2262" t="s">
        <v>1022</v>
      </c>
      <c r="O2262" t="s">
        <v>578</v>
      </c>
      <c r="P2262" t="s">
        <v>249</v>
      </c>
      <c r="Q2262" t="s">
        <v>250</v>
      </c>
      <c r="R2262" t="s">
        <v>251</v>
      </c>
      <c r="T2262" t="s">
        <v>252</v>
      </c>
      <c r="U2262" t="s">
        <v>499</v>
      </c>
      <c r="V2262" t="s">
        <v>992</v>
      </c>
      <c r="W2262" t="s">
        <v>1023</v>
      </c>
      <c r="X2262" t="s">
        <v>1024</v>
      </c>
      <c r="Z2262" t="s">
        <v>315</v>
      </c>
      <c r="AL2262" t="s">
        <v>3944</v>
      </c>
      <c r="AM2262" t="s">
        <v>317</v>
      </c>
      <c r="AN2262" t="s">
        <v>259</v>
      </c>
      <c r="AO2262" t="s">
        <v>260</v>
      </c>
      <c r="AQ2262" t="s">
        <v>1569</v>
      </c>
      <c r="AS2262">
        <v>670</v>
      </c>
      <c r="AU2262">
        <v>500</v>
      </c>
      <c r="AW2262">
        <v>1000</v>
      </c>
      <c r="AX2262" t="s">
        <v>262</v>
      </c>
      <c r="AY2262" t="s">
        <v>261</v>
      </c>
      <c r="BA2262">
        <v>9800</v>
      </c>
      <c r="BC2262">
        <v>6800</v>
      </c>
      <c r="BE2262">
        <v>14100</v>
      </c>
      <c r="BF2262" t="s">
        <v>262</v>
      </c>
      <c r="BO2262" t="s">
        <v>1569</v>
      </c>
      <c r="BQ2262">
        <v>0.67</v>
      </c>
      <c r="BS2262">
        <v>0.5</v>
      </c>
      <c r="BU2262">
        <v>1</v>
      </c>
      <c r="BV2262" t="s">
        <v>263</v>
      </c>
      <c r="BW2262" t="s">
        <v>261</v>
      </c>
      <c r="BY2262">
        <v>9.8000000000000007</v>
      </c>
      <c r="CA2262">
        <v>6.8</v>
      </c>
      <c r="CC2262">
        <v>14.1</v>
      </c>
      <c r="CD2262" t="s">
        <v>263</v>
      </c>
      <c r="CM2262" t="s">
        <v>264</v>
      </c>
      <c r="CN2262" t="s">
        <v>264</v>
      </c>
      <c r="CP2262" t="s">
        <v>265</v>
      </c>
      <c r="CQ2262" t="s">
        <v>890</v>
      </c>
      <c r="CR2262" t="s">
        <v>890</v>
      </c>
      <c r="DB2262">
        <v>4</v>
      </c>
      <c r="DG2262" t="s">
        <v>267</v>
      </c>
      <c r="DI2262">
        <v>96</v>
      </c>
      <c r="DN2262" t="s">
        <v>268</v>
      </c>
      <c r="DR2262">
        <v>247138</v>
      </c>
      <c r="DS2262">
        <v>4424</v>
      </c>
      <c r="EW2262" t="s">
        <v>272</v>
      </c>
      <c r="FM2262">
        <v>15</v>
      </c>
      <c r="FR2262" t="s">
        <v>295</v>
      </c>
      <c r="GU2262">
        <v>28</v>
      </c>
      <c r="GZ2262" t="s">
        <v>296</v>
      </c>
      <c r="HH2262" t="s">
        <v>272</v>
      </c>
      <c r="IE2262" t="s">
        <v>3744</v>
      </c>
      <c r="IF2262">
        <v>17362</v>
      </c>
      <c r="IG2262" t="s">
        <v>3745</v>
      </c>
      <c r="IH2262" t="s">
        <v>3746</v>
      </c>
      <c r="II2262">
        <v>1992</v>
      </c>
      <c r="IJ2262" t="s">
        <v>3747</v>
      </c>
    </row>
    <row r="2263" spans="1:244" x14ac:dyDescent="0.45">
      <c r="A2263">
        <v>1199955</v>
      </c>
      <c r="B2263">
        <v>163664</v>
      </c>
      <c r="C2263">
        <v>10108642</v>
      </c>
      <c r="D2263" t="s">
        <v>3523</v>
      </c>
      <c r="F2263" t="s">
        <v>245</v>
      </c>
      <c r="G2263" t="s">
        <v>246</v>
      </c>
      <c r="N2263" t="s">
        <v>729</v>
      </c>
      <c r="O2263" t="s">
        <v>578</v>
      </c>
      <c r="P2263" t="s">
        <v>249</v>
      </c>
      <c r="Q2263" t="s">
        <v>250</v>
      </c>
      <c r="R2263" t="s">
        <v>251</v>
      </c>
      <c r="T2263" t="s">
        <v>252</v>
      </c>
      <c r="U2263" t="s">
        <v>499</v>
      </c>
      <c r="V2263" t="s">
        <v>730</v>
      </c>
      <c r="W2263" t="s">
        <v>731</v>
      </c>
      <c r="X2263" t="s">
        <v>732</v>
      </c>
      <c r="Z2263" t="s">
        <v>315</v>
      </c>
      <c r="AM2263" t="s">
        <v>287</v>
      </c>
      <c r="AN2263" t="s">
        <v>259</v>
      </c>
      <c r="AO2263" t="s">
        <v>260</v>
      </c>
      <c r="AQ2263" t="s">
        <v>261</v>
      </c>
      <c r="AR2263" t="s">
        <v>288</v>
      </c>
      <c r="AS2263">
        <v>10000</v>
      </c>
      <c r="AX2263" t="s">
        <v>262</v>
      </c>
      <c r="BO2263" t="s">
        <v>261</v>
      </c>
      <c r="BP2263" t="s">
        <v>288</v>
      </c>
      <c r="BQ2263">
        <v>10</v>
      </c>
      <c r="BV2263" t="s">
        <v>263</v>
      </c>
      <c r="CM2263" t="s">
        <v>264</v>
      </c>
      <c r="CN2263" t="s">
        <v>264</v>
      </c>
      <c r="CP2263" t="s">
        <v>265</v>
      </c>
      <c r="DB2263">
        <v>1</v>
      </c>
      <c r="DG2263" t="s">
        <v>267</v>
      </c>
      <c r="DI2263">
        <v>24</v>
      </c>
      <c r="DN2263" t="s">
        <v>268</v>
      </c>
      <c r="DS2263">
        <v>2921</v>
      </c>
      <c r="DT2263" t="s">
        <v>3957</v>
      </c>
      <c r="EW2263" t="s">
        <v>293</v>
      </c>
      <c r="FM2263">
        <v>15</v>
      </c>
      <c r="FR2263" t="s">
        <v>295</v>
      </c>
      <c r="GJ2263">
        <v>6.9</v>
      </c>
      <c r="GL2263">
        <v>7.2</v>
      </c>
      <c r="GM2263" t="s">
        <v>356</v>
      </c>
      <c r="GQ2263">
        <v>7.7</v>
      </c>
      <c r="GS2263">
        <v>8.4</v>
      </c>
      <c r="GU2263">
        <v>31</v>
      </c>
      <c r="GZ2263" t="s">
        <v>296</v>
      </c>
      <c r="HH2263" t="s">
        <v>272</v>
      </c>
      <c r="IE2263" t="s">
        <v>3958</v>
      </c>
      <c r="IF2263">
        <v>18129</v>
      </c>
      <c r="IG2263" t="s">
        <v>3959</v>
      </c>
      <c r="IH2263" t="s">
        <v>3960</v>
      </c>
      <c r="II2263">
        <v>1997</v>
      </c>
      <c r="IJ2263" t="s">
        <v>3961</v>
      </c>
    </row>
    <row r="2264" spans="1:244" x14ac:dyDescent="0.45">
      <c r="A2264">
        <v>1059686</v>
      </c>
      <c r="B2264">
        <v>13973</v>
      </c>
      <c r="C2264">
        <v>10108642</v>
      </c>
      <c r="D2264" t="s">
        <v>3523</v>
      </c>
      <c r="E2264" t="s">
        <v>622</v>
      </c>
      <c r="F2264" t="s">
        <v>245</v>
      </c>
      <c r="G2264" t="s">
        <v>246</v>
      </c>
      <c r="N2264" t="s">
        <v>369</v>
      </c>
      <c r="O2264" t="s">
        <v>370</v>
      </c>
      <c r="P2264" t="s">
        <v>249</v>
      </c>
      <c r="Q2264" t="s">
        <v>250</v>
      </c>
      <c r="R2264" t="s">
        <v>251</v>
      </c>
      <c r="T2264" t="s">
        <v>252</v>
      </c>
      <c r="U2264" t="s">
        <v>371</v>
      </c>
      <c r="V2264" t="s">
        <v>372</v>
      </c>
      <c r="W2264" t="s">
        <v>373</v>
      </c>
      <c r="X2264" t="s">
        <v>374</v>
      </c>
      <c r="Z2264" t="s">
        <v>315</v>
      </c>
      <c r="AM2264" t="s">
        <v>258</v>
      </c>
      <c r="AN2264" t="s">
        <v>259</v>
      </c>
      <c r="AO2264" t="s">
        <v>260</v>
      </c>
      <c r="AQ2264" t="s">
        <v>261</v>
      </c>
      <c r="AS2264">
        <v>10.3</v>
      </c>
      <c r="AU2264">
        <v>5.75</v>
      </c>
      <c r="AW2264">
        <v>18.420000000000002</v>
      </c>
      <c r="AX2264" t="s">
        <v>262</v>
      </c>
      <c r="BO2264" t="s">
        <v>261</v>
      </c>
      <c r="BQ2264">
        <v>1.03E-2</v>
      </c>
      <c r="BS2264">
        <v>5.7499999999999999E-3</v>
      </c>
      <c r="BU2264">
        <v>1.8419999999999999E-2</v>
      </c>
      <c r="BV2264" t="s">
        <v>263</v>
      </c>
      <c r="CM2264" t="s">
        <v>264</v>
      </c>
      <c r="CN2264" t="s">
        <v>264</v>
      </c>
      <c r="CO2264" t="s">
        <v>3673</v>
      </c>
      <c r="CP2264" t="s">
        <v>265</v>
      </c>
      <c r="CQ2264" t="s">
        <v>890</v>
      </c>
      <c r="DB2264">
        <v>4</v>
      </c>
      <c r="DG2264" t="s">
        <v>267</v>
      </c>
      <c r="DI2264">
        <v>96</v>
      </c>
      <c r="DN2264" t="s">
        <v>268</v>
      </c>
      <c r="DR2264">
        <v>110441</v>
      </c>
      <c r="DS2264">
        <v>142</v>
      </c>
      <c r="DT2264" t="s">
        <v>3674</v>
      </c>
      <c r="EW2264" t="s">
        <v>271</v>
      </c>
      <c r="FM2264">
        <v>25</v>
      </c>
      <c r="FR2264" t="s">
        <v>295</v>
      </c>
      <c r="GU2264">
        <v>20</v>
      </c>
      <c r="GZ2264" t="s">
        <v>296</v>
      </c>
      <c r="HH2264" t="s">
        <v>272</v>
      </c>
      <c r="IE2264" t="s">
        <v>3675</v>
      </c>
      <c r="IF2264">
        <v>4439</v>
      </c>
      <c r="IG2264" t="s">
        <v>3676</v>
      </c>
      <c r="IH2264" t="s">
        <v>3677</v>
      </c>
      <c r="II2264">
        <v>1994</v>
      </c>
      <c r="IJ2264" t="s">
        <v>3678</v>
      </c>
    </row>
    <row r="2265" spans="1:244" x14ac:dyDescent="0.45">
      <c r="A2265">
        <v>1047118</v>
      </c>
      <c r="B2265">
        <v>34370</v>
      </c>
      <c r="C2265">
        <v>10108642</v>
      </c>
      <c r="D2265" t="s">
        <v>3523</v>
      </c>
      <c r="F2265" t="s">
        <v>245</v>
      </c>
      <c r="G2265" t="s">
        <v>246</v>
      </c>
      <c r="N2265" t="s">
        <v>328</v>
      </c>
      <c r="O2265" t="s">
        <v>329</v>
      </c>
      <c r="P2265" t="s">
        <v>249</v>
      </c>
      <c r="Q2265" t="s">
        <v>250</v>
      </c>
      <c r="R2265" t="s">
        <v>251</v>
      </c>
      <c r="T2265" t="s">
        <v>252</v>
      </c>
      <c r="U2265" t="s">
        <v>253</v>
      </c>
      <c r="V2265" t="s">
        <v>304</v>
      </c>
      <c r="W2265" t="s">
        <v>330</v>
      </c>
      <c r="X2265" t="s">
        <v>331</v>
      </c>
      <c r="Z2265" t="s">
        <v>315</v>
      </c>
      <c r="AM2265" t="s">
        <v>307</v>
      </c>
      <c r="AN2265" t="s">
        <v>259</v>
      </c>
      <c r="AO2265" t="s">
        <v>260</v>
      </c>
      <c r="AQ2265" t="s">
        <v>261</v>
      </c>
      <c r="AS2265">
        <v>760</v>
      </c>
      <c r="AX2265" t="s">
        <v>262</v>
      </c>
      <c r="BO2265" t="s">
        <v>261</v>
      </c>
      <c r="BQ2265">
        <v>0.76</v>
      </c>
      <c r="BV2265" t="s">
        <v>263</v>
      </c>
      <c r="CM2265" t="s">
        <v>264</v>
      </c>
      <c r="CN2265" t="s">
        <v>264</v>
      </c>
      <c r="CP2265" t="s">
        <v>265</v>
      </c>
      <c r="DB2265">
        <v>4</v>
      </c>
      <c r="DG2265" t="s">
        <v>267</v>
      </c>
      <c r="DI2265">
        <v>96</v>
      </c>
      <c r="DN2265" t="s">
        <v>268</v>
      </c>
      <c r="DR2265">
        <v>294125</v>
      </c>
      <c r="DS2265">
        <v>72</v>
      </c>
      <c r="EW2265" t="s">
        <v>293</v>
      </c>
      <c r="FM2265">
        <v>25</v>
      </c>
      <c r="FR2265" t="s">
        <v>295</v>
      </c>
      <c r="GU2265">
        <v>20</v>
      </c>
      <c r="GZ2265" t="s">
        <v>296</v>
      </c>
      <c r="HH2265" t="s">
        <v>272</v>
      </c>
      <c r="IE2265" t="s">
        <v>4019</v>
      </c>
      <c r="IF2265">
        <v>2982</v>
      </c>
      <c r="IG2265" t="s">
        <v>4020</v>
      </c>
      <c r="IH2265" t="s">
        <v>4021</v>
      </c>
      <c r="II2265">
        <v>1977</v>
      </c>
      <c r="IJ2265" t="s">
        <v>4022</v>
      </c>
    </row>
    <row r="2266" spans="1:244" x14ac:dyDescent="0.45">
      <c r="A2266">
        <v>2211996</v>
      </c>
      <c r="B2266">
        <v>2432845</v>
      </c>
      <c r="C2266">
        <v>10108642</v>
      </c>
      <c r="D2266" t="s">
        <v>3523</v>
      </c>
      <c r="F2266" t="s">
        <v>327</v>
      </c>
      <c r="G2266" t="s">
        <v>557</v>
      </c>
      <c r="N2266" t="s">
        <v>312</v>
      </c>
      <c r="O2266" t="s">
        <v>313</v>
      </c>
      <c r="P2266" t="s">
        <v>249</v>
      </c>
      <c r="Q2266" t="s">
        <v>250</v>
      </c>
      <c r="R2266" t="s">
        <v>251</v>
      </c>
      <c r="T2266" t="s">
        <v>252</v>
      </c>
      <c r="U2266" t="s">
        <v>253</v>
      </c>
      <c r="V2266" t="s">
        <v>304</v>
      </c>
      <c r="W2266" t="s">
        <v>305</v>
      </c>
      <c r="X2266" t="s">
        <v>314</v>
      </c>
      <c r="Z2266" t="s">
        <v>649</v>
      </c>
      <c r="AJ2266" t="s">
        <v>285</v>
      </c>
      <c r="AL2266" t="s">
        <v>2093</v>
      </c>
      <c r="AM2266" t="s">
        <v>317</v>
      </c>
      <c r="AN2266" t="s">
        <v>259</v>
      </c>
      <c r="AO2266" t="s">
        <v>260</v>
      </c>
      <c r="AP2266" t="s">
        <v>3848</v>
      </c>
      <c r="AQ2266" t="s">
        <v>261</v>
      </c>
      <c r="AS2266">
        <v>1.57</v>
      </c>
      <c r="AU2266">
        <v>1.27</v>
      </c>
      <c r="AW2266">
        <v>1.99</v>
      </c>
      <c r="AX2266" t="s">
        <v>356</v>
      </c>
      <c r="BO2266" t="s">
        <v>261</v>
      </c>
      <c r="BQ2266">
        <v>1.57</v>
      </c>
      <c r="BS2266">
        <v>1.27</v>
      </c>
      <c r="BU2266">
        <v>1.99</v>
      </c>
      <c r="BV2266" t="s">
        <v>263</v>
      </c>
      <c r="CM2266" t="s">
        <v>264</v>
      </c>
      <c r="CN2266" t="s">
        <v>264</v>
      </c>
      <c r="CP2266" t="s">
        <v>265</v>
      </c>
      <c r="CQ2266" t="s">
        <v>890</v>
      </c>
      <c r="DB2266">
        <v>2</v>
      </c>
      <c r="DG2266" t="s">
        <v>267</v>
      </c>
      <c r="DI2266">
        <v>48</v>
      </c>
      <c r="DN2266" t="s">
        <v>268</v>
      </c>
      <c r="DP2266" t="s">
        <v>3849</v>
      </c>
      <c r="DR2266">
        <v>221654</v>
      </c>
      <c r="DS2266">
        <v>65263</v>
      </c>
      <c r="DV2266">
        <v>48</v>
      </c>
      <c r="EA2266" t="s">
        <v>268</v>
      </c>
      <c r="EC2266">
        <v>2</v>
      </c>
      <c r="EH2266" t="s">
        <v>267</v>
      </c>
      <c r="EJ2266">
        <v>48</v>
      </c>
      <c r="EO2266" t="s">
        <v>268</v>
      </c>
      <c r="EQ2266">
        <v>2</v>
      </c>
      <c r="EV2266" t="s">
        <v>267</v>
      </c>
      <c r="EW2266" t="s">
        <v>293</v>
      </c>
      <c r="EY2266" t="s">
        <v>377</v>
      </c>
      <c r="FA2266" t="s">
        <v>4023</v>
      </c>
      <c r="FM2266">
        <v>20</v>
      </c>
      <c r="FR2266" t="s">
        <v>295</v>
      </c>
      <c r="GG2266" t="s">
        <v>288</v>
      </c>
      <c r="GH2266">
        <v>40</v>
      </c>
      <c r="GM2266" t="s">
        <v>900</v>
      </c>
      <c r="GO2266">
        <v>7.5</v>
      </c>
      <c r="GQ2266">
        <v>6.1</v>
      </c>
      <c r="GS2266">
        <v>8</v>
      </c>
      <c r="GU2266">
        <v>10</v>
      </c>
      <c r="GZ2266" t="s">
        <v>296</v>
      </c>
      <c r="HH2266" t="s">
        <v>272</v>
      </c>
      <c r="ID2266" t="s">
        <v>3851</v>
      </c>
      <c r="IE2266" t="s">
        <v>3852</v>
      </c>
      <c r="IF2266">
        <v>177340</v>
      </c>
      <c r="IG2266" t="s">
        <v>3853</v>
      </c>
      <c r="IH2266" t="s">
        <v>3854</v>
      </c>
      <c r="II2266">
        <v>1989</v>
      </c>
      <c r="IJ2266" t="s">
        <v>3855</v>
      </c>
    </row>
    <row r="2267" spans="1:244" x14ac:dyDescent="0.45">
      <c r="A2267">
        <v>2211986</v>
      </c>
      <c r="B2267">
        <v>2432835</v>
      </c>
      <c r="C2267">
        <v>10108642</v>
      </c>
      <c r="D2267" t="s">
        <v>3523</v>
      </c>
      <c r="F2267" t="s">
        <v>327</v>
      </c>
      <c r="G2267" t="s">
        <v>557</v>
      </c>
      <c r="N2267" t="s">
        <v>312</v>
      </c>
      <c r="O2267" t="s">
        <v>313</v>
      </c>
      <c r="P2267" t="s">
        <v>249</v>
      </c>
      <c r="Q2267" t="s">
        <v>250</v>
      </c>
      <c r="R2267" t="s">
        <v>251</v>
      </c>
      <c r="T2267" t="s">
        <v>252</v>
      </c>
      <c r="U2267" t="s">
        <v>253</v>
      </c>
      <c r="V2267" t="s">
        <v>304</v>
      </c>
      <c r="W2267" t="s">
        <v>305</v>
      </c>
      <c r="X2267" t="s">
        <v>314</v>
      </c>
      <c r="Z2267" t="s">
        <v>649</v>
      </c>
      <c r="AJ2267" t="s">
        <v>285</v>
      </c>
      <c r="AL2267" t="s">
        <v>2093</v>
      </c>
      <c r="AM2267" t="s">
        <v>317</v>
      </c>
      <c r="AN2267" t="s">
        <v>259</v>
      </c>
      <c r="AO2267" t="s">
        <v>260</v>
      </c>
      <c r="AP2267" t="s">
        <v>3848</v>
      </c>
      <c r="AQ2267" t="s">
        <v>261</v>
      </c>
      <c r="AS2267">
        <v>2.42</v>
      </c>
      <c r="AU2267">
        <v>1.77</v>
      </c>
      <c r="AW2267">
        <v>3.66</v>
      </c>
      <c r="AX2267" t="s">
        <v>356</v>
      </c>
      <c r="BO2267" t="s">
        <v>261</v>
      </c>
      <c r="BQ2267">
        <v>2.42</v>
      </c>
      <c r="BS2267">
        <v>1.77</v>
      </c>
      <c r="BU2267">
        <v>3.66</v>
      </c>
      <c r="BV2267" t="s">
        <v>263</v>
      </c>
      <c r="CM2267" t="s">
        <v>264</v>
      </c>
      <c r="CN2267" t="s">
        <v>264</v>
      </c>
      <c r="CP2267" t="s">
        <v>265</v>
      </c>
      <c r="CQ2267" t="s">
        <v>890</v>
      </c>
      <c r="DB2267">
        <v>2</v>
      </c>
      <c r="DG2267" t="s">
        <v>267</v>
      </c>
      <c r="DI2267">
        <v>48</v>
      </c>
      <c r="DN2267" t="s">
        <v>268</v>
      </c>
      <c r="DP2267" t="s">
        <v>3849</v>
      </c>
      <c r="DR2267">
        <v>221654</v>
      </c>
      <c r="DS2267">
        <v>65263</v>
      </c>
      <c r="DV2267">
        <v>48</v>
      </c>
      <c r="EA2267" t="s">
        <v>268</v>
      </c>
      <c r="EC2267">
        <v>2</v>
      </c>
      <c r="EH2267" t="s">
        <v>267</v>
      </c>
      <c r="EJ2267">
        <v>48</v>
      </c>
      <c r="EO2267" t="s">
        <v>268</v>
      </c>
      <c r="EQ2267">
        <v>2</v>
      </c>
      <c r="EV2267" t="s">
        <v>267</v>
      </c>
      <c r="EW2267" t="s">
        <v>293</v>
      </c>
      <c r="EY2267" t="s">
        <v>377</v>
      </c>
      <c r="FA2267" t="s">
        <v>4024</v>
      </c>
      <c r="FM2267">
        <v>20</v>
      </c>
      <c r="FR2267" t="s">
        <v>295</v>
      </c>
      <c r="GG2267" t="s">
        <v>288</v>
      </c>
      <c r="GH2267">
        <v>40</v>
      </c>
      <c r="GM2267" t="s">
        <v>900</v>
      </c>
      <c r="GO2267">
        <v>7.5</v>
      </c>
      <c r="GQ2267">
        <v>6.1</v>
      </c>
      <c r="GS2267">
        <v>8</v>
      </c>
      <c r="GU2267">
        <v>10</v>
      </c>
      <c r="GZ2267" t="s">
        <v>296</v>
      </c>
      <c r="HH2267" t="s">
        <v>272</v>
      </c>
      <c r="ID2267" t="s">
        <v>3851</v>
      </c>
      <c r="IE2267" t="s">
        <v>3852</v>
      </c>
      <c r="IF2267">
        <v>177340</v>
      </c>
      <c r="IG2267" t="s">
        <v>3853</v>
      </c>
      <c r="IH2267" t="s">
        <v>3854</v>
      </c>
      <c r="II2267">
        <v>1989</v>
      </c>
      <c r="IJ2267" t="s">
        <v>3855</v>
      </c>
    </row>
    <row r="2268" spans="1:244" x14ac:dyDescent="0.45">
      <c r="A2268">
        <v>1119866</v>
      </c>
      <c r="B2268">
        <v>70076</v>
      </c>
      <c r="C2268">
        <v>10108642</v>
      </c>
      <c r="D2268" t="s">
        <v>3523</v>
      </c>
      <c r="F2268" t="s">
        <v>327</v>
      </c>
      <c r="G2268" t="s">
        <v>246</v>
      </c>
      <c r="N2268" t="s">
        <v>1895</v>
      </c>
      <c r="O2268" t="s">
        <v>1896</v>
      </c>
      <c r="P2268" t="s">
        <v>249</v>
      </c>
      <c r="Q2268" t="s">
        <v>250</v>
      </c>
      <c r="R2268" t="s">
        <v>251</v>
      </c>
      <c r="T2268" t="s">
        <v>252</v>
      </c>
      <c r="U2268" t="s">
        <v>253</v>
      </c>
      <c r="V2268" t="s">
        <v>254</v>
      </c>
      <c r="W2268" t="s">
        <v>1897</v>
      </c>
      <c r="X2268" t="s">
        <v>1898</v>
      </c>
      <c r="AL2268" t="s">
        <v>4025</v>
      </c>
      <c r="AM2268" t="s">
        <v>317</v>
      </c>
      <c r="AN2268" t="s">
        <v>259</v>
      </c>
      <c r="AO2268" t="s">
        <v>260</v>
      </c>
      <c r="AQ2268" t="s">
        <v>261</v>
      </c>
      <c r="AS2268">
        <v>16600</v>
      </c>
      <c r="AX2268" t="s">
        <v>262</v>
      </c>
      <c r="BO2268" t="s">
        <v>261</v>
      </c>
      <c r="BQ2268">
        <v>16.600000000000001</v>
      </c>
      <c r="BV2268" t="s">
        <v>263</v>
      </c>
      <c r="CM2268" t="s">
        <v>264</v>
      </c>
      <c r="CN2268" t="s">
        <v>264</v>
      </c>
      <c r="CP2268" t="s">
        <v>265</v>
      </c>
      <c r="CQ2268" t="s">
        <v>890</v>
      </c>
      <c r="DB2268">
        <v>2</v>
      </c>
      <c r="DG2268" t="s">
        <v>267</v>
      </c>
      <c r="DI2268">
        <v>48</v>
      </c>
      <c r="DN2268" t="s">
        <v>268</v>
      </c>
      <c r="DP2268" t="s">
        <v>570</v>
      </c>
      <c r="DR2268">
        <v>6759</v>
      </c>
      <c r="DS2268">
        <v>10</v>
      </c>
      <c r="DT2268" t="s">
        <v>3532</v>
      </c>
      <c r="EW2268" t="s">
        <v>333</v>
      </c>
      <c r="FK2268" t="s">
        <v>3533</v>
      </c>
      <c r="FM2268">
        <v>20</v>
      </c>
      <c r="FR2268" t="s">
        <v>295</v>
      </c>
      <c r="GJ2268">
        <v>4</v>
      </c>
      <c r="GL2268">
        <v>6</v>
      </c>
      <c r="GM2268" t="s">
        <v>356</v>
      </c>
      <c r="GO2268">
        <v>8</v>
      </c>
      <c r="GU2268">
        <v>20</v>
      </c>
      <c r="GZ2268" t="s">
        <v>296</v>
      </c>
      <c r="HH2268" t="s">
        <v>272</v>
      </c>
      <c r="ID2268" t="s">
        <v>3534</v>
      </c>
      <c r="IE2268" t="s">
        <v>3535</v>
      </c>
      <c r="IF2268">
        <v>9316</v>
      </c>
      <c r="IG2268" t="s">
        <v>3536</v>
      </c>
      <c r="IH2268" t="s">
        <v>3537</v>
      </c>
      <c r="II2268">
        <v>1971</v>
      </c>
      <c r="IJ2268" t="s">
        <v>3538</v>
      </c>
    </row>
    <row r="2269" spans="1:244" x14ac:dyDescent="0.45">
      <c r="A2269">
        <v>1119865</v>
      </c>
      <c r="B2269">
        <v>70075</v>
      </c>
      <c r="C2269">
        <v>10108642</v>
      </c>
      <c r="D2269" t="s">
        <v>3523</v>
      </c>
      <c r="F2269" t="s">
        <v>327</v>
      </c>
      <c r="G2269" t="s">
        <v>246</v>
      </c>
      <c r="N2269" t="s">
        <v>1895</v>
      </c>
      <c r="O2269" t="s">
        <v>1896</v>
      </c>
      <c r="P2269" t="s">
        <v>249</v>
      </c>
      <c r="Q2269" t="s">
        <v>250</v>
      </c>
      <c r="R2269" t="s">
        <v>251</v>
      </c>
      <c r="T2269" t="s">
        <v>252</v>
      </c>
      <c r="U2269" t="s">
        <v>253</v>
      </c>
      <c r="V2269" t="s">
        <v>254</v>
      </c>
      <c r="W2269" t="s">
        <v>1897</v>
      </c>
      <c r="X2269" t="s">
        <v>1898</v>
      </c>
      <c r="AL2269" t="s">
        <v>4025</v>
      </c>
      <c r="AM2269" t="s">
        <v>317</v>
      </c>
      <c r="AN2269" t="s">
        <v>259</v>
      </c>
      <c r="AO2269" t="s">
        <v>260</v>
      </c>
      <c r="AQ2269" t="s">
        <v>261</v>
      </c>
      <c r="AS2269">
        <v>100000</v>
      </c>
      <c r="AX2269" t="s">
        <v>262</v>
      </c>
      <c r="BO2269" t="s">
        <v>261</v>
      </c>
      <c r="BQ2269">
        <v>100</v>
      </c>
      <c r="BV2269" t="s">
        <v>263</v>
      </c>
      <c r="CM2269" t="s">
        <v>264</v>
      </c>
      <c r="CN2269" t="s">
        <v>264</v>
      </c>
      <c r="CP2269" t="s">
        <v>265</v>
      </c>
      <c r="CQ2269" t="s">
        <v>890</v>
      </c>
      <c r="DB2269">
        <v>1</v>
      </c>
      <c r="DG2269" t="s">
        <v>267</v>
      </c>
      <c r="DI2269">
        <v>24</v>
      </c>
      <c r="DN2269" t="s">
        <v>268</v>
      </c>
      <c r="DP2269" t="s">
        <v>570</v>
      </c>
      <c r="DR2269">
        <v>6759</v>
      </c>
      <c r="DS2269">
        <v>10</v>
      </c>
      <c r="DT2269" t="s">
        <v>3532</v>
      </c>
      <c r="EW2269" t="s">
        <v>333</v>
      </c>
      <c r="FK2269" t="s">
        <v>3533</v>
      </c>
      <c r="FM2269">
        <v>20</v>
      </c>
      <c r="FR2269" t="s">
        <v>295</v>
      </c>
      <c r="GJ2269">
        <v>4</v>
      </c>
      <c r="GL2269">
        <v>6</v>
      </c>
      <c r="GM2269" t="s">
        <v>356</v>
      </c>
      <c r="GO2269">
        <v>8</v>
      </c>
      <c r="GU2269">
        <v>20</v>
      </c>
      <c r="GZ2269" t="s">
        <v>296</v>
      </c>
      <c r="HH2269" t="s">
        <v>272</v>
      </c>
      <c r="ID2269" t="s">
        <v>3534</v>
      </c>
      <c r="IE2269" t="s">
        <v>3535</v>
      </c>
      <c r="IF2269">
        <v>9316</v>
      </c>
      <c r="IG2269" t="s">
        <v>3536</v>
      </c>
      <c r="IH2269" t="s">
        <v>3537</v>
      </c>
      <c r="II2269">
        <v>1971</v>
      </c>
      <c r="IJ2269" t="s">
        <v>3538</v>
      </c>
    </row>
    <row r="2270" spans="1:244" x14ac:dyDescent="0.45">
      <c r="A2270">
        <v>1119867</v>
      </c>
      <c r="B2270">
        <v>70077</v>
      </c>
      <c r="C2270">
        <v>10108642</v>
      </c>
      <c r="D2270" t="s">
        <v>3523</v>
      </c>
      <c r="F2270" t="s">
        <v>327</v>
      </c>
      <c r="G2270" t="s">
        <v>246</v>
      </c>
      <c r="N2270" t="s">
        <v>1895</v>
      </c>
      <c r="O2270" t="s">
        <v>1896</v>
      </c>
      <c r="P2270" t="s">
        <v>249</v>
      </c>
      <c r="Q2270" t="s">
        <v>250</v>
      </c>
      <c r="R2270" t="s">
        <v>251</v>
      </c>
      <c r="T2270" t="s">
        <v>252</v>
      </c>
      <c r="U2270" t="s">
        <v>253</v>
      </c>
      <c r="V2270" t="s">
        <v>254</v>
      </c>
      <c r="W2270" t="s">
        <v>1897</v>
      </c>
      <c r="X2270" t="s">
        <v>1898</v>
      </c>
      <c r="AL2270" t="s">
        <v>4025</v>
      </c>
      <c r="AM2270" t="s">
        <v>317</v>
      </c>
      <c r="AN2270" t="s">
        <v>259</v>
      </c>
      <c r="AO2270" t="s">
        <v>260</v>
      </c>
      <c r="AQ2270" t="s">
        <v>261</v>
      </c>
      <c r="AS2270">
        <v>4100</v>
      </c>
      <c r="AX2270" t="s">
        <v>262</v>
      </c>
      <c r="BO2270" t="s">
        <v>261</v>
      </c>
      <c r="BQ2270">
        <v>4.0999999999999996</v>
      </c>
      <c r="BV2270" t="s">
        <v>263</v>
      </c>
      <c r="CM2270" t="s">
        <v>264</v>
      </c>
      <c r="CN2270" t="s">
        <v>264</v>
      </c>
      <c r="CP2270" t="s">
        <v>265</v>
      </c>
      <c r="CQ2270" t="s">
        <v>890</v>
      </c>
      <c r="DB2270">
        <v>4</v>
      </c>
      <c r="DG2270" t="s">
        <v>267</v>
      </c>
      <c r="DI2270">
        <v>96</v>
      </c>
      <c r="DN2270" t="s">
        <v>268</v>
      </c>
      <c r="DP2270" t="s">
        <v>570</v>
      </c>
      <c r="DR2270">
        <v>6759</v>
      </c>
      <c r="DS2270">
        <v>10</v>
      </c>
      <c r="DT2270" t="s">
        <v>3532</v>
      </c>
      <c r="EW2270" t="s">
        <v>333</v>
      </c>
      <c r="FK2270" t="s">
        <v>3533</v>
      </c>
      <c r="FM2270">
        <v>20</v>
      </c>
      <c r="FR2270" t="s">
        <v>295</v>
      </c>
      <c r="GJ2270">
        <v>4</v>
      </c>
      <c r="GL2270">
        <v>6</v>
      </c>
      <c r="GM2270" t="s">
        <v>356</v>
      </c>
      <c r="GO2270">
        <v>8</v>
      </c>
      <c r="GU2270">
        <v>20</v>
      </c>
      <c r="GZ2270" t="s">
        <v>296</v>
      </c>
      <c r="HH2270" t="s">
        <v>272</v>
      </c>
      <c r="ID2270" t="s">
        <v>3534</v>
      </c>
      <c r="IE2270" t="s">
        <v>3535</v>
      </c>
      <c r="IF2270">
        <v>9316</v>
      </c>
      <c r="IG2270" t="s">
        <v>3536</v>
      </c>
      <c r="IH2270" t="s">
        <v>3537</v>
      </c>
      <c r="II2270">
        <v>1971</v>
      </c>
      <c r="IJ2270" t="s">
        <v>3538</v>
      </c>
    </row>
    <row r="2271" spans="1:244" x14ac:dyDescent="0.45">
      <c r="A2271">
        <v>2146950</v>
      </c>
      <c r="B2271">
        <v>2279333</v>
      </c>
      <c r="C2271">
        <v>10112911</v>
      </c>
      <c r="D2271" t="s">
        <v>4026</v>
      </c>
      <c r="F2271" t="s">
        <v>245</v>
      </c>
      <c r="G2271" t="s">
        <v>272</v>
      </c>
      <c r="N2271" t="s">
        <v>1192</v>
      </c>
      <c r="O2271" t="s">
        <v>388</v>
      </c>
      <c r="P2271" t="s">
        <v>249</v>
      </c>
      <c r="Q2271" t="s">
        <v>250</v>
      </c>
      <c r="R2271" t="s">
        <v>251</v>
      </c>
      <c r="T2271" t="s">
        <v>389</v>
      </c>
      <c r="U2271" t="s">
        <v>390</v>
      </c>
      <c r="V2271" t="s">
        <v>391</v>
      </c>
      <c r="W2271" t="s">
        <v>392</v>
      </c>
      <c r="X2271" t="s">
        <v>1193</v>
      </c>
      <c r="Z2271" t="s">
        <v>525</v>
      </c>
      <c r="AD2271">
        <v>24</v>
      </c>
      <c r="AF2271">
        <v>48</v>
      </c>
      <c r="AG2271" t="s">
        <v>268</v>
      </c>
      <c r="AI2271">
        <v>3</v>
      </c>
      <c r="AJ2271" t="s">
        <v>354</v>
      </c>
      <c r="AM2271" t="s">
        <v>317</v>
      </c>
      <c r="AN2271" t="s">
        <v>259</v>
      </c>
      <c r="AO2271" t="s">
        <v>260</v>
      </c>
      <c r="AP2271">
        <v>6</v>
      </c>
      <c r="AQ2271" t="s">
        <v>261</v>
      </c>
      <c r="AS2271">
        <v>9.5000000000000001E-2</v>
      </c>
      <c r="AX2271" t="s">
        <v>356</v>
      </c>
      <c r="BO2271" t="s">
        <v>261</v>
      </c>
      <c r="BQ2271">
        <v>9.5000000000000001E-2</v>
      </c>
      <c r="BV2271" t="s">
        <v>263</v>
      </c>
      <c r="CM2271" t="s">
        <v>264</v>
      </c>
      <c r="CN2271" t="s">
        <v>264</v>
      </c>
      <c r="CP2271" t="s">
        <v>265</v>
      </c>
      <c r="CQ2271" t="s">
        <v>266</v>
      </c>
      <c r="DB2271">
        <v>2</v>
      </c>
      <c r="DG2271" t="s">
        <v>267</v>
      </c>
      <c r="DI2271">
        <v>48</v>
      </c>
      <c r="DN2271" t="s">
        <v>268</v>
      </c>
      <c r="DR2271">
        <v>167952</v>
      </c>
      <c r="DS2271">
        <v>32268</v>
      </c>
      <c r="DT2271" t="s">
        <v>2623</v>
      </c>
      <c r="DV2271">
        <v>48</v>
      </c>
      <c r="EA2271" t="s">
        <v>268</v>
      </c>
      <c r="EC2271">
        <v>2</v>
      </c>
      <c r="EH2271" t="s">
        <v>267</v>
      </c>
      <c r="EJ2271">
        <v>48</v>
      </c>
      <c r="EO2271" t="s">
        <v>268</v>
      </c>
      <c r="EQ2271">
        <v>2</v>
      </c>
      <c r="EV2271" t="s">
        <v>267</v>
      </c>
      <c r="EW2271" t="s">
        <v>293</v>
      </c>
      <c r="EY2271" t="s">
        <v>377</v>
      </c>
      <c r="EZ2271">
        <v>10</v>
      </c>
      <c r="FA2271" t="s">
        <v>2624</v>
      </c>
      <c r="FM2271">
        <v>20</v>
      </c>
      <c r="FR2271" t="s">
        <v>295</v>
      </c>
      <c r="GO2271">
        <v>8</v>
      </c>
      <c r="GU2271">
        <v>38</v>
      </c>
      <c r="GZ2271" t="s">
        <v>296</v>
      </c>
      <c r="HH2271" t="s">
        <v>272</v>
      </c>
      <c r="IE2271" t="s">
        <v>2625</v>
      </c>
      <c r="IF2271">
        <v>166028</v>
      </c>
      <c r="IG2271" t="s">
        <v>2626</v>
      </c>
      <c r="IH2271" t="s">
        <v>2627</v>
      </c>
      <c r="II2271">
        <v>2013</v>
      </c>
      <c r="IJ2271" t="s">
        <v>2628</v>
      </c>
    </row>
    <row r="2272" spans="1:244" x14ac:dyDescent="0.45">
      <c r="A2272">
        <v>1307510</v>
      </c>
      <c r="B2272">
        <v>764465</v>
      </c>
      <c r="C2272">
        <v>10124364</v>
      </c>
      <c r="D2272" t="s">
        <v>4027</v>
      </c>
      <c r="F2272" t="s">
        <v>245</v>
      </c>
      <c r="G2272" t="s">
        <v>246</v>
      </c>
      <c r="N2272" t="s">
        <v>655</v>
      </c>
      <c r="O2272" t="s">
        <v>656</v>
      </c>
      <c r="P2272" t="s">
        <v>249</v>
      </c>
      <c r="Q2272" t="s">
        <v>250</v>
      </c>
      <c r="R2272" t="s">
        <v>251</v>
      </c>
      <c r="T2272" t="s">
        <v>252</v>
      </c>
      <c r="U2272" t="s">
        <v>253</v>
      </c>
      <c r="V2272" t="s">
        <v>657</v>
      </c>
      <c r="W2272" t="s">
        <v>658</v>
      </c>
      <c r="X2272" t="s">
        <v>659</v>
      </c>
      <c r="AL2272" t="s">
        <v>660</v>
      </c>
      <c r="AM2272" t="s">
        <v>287</v>
      </c>
      <c r="AN2272" t="s">
        <v>259</v>
      </c>
      <c r="AO2272" t="s">
        <v>260</v>
      </c>
      <c r="AP2272">
        <v>13</v>
      </c>
      <c r="AQ2272" t="s">
        <v>261</v>
      </c>
      <c r="AS2272">
        <v>0.06</v>
      </c>
      <c r="AU2272">
        <v>5.0999999999999997E-2</v>
      </c>
      <c r="AW2272">
        <v>8.1000000000000003E-2</v>
      </c>
      <c r="AX2272" t="s">
        <v>661</v>
      </c>
      <c r="BO2272" t="s">
        <v>261</v>
      </c>
      <c r="BQ2272">
        <v>12.629009999999999</v>
      </c>
      <c r="BS2272">
        <v>10.7346585</v>
      </c>
      <c r="BU2272">
        <v>17.049163499999999</v>
      </c>
      <c r="BV2272" t="s">
        <v>263</v>
      </c>
      <c r="CM2272" t="s">
        <v>264</v>
      </c>
      <c r="CN2272" t="s">
        <v>264</v>
      </c>
      <c r="CP2272" t="s">
        <v>265</v>
      </c>
      <c r="CQ2272" t="s">
        <v>890</v>
      </c>
      <c r="DB2272">
        <v>4</v>
      </c>
      <c r="DG2272" t="s">
        <v>267</v>
      </c>
      <c r="DI2272">
        <v>96</v>
      </c>
      <c r="DN2272" t="s">
        <v>268</v>
      </c>
      <c r="DP2272" t="s">
        <v>4028</v>
      </c>
      <c r="DS2272">
        <v>20193</v>
      </c>
      <c r="DT2272" t="s">
        <v>663</v>
      </c>
      <c r="EW2272" t="s">
        <v>293</v>
      </c>
      <c r="FA2272" t="s">
        <v>397</v>
      </c>
      <c r="FK2272" t="s">
        <v>4029</v>
      </c>
      <c r="FM2272">
        <v>26</v>
      </c>
      <c r="FR2272" t="s">
        <v>295</v>
      </c>
      <c r="GG2272" t="s">
        <v>288</v>
      </c>
      <c r="GH2272">
        <v>6.5</v>
      </c>
      <c r="GM2272" t="s">
        <v>356</v>
      </c>
      <c r="GO2272">
        <v>7.8</v>
      </c>
      <c r="GU2272">
        <v>16.5</v>
      </c>
      <c r="GZ2272" t="s">
        <v>296</v>
      </c>
      <c r="HH2272" t="s">
        <v>272</v>
      </c>
      <c r="ID2272" t="s">
        <v>4030</v>
      </c>
      <c r="IE2272" t="s">
        <v>666</v>
      </c>
      <c r="IF2272">
        <v>100798</v>
      </c>
      <c r="IG2272" t="s">
        <v>667</v>
      </c>
      <c r="IH2272" t="s">
        <v>668</v>
      </c>
      <c r="II2272">
        <v>2006</v>
      </c>
      <c r="IJ2272" t="s">
        <v>669</v>
      </c>
    </row>
    <row r="2273" spans="1:244" x14ac:dyDescent="0.45">
      <c r="A2273">
        <v>1192600</v>
      </c>
      <c r="B2273">
        <v>155470</v>
      </c>
      <c r="C2273">
        <v>10124364</v>
      </c>
      <c r="D2273" t="s">
        <v>4027</v>
      </c>
      <c r="E2273" t="s">
        <v>439</v>
      </c>
      <c r="F2273" t="s">
        <v>245</v>
      </c>
      <c r="G2273" t="s">
        <v>246</v>
      </c>
      <c r="N2273" t="s">
        <v>452</v>
      </c>
      <c r="O2273" t="s">
        <v>346</v>
      </c>
      <c r="P2273" t="s">
        <v>249</v>
      </c>
      <c r="Q2273" t="s">
        <v>250</v>
      </c>
      <c r="R2273" t="s">
        <v>251</v>
      </c>
      <c r="T2273" t="s">
        <v>347</v>
      </c>
      <c r="U2273" t="s">
        <v>348</v>
      </c>
      <c r="V2273" t="s">
        <v>349</v>
      </c>
      <c r="W2273" t="s">
        <v>350</v>
      </c>
      <c r="X2273" t="s">
        <v>453</v>
      </c>
      <c r="Z2273" t="s">
        <v>284</v>
      </c>
      <c r="AM2273" t="s">
        <v>287</v>
      </c>
      <c r="AN2273" t="s">
        <v>259</v>
      </c>
      <c r="AO2273" t="s">
        <v>260</v>
      </c>
      <c r="AQ2273" t="s">
        <v>261</v>
      </c>
      <c r="AS2273">
        <v>78100</v>
      </c>
      <c r="AU2273">
        <v>66600</v>
      </c>
      <c r="AW2273">
        <v>90200</v>
      </c>
      <c r="AX2273" t="s">
        <v>262</v>
      </c>
      <c r="BO2273" t="s">
        <v>261</v>
      </c>
      <c r="BQ2273">
        <v>78.099999999999994</v>
      </c>
      <c r="BS2273">
        <v>66.599999999999994</v>
      </c>
      <c r="BU2273">
        <v>90.2</v>
      </c>
      <c r="BV2273" t="s">
        <v>263</v>
      </c>
      <c r="CM2273" t="s">
        <v>264</v>
      </c>
      <c r="CN2273" t="s">
        <v>264</v>
      </c>
      <c r="CP2273" t="s">
        <v>265</v>
      </c>
      <c r="CQ2273" t="s">
        <v>890</v>
      </c>
      <c r="DB2273">
        <v>1</v>
      </c>
      <c r="DG2273" t="s">
        <v>267</v>
      </c>
      <c r="DI2273">
        <v>24</v>
      </c>
      <c r="DN2273" t="s">
        <v>268</v>
      </c>
      <c r="DR2273">
        <v>85549</v>
      </c>
      <c r="DS2273">
        <v>366</v>
      </c>
      <c r="DT2273" t="s">
        <v>2449</v>
      </c>
      <c r="EW2273" t="s">
        <v>272</v>
      </c>
      <c r="FA2273" t="s">
        <v>2450</v>
      </c>
      <c r="FM2273">
        <v>25</v>
      </c>
      <c r="FR2273" t="s">
        <v>295</v>
      </c>
      <c r="GU2273">
        <v>10</v>
      </c>
      <c r="GZ2273" t="s">
        <v>296</v>
      </c>
      <c r="HH2273" t="s">
        <v>272</v>
      </c>
      <c r="IE2273" t="s">
        <v>2451</v>
      </c>
      <c r="IF2273">
        <v>17289</v>
      </c>
      <c r="IG2273" t="s">
        <v>2452</v>
      </c>
      <c r="IH2273" t="s">
        <v>2453</v>
      </c>
      <c r="II2273">
        <v>1994</v>
      </c>
      <c r="IJ2273" t="s">
        <v>2454</v>
      </c>
    </row>
    <row r="2274" spans="1:244" x14ac:dyDescent="0.45">
      <c r="A2274">
        <v>1078815</v>
      </c>
      <c r="B2274">
        <v>17627</v>
      </c>
      <c r="C2274">
        <v>10124364</v>
      </c>
      <c r="D2274" t="s">
        <v>4027</v>
      </c>
      <c r="F2274" t="s">
        <v>245</v>
      </c>
      <c r="G2274" t="s">
        <v>246</v>
      </c>
      <c r="N2274" t="s">
        <v>345</v>
      </c>
      <c r="O2274" t="s">
        <v>346</v>
      </c>
      <c r="P2274" t="s">
        <v>249</v>
      </c>
      <c r="Q2274" t="s">
        <v>250</v>
      </c>
      <c r="R2274" t="s">
        <v>251</v>
      </c>
      <c r="T2274" t="s">
        <v>347</v>
      </c>
      <c r="U2274" t="s">
        <v>348</v>
      </c>
      <c r="V2274" t="s">
        <v>349</v>
      </c>
      <c r="W2274" t="s">
        <v>350</v>
      </c>
      <c r="X2274" t="s">
        <v>351</v>
      </c>
      <c r="Z2274" t="s">
        <v>525</v>
      </c>
      <c r="AM2274" t="s">
        <v>287</v>
      </c>
      <c r="AN2274" t="s">
        <v>259</v>
      </c>
      <c r="AO2274" t="s">
        <v>260</v>
      </c>
      <c r="AQ2274" t="s">
        <v>261</v>
      </c>
      <c r="AS2274">
        <v>115000</v>
      </c>
      <c r="AX2274" t="s">
        <v>262</v>
      </c>
      <c r="BO2274" t="s">
        <v>261</v>
      </c>
      <c r="BQ2274">
        <v>115</v>
      </c>
      <c r="BV2274" t="s">
        <v>263</v>
      </c>
      <c r="CM2274" t="s">
        <v>264</v>
      </c>
      <c r="CN2274" t="s">
        <v>264</v>
      </c>
      <c r="CP2274" t="s">
        <v>265</v>
      </c>
      <c r="CQ2274" t="s">
        <v>890</v>
      </c>
      <c r="DB2274">
        <v>2</v>
      </c>
      <c r="DG2274" t="s">
        <v>267</v>
      </c>
      <c r="DI2274">
        <v>48</v>
      </c>
      <c r="DN2274" t="s">
        <v>268</v>
      </c>
      <c r="DR2274">
        <v>6660</v>
      </c>
      <c r="DS2274">
        <v>421</v>
      </c>
      <c r="EW2274" t="s">
        <v>271</v>
      </c>
      <c r="HH2274" t="s">
        <v>272</v>
      </c>
      <c r="IE2274" t="s">
        <v>4031</v>
      </c>
      <c r="IF2274">
        <v>6081</v>
      </c>
      <c r="IG2274" t="s">
        <v>4032</v>
      </c>
      <c r="IH2274" t="s">
        <v>4033</v>
      </c>
      <c r="II2274">
        <v>1976</v>
      </c>
      <c r="IJ2274" t="s">
        <v>4034</v>
      </c>
    </row>
    <row r="2275" spans="1:244" x14ac:dyDescent="0.45">
      <c r="A2275">
        <v>2146953</v>
      </c>
      <c r="B2275">
        <v>2279336</v>
      </c>
      <c r="C2275">
        <v>10325947</v>
      </c>
      <c r="D2275" t="s">
        <v>4035</v>
      </c>
      <c r="F2275" t="s">
        <v>245</v>
      </c>
      <c r="G2275" t="s">
        <v>272</v>
      </c>
      <c r="N2275" t="s">
        <v>1192</v>
      </c>
      <c r="O2275" t="s">
        <v>388</v>
      </c>
      <c r="P2275" t="s">
        <v>249</v>
      </c>
      <c r="Q2275" t="s">
        <v>250</v>
      </c>
      <c r="R2275" t="s">
        <v>251</v>
      </c>
      <c r="T2275" t="s">
        <v>389</v>
      </c>
      <c r="U2275" t="s">
        <v>390</v>
      </c>
      <c r="V2275" t="s">
        <v>391</v>
      </c>
      <c r="W2275" t="s">
        <v>392</v>
      </c>
      <c r="X2275" t="s">
        <v>1193</v>
      </c>
      <c r="Z2275" t="s">
        <v>525</v>
      </c>
      <c r="AD2275">
        <v>24</v>
      </c>
      <c r="AF2275">
        <v>48</v>
      </c>
      <c r="AG2275" t="s">
        <v>268</v>
      </c>
      <c r="AI2275">
        <v>3</v>
      </c>
      <c r="AJ2275" t="s">
        <v>354</v>
      </c>
      <c r="AM2275" t="s">
        <v>317</v>
      </c>
      <c r="AN2275" t="s">
        <v>259</v>
      </c>
      <c r="AO2275" t="s">
        <v>260</v>
      </c>
      <c r="AP2275">
        <v>6</v>
      </c>
      <c r="AQ2275" t="s">
        <v>261</v>
      </c>
      <c r="AS2275">
        <v>2.12</v>
      </c>
      <c r="AX2275" t="s">
        <v>356</v>
      </c>
      <c r="BO2275" t="s">
        <v>261</v>
      </c>
      <c r="BQ2275">
        <v>2.12</v>
      </c>
      <c r="BV2275" t="s">
        <v>263</v>
      </c>
      <c r="CM2275" t="s">
        <v>264</v>
      </c>
      <c r="CN2275" t="s">
        <v>264</v>
      </c>
      <c r="CP2275" t="s">
        <v>265</v>
      </c>
      <c r="CQ2275" t="s">
        <v>890</v>
      </c>
      <c r="DB2275">
        <v>2</v>
      </c>
      <c r="DG2275" t="s">
        <v>267</v>
      </c>
      <c r="DI2275">
        <v>48</v>
      </c>
      <c r="DN2275" t="s">
        <v>268</v>
      </c>
      <c r="DP2275" t="s">
        <v>4036</v>
      </c>
      <c r="DR2275">
        <v>167952</v>
      </c>
      <c r="DS2275">
        <v>32268</v>
      </c>
      <c r="DT2275" t="s">
        <v>2623</v>
      </c>
      <c r="DV2275">
        <v>48</v>
      </c>
      <c r="EA2275" t="s">
        <v>268</v>
      </c>
      <c r="EC2275">
        <v>2</v>
      </c>
      <c r="EH2275" t="s">
        <v>267</v>
      </c>
      <c r="EJ2275">
        <v>48</v>
      </c>
      <c r="EO2275" t="s">
        <v>268</v>
      </c>
      <c r="EQ2275">
        <v>2</v>
      </c>
      <c r="EV2275" t="s">
        <v>267</v>
      </c>
      <c r="EW2275" t="s">
        <v>293</v>
      </c>
      <c r="EY2275" t="s">
        <v>377</v>
      </c>
      <c r="EZ2275">
        <v>10</v>
      </c>
      <c r="FA2275" t="s">
        <v>2624</v>
      </c>
      <c r="FM2275">
        <v>20</v>
      </c>
      <c r="FR2275" t="s">
        <v>295</v>
      </c>
      <c r="GO2275">
        <v>8</v>
      </c>
      <c r="GU2275">
        <v>38</v>
      </c>
      <c r="GZ2275" t="s">
        <v>296</v>
      </c>
      <c r="HH2275" t="s">
        <v>272</v>
      </c>
      <c r="IE2275" t="s">
        <v>2625</v>
      </c>
      <c r="IF2275">
        <v>166028</v>
      </c>
      <c r="IG2275" t="s">
        <v>2626</v>
      </c>
      <c r="IH2275" t="s">
        <v>2627</v>
      </c>
      <c r="II2275">
        <v>2013</v>
      </c>
      <c r="IJ2275" t="s">
        <v>2628</v>
      </c>
    </row>
    <row r="2276" spans="1:244" x14ac:dyDescent="0.45">
      <c r="A2276">
        <v>1068623</v>
      </c>
      <c r="B2276">
        <v>1680</v>
      </c>
      <c r="C2276">
        <v>10325947</v>
      </c>
      <c r="D2276" t="s">
        <v>4035</v>
      </c>
      <c r="F2276" t="s">
        <v>245</v>
      </c>
      <c r="G2276" t="s">
        <v>246</v>
      </c>
      <c r="N2276" t="s">
        <v>606</v>
      </c>
      <c r="O2276" t="s">
        <v>607</v>
      </c>
      <c r="P2276" t="s">
        <v>249</v>
      </c>
      <c r="Q2276" t="s">
        <v>250</v>
      </c>
      <c r="R2276" t="s">
        <v>251</v>
      </c>
      <c r="T2276" t="s">
        <v>252</v>
      </c>
      <c r="U2276" t="s">
        <v>253</v>
      </c>
      <c r="V2276" t="s">
        <v>608</v>
      </c>
      <c r="W2276" t="s">
        <v>609</v>
      </c>
      <c r="X2276" t="s">
        <v>610</v>
      </c>
      <c r="Z2276" t="s">
        <v>284</v>
      </c>
      <c r="AB2276">
        <v>24</v>
      </c>
      <c r="AG2276" t="s">
        <v>268</v>
      </c>
      <c r="AL2276" t="s">
        <v>611</v>
      </c>
      <c r="AM2276" t="s">
        <v>317</v>
      </c>
      <c r="AN2276" t="s">
        <v>259</v>
      </c>
      <c r="AO2276" t="s">
        <v>260</v>
      </c>
      <c r="AQ2276" t="s">
        <v>261</v>
      </c>
      <c r="AS2276">
        <v>78</v>
      </c>
      <c r="AX2276" t="s">
        <v>262</v>
      </c>
      <c r="BO2276" t="s">
        <v>261</v>
      </c>
      <c r="BQ2276">
        <v>7.8E-2</v>
      </c>
      <c r="BV2276" t="s">
        <v>263</v>
      </c>
      <c r="CM2276" t="s">
        <v>264</v>
      </c>
      <c r="CN2276" t="s">
        <v>264</v>
      </c>
      <c r="CP2276" t="s">
        <v>265</v>
      </c>
      <c r="CQ2276" t="s">
        <v>890</v>
      </c>
      <c r="DB2276">
        <v>4</v>
      </c>
      <c r="DG2276" t="s">
        <v>267</v>
      </c>
      <c r="DI2276">
        <v>96</v>
      </c>
      <c r="DN2276" t="s">
        <v>268</v>
      </c>
      <c r="DP2276" t="s">
        <v>612</v>
      </c>
      <c r="DR2276">
        <v>6706</v>
      </c>
      <c r="DS2276">
        <v>346</v>
      </c>
      <c r="DT2276" t="s">
        <v>613</v>
      </c>
      <c r="EW2276" t="s">
        <v>333</v>
      </c>
      <c r="FK2276" t="s">
        <v>4037</v>
      </c>
      <c r="FM2276">
        <v>20</v>
      </c>
      <c r="FR2276" t="s">
        <v>295</v>
      </c>
      <c r="GH2276">
        <v>8.1</v>
      </c>
      <c r="GM2276" t="s">
        <v>356</v>
      </c>
      <c r="GU2276">
        <v>30.5</v>
      </c>
      <c r="GZ2276" t="s">
        <v>296</v>
      </c>
      <c r="HH2276" t="s">
        <v>272</v>
      </c>
      <c r="ID2276" t="s">
        <v>4038</v>
      </c>
      <c r="IE2276" t="s">
        <v>616</v>
      </c>
      <c r="IF2276">
        <v>5391</v>
      </c>
      <c r="IG2276" t="s">
        <v>617</v>
      </c>
      <c r="IH2276" t="s">
        <v>618</v>
      </c>
      <c r="II2276">
        <v>1979</v>
      </c>
      <c r="IJ2276" t="s">
        <v>619</v>
      </c>
    </row>
    <row r="2277" spans="1:244" x14ac:dyDescent="0.45">
      <c r="A2277">
        <v>2107781</v>
      </c>
      <c r="B2277">
        <v>2196478</v>
      </c>
      <c r="C2277">
        <v>10588019</v>
      </c>
      <c r="D2277" t="s">
        <v>4039</v>
      </c>
      <c r="F2277" t="s">
        <v>245</v>
      </c>
      <c r="G2277" t="s">
        <v>272</v>
      </c>
      <c r="N2277" t="s">
        <v>312</v>
      </c>
      <c r="O2277" t="s">
        <v>313</v>
      </c>
      <c r="P2277" t="s">
        <v>249</v>
      </c>
      <c r="Q2277" t="s">
        <v>250</v>
      </c>
      <c r="R2277" t="s">
        <v>251</v>
      </c>
      <c r="T2277" t="s">
        <v>252</v>
      </c>
      <c r="U2277" t="s">
        <v>253</v>
      </c>
      <c r="V2277" t="s">
        <v>304</v>
      </c>
      <c r="W2277" t="s">
        <v>305</v>
      </c>
      <c r="X2277" t="s">
        <v>314</v>
      </c>
      <c r="AJ2277" t="s">
        <v>285</v>
      </c>
      <c r="AL2277" t="s">
        <v>4040</v>
      </c>
      <c r="AM2277" t="s">
        <v>258</v>
      </c>
      <c r="AN2277" t="s">
        <v>259</v>
      </c>
      <c r="AO2277" t="s">
        <v>260</v>
      </c>
      <c r="AQ2277" t="s">
        <v>261</v>
      </c>
      <c r="AS2277">
        <v>4.8600000000000003</v>
      </c>
      <c r="AU2277">
        <v>3.92</v>
      </c>
      <c r="AW2277">
        <v>5.78</v>
      </c>
      <c r="AX2277" t="s">
        <v>422</v>
      </c>
      <c r="BO2277" t="s">
        <v>261</v>
      </c>
      <c r="BQ2277">
        <v>4.8600000000000003</v>
      </c>
      <c r="BS2277">
        <v>3.92</v>
      </c>
      <c r="BU2277">
        <v>5.78</v>
      </c>
      <c r="BV2277" t="s">
        <v>263</v>
      </c>
      <c r="CM2277" t="s">
        <v>264</v>
      </c>
      <c r="CN2277" t="s">
        <v>264</v>
      </c>
      <c r="CP2277" t="s">
        <v>265</v>
      </c>
      <c r="CQ2277" t="s">
        <v>538</v>
      </c>
      <c r="DB2277">
        <v>4</v>
      </c>
      <c r="DG2277" t="s">
        <v>267</v>
      </c>
      <c r="DI2277">
        <v>96</v>
      </c>
      <c r="DN2277" t="s">
        <v>268</v>
      </c>
      <c r="DP2277" t="s">
        <v>4041</v>
      </c>
      <c r="DR2277">
        <v>221654</v>
      </c>
      <c r="DS2277">
        <v>65263</v>
      </c>
      <c r="DT2277" t="s">
        <v>4042</v>
      </c>
      <c r="DV2277">
        <v>96</v>
      </c>
      <c r="EA2277" t="s">
        <v>268</v>
      </c>
      <c r="EC2277">
        <v>4</v>
      </c>
      <c r="EH2277" t="s">
        <v>267</v>
      </c>
      <c r="EJ2277">
        <v>96</v>
      </c>
      <c r="EO2277" t="s">
        <v>268</v>
      </c>
      <c r="EQ2277">
        <v>4</v>
      </c>
      <c r="EV2277" t="s">
        <v>267</v>
      </c>
      <c r="EW2277" t="s">
        <v>293</v>
      </c>
      <c r="EY2277" t="s">
        <v>377</v>
      </c>
      <c r="FM2277">
        <v>20</v>
      </c>
      <c r="FR2277" t="s">
        <v>295</v>
      </c>
      <c r="GU2277">
        <v>10</v>
      </c>
      <c r="GZ2277" t="s">
        <v>296</v>
      </c>
      <c r="HH2277" t="s">
        <v>272</v>
      </c>
      <c r="IE2277" t="s">
        <v>4043</v>
      </c>
      <c r="IF2277">
        <v>48336</v>
      </c>
      <c r="IG2277" t="s">
        <v>4044</v>
      </c>
      <c r="IH2277" t="s">
        <v>4045</v>
      </c>
      <c r="II2277">
        <v>1983</v>
      </c>
      <c r="IJ2277" t="s">
        <v>4046</v>
      </c>
    </row>
    <row r="2278" spans="1:244" x14ac:dyDescent="0.45">
      <c r="A2278">
        <v>2203591</v>
      </c>
      <c r="B2278">
        <v>2408225</v>
      </c>
      <c r="C2278">
        <v>12122677</v>
      </c>
      <c r="D2278" t="s">
        <v>4047</v>
      </c>
      <c r="F2278" t="s">
        <v>245</v>
      </c>
      <c r="G2278" t="s">
        <v>344</v>
      </c>
      <c r="I2278">
        <v>92</v>
      </c>
      <c r="N2278" t="s">
        <v>345</v>
      </c>
      <c r="O2278" t="s">
        <v>346</v>
      </c>
      <c r="P2278" t="s">
        <v>249</v>
      </c>
      <c r="Q2278" t="s">
        <v>250</v>
      </c>
      <c r="R2278" t="s">
        <v>251</v>
      </c>
      <c r="T2278" t="s">
        <v>347</v>
      </c>
      <c r="U2278" t="s">
        <v>348</v>
      </c>
      <c r="V2278" t="s">
        <v>349</v>
      </c>
      <c r="W2278" t="s">
        <v>350</v>
      </c>
      <c r="X2278" t="s">
        <v>351</v>
      </c>
      <c r="AA2278" t="s">
        <v>352</v>
      </c>
      <c r="AB2278">
        <v>24</v>
      </c>
      <c r="AG2278" t="s">
        <v>353</v>
      </c>
      <c r="AI2278">
        <v>6</v>
      </c>
      <c r="AJ2278" t="s">
        <v>354</v>
      </c>
      <c r="AM2278" t="s">
        <v>317</v>
      </c>
      <c r="AN2278" t="s">
        <v>259</v>
      </c>
      <c r="AO2278" t="s">
        <v>260</v>
      </c>
      <c r="AP2278">
        <v>8</v>
      </c>
      <c r="AQ2278" t="s">
        <v>355</v>
      </c>
      <c r="AS2278">
        <v>41.17</v>
      </c>
      <c r="AX2278" t="s">
        <v>262</v>
      </c>
      <c r="BO2278" t="s">
        <v>355</v>
      </c>
      <c r="BQ2278">
        <v>4.1169999999999998E-2</v>
      </c>
      <c r="BV2278" t="s">
        <v>263</v>
      </c>
      <c r="CM2278" t="s">
        <v>264</v>
      </c>
      <c r="CN2278" t="s">
        <v>264</v>
      </c>
      <c r="CP2278" t="s">
        <v>265</v>
      </c>
      <c r="DB2278">
        <v>2</v>
      </c>
      <c r="DG2278" t="s">
        <v>267</v>
      </c>
      <c r="DI2278">
        <v>48</v>
      </c>
      <c r="DN2278" t="s">
        <v>268</v>
      </c>
      <c r="DP2278" t="s">
        <v>4048</v>
      </c>
      <c r="DQ2278" t="s">
        <v>358</v>
      </c>
      <c r="DR2278">
        <v>6660</v>
      </c>
      <c r="DS2278">
        <v>421</v>
      </c>
      <c r="DT2278" t="s">
        <v>359</v>
      </c>
      <c r="DV2278">
        <v>48</v>
      </c>
      <c r="EA2278" t="s">
        <v>268</v>
      </c>
      <c r="EC2278">
        <v>2</v>
      </c>
      <c r="EH2278" t="s">
        <v>267</v>
      </c>
      <c r="EJ2278">
        <v>48</v>
      </c>
      <c r="EO2278" t="s">
        <v>268</v>
      </c>
      <c r="EQ2278">
        <v>2</v>
      </c>
      <c r="EV2278" t="s">
        <v>267</v>
      </c>
      <c r="EW2278" t="s">
        <v>360</v>
      </c>
      <c r="EZ2278">
        <v>10</v>
      </c>
      <c r="FA2278" t="s">
        <v>361</v>
      </c>
      <c r="FM2278">
        <v>25</v>
      </c>
      <c r="FR2278" t="s">
        <v>295</v>
      </c>
      <c r="GO2278">
        <v>7.5</v>
      </c>
      <c r="GU2278">
        <v>32</v>
      </c>
      <c r="GZ2278" t="s">
        <v>362</v>
      </c>
      <c r="HH2278" t="s">
        <v>272</v>
      </c>
      <c r="ID2278" t="s">
        <v>363</v>
      </c>
      <c r="IE2278" t="s">
        <v>364</v>
      </c>
      <c r="IF2278">
        <v>175889</v>
      </c>
      <c r="IG2278" t="s">
        <v>365</v>
      </c>
      <c r="IH2278" t="s">
        <v>366</v>
      </c>
      <c r="II2278">
        <v>2016</v>
      </c>
      <c r="IJ2278" t="s">
        <v>367</v>
      </c>
    </row>
    <row r="2279" spans="1:244" x14ac:dyDescent="0.45">
      <c r="A2279">
        <v>1137070</v>
      </c>
      <c r="B2279">
        <v>89372</v>
      </c>
      <c r="C2279">
        <v>13138459</v>
      </c>
      <c r="D2279" t="s">
        <v>4049</v>
      </c>
      <c r="F2279" t="s">
        <v>245</v>
      </c>
      <c r="G2279" t="s">
        <v>246</v>
      </c>
      <c r="N2279" t="s">
        <v>452</v>
      </c>
      <c r="O2279" t="s">
        <v>346</v>
      </c>
      <c r="P2279" t="s">
        <v>249</v>
      </c>
      <c r="Q2279" t="s">
        <v>250</v>
      </c>
      <c r="R2279" t="s">
        <v>251</v>
      </c>
      <c r="T2279" t="s">
        <v>347</v>
      </c>
      <c r="U2279" t="s">
        <v>348</v>
      </c>
      <c r="V2279" t="s">
        <v>349</v>
      </c>
      <c r="W2279" t="s">
        <v>350</v>
      </c>
      <c r="X2279" t="s">
        <v>453</v>
      </c>
      <c r="Z2279" t="s">
        <v>525</v>
      </c>
      <c r="AB2279">
        <v>3</v>
      </c>
      <c r="AG2279" t="s">
        <v>267</v>
      </c>
      <c r="AM2279" t="s">
        <v>317</v>
      </c>
      <c r="AN2279" t="s">
        <v>259</v>
      </c>
      <c r="AO2279" t="s">
        <v>260</v>
      </c>
      <c r="AQ2279" t="s">
        <v>261</v>
      </c>
      <c r="AS2279">
        <v>162985</v>
      </c>
      <c r="AX2279" t="s">
        <v>262</v>
      </c>
      <c r="BO2279" t="s">
        <v>261</v>
      </c>
      <c r="BQ2279">
        <v>162.98500000000001</v>
      </c>
      <c r="BV2279" t="s">
        <v>263</v>
      </c>
      <c r="CM2279" t="s">
        <v>264</v>
      </c>
      <c r="CN2279" t="s">
        <v>264</v>
      </c>
      <c r="CP2279" t="s">
        <v>265</v>
      </c>
      <c r="DB2279">
        <v>2</v>
      </c>
      <c r="DG2279" t="s">
        <v>267</v>
      </c>
      <c r="DI2279">
        <v>48</v>
      </c>
      <c r="DN2279" t="s">
        <v>268</v>
      </c>
      <c r="DR2279">
        <v>85549</v>
      </c>
      <c r="DS2279">
        <v>366</v>
      </c>
      <c r="DT2279" t="s">
        <v>3242</v>
      </c>
      <c r="EW2279" t="s">
        <v>333</v>
      </c>
      <c r="FK2279" t="s">
        <v>4050</v>
      </c>
      <c r="FM2279">
        <v>24</v>
      </c>
      <c r="FR2279" t="s">
        <v>295</v>
      </c>
      <c r="HH2279" t="s">
        <v>272</v>
      </c>
      <c r="ID2279" t="s">
        <v>4051</v>
      </c>
      <c r="IE2279" t="s">
        <v>3245</v>
      </c>
      <c r="IF2279">
        <v>11259</v>
      </c>
      <c r="IG2279" t="s">
        <v>3246</v>
      </c>
      <c r="IH2279" t="s">
        <v>3247</v>
      </c>
      <c r="II2279">
        <v>1984</v>
      </c>
      <c r="IJ2279" t="s">
        <v>3248</v>
      </c>
    </row>
    <row r="2280" spans="1:244" x14ac:dyDescent="0.45">
      <c r="A2280">
        <v>1312584</v>
      </c>
      <c r="B2280">
        <v>770048</v>
      </c>
      <c r="C2280">
        <v>13463417</v>
      </c>
      <c r="D2280" t="s">
        <v>4052</v>
      </c>
      <c r="F2280" t="s">
        <v>245</v>
      </c>
      <c r="G2280" t="s">
        <v>246</v>
      </c>
      <c r="H2280" t="s">
        <v>515</v>
      </c>
      <c r="I2280">
        <v>95</v>
      </c>
      <c r="N2280" t="s">
        <v>497</v>
      </c>
      <c r="O2280" t="s">
        <v>498</v>
      </c>
      <c r="P2280" t="s">
        <v>249</v>
      </c>
      <c r="Q2280" t="s">
        <v>250</v>
      </c>
      <c r="R2280" t="s">
        <v>251</v>
      </c>
      <c r="T2280" t="s">
        <v>252</v>
      </c>
      <c r="U2280" t="s">
        <v>499</v>
      </c>
      <c r="V2280" t="s">
        <v>500</v>
      </c>
      <c r="W2280" t="s">
        <v>501</v>
      </c>
      <c r="X2280" t="s">
        <v>502</v>
      </c>
      <c r="Z2280" t="s">
        <v>649</v>
      </c>
      <c r="AL2280" t="s">
        <v>2725</v>
      </c>
      <c r="AM2280" t="s">
        <v>258</v>
      </c>
      <c r="AN2280" t="s">
        <v>259</v>
      </c>
      <c r="AO2280" t="s">
        <v>260</v>
      </c>
      <c r="AP2280">
        <v>6</v>
      </c>
      <c r="AQ2280" t="s">
        <v>261</v>
      </c>
      <c r="AR2280" t="s">
        <v>288</v>
      </c>
      <c r="AS2280">
        <v>100</v>
      </c>
      <c r="AX2280" t="s">
        <v>262</v>
      </c>
      <c r="BO2280" t="s">
        <v>261</v>
      </c>
      <c r="BP2280" t="s">
        <v>288</v>
      </c>
      <c r="BQ2280">
        <v>0.1</v>
      </c>
      <c r="BV2280" t="s">
        <v>263</v>
      </c>
      <c r="CM2280" t="s">
        <v>264</v>
      </c>
      <c r="CN2280" t="s">
        <v>264</v>
      </c>
      <c r="CP2280" t="s">
        <v>265</v>
      </c>
      <c r="DB2280">
        <v>2</v>
      </c>
      <c r="DG2280" t="s">
        <v>267</v>
      </c>
      <c r="DI2280">
        <v>48</v>
      </c>
      <c r="DN2280" t="s">
        <v>268</v>
      </c>
      <c r="DO2280" t="s">
        <v>1587</v>
      </c>
      <c r="DP2280" t="s">
        <v>4053</v>
      </c>
      <c r="DQ2280" t="s">
        <v>4054</v>
      </c>
      <c r="DR2280">
        <v>1400849</v>
      </c>
      <c r="DS2280">
        <v>4389</v>
      </c>
      <c r="DT2280" t="s">
        <v>2726</v>
      </c>
      <c r="EW2280" t="s">
        <v>2277</v>
      </c>
      <c r="FA2280" t="s">
        <v>4055</v>
      </c>
      <c r="FK2280" t="s">
        <v>4056</v>
      </c>
      <c r="FM2280">
        <v>25</v>
      </c>
      <c r="FR2280" t="s">
        <v>295</v>
      </c>
      <c r="GQ2280">
        <v>8.1</v>
      </c>
      <c r="GS2280">
        <v>8.4</v>
      </c>
      <c r="GU2280">
        <v>33</v>
      </c>
      <c r="GZ2280" t="s">
        <v>296</v>
      </c>
      <c r="HH2280" t="s">
        <v>272</v>
      </c>
      <c r="ID2280" t="s">
        <v>4057</v>
      </c>
      <c r="IE2280" t="s">
        <v>2730</v>
      </c>
      <c r="IF2280">
        <v>111647</v>
      </c>
      <c r="IG2280" t="s">
        <v>2731</v>
      </c>
      <c r="IH2280" t="s">
        <v>2732</v>
      </c>
      <c r="II2280">
        <v>2008</v>
      </c>
      <c r="IJ2280" t="s">
        <v>2733</v>
      </c>
    </row>
    <row r="2281" spans="1:244" x14ac:dyDescent="0.45">
      <c r="A2281">
        <v>2017298</v>
      </c>
      <c r="B2281">
        <v>2028509</v>
      </c>
      <c r="C2281">
        <v>13463417</v>
      </c>
      <c r="D2281" t="s">
        <v>4052</v>
      </c>
      <c r="F2281" t="s">
        <v>245</v>
      </c>
      <c r="G2281" t="s">
        <v>272</v>
      </c>
      <c r="N2281" t="s">
        <v>452</v>
      </c>
      <c r="O2281" t="s">
        <v>346</v>
      </c>
      <c r="P2281" t="s">
        <v>249</v>
      </c>
      <c r="Q2281" t="s">
        <v>250</v>
      </c>
      <c r="R2281" t="s">
        <v>251</v>
      </c>
      <c r="T2281" t="s">
        <v>347</v>
      </c>
      <c r="U2281" t="s">
        <v>348</v>
      </c>
      <c r="V2281" t="s">
        <v>349</v>
      </c>
      <c r="W2281" t="s">
        <v>350</v>
      </c>
      <c r="X2281" t="s">
        <v>453</v>
      </c>
      <c r="Z2281" t="s">
        <v>284</v>
      </c>
      <c r="AD2281">
        <v>2</v>
      </c>
      <c r="AF2281">
        <v>3</v>
      </c>
      <c r="AG2281" t="s">
        <v>1409</v>
      </c>
      <c r="AM2281" t="s">
        <v>317</v>
      </c>
      <c r="AN2281" t="s">
        <v>259</v>
      </c>
      <c r="AO2281" t="s">
        <v>260</v>
      </c>
      <c r="AQ2281" t="s">
        <v>261</v>
      </c>
      <c r="AS2281">
        <v>3.17</v>
      </c>
      <c r="AU2281">
        <v>2.4500000000000002</v>
      </c>
      <c r="AW2281">
        <v>3.88</v>
      </c>
      <c r="AX2281" t="s">
        <v>356</v>
      </c>
      <c r="BO2281" t="s">
        <v>261</v>
      </c>
      <c r="BQ2281">
        <v>3.17</v>
      </c>
      <c r="BS2281">
        <v>2.4500000000000002</v>
      </c>
      <c r="BU2281">
        <v>3.88</v>
      </c>
      <c r="BV2281" t="s">
        <v>263</v>
      </c>
      <c r="CM2281" t="s">
        <v>264</v>
      </c>
      <c r="CN2281" t="s">
        <v>264</v>
      </c>
      <c r="CP2281" t="s">
        <v>265</v>
      </c>
      <c r="DB2281">
        <v>1</v>
      </c>
      <c r="DG2281" t="s">
        <v>267</v>
      </c>
      <c r="DI2281">
        <v>24</v>
      </c>
      <c r="DN2281" t="s">
        <v>268</v>
      </c>
      <c r="DP2281" t="s">
        <v>4058</v>
      </c>
      <c r="DQ2281" t="s">
        <v>4059</v>
      </c>
      <c r="DR2281">
        <v>85549</v>
      </c>
      <c r="DS2281">
        <v>366</v>
      </c>
      <c r="DT2281" t="s">
        <v>4060</v>
      </c>
      <c r="DV2281">
        <v>24</v>
      </c>
      <c r="EA2281" t="s">
        <v>268</v>
      </c>
      <c r="EC2281">
        <v>1</v>
      </c>
      <c r="EH2281" t="s">
        <v>267</v>
      </c>
      <c r="EJ2281">
        <v>24</v>
      </c>
      <c r="EO2281" t="s">
        <v>268</v>
      </c>
      <c r="EQ2281">
        <v>1</v>
      </c>
      <c r="EV2281" t="s">
        <v>267</v>
      </c>
      <c r="EW2281" t="s">
        <v>360</v>
      </c>
      <c r="FA2281" t="s">
        <v>397</v>
      </c>
      <c r="FM2281">
        <v>25</v>
      </c>
      <c r="FR2281" t="s">
        <v>295</v>
      </c>
      <c r="GU2281">
        <v>35</v>
      </c>
      <c r="GZ2281" t="s">
        <v>296</v>
      </c>
      <c r="HH2281" t="s">
        <v>272</v>
      </c>
      <c r="IE2281" t="s">
        <v>4061</v>
      </c>
      <c r="IF2281">
        <v>101947</v>
      </c>
      <c r="IG2281" t="s">
        <v>4062</v>
      </c>
      <c r="IH2281" t="s">
        <v>4063</v>
      </c>
      <c r="II2281">
        <v>2007</v>
      </c>
      <c r="IJ2281" t="s">
        <v>4064</v>
      </c>
    </row>
    <row r="2282" spans="1:244" x14ac:dyDescent="0.45">
      <c r="A2282">
        <v>1312586</v>
      </c>
      <c r="B2282">
        <v>770050</v>
      </c>
      <c r="C2282">
        <v>13463417</v>
      </c>
      <c r="D2282" t="s">
        <v>4052</v>
      </c>
      <c r="F2282" t="s">
        <v>245</v>
      </c>
      <c r="G2282" t="s">
        <v>246</v>
      </c>
      <c r="H2282" t="s">
        <v>515</v>
      </c>
      <c r="I2282">
        <v>95</v>
      </c>
      <c r="N2282" t="s">
        <v>497</v>
      </c>
      <c r="O2282" t="s">
        <v>498</v>
      </c>
      <c r="P2282" t="s">
        <v>249</v>
      </c>
      <c r="Q2282" t="s">
        <v>250</v>
      </c>
      <c r="R2282" t="s">
        <v>251</v>
      </c>
      <c r="T2282" t="s">
        <v>252</v>
      </c>
      <c r="U2282" t="s">
        <v>499</v>
      </c>
      <c r="V2282" t="s">
        <v>500</v>
      </c>
      <c r="W2282" t="s">
        <v>501</v>
      </c>
      <c r="X2282" t="s">
        <v>502</v>
      </c>
      <c r="Z2282" t="s">
        <v>649</v>
      </c>
      <c r="AL2282" t="s">
        <v>2725</v>
      </c>
      <c r="AM2282" t="s">
        <v>258</v>
      </c>
      <c r="AN2282" t="s">
        <v>259</v>
      </c>
      <c r="AO2282" t="s">
        <v>260</v>
      </c>
      <c r="AP2282">
        <v>6</v>
      </c>
      <c r="AQ2282" t="s">
        <v>261</v>
      </c>
      <c r="AS2282">
        <v>70</v>
      </c>
      <c r="AU2282">
        <v>34</v>
      </c>
      <c r="AW2282">
        <v>150</v>
      </c>
      <c r="AX2282" t="s">
        <v>262</v>
      </c>
      <c r="BO2282" t="s">
        <v>261</v>
      </c>
      <c r="BQ2282">
        <v>7.0000000000000007E-2</v>
      </c>
      <c r="BS2282">
        <v>3.4000000000000002E-2</v>
      </c>
      <c r="BU2282">
        <v>0.15</v>
      </c>
      <c r="BV2282" t="s">
        <v>263</v>
      </c>
      <c r="CM2282" t="s">
        <v>264</v>
      </c>
      <c r="CN2282" t="s">
        <v>264</v>
      </c>
      <c r="CP2282" t="s">
        <v>265</v>
      </c>
      <c r="DB2282">
        <v>3</v>
      </c>
      <c r="DG2282" t="s">
        <v>267</v>
      </c>
      <c r="DI2282">
        <v>72</v>
      </c>
      <c r="DN2282" t="s">
        <v>268</v>
      </c>
      <c r="DO2282" t="s">
        <v>1587</v>
      </c>
      <c r="DP2282" t="s">
        <v>4053</v>
      </c>
      <c r="DQ2282" t="s">
        <v>4054</v>
      </c>
      <c r="DR2282">
        <v>1400849</v>
      </c>
      <c r="DS2282">
        <v>4389</v>
      </c>
      <c r="DT2282" t="s">
        <v>2726</v>
      </c>
      <c r="EW2282" t="s">
        <v>2277</v>
      </c>
      <c r="FA2282" t="s">
        <v>4055</v>
      </c>
      <c r="FK2282" t="s">
        <v>4056</v>
      </c>
      <c r="FM2282">
        <v>25</v>
      </c>
      <c r="FR2282" t="s">
        <v>295</v>
      </c>
      <c r="GQ2282">
        <v>8.1</v>
      </c>
      <c r="GS2282">
        <v>8.4</v>
      </c>
      <c r="GU2282">
        <v>33</v>
      </c>
      <c r="GZ2282" t="s">
        <v>296</v>
      </c>
      <c r="HH2282" t="s">
        <v>272</v>
      </c>
      <c r="ID2282" t="s">
        <v>4057</v>
      </c>
      <c r="IE2282" t="s">
        <v>2730</v>
      </c>
      <c r="IF2282">
        <v>111647</v>
      </c>
      <c r="IG2282" t="s">
        <v>2731</v>
      </c>
      <c r="IH2282" t="s">
        <v>2732</v>
      </c>
      <c r="II2282">
        <v>2008</v>
      </c>
      <c r="IJ2282" t="s">
        <v>2733</v>
      </c>
    </row>
    <row r="2283" spans="1:244" x14ac:dyDescent="0.45">
      <c r="A2283">
        <v>2019841</v>
      </c>
      <c r="B2283">
        <v>2033677</v>
      </c>
      <c r="C2283">
        <v>13463417</v>
      </c>
      <c r="D2283" t="s">
        <v>4052</v>
      </c>
      <c r="F2283" t="s">
        <v>245</v>
      </c>
      <c r="G2283" t="s">
        <v>272</v>
      </c>
      <c r="H2283" t="s">
        <v>515</v>
      </c>
      <c r="I2283">
        <v>95</v>
      </c>
      <c r="N2283" t="s">
        <v>2596</v>
      </c>
      <c r="O2283" t="s">
        <v>2597</v>
      </c>
      <c r="P2283" t="s">
        <v>249</v>
      </c>
      <c r="Q2283" t="s">
        <v>250</v>
      </c>
      <c r="R2283" t="s">
        <v>251</v>
      </c>
      <c r="T2283" t="s">
        <v>389</v>
      </c>
      <c r="U2283" t="s">
        <v>462</v>
      </c>
      <c r="V2283" t="s">
        <v>463</v>
      </c>
      <c r="W2283" t="s">
        <v>464</v>
      </c>
      <c r="X2283" t="s">
        <v>1291</v>
      </c>
      <c r="Z2283" t="s">
        <v>284</v>
      </c>
      <c r="AB2283">
        <v>4</v>
      </c>
      <c r="AG2283" t="s">
        <v>267</v>
      </c>
      <c r="AJ2283" t="s">
        <v>285</v>
      </c>
      <c r="AM2283" t="s">
        <v>287</v>
      </c>
      <c r="AN2283" t="s">
        <v>259</v>
      </c>
      <c r="AO2283" t="s">
        <v>260</v>
      </c>
      <c r="AQ2283" t="s">
        <v>261</v>
      </c>
      <c r="AS2283">
        <v>210</v>
      </c>
      <c r="AU2283">
        <v>200</v>
      </c>
      <c r="AW2283">
        <v>230</v>
      </c>
      <c r="AX2283" t="s">
        <v>262</v>
      </c>
      <c r="BO2283" t="s">
        <v>261</v>
      </c>
      <c r="BQ2283">
        <v>0.21</v>
      </c>
      <c r="BS2283">
        <v>0.2</v>
      </c>
      <c r="BU2283">
        <v>0.23</v>
      </c>
      <c r="BV2283" t="s">
        <v>263</v>
      </c>
      <c r="CM2283" t="s">
        <v>264</v>
      </c>
      <c r="CN2283" t="s">
        <v>264</v>
      </c>
      <c r="CP2283" t="s">
        <v>265</v>
      </c>
      <c r="DB2283">
        <v>1</v>
      </c>
      <c r="DG2283" t="s">
        <v>267</v>
      </c>
      <c r="DI2283">
        <v>24</v>
      </c>
      <c r="DN2283" t="s">
        <v>268</v>
      </c>
      <c r="DO2283" t="s">
        <v>1587</v>
      </c>
      <c r="DP2283" t="s">
        <v>4058</v>
      </c>
      <c r="DQ2283" t="s">
        <v>4065</v>
      </c>
      <c r="DR2283">
        <v>1232801</v>
      </c>
      <c r="DS2283">
        <v>1780</v>
      </c>
      <c r="DT2283" t="s">
        <v>2976</v>
      </c>
      <c r="DV2283">
        <v>24</v>
      </c>
      <c r="EA2283" t="s">
        <v>268</v>
      </c>
      <c r="EC2283">
        <v>1</v>
      </c>
      <c r="EH2283" t="s">
        <v>267</v>
      </c>
      <c r="EJ2283">
        <v>24</v>
      </c>
      <c r="EO2283" t="s">
        <v>268</v>
      </c>
      <c r="EQ2283">
        <v>1</v>
      </c>
      <c r="EV2283" t="s">
        <v>267</v>
      </c>
      <c r="EW2283" t="s">
        <v>360</v>
      </c>
      <c r="EY2283" t="s">
        <v>377</v>
      </c>
      <c r="FA2283" t="s">
        <v>1222</v>
      </c>
      <c r="FM2283">
        <v>27</v>
      </c>
      <c r="FR2283" t="s">
        <v>295</v>
      </c>
      <c r="GQ2283">
        <v>8.1</v>
      </c>
      <c r="GS2283">
        <v>8.4</v>
      </c>
      <c r="GU2283">
        <v>33</v>
      </c>
      <c r="GZ2283" t="s">
        <v>296</v>
      </c>
      <c r="HH2283" t="s">
        <v>272</v>
      </c>
      <c r="ID2283" t="s">
        <v>4066</v>
      </c>
      <c r="IE2283" t="s">
        <v>2977</v>
      </c>
      <c r="IF2283">
        <v>156339</v>
      </c>
      <c r="IG2283" t="s">
        <v>2978</v>
      </c>
      <c r="IH2283" t="s">
        <v>2979</v>
      </c>
      <c r="II2283">
        <v>2011</v>
      </c>
      <c r="IJ2283" t="s">
        <v>2980</v>
      </c>
    </row>
    <row r="2284" spans="1:244" x14ac:dyDescent="0.45">
      <c r="A2284">
        <v>1312587</v>
      </c>
      <c r="B2284">
        <v>770051</v>
      </c>
      <c r="C2284">
        <v>13463417</v>
      </c>
      <c r="D2284" t="s">
        <v>4052</v>
      </c>
      <c r="F2284" t="s">
        <v>245</v>
      </c>
      <c r="G2284" t="s">
        <v>246</v>
      </c>
      <c r="H2284" t="s">
        <v>515</v>
      </c>
      <c r="I2284">
        <v>95</v>
      </c>
      <c r="N2284" t="s">
        <v>497</v>
      </c>
      <c r="O2284" t="s">
        <v>498</v>
      </c>
      <c r="P2284" t="s">
        <v>249</v>
      </c>
      <c r="Q2284" t="s">
        <v>250</v>
      </c>
      <c r="R2284" t="s">
        <v>251</v>
      </c>
      <c r="T2284" t="s">
        <v>252</v>
      </c>
      <c r="U2284" t="s">
        <v>499</v>
      </c>
      <c r="V2284" t="s">
        <v>500</v>
      </c>
      <c r="W2284" t="s">
        <v>501</v>
      </c>
      <c r="X2284" t="s">
        <v>502</v>
      </c>
      <c r="Z2284" t="s">
        <v>649</v>
      </c>
      <c r="AL2284" t="s">
        <v>2725</v>
      </c>
      <c r="AM2284" t="s">
        <v>258</v>
      </c>
      <c r="AN2284" t="s">
        <v>259</v>
      </c>
      <c r="AO2284" t="s">
        <v>260</v>
      </c>
      <c r="AP2284">
        <v>6</v>
      </c>
      <c r="AQ2284" t="s">
        <v>261</v>
      </c>
      <c r="AS2284">
        <v>29</v>
      </c>
      <c r="AU2284">
        <v>19</v>
      </c>
      <c r="AW2284">
        <v>46</v>
      </c>
      <c r="AX2284" t="s">
        <v>262</v>
      </c>
      <c r="BO2284" t="s">
        <v>261</v>
      </c>
      <c r="BQ2284">
        <v>2.9000000000000001E-2</v>
      </c>
      <c r="BS2284">
        <v>1.9E-2</v>
      </c>
      <c r="BU2284">
        <v>4.5999999999999999E-2</v>
      </c>
      <c r="BV2284" t="s">
        <v>263</v>
      </c>
      <c r="CM2284" t="s">
        <v>264</v>
      </c>
      <c r="CN2284" t="s">
        <v>264</v>
      </c>
      <c r="CP2284" t="s">
        <v>265</v>
      </c>
      <c r="DB2284">
        <v>4</v>
      </c>
      <c r="DG2284" t="s">
        <v>267</v>
      </c>
      <c r="DI2284">
        <v>96</v>
      </c>
      <c r="DN2284" t="s">
        <v>268</v>
      </c>
      <c r="DO2284" t="s">
        <v>1587</v>
      </c>
      <c r="DP2284" t="s">
        <v>4053</v>
      </c>
      <c r="DQ2284" t="s">
        <v>4054</v>
      </c>
      <c r="DR2284">
        <v>1400849</v>
      </c>
      <c r="DS2284">
        <v>4389</v>
      </c>
      <c r="DT2284" t="s">
        <v>2726</v>
      </c>
      <c r="EW2284" t="s">
        <v>2277</v>
      </c>
      <c r="FA2284" t="s">
        <v>4055</v>
      </c>
      <c r="FK2284" t="s">
        <v>4056</v>
      </c>
      <c r="FM2284">
        <v>25</v>
      </c>
      <c r="FR2284" t="s">
        <v>295</v>
      </c>
      <c r="GQ2284">
        <v>8.1</v>
      </c>
      <c r="GS2284">
        <v>8.4</v>
      </c>
      <c r="GU2284">
        <v>33</v>
      </c>
      <c r="GZ2284" t="s">
        <v>296</v>
      </c>
      <c r="HH2284" t="s">
        <v>272</v>
      </c>
      <c r="ID2284" t="s">
        <v>4057</v>
      </c>
      <c r="IE2284" t="s">
        <v>2730</v>
      </c>
      <c r="IF2284">
        <v>111647</v>
      </c>
      <c r="IG2284" t="s">
        <v>2731</v>
      </c>
      <c r="IH2284" t="s">
        <v>2732</v>
      </c>
      <c r="II2284">
        <v>2008</v>
      </c>
      <c r="IJ2284" t="s">
        <v>2733</v>
      </c>
    </row>
    <row r="2285" spans="1:244" x14ac:dyDescent="0.45">
      <c r="A2285">
        <v>2203589</v>
      </c>
      <c r="B2285">
        <v>2408223</v>
      </c>
      <c r="C2285">
        <v>13463417</v>
      </c>
      <c r="D2285" t="s">
        <v>4052</v>
      </c>
      <c r="F2285" t="s">
        <v>245</v>
      </c>
      <c r="G2285" t="s">
        <v>344</v>
      </c>
      <c r="I2285">
        <v>98</v>
      </c>
      <c r="N2285" t="s">
        <v>345</v>
      </c>
      <c r="O2285" t="s">
        <v>346</v>
      </c>
      <c r="P2285" t="s">
        <v>249</v>
      </c>
      <c r="Q2285" t="s">
        <v>250</v>
      </c>
      <c r="R2285" t="s">
        <v>251</v>
      </c>
      <c r="T2285" t="s">
        <v>347</v>
      </c>
      <c r="U2285" t="s">
        <v>348</v>
      </c>
      <c r="V2285" t="s">
        <v>349</v>
      </c>
      <c r="W2285" t="s">
        <v>350</v>
      </c>
      <c r="X2285" t="s">
        <v>351</v>
      </c>
      <c r="AA2285" t="s">
        <v>352</v>
      </c>
      <c r="AB2285">
        <v>24</v>
      </c>
      <c r="AG2285" t="s">
        <v>353</v>
      </c>
      <c r="AI2285">
        <v>6</v>
      </c>
      <c r="AJ2285" t="s">
        <v>354</v>
      </c>
      <c r="AM2285" t="s">
        <v>317</v>
      </c>
      <c r="AN2285" t="s">
        <v>259</v>
      </c>
      <c r="AO2285" t="s">
        <v>260</v>
      </c>
      <c r="AP2285">
        <v>8</v>
      </c>
      <c r="AQ2285" t="s">
        <v>261</v>
      </c>
      <c r="AS2285">
        <v>3.1469999999999998</v>
      </c>
      <c r="AX2285" t="s">
        <v>356</v>
      </c>
      <c r="BO2285" t="s">
        <v>261</v>
      </c>
      <c r="BQ2285">
        <v>3.1469999999999998</v>
      </c>
      <c r="BV2285" t="s">
        <v>263</v>
      </c>
      <c r="CM2285" t="s">
        <v>264</v>
      </c>
      <c r="CN2285" t="s">
        <v>264</v>
      </c>
      <c r="CP2285" t="s">
        <v>265</v>
      </c>
      <c r="DB2285">
        <v>2</v>
      </c>
      <c r="DG2285" t="s">
        <v>267</v>
      </c>
      <c r="DI2285">
        <v>48</v>
      </c>
      <c r="DN2285" t="s">
        <v>268</v>
      </c>
      <c r="DP2285" t="s">
        <v>4058</v>
      </c>
      <c r="DQ2285" t="s">
        <v>358</v>
      </c>
      <c r="DR2285">
        <v>6660</v>
      </c>
      <c r="DS2285">
        <v>421</v>
      </c>
      <c r="DT2285" t="s">
        <v>359</v>
      </c>
      <c r="DV2285">
        <v>48</v>
      </c>
      <c r="EA2285" t="s">
        <v>268</v>
      </c>
      <c r="EC2285">
        <v>2</v>
      </c>
      <c r="EH2285" t="s">
        <v>267</v>
      </c>
      <c r="EJ2285">
        <v>48</v>
      </c>
      <c r="EO2285" t="s">
        <v>268</v>
      </c>
      <c r="EQ2285">
        <v>2</v>
      </c>
      <c r="EV2285" t="s">
        <v>267</v>
      </c>
      <c r="EW2285" t="s">
        <v>360</v>
      </c>
      <c r="EZ2285">
        <v>10</v>
      </c>
      <c r="FA2285" t="s">
        <v>361</v>
      </c>
      <c r="FM2285">
        <v>25</v>
      </c>
      <c r="FR2285" t="s">
        <v>295</v>
      </c>
      <c r="GO2285">
        <v>7.5</v>
      </c>
      <c r="GU2285">
        <v>32</v>
      </c>
      <c r="GZ2285" t="s">
        <v>362</v>
      </c>
      <c r="HH2285" t="s">
        <v>272</v>
      </c>
      <c r="ID2285" t="s">
        <v>363</v>
      </c>
      <c r="IE2285" t="s">
        <v>364</v>
      </c>
      <c r="IF2285">
        <v>175889</v>
      </c>
      <c r="IG2285" t="s">
        <v>365</v>
      </c>
      <c r="IH2285" t="s">
        <v>366</v>
      </c>
      <c r="II2285">
        <v>2016</v>
      </c>
      <c r="IJ2285" t="s">
        <v>367</v>
      </c>
    </row>
    <row r="2286" spans="1:244" x14ac:dyDescent="0.45">
      <c r="A2286">
        <v>1312583</v>
      </c>
      <c r="B2286">
        <v>770047</v>
      </c>
      <c r="C2286">
        <v>13463417</v>
      </c>
      <c r="D2286" t="s">
        <v>4052</v>
      </c>
      <c r="F2286" t="s">
        <v>245</v>
      </c>
      <c r="G2286" t="s">
        <v>246</v>
      </c>
      <c r="H2286" t="s">
        <v>515</v>
      </c>
      <c r="I2286">
        <v>95</v>
      </c>
      <c r="N2286" t="s">
        <v>497</v>
      </c>
      <c r="O2286" t="s">
        <v>498</v>
      </c>
      <c r="P2286" t="s">
        <v>249</v>
      </c>
      <c r="Q2286" t="s">
        <v>250</v>
      </c>
      <c r="R2286" t="s">
        <v>251</v>
      </c>
      <c r="T2286" t="s">
        <v>252</v>
      </c>
      <c r="U2286" t="s">
        <v>499</v>
      </c>
      <c r="V2286" t="s">
        <v>500</v>
      </c>
      <c r="W2286" t="s">
        <v>501</v>
      </c>
      <c r="X2286" t="s">
        <v>502</v>
      </c>
      <c r="Z2286" t="s">
        <v>649</v>
      </c>
      <c r="AL2286" t="s">
        <v>2725</v>
      </c>
      <c r="AM2286" t="s">
        <v>258</v>
      </c>
      <c r="AN2286" t="s">
        <v>259</v>
      </c>
      <c r="AO2286" t="s">
        <v>260</v>
      </c>
      <c r="AP2286">
        <v>6</v>
      </c>
      <c r="AQ2286" t="s">
        <v>261</v>
      </c>
      <c r="AR2286" t="s">
        <v>288</v>
      </c>
      <c r="AS2286">
        <v>100</v>
      </c>
      <c r="AX2286" t="s">
        <v>262</v>
      </c>
      <c r="BO2286" t="s">
        <v>261</v>
      </c>
      <c r="BP2286" t="s">
        <v>288</v>
      </c>
      <c r="BQ2286">
        <v>0.1</v>
      </c>
      <c r="BV2286" t="s">
        <v>263</v>
      </c>
      <c r="CM2286" t="s">
        <v>264</v>
      </c>
      <c r="CN2286" t="s">
        <v>264</v>
      </c>
      <c r="CP2286" t="s">
        <v>265</v>
      </c>
      <c r="DB2286">
        <v>1</v>
      </c>
      <c r="DG2286" t="s">
        <v>267</v>
      </c>
      <c r="DI2286">
        <v>24</v>
      </c>
      <c r="DN2286" t="s">
        <v>268</v>
      </c>
      <c r="DO2286" t="s">
        <v>1587</v>
      </c>
      <c r="DP2286" t="s">
        <v>4053</v>
      </c>
      <c r="DQ2286" t="s">
        <v>4054</v>
      </c>
      <c r="DR2286">
        <v>1400849</v>
      </c>
      <c r="DS2286">
        <v>4389</v>
      </c>
      <c r="DT2286" t="s">
        <v>2726</v>
      </c>
      <c r="EW2286" t="s">
        <v>2277</v>
      </c>
      <c r="FA2286" t="s">
        <v>4055</v>
      </c>
      <c r="FK2286" t="s">
        <v>4056</v>
      </c>
      <c r="FM2286">
        <v>25</v>
      </c>
      <c r="FR2286" t="s">
        <v>295</v>
      </c>
      <c r="GQ2286">
        <v>8.1</v>
      </c>
      <c r="GS2286">
        <v>8.4</v>
      </c>
      <c r="GU2286">
        <v>33</v>
      </c>
      <c r="GZ2286" t="s">
        <v>296</v>
      </c>
      <c r="HH2286" t="s">
        <v>272</v>
      </c>
      <c r="ID2286" t="s">
        <v>4057</v>
      </c>
      <c r="IE2286" t="s">
        <v>2730</v>
      </c>
      <c r="IF2286">
        <v>111647</v>
      </c>
      <c r="IG2286" t="s">
        <v>2731</v>
      </c>
      <c r="IH2286" t="s">
        <v>2732</v>
      </c>
      <c r="II2286">
        <v>2008</v>
      </c>
      <c r="IJ2286" t="s">
        <v>2733</v>
      </c>
    </row>
    <row r="2287" spans="1:244" x14ac:dyDescent="0.45">
      <c r="A2287">
        <v>1305703</v>
      </c>
      <c r="B2287">
        <v>762551</v>
      </c>
      <c r="C2287">
        <v>13463417</v>
      </c>
      <c r="D2287" t="s">
        <v>4052</v>
      </c>
      <c r="F2287" t="s">
        <v>327</v>
      </c>
      <c r="G2287" t="s">
        <v>246</v>
      </c>
      <c r="N2287" t="s">
        <v>2775</v>
      </c>
      <c r="O2287" t="s">
        <v>2776</v>
      </c>
      <c r="P2287" t="s">
        <v>249</v>
      </c>
      <c r="Q2287" t="s">
        <v>250</v>
      </c>
      <c r="R2287" t="s">
        <v>251</v>
      </c>
      <c r="T2287" t="s">
        <v>252</v>
      </c>
      <c r="U2287" t="s">
        <v>253</v>
      </c>
      <c r="V2287" t="s">
        <v>2777</v>
      </c>
      <c r="W2287" t="s">
        <v>2778</v>
      </c>
      <c r="X2287" t="s">
        <v>2779</v>
      </c>
      <c r="AL2287" t="s">
        <v>2780</v>
      </c>
      <c r="AM2287" t="s">
        <v>307</v>
      </c>
      <c r="AN2287" t="s">
        <v>259</v>
      </c>
      <c r="AO2287" t="s">
        <v>260</v>
      </c>
      <c r="AP2287">
        <v>11</v>
      </c>
      <c r="AQ2287" t="s">
        <v>261</v>
      </c>
      <c r="AS2287">
        <v>120</v>
      </c>
      <c r="AU2287">
        <v>92.3</v>
      </c>
      <c r="AW2287">
        <v>157</v>
      </c>
      <c r="AX2287" t="s">
        <v>356</v>
      </c>
      <c r="BO2287" t="s">
        <v>261</v>
      </c>
      <c r="BQ2287">
        <v>120</v>
      </c>
      <c r="BS2287">
        <v>92.3</v>
      </c>
      <c r="BU2287">
        <v>157</v>
      </c>
      <c r="BV2287" t="s">
        <v>263</v>
      </c>
      <c r="CM2287" t="s">
        <v>264</v>
      </c>
      <c r="CN2287" t="s">
        <v>264</v>
      </c>
      <c r="CP2287" t="s">
        <v>265</v>
      </c>
      <c r="CT2287" t="s">
        <v>2781</v>
      </c>
      <c r="DB2287">
        <v>4</v>
      </c>
      <c r="DG2287" t="s">
        <v>267</v>
      </c>
      <c r="DI2287">
        <v>96</v>
      </c>
      <c r="DN2287" t="s">
        <v>268</v>
      </c>
      <c r="DP2287" t="s">
        <v>4053</v>
      </c>
      <c r="DQ2287" t="s">
        <v>4067</v>
      </c>
      <c r="DR2287">
        <v>903847</v>
      </c>
      <c r="DS2287">
        <v>20592</v>
      </c>
      <c r="DT2287" t="s">
        <v>2782</v>
      </c>
      <c r="EW2287" t="s">
        <v>360</v>
      </c>
      <c r="FK2287" t="s">
        <v>4068</v>
      </c>
      <c r="FM2287">
        <v>24.4</v>
      </c>
      <c r="FR2287" t="s">
        <v>295</v>
      </c>
      <c r="GH2287">
        <v>6.94</v>
      </c>
      <c r="GM2287" t="s">
        <v>356</v>
      </c>
      <c r="GO2287">
        <v>7.7</v>
      </c>
      <c r="HH2287" t="s">
        <v>272</v>
      </c>
      <c r="ID2287" t="s">
        <v>4069</v>
      </c>
      <c r="IE2287" t="s">
        <v>2785</v>
      </c>
      <c r="IF2287">
        <v>97380</v>
      </c>
      <c r="IG2287" t="s">
        <v>2786</v>
      </c>
      <c r="IH2287" t="s">
        <v>2787</v>
      </c>
      <c r="II2287">
        <v>2006</v>
      </c>
      <c r="IJ2287" t="s">
        <v>2788</v>
      </c>
    </row>
    <row r="2288" spans="1:244" x14ac:dyDescent="0.45">
      <c r="A2288">
        <v>2019862</v>
      </c>
      <c r="B2288">
        <v>2033697</v>
      </c>
      <c r="C2288">
        <v>13463417</v>
      </c>
      <c r="D2288" t="s">
        <v>4052</v>
      </c>
      <c r="F2288" t="s">
        <v>245</v>
      </c>
      <c r="G2288" t="s">
        <v>272</v>
      </c>
      <c r="H2288" t="s">
        <v>515</v>
      </c>
      <c r="I2288">
        <v>95</v>
      </c>
      <c r="N2288" t="s">
        <v>497</v>
      </c>
      <c r="O2288" t="s">
        <v>498</v>
      </c>
      <c r="P2288" t="s">
        <v>249</v>
      </c>
      <c r="Q2288" t="s">
        <v>250</v>
      </c>
      <c r="R2288" t="s">
        <v>251</v>
      </c>
      <c r="T2288" t="s">
        <v>252</v>
      </c>
      <c r="U2288" t="s">
        <v>499</v>
      </c>
      <c r="V2288" t="s">
        <v>500</v>
      </c>
      <c r="W2288" t="s">
        <v>501</v>
      </c>
      <c r="X2288" t="s">
        <v>502</v>
      </c>
      <c r="Z2288" t="s">
        <v>649</v>
      </c>
      <c r="AJ2288" t="s">
        <v>285</v>
      </c>
      <c r="AL2288" t="s">
        <v>2974</v>
      </c>
      <c r="AM2288" t="s">
        <v>258</v>
      </c>
      <c r="AN2288" t="s">
        <v>259</v>
      </c>
      <c r="AO2288" t="s">
        <v>260</v>
      </c>
      <c r="AQ2288" t="s">
        <v>261</v>
      </c>
      <c r="AS2288">
        <v>29</v>
      </c>
      <c r="AU2288">
        <v>19</v>
      </c>
      <c r="AW2288">
        <v>44</v>
      </c>
      <c r="AX2288" t="s">
        <v>262</v>
      </c>
      <c r="BO2288" t="s">
        <v>261</v>
      </c>
      <c r="BQ2288">
        <v>2.9000000000000001E-2</v>
      </c>
      <c r="BS2288">
        <v>1.9E-2</v>
      </c>
      <c r="BU2288">
        <v>4.3999999999999997E-2</v>
      </c>
      <c r="BV2288" t="s">
        <v>263</v>
      </c>
      <c r="CM2288" t="s">
        <v>264</v>
      </c>
      <c r="CN2288" t="s">
        <v>264</v>
      </c>
      <c r="CP2288" t="s">
        <v>265</v>
      </c>
      <c r="DB2288">
        <v>4</v>
      </c>
      <c r="DG2288" t="s">
        <v>267</v>
      </c>
      <c r="DI2288">
        <v>96</v>
      </c>
      <c r="DN2288" t="s">
        <v>268</v>
      </c>
      <c r="DO2288" t="s">
        <v>1587</v>
      </c>
      <c r="DP2288" t="s">
        <v>4058</v>
      </c>
      <c r="DQ2288" t="s">
        <v>4065</v>
      </c>
      <c r="DR2288">
        <v>1400849</v>
      </c>
      <c r="DS2288">
        <v>4389</v>
      </c>
      <c r="DT2288" t="s">
        <v>2976</v>
      </c>
      <c r="DV2288">
        <v>96</v>
      </c>
      <c r="EA2288" t="s">
        <v>268</v>
      </c>
      <c r="EC2288">
        <v>4</v>
      </c>
      <c r="EH2288" t="s">
        <v>267</v>
      </c>
      <c r="EJ2288">
        <v>96</v>
      </c>
      <c r="EO2288" t="s">
        <v>268</v>
      </c>
      <c r="EQ2288">
        <v>4</v>
      </c>
      <c r="EV2288" t="s">
        <v>267</v>
      </c>
      <c r="EW2288" t="s">
        <v>360</v>
      </c>
      <c r="EY2288" t="s">
        <v>377</v>
      </c>
      <c r="FA2288" t="s">
        <v>397</v>
      </c>
      <c r="FM2288">
        <v>25</v>
      </c>
      <c r="FR2288" t="s">
        <v>295</v>
      </c>
      <c r="GQ2288">
        <v>8.1</v>
      </c>
      <c r="GS2288">
        <v>8.4</v>
      </c>
      <c r="GU2288">
        <v>33</v>
      </c>
      <c r="GZ2288" t="s">
        <v>296</v>
      </c>
      <c r="HH2288" t="s">
        <v>272</v>
      </c>
      <c r="IE2288" t="s">
        <v>2977</v>
      </c>
      <c r="IF2288">
        <v>156339</v>
      </c>
      <c r="IG2288" t="s">
        <v>2978</v>
      </c>
      <c r="IH2288" t="s">
        <v>2979</v>
      </c>
      <c r="II2288">
        <v>2011</v>
      </c>
      <c r="IJ2288" t="s">
        <v>2980</v>
      </c>
    </row>
    <row r="2289" spans="1:244" x14ac:dyDescent="0.45">
      <c r="A2289">
        <v>2066509</v>
      </c>
      <c r="B2289">
        <v>2108601</v>
      </c>
      <c r="C2289">
        <v>13463417</v>
      </c>
      <c r="D2289" t="s">
        <v>4052</v>
      </c>
      <c r="F2289" t="s">
        <v>246</v>
      </c>
      <c r="G2289" t="s">
        <v>368</v>
      </c>
      <c r="I2289">
        <v>97.8</v>
      </c>
      <c r="N2289" t="s">
        <v>369</v>
      </c>
      <c r="O2289" t="s">
        <v>370</v>
      </c>
      <c r="P2289" t="s">
        <v>249</v>
      </c>
      <c r="Q2289" t="s">
        <v>250</v>
      </c>
      <c r="R2289" t="s">
        <v>251</v>
      </c>
      <c r="T2289" t="s">
        <v>252</v>
      </c>
      <c r="U2289" t="s">
        <v>371</v>
      </c>
      <c r="V2289" t="s">
        <v>372</v>
      </c>
      <c r="W2289" t="s">
        <v>373</v>
      </c>
      <c r="X2289" t="s">
        <v>374</v>
      </c>
      <c r="AA2289" t="s">
        <v>289</v>
      </c>
      <c r="AB2289">
        <v>24</v>
      </c>
      <c r="AG2289" t="s">
        <v>268</v>
      </c>
      <c r="AL2289" t="s">
        <v>375</v>
      </c>
      <c r="AM2289" t="s">
        <v>307</v>
      </c>
      <c r="AN2289" t="s">
        <v>259</v>
      </c>
      <c r="AO2289" t="s">
        <v>260</v>
      </c>
      <c r="AS2289">
        <v>4.7</v>
      </c>
      <c r="AX2289" t="s">
        <v>290</v>
      </c>
      <c r="BQ2289">
        <v>4.7000000000000002E-3</v>
      </c>
      <c r="BV2289" t="s">
        <v>263</v>
      </c>
      <c r="CM2289" t="s">
        <v>264</v>
      </c>
      <c r="CN2289" t="s">
        <v>264</v>
      </c>
      <c r="CP2289" t="s">
        <v>265</v>
      </c>
      <c r="DB2289">
        <v>4</v>
      </c>
      <c r="DG2289" t="s">
        <v>267</v>
      </c>
      <c r="DI2289">
        <v>96</v>
      </c>
      <c r="DN2289" t="s">
        <v>268</v>
      </c>
      <c r="DP2289">
        <v>97.8</v>
      </c>
      <c r="DR2289">
        <v>110441</v>
      </c>
      <c r="DS2289">
        <v>142</v>
      </c>
      <c r="EJ2289">
        <v>96</v>
      </c>
      <c r="EO2289" t="s">
        <v>268</v>
      </c>
      <c r="EQ2289">
        <v>4</v>
      </c>
      <c r="EV2289" t="s">
        <v>267</v>
      </c>
      <c r="EW2289" t="s">
        <v>376</v>
      </c>
      <c r="EY2289" t="s">
        <v>377</v>
      </c>
      <c r="FR2289" t="s">
        <v>378</v>
      </c>
      <c r="FY2289" t="s">
        <v>378</v>
      </c>
      <c r="GF2289" t="s">
        <v>378</v>
      </c>
      <c r="GM2289" t="s">
        <v>378</v>
      </c>
      <c r="GZ2289" t="s">
        <v>378</v>
      </c>
      <c r="HG2289" t="s">
        <v>378</v>
      </c>
      <c r="HH2289" t="s">
        <v>379</v>
      </c>
      <c r="HO2289" t="s">
        <v>378</v>
      </c>
      <c r="HV2289" t="s">
        <v>378</v>
      </c>
      <c r="IC2289" t="s">
        <v>378</v>
      </c>
      <c r="ID2289" t="s">
        <v>380</v>
      </c>
      <c r="IE2289" t="s">
        <v>381</v>
      </c>
      <c r="IF2289">
        <v>344</v>
      </c>
      <c r="IG2289" t="s">
        <v>382</v>
      </c>
      <c r="IH2289" t="s">
        <v>383</v>
      </c>
      <c r="II2289">
        <v>1992</v>
      </c>
      <c r="IJ2289" t="s">
        <v>384</v>
      </c>
    </row>
    <row r="2290" spans="1:244" x14ac:dyDescent="0.45">
      <c r="A2290">
        <v>2019870</v>
      </c>
      <c r="B2290">
        <v>2033712</v>
      </c>
      <c r="C2290">
        <v>13463417</v>
      </c>
      <c r="D2290" t="s">
        <v>4052</v>
      </c>
      <c r="F2290" t="s">
        <v>245</v>
      </c>
      <c r="G2290" t="s">
        <v>272</v>
      </c>
      <c r="H2290" t="s">
        <v>515</v>
      </c>
      <c r="I2290">
        <v>95</v>
      </c>
      <c r="N2290" t="s">
        <v>387</v>
      </c>
      <c r="O2290" t="s">
        <v>388</v>
      </c>
      <c r="P2290" t="s">
        <v>249</v>
      </c>
      <c r="Q2290" t="s">
        <v>250</v>
      </c>
      <c r="R2290" t="s">
        <v>251</v>
      </c>
      <c r="T2290" t="s">
        <v>389</v>
      </c>
      <c r="U2290" t="s">
        <v>390</v>
      </c>
      <c r="V2290" t="s">
        <v>391</v>
      </c>
      <c r="W2290" t="s">
        <v>392</v>
      </c>
      <c r="X2290" t="s">
        <v>393</v>
      </c>
      <c r="Z2290" t="s">
        <v>315</v>
      </c>
      <c r="AJ2290" t="s">
        <v>285</v>
      </c>
      <c r="AM2290" t="s">
        <v>258</v>
      </c>
      <c r="AN2290" t="s">
        <v>259</v>
      </c>
      <c r="AO2290" t="s">
        <v>260</v>
      </c>
      <c r="AQ2290" t="s">
        <v>261</v>
      </c>
      <c r="AS2290">
        <v>170</v>
      </c>
      <c r="AU2290">
        <v>150</v>
      </c>
      <c r="AW2290">
        <v>190</v>
      </c>
      <c r="AX2290" t="s">
        <v>262</v>
      </c>
      <c r="BO2290" t="s">
        <v>261</v>
      </c>
      <c r="BQ2290">
        <v>0.17</v>
      </c>
      <c r="BS2290">
        <v>0.15</v>
      </c>
      <c r="BU2290">
        <v>0.19</v>
      </c>
      <c r="BV2290" t="s">
        <v>263</v>
      </c>
      <c r="CM2290" t="s">
        <v>264</v>
      </c>
      <c r="CN2290" t="s">
        <v>264</v>
      </c>
      <c r="CP2290" t="s">
        <v>265</v>
      </c>
      <c r="DB2290">
        <v>4</v>
      </c>
      <c r="DG2290" t="s">
        <v>267</v>
      </c>
      <c r="DI2290">
        <v>96</v>
      </c>
      <c r="DN2290" t="s">
        <v>268</v>
      </c>
      <c r="DO2290" t="s">
        <v>1587</v>
      </c>
      <c r="DP2290" t="s">
        <v>4058</v>
      </c>
      <c r="DQ2290" t="s">
        <v>4065</v>
      </c>
      <c r="DR2290">
        <v>158387</v>
      </c>
      <c r="DS2290">
        <v>6038</v>
      </c>
      <c r="DT2290" t="s">
        <v>2976</v>
      </c>
      <c r="DV2290">
        <v>96</v>
      </c>
      <c r="EA2290" t="s">
        <v>268</v>
      </c>
      <c r="EC2290">
        <v>4</v>
      </c>
      <c r="EH2290" t="s">
        <v>267</v>
      </c>
      <c r="EJ2290">
        <v>96</v>
      </c>
      <c r="EO2290" t="s">
        <v>268</v>
      </c>
      <c r="EQ2290">
        <v>4</v>
      </c>
      <c r="EV2290" t="s">
        <v>267</v>
      </c>
      <c r="EW2290" t="s">
        <v>360</v>
      </c>
      <c r="EY2290" t="s">
        <v>377</v>
      </c>
      <c r="FA2290" t="s">
        <v>397</v>
      </c>
      <c r="FK2290" t="s">
        <v>4070</v>
      </c>
      <c r="FM2290">
        <v>25</v>
      </c>
      <c r="FR2290" t="s">
        <v>295</v>
      </c>
      <c r="GQ2290">
        <v>8.1</v>
      </c>
      <c r="GS2290">
        <v>8.4</v>
      </c>
      <c r="GU2290">
        <v>33</v>
      </c>
      <c r="GZ2290" t="s">
        <v>296</v>
      </c>
      <c r="HH2290" t="s">
        <v>272</v>
      </c>
      <c r="ID2290" t="s">
        <v>4071</v>
      </c>
      <c r="IE2290" t="s">
        <v>2977</v>
      </c>
      <c r="IF2290">
        <v>156339</v>
      </c>
      <c r="IG2290" t="s">
        <v>2978</v>
      </c>
      <c r="IH2290" t="s">
        <v>2979</v>
      </c>
      <c r="II2290">
        <v>2011</v>
      </c>
      <c r="IJ2290" t="s">
        <v>2980</v>
      </c>
    </row>
    <row r="2291" spans="1:244" x14ac:dyDescent="0.45">
      <c r="A2291">
        <v>1140053</v>
      </c>
      <c r="B2291">
        <v>94099</v>
      </c>
      <c r="C2291">
        <v>13548384</v>
      </c>
      <c r="D2291" t="s">
        <v>4072</v>
      </c>
      <c r="F2291" t="s">
        <v>245</v>
      </c>
      <c r="G2291" t="s">
        <v>246</v>
      </c>
      <c r="N2291" t="s">
        <v>723</v>
      </c>
      <c r="O2291" t="s">
        <v>631</v>
      </c>
      <c r="P2291" t="s">
        <v>249</v>
      </c>
      <c r="Q2291" t="s">
        <v>250</v>
      </c>
      <c r="R2291" t="s">
        <v>251</v>
      </c>
      <c r="T2291" t="s">
        <v>389</v>
      </c>
      <c r="U2291" t="s">
        <v>632</v>
      </c>
      <c r="V2291" t="s">
        <v>633</v>
      </c>
      <c r="W2291" t="s">
        <v>634</v>
      </c>
      <c r="X2291" t="s">
        <v>724</v>
      </c>
      <c r="Z2291" t="s">
        <v>315</v>
      </c>
      <c r="AL2291" t="s">
        <v>2122</v>
      </c>
      <c r="AM2291" t="s">
        <v>258</v>
      </c>
      <c r="AN2291" t="s">
        <v>259</v>
      </c>
      <c r="AO2291" t="s">
        <v>260</v>
      </c>
      <c r="AQ2291" t="s">
        <v>261</v>
      </c>
      <c r="AS2291">
        <v>19270</v>
      </c>
      <c r="AX2291" t="s">
        <v>262</v>
      </c>
      <c r="BO2291" t="s">
        <v>261</v>
      </c>
      <c r="BQ2291">
        <v>19.27</v>
      </c>
      <c r="BV2291" t="s">
        <v>263</v>
      </c>
      <c r="CM2291" t="s">
        <v>264</v>
      </c>
      <c r="CN2291" t="s">
        <v>264</v>
      </c>
      <c r="CP2291" t="s">
        <v>265</v>
      </c>
      <c r="CQ2291" t="s">
        <v>538</v>
      </c>
      <c r="DB2291">
        <v>2</v>
      </c>
      <c r="DG2291" t="s">
        <v>267</v>
      </c>
      <c r="DI2291">
        <v>48</v>
      </c>
      <c r="DN2291" t="s">
        <v>268</v>
      </c>
      <c r="DR2291">
        <v>136140</v>
      </c>
      <c r="DS2291">
        <v>1784</v>
      </c>
      <c r="DT2291" t="s">
        <v>3267</v>
      </c>
      <c r="EW2291" t="s">
        <v>271</v>
      </c>
      <c r="FM2291">
        <v>14</v>
      </c>
      <c r="FR2291" t="s">
        <v>295</v>
      </c>
      <c r="HH2291" t="s">
        <v>272</v>
      </c>
      <c r="IE2291" t="s">
        <v>2685</v>
      </c>
      <c r="IF2291">
        <v>11673</v>
      </c>
      <c r="IG2291" t="s">
        <v>3270</v>
      </c>
      <c r="IH2291" t="s">
        <v>3271</v>
      </c>
      <c r="II2291">
        <v>1982</v>
      </c>
      <c r="IJ2291" t="s">
        <v>3272</v>
      </c>
    </row>
    <row r="2292" spans="1:244" x14ac:dyDescent="0.45">
      <c r="A2292">
        <v>1273556</v>
      </c>
      <c r="B2292">
        <v>724875</v>
      </c>
      <c r="C2292">
        <v>13826658</v>
      </c>
      <c r="D2292" t="s">
        <v>4073</v>
      </c>
      <c r="F2292" t="s">
        <v>245</v>
      </c>
      <c r="G2292" t="s">
        <v>246</v>
      </c>
      <c r="N2292" t="s">
        <v>1967</v>
      </c>
      <c r="O2292" t="s">
        <v>1968</v>
      </c>
      <c r="P2292" t="s">
        <v>249</v>
      </c>
      <c r="Q2292" t="s">
        <v>250</v>
      </c>
      <c r="R2292" t="s">
        <v>251</v>
      </c>
      <c r="T2292" t="s">
        <v>252</v>
      </c>
      <c r="U2292" t="s">
        <v>253</v>
      </c>
      <c r="V2292" t="s">
        <v>1969</v>
      </c>
      <c r="W2292" t="s">
        <v>1970</v>
      </c>
      <c r="X2292" t="s">
        <v>1971</v>
      </c>
      <c r="Z2292" t="s">
        <v>1046</v>
      </c>
      <c r="AB2292">
        <v>1</v>
      </c>
      <c r="AG2292" t="s">
        <v>267</v>
      </c>
      <c r="AM2292" t="s">
        <v>258</v>
      </c>
      <c r="AN2292" t="s">
        <v>259</v>
      </c>
      <c r="AO2292" t="s">
        <v>260</v>
      </c>
      <c r="AP2292">
        <v>6</v>
      </c>
      <c r="AQ2292" t="s">
        <v>261</v>
      </c>
      <c r="AS2292">
        <v>2.04</v>
      </c>
      <c r="AU2292">
        <v>1.96</v>
      </c>
      <c r="AW2292">
        <v>2.11</v>
      </c>
      <c r="AX2292" t="s">
        <v>356</v>
      </c>
      <c r="BO2292" t="s">
        <v>261</v>
      </c>
      <c r="BQ2292">
        <v>2.04</v>
      </c>
      <c r="BS2292">
        <v>1.96</v>
      </c>
      <c r="BU2292">
        <v>2.11</v>
      </c>
      <c r="BV2292" t="s">
        <v>263</v>
      </c>
      <c r="CM2292" t="s">
        <v>264</v>
      </c>
      <c r="CN2292" t="s">
        <v>264</v>
      </c>
      <c r="CP2292" t="s">
        <v>265</v>
      </c>
      <c r="CQ2292" t="s">
        <v>423</v>
      </c>
      <c r="DB2292">
        <v>2</v>
      </c>
      <c r="DG2292" t="s">
        <v>267</v>
      </c>
      <c r="DI2292">
        <v>48</v>
      </c>
      <c r="DN2292" t="s">
        <v>268</v>
      </c>
      <c r="DP2292" t="s">
        <v>4074</v>
      </c>
      <c r="DR2292">
        <v>174394</v>
      </c>
      <c r="DS2292">
        <v>18619</v>
      </c>
      <c r="DT2292" t="s">
        <v>1972</v>
      </c>
      <c r="EW2292" t="s">
        <v>293</v>
      </c>
      <c r="FA2292" t="s">
        <v>1973</v>
      </c>
      <c r="FK2292" t="s">
        <v>4075</v>
      </c>
      <c r="FM2292">
        <v>7.5</v>
      </c>
      <c r="FR2292" t="s">
        <v>295</v>
      </c>
      <c r="GU2292">
        <v>28</v>
      </c>
      <c r="GZ2292" t="s">
        <v>356</v>
      </c>
      <c r="HH2292" t="s">
        <v>272</v>
      </c>
      <c r="ID2292" t="s">
        <v>4076</v>
      </c>
      <c r="IE2292" t="s">
        <v>1976</v>
      </c>
      <c r="IF2292">
        <v>71687</v>
      </c>
      <c r="IG2292" t="s">
        <v>1977</v>
      </c>
      <c r="IH2292" t="s">
        <v>1978</v>
      </c>
      <c r="II2292">
        <v>2003</v>
      </c>
      <c r="IJ2292" t="s">
        <v>1979</v>
      </c>
    </row>
    <row r="2293" spans="1:244" x14ac:dyDescent="0.45">
      <c r="A2293">
        <v>1273555</v>
      </c>
      <c r="B2293">
        <v>724874</v>
      </c>
      <c r="C2293">
        <v>13826658</v>
      </c>
      <c r="D2293" t="s">
        <v>4073</v>
      </c>
      <c r="F2293" t="s">
        <v>245</v>
      </c>
      <c r="G2293" t="s">
        <v>246</v>
      </c>
      <c r="N2293" t="s">
        <v>1967</v>
      </c>
      <c r="O2293" t="s">
        <v>1968</v>
      </c>
      <c r="P2293" t="s">
        <v>249</v>
      </c>
      <c r="Q2293" t="s">
        <v>250</v>
      </c>
      <c r="R2293" t="s">
        <v>251</v>
      </c>
      <c r="T2293" t="s">
        <v>252</v>
      </c>
      <c r="U2293" t="s">
        <v>253</v>
      </c>
      <c r="V2293" t="s">
        <v>1969</v>
      </c>
      <c r="W2293" t="s">
        <v>1970</v>
      </c>
      <c r="X2293" t="s">
        <v>1971</v>
      </c>
      <c r="Z2293" t="s">
        <v>1046</v>
      </c>
      <c r="AB2293">
        <v>1</v>
      </c>
      <c r="AG2293" t="s">
        <v>267</v>
      </c>
      <c r="AM2293" t="s">
        <v>258</v>
      </c>
      <c r="AN2293" t="s">
        <v>259</v>
      </c>
      <c r="AO2293" t="s">
        <v>260</v>
      </c>
      <c r="AP2293">
        <v>6</v>
      </c>
      <c r="AQ2293" t="s">
        <v>261</v>
      </c>
      <c r="AR2293" t="s">
        <v>288</v>
      </c>
      <c r="AS2293">
        <v>2.1</v>
      </c>
      <c r="AX2293" t="s">
        <v>356</v>
      </c>
      <c r="BO2293" t="s">
        <v>261</v>
      </c>
      <c r="BP2293" t="s">
        <v>288</v>
      </c>
      <c r="BQ2293">
        <v>2.1</v>
      </c>
      <c r="BV2293" t="s">
        <v>263</v>
      </c>
      <c r="CM2293" t="s">
        <v>264</v>
      </c>
      <c r="CN2293" t="s">
        <v>264</v>
      </c>
      <c r="CP2293" t="s">
        <v>265</v>
      </c>
      <c r="CQ2293" t="s">
        <v>423</v>
      </c>
      <c r="DB2293">
        <v>1</v>
      </c>
      <c r="DG2293" t="s">
        <v>267</v>
      </c>
      <c r="DI2293">
        <v>24</v>
      </c>
      <c r="DN2293" t="s">
        <v>268</v>
      </c>
      <c r="DP2293" t="s">
        <v>4074</v>
      </c>
      <c r="DR2293">
        <v>174394</v>
      </c>
      <c r="DS2293">
        <v>18619</v>
      </c>
      <c r="DT2293" t="s">
        <v>1972</v>
      </c>
      <c r="EW2293" t="s">
        <v>293</v>
      </c>
      <c r="FA2293" t="s">
        <v>1973</v>
      </c>
      <c r="FK2293" t="s">
        <v>4075</v>
      </c>
      <c r="FM2293">
        <v>7.5</v>
      </c>
      <c r="FR2293" t="s">
        <v>295</v>
      </c>
      <c r="GU2293">
        <v>28</v>
      </c>
      <c r="GZ2293" t="s">
        <v>356</v>
      </c>
      <c r="HH2293" t="s">
        <v>272</v>
      </c>
      <c r="ID2293" t="s">
        <v>4076</v>
      </c>
      <c r="IE2293" t="s">
        <v>1976</v>
      </c>
      <c r="IF2293">
        <v>71687</v>
      </c>
      <c r="IG2293" t="s">
        <v>1977</v>
      </c>
      <c r="IH2293" t="s">
        <v>1978</v>
      </c>
      <c r="II2293">
        <v>2003</v>
      </c>
      <c r="IJ2293" t="s">
        <v>1979</v>
      </c>
    </row>
    <row r="2294" spans="1:244" x14ac:dyDescent="0.45">
      <c r="A2294">
        <v>1273557</v>
      </c>
      <c r="B2294">
        <v>724876</v>
      </c>
      <c r="C2294">
        <v>13826658</v>
      </c>
      <c r="D2294" t="s">
        <v>4073</v>
      </c>
      <c r="F2294" t="s">
        <v>245</v>
      </c>
      <c r="G2294" t="s">
        <v>246</v>
      </c>
      <c r="N2294" t="s">
        <v>1967</v>
      </c>
      <c r="O2294" t="s">
        <v>1968</v>
      </c>
      <c r="P2294" t="s">
        <v>249</v>
      </c>
      <c r="Q2294" t="s">
        <v>250</v>
      </c>
      <c r="R2294" t="s">
        <v>251</v>
      </c>
      <c r="T2294" t="s">
        <v>252</v>
      </c>
      <c r="U2294" t="s">
        <v>253</v>
      </c>
      <c r="V2294" t="s">
        <v>1969</v>
      </c>
      <c r="W2294" t="s">
        <v>1970</v>
      </c>
      <c r="X2294" t="s">
        <v>1971</v>
      </c>
      <c r="Z2294" t="s">
        <v>1046</v>
      </c>
      <c r="AB2294">
        <v>1</v>
      </c>
      <c r="AG2294" t="s">
        <v>267</v>
      </c>
      <c r="AM2294" t="s">
        <v>258</v>
      </c>
      <c r="AN2294" t="s">
        <v>259</v>
      </c>
      <c r="AO2294" t="s">
        <v>260</v>
      </c>
      <c r="AP2294">
        <v>6</v>
      </c>
      <c r="AQ2294" t="s">
        <v>261</v>
      </c>
      <c r="AS2294">
        <v>1.91</v>
      </c>
      <c r="AU2294">
        <v>1.84</v>
      </c>
      <c r="AW2294">
        <v>1.99</v>
      </c>
      <c r="AX2294" t="s">
        <v>356</v>
      </c>
      <c r="BO2294" t="s">
        <v>261</v>
      </c>
      <c r="BQ2294">
        <v>1.91</v>
      </c>
      <c r="BS2294">
        <v>1.84</v>
      </c>
      <c r="BU2294">
        <v>1.99</v>
      </c>
      <c r="BV2294" t="s">
        <v>263</v>
      </c>
      <c r="CM2294" t="s">
        <v>264</v>
      </c>
      <c r="CN2294" t="s">
        <v>264</v>
      </c>
      <c r="CP2294" t="s">
        <v>265</v>
      </c>
      <c r="CQ2294" t="s">
        <v>423</v>
      </c>
      <c r="DB2294">
        <v>3</v>
      </c>
      <c r="DG2294" t="s">
        <v>267</v>
      </c>
      <c r="DI2294">
        <v>72</v>
      </c>
      <c r="DN2294" t="s">
        <v>268</v>
      </c>
      <c r="DP2294" t="s">
        <v>4074</v>
      </c>
      <c r="DR2294">
        <v>174394</v>
      </c>
      <c r="DS2294">
        <v>18619</v>
      </c>
      <c r="DT2294" t="s">
        <v>1972</v>
      </c>
      <c r="EW2294" t="s">
        <v>293</v>
      </c>
      <c r="FA2294" t="s">
        <v>1973</v>
      </c>
      <c r="FK2294" t="s">
        <v>4075</v>
      </c>
      <c r="FM2294">
        <v>7.5</v>
      </c>
      <c r="FR2294" t="s">
        <v>295</v>
      </c>
      <c r="GU2294">
        <v>28</v>
      </c>
      <c r="GZ2294" t="s">
        <v>356</v>
      </c>
      <c r="HH2294" t="s">
        <v>272</v>
      </c>
      <c r="ID2294" t="s">
        <v>4076</v>
      </c>
      <c r="IE2294" t="s">
        <v>1976</v>
      </c>
      <c r="IF2294">
        <v>71687</v>
      </c>
      <c r="IG2294" t="s">
        <v>1977</v>
      </c>
      <c r="IH2294" t="s">
        <v>1978</v>
      </c>
      <c r="II2294">
        <v>2003</v>
      </c>
      <c r="IJ2294" t="s">
        <v>1979</v>
      </c>
    </row>
    <row r="2295" spans="1:244" x14ac:dyDescent="0.45">
      <c r="A2295">
        <v>1273558</v>
      </c>
      <c r="B2295">
        <v>724877</v>
      </c>
      <c r="C2295">
        <v>13826658</v>
      </c>
      <c r="D2295" t="s">
        <v>4073</v>
      </c>
      <c r="F2295" t="s">
        <v>245</v>
      </c>
      <c r="G2295" t="s">
        <v>246</v>
      </c>
      <c r="N2295" t="s">
        <v>1967</v>
      </c>
      <c r="O2295" t="s">
        <v>1968</v>
      </c>
      <c r="P2295" t="s">
        <v>249</v>
      </c>
      <c r="Q2295" t="s">
        <v>250</v>
      </c>
      <c r="R2295" t="s">
        <v>251</v>
      </c>
      <c r="T2295" t="s">
        <v>252</v>
      </c>
      <c r="U2295" t="s">
        <v>253</v>
      </c>
      <c r="V2295" t="s">
        <v>1969</v>
      </c>
      <c r="W2295" t="s">
        <v>1970</v>
      </c>
      <c r="X2295" t="s">
        <v>1971</v>
      </c>
      <c r="Z2295" t="s">
        <v>1046</v>
      </c>
      <c r="AB2295">
        <v>1</v>
      </c>
      <c r="AG2295" t="s">
        <v>267</v>
      </c>
      <c r="AM2295" t="s">
        <v>258</v>
      </c>
      <c r="AN2295" t="s">
        <v>259</v>
      </c>
      <c r="AO2295" t="s">
        <v>260</v>
      </c>
      <c r="AP2295">
        <v>6</v>
      </c>
      <c r="AQ2295" t="s">
        <v>261</v>
      </c>
      <c r="AS2295">
        <v>1.66</v>
      </c>
      <c r="AU2295">
        <v>1.53</v>
      </c>
      <c r="AW2295">
        <v>1.76</v>
      </c>
      <c r="AX2295" t="s">
        <v>356</v>
      </c>
      <c r="BO2295" t="s">
        <v>261</v>
      </c>
      <c r="BQ2295">
        <v>1.66</v>
      </c>
      <c r="BS2295">
        <v>1.53</v>
      </c>
      <c r="BU2295">
        <v>1.76</v>
      </c>
      <c r="BV2295" t="s">
        <v>263</v>
      </c>
      <c r="CM2295" t="s">
        <v>264</v>
      </c>
      <c r="CN2295" t="s">
        <v>264</v>
      </c>
      <c r="CP2295" t="s">
        <v>265</v>
      </c>
      <c r="CQ2295" t="s">
        <v>423</v>
      </c>
      <c r="DB2295">
        <v>4</v>
      </c>
      <c r="DG2295" t="s">
        <v>267</v>
      </c>
      <c r="DI2295">
        <v>96</v>
      </c>
      <c r="DN2295" t="s">
        <v>268</v>
      </c>
      <c r="DP2295" t="s">
        <v>4074</v>
      </c>
      <c r="DR2295">
        <v>174394</v>
      </c>
      <c r="DS2295">
        <v>18619</v>
      </c>
      <c r="DT2295" t="s">
        <v>1972</v>
      </c>
      <c r="EW2295" t="s">
        <v>293</v>
      </c>
      <c r="FA2295" t="s">
        <v>1973</v>
      </c>
      <c r="FK2295" t="s">
        <v>4075</v>
      </c>
      <c r="FM2295">
        <v>7.5</v>
      </c>
      <c r="FR2295" t="s">
        <v>295</v>
      </c>
      <c r="GU2295">
        <v>28</v>
      </c>
      <c r="GZ2295" t="s">
        <v>356</v>
      </c>
      <c r="HH2295" t="s">
        <v>272</v>
      </c>
      <c r="ID2295" t="s">
        <v>4076</v>
      </c>
      <c r="IE2295" t="s">
        <v>1976</v>
      </c>
      <c r="IF2295">
        <v>71687</v>
      </c>
      <c r="IG2295" t="s">
        <v>1977</v>
      </c>
      <c r="IH2295" t="s">
        <v>1978</v>
      </c>
      <c r="II2295">
        <v>2003</v>
      </c>
      <c r="IJ2295" t="s">
        <v>1979</v>
      </c>
    </row>
    <row r="2296" spans="1:244" x14ac:dyDescent="0.45">
      <c r="A2296">
        <v>1058782</v>
      </c>
      <c r="B2296">
        <v>232571</v>
      </c>
      <c r="C2296">
        <v>21908532</v>
      </c>
      <c r="D2296" t="s">
        <v>4077</v>
      </c>
      <c r="E2296" t="s">
        <v>439</v>
      </c>
      <c r="F2296" t="s">
        <v>245</v>
      </c>
      <c r="G2296" t="s">
        <v>246</v>
      </c>
      <c r="N2296" t="s">
        <v>499</v>
      </c>
      <c r="O2296" t="s">
        <v>925</v>
      </c>
      <c r="P2296" t="s">
        <v>249</v>
      </c>
      <c r="Q2296" t="s">
        <v>250</v>
      </c>
      <c r="R2296" t="s">
        <v>251</v>
      </c>
      <c r="T2296" t="s">
        <v>252</v>
      </c>
      <c r="U2296" t="s">
        <v>499</v>
      </c>
      <c r="Z2296" t="s">
        <v>315</v>
      </c>
      <c r="AJ2296" t="s">
        <v>285</v>
      </c>
      <c r="AL2296" t="s">
        <v>926</v>
      </c>
      <c r="AM2296" t="s">
        <v>317</v>
      </c>
      <c r="AN2296" t="s">
        <v>259</v>
      </c>
      <c r="AO2296" t="s">
        <v>260</v>
      </c>
      <c r="AP2296">
        <v>6</v>
      </c>
      <c r="AQ2296" t="s">
        <v>261</v>
      </c>
      <c r="AS2296">
        <v>4.7999999999999996E-3</v>
      </c>
      <c r="AU2296">
        <v>2.0999999999999999E-3</v>
      </c>
      <c r="AW2296">
        <v>1.11E-2</v>
      </c>
      <c r="AX2296" t="s">
        <v>262</v>
      </c>
      <c r="BO2296" t="s">
        <v>261</v>
      </c>
      <c r="BQ2296">
        <v>4.7999999999999998E-6</v>
      </c>
      <c r="BS2296">
        <v>2.0999999999999998E-6</v>
      </c>
      <c r="BU2296">
        <v>1.11E-5</v>
      </c>
      <c r="BV2296" t="s">
        <v>263</v>
      </c>
      <c r="CM2296" t="s">
        <v>264</v>
      </c>
      <c r="CN2296" t="s">
        <v>264</v>
      </c>
      <c r="CP2296" t="s">
        <v>265</v>
      </c>
      <c r="CQ2296" t="s">
        <v>266</v>
      </c>
      <c r="DB2296">
        <v>1.75</v>
      </c>
      <c r="DG2296" t="s">
        <v>267</v>
      </c>
      <c r="DI2296">
        <v>42</v>
      </c>
      <c r="DN2296" t="s">
        <v>268</v>
      </c>
      <c r="DR2296">
        <v>6821</v>
      </c>
      <c r="DS2296">
        <v>1044</v>
      </c>
      <c r="DT2296" t="s">
        <v>927</v>
      </c>
      <c r="EW2296" t="s">
        <v>272</v>
      </c>
      <c r="FK2296" t="s">
        <v>4078</v>
      </c>
      <c r="FO2296">
        <v>29.5</v>
      </c>
      <c r="FQ2296">
        <v>30.5</v>
      </c>
      <c r="FR2296" t="s">
        <v>295</v>
      </c>
      <c r="GJ2296">
        <v>4.2</v>
      </c>
      <c r="GL2296">
        <v>5.2</v>
      </c>
      <c r="GM2296" t="s">
        <v>356</v>
      </c>
      <c r="GQ2296">
        <v>7.1</v>
      </c>
      <c r="GS2296">
        <v>7.8</v>
      </c>
      <c r="GW2296">
        <v>29.5</v>
      </c>
      <c r="GY2296">
        <v>30.5</v>
      </c>
      <c r="GZ2296" t="s">
        <v>296</v>
      </c>
      <c r="HH2296" t="s">
        <v>272</v>
      </c>
      <c r="ID2296" t="s">
        <v>4079</v>
      </c>
      <c r="IE2296" t="s">
        <v>930</v>
      </c>
      <c r="IF2296">
        <v>4336</v>
      </c>
      <c r="IG2296" t="s">
        <v>931</v>
      </c>
      <c r="IH2296" t="s">
        <v>932</v>
      </c>
      <c r="II2296">
        <v>1993</v>
      </c>
      <c r="IJ2296" t="s">
        <v>933</v>
      </c>
    </row>
    <row r="2297" spans="1:244" x14ac:dyDescent="0.45">
      <c r="A2297">
        <v>1058783</v>
      </c>
      <c r="B2297">
        <v>232572</v>
      </c>
      <c r="C2297">
        <v>21908532</v>
      </c>
      <c r="D2297" t="s">
        <v>4077</v>
      </c>
      <c r="E2297" t="s">
        <v>439</v>
      </c>
      <c r="F2297" t="s">
        <v>245</v>
      </c>
      <c r="G2297" t="s">
        <v>246</v>
      </c>
      <c r="N2297" t="s">
        <v>499</v>
      </c>
      <c r="O2297" t="s">
        <v>925</v>
      </c>
      <c r="P2297" t="s">
        <v>249</v>
      </c>
      <c r="Q2297" t="s">
        <v>250</v>
      </c>
      <c r="R2297" t="s">
        <v>251</v>
      </c>
      <c r="T2297" t="s">
        <v>252</v>
      </c>
      <c r="U2297" t="s">
        <v>499</v>
      </c>
      <c r="Z2297" t="s">
        <v>315</v>
      </c>
      <c r="AJ2297" t="s">
        <v>285</v>
      </c>
      <c r="AL2297" t="s">
        <v>926</v>
      </c>
      <c r="AM2297" t="s">
        <v>317</v>
      </c>
      <c r="AN2297" t="s">
        <v>259</v>
      </c>
      <c r="AO2297" t="s">
        <v>260</v>
      </c>
      <c r="AP2297">
        <v>6</v>
      </c>
      <c r="AQ2297" t="s">
        <v>261</v>
      </c>
      <c r="AS2297">
        <v>4.0000000000000001E-3</v>
      </c>
      <c r="AU2297">
        <v>2.2000000000000001E-3</v>
      </c>
      <c r="AW2297">
        <v>7.3000000000000001E-3</v>
      </c>
      <c r="AX2297" t="s">
        <v>262</v>
      </c>
      <c r="BO2297" t="s">
        <v>261</v>
      </c>
      <c r="BQ2297">
        <v>3.9999999999999998E-6</v>
      </c>
      <c r="BS2297">
        <v>2.2000000000000001E-6</v>
      </c>
      <c r="BU2297">
        <v>7.3000000000000004E-6</v>
      </c>
      <c r="BV2297" t="s">
        <v>263</v>
      </c>
      <c r="CM2297" t="s">
        <v>264</v>
      </c>
      <c r="CN2297" t="s">
        <v>264</v>
      </c>
      <c r="CP2297" t="s">
        <v>265</v>
      </c>
      <c r="CQ2297" t="s">
        <v>266</v>
      </c>
      <c r="DB2297">
        <v>2</v>
      </c>
      <c r="DG2297" t="s">
        <v>267</v>
      </c>
      <c r="DI2297">
        <v>48</v>
      </c>
      <c r="DN2297" t="s">
        <v>268</v>
      </c>
      <c r="DR2297">
        <v>6821</v>
      </c>
      <c r="DS2297">
        <v>1044</v>
      </c>
      <c r="DT2297" t="s">
        <v>927</v>
      </c>
      <c r="EW2297" t="s">
        <v>272</v>
      </c>
      <c r="FK2297" t="s">
        <v>4078</v>
      </c>
      <c r="FO2297">
        <v>29.5</v>
      </c>
      <c r="FQ2297">
        <v>30.5</v>
      </c>
      <c r="FR2297" t="s">
        <v>295</v>
      </c>
      <c r="GJ2297">
        <v>4.2</v>
      </c>
      <c r="GL2297">
        <v>5.2</v>
      </c>
      <c r="GM2297" t="s">
        <v>356</v>
      </c>
      <c r="GQ2297">
        <v>7.1</v>
      </c>
      <c r="GS2297">
        <v>7.8</v>
      </c>
      <c r="GW2297">
        <v>29.5</v>
      </c>
      <c r="GY2297">
        <v>30.5</v>
      </c>
      <c r="GZ2297" t="s">
        <v>296</v>
      </c>
      <c r="HH2297" t="s">
        <v>272</v>
      </c>
      <c r="ID2297" t="s">
        <v>4079</v>
      </c>
      <c r="IE2297" t="s">
        <v>930</v>
      </c>
      <c r="IF2297">
        <v>4336</v>
      </c>
      <c r="IG2297" t="s">
        <v>931</v>
      </c>
      <c r="IH2297" t="s">
        <v>932</v>
      </c>
      <c r="II2297">
        <v>1993</v>
      </c>
      <c r="IJ2297" t="s">
        <v>933</v>
      </c>
    </row>
    <row r="2298" spans="1:244" x14ac:dyDescent="0.45">
      <c r="A2298">
        <v>1058781</v>
      </c>
      <c r="B2298">
        <v>232570</v>
      </c>
      <c r="C2298">
        <v>21908532</v>
      </c>
      <c r="D2298" t="s">
        <v>4077</v>
      </c>
      <c r="E2298" t="s">
        <v>439</v>
      </c>
      <c r="F2298" t="s">
        <v>245</v>
      </c>
      <c r="G2298" t="s">
        <v>246</v>
      </c>
      <c r="N2298" t="s">
        <v>499</v>
      </c>
      <c r="O2298" t="s">
        <v>925</v>
      </c>
      <c r="P2298" t="s">
        <v>249</v>
      </c>
      <c r="Q2298" t="s">
        <v>250</v>
      </c>
      <c r="R2298" t="s">
        <v>251</v>
      </c>
      <c r="T2298" t="s">
        <v>252</v>
      </c>
      <c r="U2298" t="s">
        <v>499</v>
      </c>
      <c r="Z2298" t="s">
        <v>315</v>
      </c>
      <c r="AJ2298" t="s">
        <v>285</v>
      </c>
      <c r="AL2298" t="s">
        <v>926</v>
      </c>
      <c r="AM2298" t="s">
        <v>317</v>
      </c>
      <c r="AN2298" t="s">
        <v>259</v>
      </c>
      <c r="AO2298" t="s">
        <v>260</v>
      </c>
      <c r="AP2298">
        <v>6</v>
      </c>
      <c r="AQ2298" t="s">
        <v>261</v>
      </c>
      <c r="AS2298">
        <v>1.03E-2</v>
      </c>
      <c r="AU2298">
        <v>4.1999999999999997E-3</v>
      </c>
      <c r="AW2298">
        <v>2.5399999999999999E-2</v>
      </c>
      <c r="AX2298" t="s">
        <v>262</v>
      </c>
      <c r="BO2298" t="s">
        <v>261</v>
      </c>
      <c r="BQ2298">
        <v>1.03E-5</v>
      </c>
      <c r="BS2298">
        <v>4.1999999999999996E-6</v>
      </c>
      <c r="BU2298">
        <v>2.5400000000000001E-5</v>
      </c>
      <c r="BV2298" t="s">
        <v>263</v>
      </c>
      <c r="CM2298" t="s">
        <v>264</v>
      </c>
      <c r="CN2298" t="s">
        <v>264</v>
      </c>
      <c r="CP2298" t="s">
        <v>265</v>
      </c>
      <c r="CQ2298" t="s">
        <v>266</v>
      </c>
      <c r="DB2298">
        <v>1.5</v>
      </c>
      <c r="DG2298" t="s">
        <v>267</v>
      </c>
      <c r="DI2298">
        <v>36</v>
      </c>
      <c r="DN2298" t="s">
        <v>268</v>
      </c>
      <c r="DR2298">
        <v>6821</v>
      </c>
      <c r="DS2298">
        <v>1044</v>
      </c>
      <c r="DT2298" t="s">
        <v>927</v>
      </c>
      <c r="EW2298" t="s">
        <v>272</v>
      </c>
      <c r="FK2298" t="s">
        <v>4078</v>
      </c>
      <c r="FO2298">
        <v>29.5</v>
      </c>
      <c r="FQ2298">
        <v>30.5</v>
      </c>
      <c r="FR2298" t="s">
        <v>295</v>
      </c>
      <c r="GJ2298">
        <v>4.2</v>
      </c>
      <c r="GL2298">
        <v>5.2</v>
      </c>
      <c r="GM2298" t="s">
        <v>356</v>
      </c>
      <c r="GQ2298">
        <v>7.1</v>
      </c>
      <c r="GS2298">
        <v>7.8</v>
      </c>
      <c r="GW2298">
        <v>29.5</v>
      </c>
      <c r="GY2298">
        <v>30.5</v>
      </c>
      <c r="GZ2298" t="s">
        <v>296</v>
      </c>
      <c r="HH2298" t="s">
        <v>272</v>
      </c>
      <c r="ID2298" t="s">
        <v>4079</v>
      </c>
      <c r="IE2298" t="s">
        <v>930</v>
      </c>
      <c r="IF2298">
        <v>4336</v>
      </c>
      <c r="IG2298" t="s">
        <v>931</v>
      </c>
      <c r="IH2298" t="s">
        <v>932</v>
      </c>
      <c r="II2298">
        <v>1993</v>
      </c>
      <c r="IJ2298" t="s">
        <v>933</v>
      </c>
    </row>
    <row r="2299" spans="1:244" x14ac:dyDescent="0.45">
      <c r="A2299">
        <v>1058779</v>
      </c>
      <c r="B2299">
        <v>232568</v>
      </c>
      <c r="C2299">
        <v>21908532</v>
      </c>
      <c r="D2299" t="s">
        <v>4077</v>
      </c>
      <c r="E2299" t="s">
        <v>439</v>
      </c>
      <c r="F2299" t="s">
        <v>245</v>
      </c>
      <c r="G2299" t="s">
        <v>246</v>
      </c>
      <c r="N2299" t="s">
        <v>499</v>
      </c>
      <c r="O2299" t="s">
        <v>925</v>
      </c>
      <c r="P2299" t="s">
        <v>249</v>
      </c>
      <c r="Q2299" t="s">
        <v>250</v>
      </c>
      <c r="R2299" t="s">
        <v>251</v>
      </c>
      <c r="T2299" t="s">
        <v>252</v>
      </c>
      <c r="U2299" t="s">
        <v>499</v>
      </c>
      <c r="Z2299" t="s">
        <v>315</v>
      </c>
      <c r="AJ2299" t="s">
        <v>285</v>
      </c>
      <c r="AL2299" t="s">
        <v>926</v>
      </c>
      <c r="AM2299" t="s">
        <v>317</v>
      </c>
      <c r="AN2299" t="s">
        <v>259</v>
      </c>
      <c r="AO2299" t="s">
        <v>260</v>
      </c>
      <c r="AP2299">
        <v>6</v>
      </c>
      <c r="AQ2299" t="s">
        <v>261</v>
      </c>
      <c r="AS2299">
        <v>1.3599999999999999E-2</v>
      </c>
      <c r="AU2299">
        <v>4.8999999999999998E-3</v>
      </c>
      <c r="AW2299">
        <v>3.7999999999999999E-2</v>
      </c>
      <c r="AX2299" t="s">
        <v>262</v>
      </c>
      <c r="BO2299" t="s">
        <v>261</v>
      </c>
      <c r="BQ2299">
        <v>1.36E-5</v>
      </c>
      <c r="BS2299">
        <v>4.8999999999999997E-6</v>
      </c>
      <c r="BU2299">
        <v>3.8000000000000002E-5</v>
      </c>
      <c r="BV2299" t="s">
        <v>263</v>
      </c>
      <c r="CM2299" t="s">
        <v>264</v>
      </c>
      <c r="CN2299" t="s">
        <v>264</v>
      </c>
      <c r="CP2299" t="s">
        <v>265</v>
      </c>
      <c r="CQ2299" t="s">
        <v>266</v>
      </c>
      <c r="DB2299">
        <v>1</v>
      </c>
      <c r="DG2299" t="s">
        <v>267</v>
      </c>
      <c r="DI2299">
        <v>24</v>
      </c>
      <c r="DN2299" t="s">
        <v>268</v>
      </c>
      <c r="DR2299">
        <v>6821</v>
      </c>
      <c r="DS2299">
        <v>1044</v>
      </c>
      <c r="DT2299" t="s">
        <v>927</v>
      </c>
      <c r="EW2299" t="s">
        <v>272</v>
      </c>
      <c r="FK2299" t="s">
        <v>4078</v>
      </c>
      <c r="FO2299">
        <v>29.5</v>
      </c>
      <c r="FQ2299">
        <v>30.5</v>
      </c>
      <c r="FR2299" t="s">
        <v>295</v>
      </c>
      <c r="GJ2299">
        <v>4.2</v>
      </c>
      <c r="GL2299">
        <v>5.2</v>
      </c>
      <c r="GM2299" t="s">
        <v>356</v>
      </c>
      <c r="GQ2299">
        <v>7.1</v>
      </c>
      <c r="GS2299">
        <v>7.8</v>
      </c>
      <c r="GW2299">
        <v>29.5</v>
      </c>
      <c r="GY2299">
        <v>30.5</v>
      </c>
      <c r="GZ2299" t="s">
        <v>296</v>
      </c>
      <c r="HH2299" t="s">
        <v>272</v>
      </c>
      <c r="ID2299" t="s">
        <v>4079</v>
      </c>
      <c r="IE2299" t="s">
        <v>930</v>
      </c>
      <c r="IF2299">
        <v>4336</v>
      </c>
      <c r="IG2299" t="s">
        <v>931</v>
      </c>
      <c r="IH2299" t="s">
        <v>932</v>
      </c>
      <c r="II2299">
        <v>1993</v>
      </c>
      <c r="IJ2299" t="s">
        <v>933</v>
      </c>
    </row>
    <row r="2300" spans="1:244" x14ac:dyDescent="0.45">
      <c r="A2300">
        <v>1058780</v>
      </c>
      <c r="B2300">
        <v>232569</v>
      </c>
      <c r="C2300">
        <v>21908532</v>
      </c>
      <c r="D2300" t="s">
        <v>4077</v>
      </c>
      <c r="E2300" t="s">
        <v>439</v>
      </c>
      <c r="F2300" t="s">
        <v>245</v>
      </c>
      <c r="G2300" t="s">
        <v>246</v>
      </c>
      <c r="N2300" t="s">
        <v>499</v>
      </c>
      <c r="O2300" t="s">
        <v>925</v>
      </c>
      <c r="P2300" t="s">
        <v>249</v>
      </c>
      <c r="Q2300" t="s">
        <v>250</v>
      </c>
      <c r="R2300" t="s">
        <v>251</v>
      </c>
      <c r="T2300" t="s">
        <v>252</v>
      </c>
      <c r="U2300" t="s">
        <v>499</v>
      </c>
      <c r="Z2300" t="s">
        <v>315</v>
      </c>
      <c r="AJ2300" t="s">
        <v>285</v>
      </c>
      <c r="AL2300" t="s">
        <v>926</v>
      </c>
      <c r="AM2300" t="s">
        <v>317</v>
      </c>
      <c r="AN2300" t="s">
        <v>259</v>
      </c>
      <c r="AO2300" t="s">
        <v>260</v>
      </c>
      <c r="AP2300">
        <v>6</v>
      </c>
      <c r="AQ2300" t="s">
        <v>261</v>
      </c>
      <c r="AS2300">
        <v>1.14E-2</v>
      </c>
      <c r="AU2300">
        <v>4.3E-3</v>
      </c>
      <c r="AW2300">
        <v>3.0300000000000001E-2</v>
      </c>
      <c r="AX2300" t="s">
        <v>262</v>
      </c>
      <c r="BO2300" t="s">
        <v>261</v>
      </c>
      <c r="BQ2300">
        <v>1.1399999999999999E-5</v>
      </c>
      <c r="BS2300">
        <v>4.3000000000000003E-6</v>
      </c>
      <c r="BU2300">
        <v>3.0300000000000001E-5</v>
      </c>
      <c r="BV2300" t="s">
        <v>263</v>
      </c>
      <c r="CM2300" t="s">
        <v>264</v>
      </c>
      <c r="CN2300" t="s">
        <v>264</v>
      </c>
      <c r="CP2300" t="s">
        <v>265</v>
      </c>
      <c r="CQ2300" t="s">
        <v>266</v>
      </c>
      <c r="DB2300">
        <v>1.25</v>
      </c>
      <c r="DG2300" t="s">
        <v>267</v>
      </c>
      <c r="DI2300">
        <v>30</v>
      </c>
      <c r="DN2300" t="s">
        <v>268</v>
      </c>
      <c r="DR2300">
        <v>6821</v>
      </c>
      <c r="DS2300">
        <v>1044</v>
      </c>
      <c r="DT2300" t="s">
        <v>927</v>
      </c>
      <c r="EW2300" t="s">
        <v>272</v>
      </c>
      <c r="FK2300" t="s">
        <v>4078</v>
      </c>
      <c r="FO2300">
        <v>29.5</v>
      </c>
      <c r="FQ2300">
        <v>30.5</v>
      </c>
      <c r="FR2300" t="s">
        <v>295</v>
      </c>
      <c r="GJ2300">
        <v>4.2</v>
      </c>
      <c r="GL2300">
        <v>5.2</v>
      </c>
      <c r="GM2300" t="s">
        <v>356</v>
      </c>
      <c r="GQ2300">
        <v>7.1</v>
      </c>
      <c r="GS2300">
        <v>7.8</v>
      </c>
      <c r="GW2300">
        <v>29.5</v>
      </c>
      <c r="GY2300">
        <v>30.5</v>
      </c>
      <c r="GZ2300" t="s">
        <v>296</v>
      </c>
      <c r="HH2300" t="s">
        <v>272</v>
      </c>
      <c r="ID2300" t="s">
        <v>4079</v>
      </c>
      <c r="IE2300" t="s">
        <v>930</v>
      </c>
      <c r="IF2300">
        <v>4336</v>
      </c>
      <c r="IG2300" t="s">
        <v>931</v>
      </c>
      <c r="IH2300" t="s">
        <v>932</v>
      </c>
      <c r="II2300">
        <v>1993</v>
      </c>
      <c r="IJ2300" t="s">
        <v>933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1"/>
  <sheetViews>
    <sheetView workbookViewId="0">
      <pane xSplit="1" ySplit="1" topLeftCell="B2" activePane="bottomRight" state="frozen"/>
      <selection pane="topRight"/>
      <selection pane="bottomLeft"/>
      <selection pane="bottomRight"/>
    </sheetView>
  </sheetViews>
  <sheetFormatPr defaultRowHeight="14.25" x14ac:dyDescent="0.45"/>
  <sheetData>
    <row r="1" spans="1:8" x14ac:dyDescent="0.45">
      <c r="A1" t="s">
        <v>4080</v>
      </c>
      <c r="B1" t="s">
        <v>238</v>
      </c>
      <c r="C1" t="s">
        <v>240</v>
      </c>
      <c r="D1" t="s">
        <v>241</v>
      </c>
      <c r="E1" t="s">
        <v>4081</v>
      </c>
      <c r="F1" t="s">
        <v>4082</v>
      </c>
      <c r="G1" t="s">
        <v>243</v>
      </c>
      <c r="H1" t="s">
        <v>4083</v>
      </c>
    </row>
    <row r="2" spans="1:8" x14ac:dyDescent="0.45">
      <c r="A2">
        <v>10628</v>
      </c>
      <c r="B2" t="s">
        <v>1761</v>
      </c>
      <c r="C2" t="s">
        <v>1762</v>
      </c>
      <c r="D2" t="s">
        <v>1763</v>
      </c>
      <c r="E2">
        <v>1982</v>
      </c>
      <c r="G2" t="s">
        <v>1764</v>
      </c>
      <c r="H2" s="1" t="str">
        <f>HYPERLINK("https://scholar.google.com/scholar?hl=en&amp;as_q=&amp;as_oq=&amp;as_eq=&amp;as_sauthors=&amp;as_publication=&amp;as_ylo=&amp;as_yhi=&amp;as_occt=title&amp;as_sdt=0%2C5&amp;as_epq=%22Acute+Toxicity+of+Chromium%2C+Mercury%2C+Molybdenum+and+Nickel+to+the+Amphipod+Allorchestes+compressa", "Google Scholar")</f>
        <v>Google Scholar</v>
      </c>
    </row>
    <row r="3" spans="1:8" x14ac:dyDescent="0.45">
      <c r="A3">
        <v>13187</v>
      </c>
      <c r="B3" t="s">
        <v>2044</v>
      </c>
      <c r="C3" t="s">
        <v>2045</v>
      </c>
      <c r="D3" t="s">
        <v>2046</v>
      </c>
      <c r="E3">
        <v>1988</v>
      </c>
      <c r="G3" t="s">
        <v>2047</v>
      </c>
      <c r="H3" s="2" t="str">
        <f>HYPERLINK("https://scholar.google.com/scholar?hl=en&amp;as_q=&amp;as_oq=&amp;as_eq=&amp;as_sauthors=&amp;as_publication=&amp;as_ylo=&amp;as_yhi=&amp;as_occt=title&amp;as_sdt=0%2C5&amp;as_epq=%22Individual+and+Combined+Effects+of+Zinc%2C+Cadmium+and+Copper+on+the+Marine+Amphipod+Allorchestes+compressa", "Google Scholar")</f>
        <v>Google Scholar</v>
      </c>
    </row>
    <row r="4" spans="1:8" x14ac:dyDescent="0.45">
      <c r="A4">
        <v>10736</v>
      </c>
      <c r="B4" t="s">
        <v>2962</v>
      </c>
      <c r="C4" t="s">
        <v>2963</v>
      </c>
      <c r="D4" t="s">
        <v>2964</v>
      </c>
      <c r="E4">
        <v>1984</v>
      </c>
      <c r="G4" t="s">
        <v>2965</v>
      </c>
      <c r="H4" s="3" t="str">
        <f>HYPERLINK("https://scholar.google.com/scholar?hl=en&amp;as_q=&amp;as_oq=&amp;as_eq=&amp;as_sauthors=&amp;as_publication=&amp;as_ylo=&amp;as_yhi=&amp;as_occt=title&amp;as_sdt=0%2C5&amp;as_epq=%22Toxicity+of+Copper+to+the+Marine+Amphipod+Allorchestes+compressa+in+the+Presence+of+Water-and+Lipid-Soluble+Liga", "Google Scholar")</f>
        <v>Google Scholar</v>
      </c>
    </row>
    <row r="5" spans="1:8" x14ac:dyDescent="0.45">
      <c r="A5">
        <v>14951</v>
      </c>
      <c r="B5" t="s">
        <v>1089</v>
      </c>
      <c r="C5" t="s">
        <v>1090</v>
      </c>
      <c r="D5" t="s">
        <v>1091</v>
      </c>
      <c r="E5">
        <v>1995</v>
      </c>
      <c r="G5" t="s">
        <v>1092</v>
      </c>
      <c r="H5" s="4" t="str">
        <f>HYPERLINK("https://scholar.google.com/scholar?hl=en&amp;as_q=&amp;as_oq=&amp;as_eq=&amp;as_sauthors=&amp;as_publication=&amp;as_ylo=&amp;as_yhi=&amp;as_occt=title&amp;as_sdt=0%2C5&amp;as_epq=%22Toxic+Effects+of+Dissolved+Copper+on+Penaeus+merguiensis+and+Penaeus+monodon", "Google Scholar")</f>
        <v>Google Scholar</v>
      </c>
    </row>
    <row r="6" spans="1:8" x14ac:dyDescent="0.45">
      <c r="A6">
        <v>6845</v>
      </c>
      <c r="B6" t="s">
        <v>2955</v>
      </c>
      <c r="C6" t="s">
        <v>2956</v>
      </c>
      <c r="D6" t="s">
        <v>2957</v>
      </c>
      <c r="E6">
        <v>1986</v>
      </c>
      <c r="G6" t="s">
        <v>2958</v>
      </c>
      <c r="H6" s="5" t="str">
        <f>HYPERLINK("https://scholar.google.com/scholar?hl=en&amp;as_q=&amp;as_oq=&amp;as_eq=&amp;as_sauthors=&amp;as_publication=&amp;as_ylo=&amp;as_yhi=&amp;as_occt=title&amp;as_sdt=0%2C5&amp;as_epq=%22Effect+of+Copper+on+the+Larval+Development+of+the+Estuarine+Hermit+Crab+Clibanarius+olivaceus+Henderson", "Google Scholar")</f>
        <v>Google Scholar</v>
      </c>
    </row>
    <row r="7" spans="1:8" x14ac:dyDescent="0.45">
      <c r="A7">
        <v>5628</v>
      </c>
      <c r="B7" t="s">
        <v>3147</v>
      </c>
      <c r="C7" t="s">
        <v>3148</v>
      </c>
      <c r="D7" t="s">
        <v>3149</v>
      </c>
      <c r="E7">
        <v>1976</v>
      </c>
      <c r="G7" t="s">
        <v>3150</v>
      </c>
      <c r="H7" s="6" t="str">
        <f>HYPERLINK("https://scholar.google.com/scholar?hl=en&amp;as_q=&amp;as_oq=&amp;as_eq=&amp;as_sauthors=&amp;as_publication=&amp;as_ylo=&amp;as_yhi=&amp;as_occt=title&amp;as_sdt=0%2C5&amp;as_epq=%22Phototactic+Variations+in+Crustacean+Larvae+due+to+Diverse+Metallic+Pollutants+Demonstrated+by+a+Sublethal+Toxic", "Google Scholar")</f>
        <v>Google Scholar</v>
      </c>
    </row>
    <row r="8" spans="1:8" x14ac:dyDescent="0.45">
      <c r="A8">
        <v>6097</v>
      </c>
      <c r="B8" t="s">
        <v>3147</v>
      </c>
      <c r="C8" t="s">
        <v>3152</v>
      </c>
      <c r="D8" t="s">
        <v>3153</v>
      </c>
      <c r="E8">
        <v>1976</v>
      </c>
      <c r="G8" t="s">
        <v>3154</v>
      </c>
      <c r="H8" s="7" t="str">
        <f>HYPERLINK("https://scholar.google.com/scholar?hl=en&amp;as_q=&amp;as_oq=&amp;as_eq=&amp;as_sauthors=&amp;as_publication=&amp;as_ylo=&amp;as_yhi=&amp;as_occt=title&amp;as_sdt=0%2C5&amp;as_epq=%22Experimental+Study+on+the+Acute+Toxicity+of+Cobalt%2C+Antimony%2C+Strontium+and+Silver+Salts+in+Some+Crustacea+a", "Google Scholar")</f>
        <v>Google Scholar</v>
      </c>
    </row>
    <row r="9" spans="1:8" x14ac:dyDescent="0.45">
      <c r="A9">
        <v>16651</v>
      </c>
      <c r="B9" t="s">
        <v>1320</v>
      </c>
      <c r="C9" t="s">
        <v>1321</v>
      </c>
      <c r="D9" t="s">
        <v>1322</v>
      </c>
      <c r="E9">
        <v>1985</v>
      </c>
      <c r="G9" t="s">
        <v>1323</v>
      </c>
      <c r="H9" s="8" t="str">
        <f>HYPERLINK("https://scholar.google.com/scholar?hl=en&amp;as_q=&amp;as_oq=&amp;as_eq=&amp;as_sauthors=&amp;as_publication=&amp;as_ylo=&amp;as_yhi=&amp;as_occt=title&amp;as_sdt=0%2C5&amp;as_epq=%22Experimental+Study+of+Bioaccumulation%2C+Toxicity+and+Regulation+of+Some+Trace+Metals+in+Various+Estuarine+and+C", "Google Scholar")</f>
        <v>Google Scholar</v>
      </c>
    </row>
    <row r="10" spans="1:8" x14ac:dyDescent="0.45">
      <c r="A10">
        <v>71687</v>
      </c>
      <c r="B10" t="s">
        <v>1976</v>
      </c>
      <c r="C10" t="s">
        <v>1977</v>
      </c>
      <c r="D10" t="s">
        <v>1978</v>
      </c>
      <c r="E10">
        <v>2003</v>
      </c>
      <c r="G10" t="s">
        <v>1979</v>
      </c>
      <c r="H10" s="9" t="str">
        <f>HYPERLINK("https://scholar.google.com/scholar?hl=en&amp;as_q=&amp;as_oq=&amp;as_eq=&amp;as_sauthors=&amp;as_publication=&amp;as_ylo=&amp;as_yhi=&amp;as_occt=title&amp;as_sdt=0%2C5&amp;as_epq=%22Toxicity+of+Cadmium%2C+Lead%2C+and+Zinc+to+Larval+Stages+of+Lithodes+santolla+%28Decapoda%2C+Anomura%29", "Google Scholar")</f>
        <v>Google Scholar</v>
      </c>
    </row>
    <row r="11" spans="1:8" x14ac:dyDescent="0.45">
      <c r="A11">
        <v>9624</v>
      </c>
      <c r="B11" t="s">
        <v>1711</v>
      </c>
      <c r="C11" t="s">
        <v>1712</v>
      </c>
      <c r="D11" t="s">
        <v>1713</v>
      </c>
      <c r="E11">
        <v>1991</v>
      </c>
      <c r="G11" t="s">
        <v>1714</v>
      </c>
      <c r="H11" s="10" t="str">
        <f>HYPERLINK("https://scholar.google.com/scholar?hl=en&amp;as_q=&amp;as_oq=&amp;as_eq=&amp;as_sauthors=&amp;as_publication=&amp;as_ylo=&amp;as_yhi=&amp;as_occt=title&amp;as_sdt=0%2C5&amp;as_epq=%22Toxicity+of+Four+Heavy+Metals+in+Marine+Water+to+Moina+mongolica", "Google Scholar")</f>
        <v>Google Scholar</v>
      </c>
    </row>
    <row r="12" spans="1:8" x14ac:dyDescent="0.45">
      <c r="A12">
        <v>66691</v>
      </c>
      <c r="B12" t="s">
        <v>3443</v>
      </c>
      <c r="C12" t="s">
        <v>3444</v>
      </c>
      <c r="D12" t="s">
        <v>3445</v>
      </c>
      <c r="E12">
        <v>2001</v>
      </c>
      <c r="G12" t="s">
        <v>3446</v>
      </c>
      <c r="H12" s="11" t="str">
        <f>HYPERLINK("https://scholar.google.com/scholar?hl=en&amp;as_q=&amp;as_oq=&amp;as_eq=&amp;as_sauthors=&amp;as_publication=&amp;as_ylo=&amp;as_yhi=&amp;as_occt=title&amp;as_sdt=0%2C5&amp;as_epq=%22Development+of+Copepod+Nauplii+to+Copepodites+-+a+Parameter+for+Chronic+Toxicity+Including+Endocrine+Disruption", "Google Scholar")</f>
        <v>Google Scholar</v>
      </c>
    </row>
    <row r="13" spans="1:8" x14ac:dyDescent="0.45">
      <c r="A13">
        <v>115536</v>
      </c>
      <c r="B13" t="s">
        <v>1253</v>
      </c>
      <c r="C13" t="s">
        <v>1254</v>
      </c>
      <c r="D13" t="s">
        <v>1255</v>
      </c>
      <c r="E13">
        <v>2007</v>
      </c>
      <c r="G13" t="s">
        <v>1256</v>
      </c>
      <c r="H13" s="12" t="str">
        <f>HYPERLINK("https://scholar.google.com/scholar?hl=en&amp;as_q=&amp;as_oq=&amp;as_eq=&amp;as_sauthors=&amp;as_publication=&amp;as_ylo=&amp;as_yhi=&amp;as_occt=title&amp;as_sdt=0%2C5&amp;as_epq=%22Predicting+Toxicity+in+Marine+Sediment+in+Taranto+Gulf+%28Ionian+Sea%2C+Southern+Italy%29+Using+Sediment+Quality", "Google Scholar")</f>
        <v>Google Scholar</v>
      </c>
    </row>
    <row r="14" spans="1:8" x14ac:dyDescent="0.45">
      <c r="A14">
        <v>5563</v>
      </c>
      <c r="B14" t="s">
        <v>1947</v>
      </c>
      <c r="C14" t="s">
        <v>1948</v>
      </c>
      <c r="D14" t="s">
        <v>1949</v>
      </c>
      <c r="E14">
        <v>1979</v>
      </c>
      <c r="G14" t="s">
        <v>1950</v>
      </c>
      <c r="H14" s="13" t="str">
        <f>HYPERLINK("https://scholar.google.com/scholar?hl=en&amp;as_q=&amp;as_oq=&amp;as_eq=&amp;as_sauthors=&amp;as_publication=&amp;as_ylo=&amp;as_yhi=&amp;as_occt=title&amp;as_sdt=0%2C5&amp;as_epq=%22Acute+Toxicity+of+Copper%2C+Cadmium+and+Zinc+to+Three+Species+of+Marine+Copepod", "Google Scholar")</f>
        <v>Google Scholar</v>
      </c>
    </row>
    <row r="15" spans="1:8" x14ac:dyDescent="0.45">
      <c r="A15">
        <v>164155</v>
      </c>
      <c r="B15" t="s">
        <v>841</v>
      </c>
      <c r="C15" t="s">
        <v>842</v>
      </c>
      <c r="D15" t="s">
        <v>843</v>
      </c>
      <c r="E15">
        <v>2013</v>
      </c>
      <c r="G15" t="s">
        <v>844</v>
      </c>
      <c r="H15" s="14" t="str">
        <f>HYPERLINK("https://scholar.google.com/scholar?hl=en&amp;as_q=&amp;as_oq=&amp;as_eq=&amp;as_sauthors=&amp;as_publication=&amp;as_ylo=&amp;as_yhi=&amp;as_occt=title&amp;as_sdt=0%2C5&amp;as_epq=%22Evaluating+the+Bioaccumulation+of+Nickel+and+Vanadium+and+Their+Effects+on+the+Growth+of+Artemia+urmiana+and+A.+", "Google Scholar")</f>
        <v>Google Scholar</v>
      </c>
    </row>
    <row r="16" spans="1:8" x14ac:dyDescent="0.45">
      <c r="A16">
        <v>5416</v>
      </c>
      <c r="B16" t="s">
        <v>1405</v>
      </c>
      <c r="C16" t="s">
        <v>1406</v>
      </c>
      <c r="D16" t="s">
        <v>1407</v>
      </c>
      <c r="E16">
        <v>1988</v>
      </c>
      <c r="G16" t="s">
        <v>1408</v>
      </c>
      <c r="H16" s="15" t="str">
        <f>HYPERLINK("https://scholar.google.com/scholar?hl=en&amp;as_q=&amp;as_oq=&amp;as_eq=&amp;as_sauthors=&amp;as_publication=&amp;as_ylo=&amp;as_yhi=&amp;as_occt=title&amp;as_sdt=0%2C5&amp;as_epq=%22The+Effects+of+Heavy+Metals+on+the+Survival+and+Feeding+of+Holmesimysis+costata+%28Crustacea%3A++Mysidacea%29", "Google Scholar")</f>
        <v>Google Scholar</v>
      </c>
    </row>
    <row r="17" spans="1:8" x14ac:dyDescent="0.45">
      <c r="A17">
        <v>164307</v>
      </c>
      <c r="B17" t="s">
        <v>491</v>
      </c>
      <c r="C17" t="s">
        <v>492</v>
      </c>
      <c r="D17" t="s">
        <v>493</v>
      </c>
      <c r="E17">
        <v>2013</v>
      </c>
      <c r="G17" t="s">
        <v>494</v>
      </c>
      <c r="H17" s="16" t="str">
        <f>HYPERLINK("https://scholar.google.com/scholar?hl=en&amp;as_q=&amp;as_oq=&amp;as_eq=&amp;as_sauthors=&amp;as_publication=&amp;as_ylo=&amp;as_yhi=&amp;as_occt=title&amp;as_sdt=0%2C5&amp;as_epq=%22Comparative+Evaluation+of+Impact+of+Zn+and+ZnO+Nanoparticles+on+Brine+Shrimp+%28Artemia+salina%29+Larvae%3A++Eff", "Google Scholar")</f>
        <v>Google Scholar</v>
      </c>
    </row>
    <row r="18" spans="1:8" x14ac:dyDescent="0.45">
      <c r="A18">
        <v>16623</v>
      </c>
      <c r="B18" t="s">
        <v>1812</v>
      </c>
      <c r="C18" t="s">
        <v>1813</v>
      </c>
      <c r="D18" t="s">
        <v>1814</v>
      </c>
      <c r="E18">
        <v>1987</v>
      </c>
      <c r="G18" t="s">
        <v>1815</v>
      </c>
      <c r="H18" s="17" t="str">
        <f>HYPERLINK("https://scholar.google.com/scholar?hl=en&amp;as_q=&amp;as_oq=&amp;as_eq=&amp;as_sauthors=&amp;as_publication=&amp;as_ylo=&amp;as_yhi=&amp;as_occt=title&amp;as_sdt=0%2C5&amp;as_epq=%22Combined+Toxicity+of+Heavy+Metals+and+Petroleum+Hydrocarbons+on+Uca+annulipes+%28Latreille%29", "Google Scholar")</f>
        <v>Google Scholar</v>
      </c>
    </row>
    <row r="19" spans="1:8" x14ac:dyDescent="0.45">
      <c r="A19">
        <v>169928</v>
      </c>
      <c r="B19" t="s">
        <v>713</v>
      </c>
      <c r="C19" t="s">
        <v>714</v>
      </c>
      <c r="D19" t="s">
        <v>715</v>
      </c>
      <c r="E19">
        <v>2014</v>
      </c>
      <c r="G19" t="s">
        <v>716</v>
      </c>
      <c r="H19" s="18" t="str">
        <f>HYPERLINK("https://scholar.google.com/scholar?hl=en&amp;as_q=&amp;as_oq=&amp;as_eq=&amp;as_sauthors=&amp;as_publication=&amp;as_ylo=&amp;as_yhi=&amp;as_occt=title&amp;as_sdt=0%2C5&amp;as_epq=%22Orchomenella+pinguis+%28Amphipoda%29+-+A+Possible+Species+for+Heavy+Metal+Biomonitoring+of+Marine+Sediments", "Google Scholar")</f>
        <v>Google Scholar</v>
      </c>
    </row>
    <row r="20" spans="1:8" x14ac:dyDescent="0.45">
      <c r="A20">
        <v>2839</v>
      </c>
      <c r="B20" t="s">
        <v>3924</v>
      </c>
      <c r="C20" t="s">
        <v>3925</v>
      </c>
      <c r="D20" t="s">
        <v>3926</v>
      </c>
      <c r="E20">
        <v>1975</v>
      </c>
      <c r="G20" t="s">
        <v>3927</v>
      </c>
      <c r="H20" s="19" t="str">
        <f>HYPERLINK("https://scholar.google.com/scholar?hl=en&amp;as_q=&amp;as_oq=&amp;as_eq=&amp;as_sauthors=&amp;as_publication=&amp;as_ylo=&amp;as_yhi=&amp;as_occt=title&amp;as_sdt=0%2C5&amp;as_epq=%22Methods+to+Assess+Effects+of+Combinations+of+Toxicants%2C+Salinity+and+Temperature+on+Estuarine+Animals", "Google Scholar")</f>
        <v>Google Scholar</v>
      </c>
    </row>
    <row r="21" spans="1:8" x14ac:dyDescent="0.45">
      <c r="A21">
        <v>18546</v>
      </c>
      <c r="B21" t="s">
        <v>3585</v>
      </c>
      <c r="C21" t="s">
        <v>3586</v>
      </c>
      <c r="D21" t="s">
        <v>3587</v>
      </c>
      <c r="E21">
        <v>1995</v>
      </c>
      <c r="G21" t="s">
        <v>3588</v>
      </c>
      <c r="H21" s="20" t="str">
        <f>HYPERLINK("https://scholar.google.com/scholar?hl=en&amp;as_q=&amp;as_oq=&amp;as_eq=&amp;as_sauthors=&amp;as_publication=&amp;as_ylo=&amp;as_yhi=&amp;as_occt=title&amp;as_sdt=0%2C5&amp;as_epq=%22Effect+of+Cadmium+on+Survival+and+Osmoregulation+of+Various+Developmental+Stages+of+the+Shrimp+Penaeus+japonicus", "Google Scholar")</f>
        <v>Google Scholar</v>
      </c>
    </row>
    <row r="22" spans="1:8" x14ac:dyDescent="0.45">
      <c r="A22">
        <v>16111</v>
      </c>
      <c r="B22" t="s">
        <v>1188</v>
      </c>
      <c r="C22" t="s">
        <v>1189</v>
      </c>
      <c r="D22" t="s">
        <v>1190</v>
      </c>
      <c r="E22">
        <v>1995</v>
      </c>
      <c r="G22" t="s">
        <v>1191</v>
      </c>
      <c r="H22" s="21" t="str">
        <f>HYPERLINK("https://scholar.google.com/scholar?hl=en&amp;as_q=&amp;as_oq=&amp;as_eq=&amp;as_sauthors=&amp;as_publication=&amp;as_ylo=&amp;as_yhi=&amp;as_occt=title&amp;as_sdt=0%2C5&amp;as_epq=%22Effect+of+Copper+on+Survival+and+Osmoregulation+of+Various+Developmental+Stages+of+the+Shrimp+Penaeus+japonicus+", "Google Scholar")</f>
        <v>Google Scholar</v>
      </c>
    </row>
    <row r="23" spans="1:8" x14ac:dyDescent="0.45">
      <c r="A23">
        <v>166160</v>
      </c>
      <c r="B23" t="s">
        <v>3124</v>
      </c>
      <c r="C23" t="s">
        <v>3125</v>
      </c>
      <c r="D23" t="s">
        <v>3126</v>
      </c>
      <c r="E23">
        <v>2013</v>
      </c>
      <c r="G23" t="s">
        <v>3127</v>
      </c>
      <c r="H23" s="22" t="str">
        <f>HYPERLINK("https://scholar.google.com/scholar?hl=en&amp;as_q=&amp;as_oq=&amp;as_eq=&amp;as_sauthors=&amp;as_publication=&amp;as_ylo=&amp;as_yhi=&amp;as_occt=title&amp;as_sdt=0%2C5&amp;as_epq=%22Acute+and+Chronic+Toxicities+of+Irgarol+Alone+and+in+Combination+with+Copper+to+the+Marine+Copepod+Tigriopus+jap", "Google Scholar")</f>
        <v>Google Scholar</v>
      </c>
    </row>
    <row r="24" spans="1:8" x14ac:dyDescent="0.45">
      <c r="A24">
        <v>156339</v>
      </c>
      <c r="B24" t="s">
        <v>2977</v>
      </c>
      <c r="C24" t="s">
        <v>2978</v>
      </c>
      <c r="D24" t="s">
        <v>2979</v>
      </c>
      <c r="E24">
        <v>2011</v>
      </c>
      <c r="G24" t="s">
        <v>2980</v>
      </c>
      <c r="H24" s="23" t="str">
        <f>HYPERLINK("https://scholar.google.com/scholar?hl=en&amp;as_q=&amp;as_oq=&amp;as_eq=&amp;as_sauthors=&amp;as_publication=&amp;as_ylo=&amp;as_yhi=&amp;as_occt=title&amp;as_sdt=0%2C5&amp;as_epq=%22Acute+Toxicities+of+Five+Commonly+Used+Antifouling+Booster+Biocides+to+Selected+Subtropical+and+Cosmopolitan+Mar", "Google Scholar")</f>
        <v>Google Scholar</v>
      </c>
    </row>
    <row r="25" spans="1:8" x14ac:dyDescent="0.45">
      <c r="A25">
        <v>111647</v>
      </c>
      <c r="B25" t="s">
        <v>2730</v>
      </c>
      <c r="C25" t="s">
        <v>2731</v>
      </c>
      <c r="D25" t="s">
        <v>2732</v>
      </c>
      <c r="E25">
        <v>2008</v>
      </c>
      <c r="G25" t="s">
        <v>2733</v>
      </c>
      <c r="H25" s="24" t="str">
        <f>HYPERLINK("https://scholar.google.com/scholar?hl=en&amp;as_q=&amp;as_oq=&amp;as_eq=&amp;as_sauthors=&amp;as_publication=&amp;as_ylo=&amp;as_yhi=&amp;as_occt=title&amp;as_sdt=0%2C5&amp;as_epq=%22Synergistic+Toxic+Effects+of+Zinc+Pyrithione+and+Copper+to+Three+Marine+Species%3A++Implications+on+Setting+Appr", "Google Scholar")</f>
        <v>Google Scholar</v>
      </c>
    </row>
    <row r="26" spans="1:8" x14ac:dyDescent="0.45">
      <c r="A26">
        <v>101373</v>
      </c>
      <c r="B26" t="s">
        <v>2322</v>
      </c>
      <c r="C26" t="s">
        <v>2323</v>
      </c>
      <c r="D26" t="s">
        <v>2324</v>
      </c>
      <c r="E26">
        <v>2007</v>
      </c>
      <c r="G26" t="s">
        <v>2325</v>
      </c>
      <c r="H26" s="25" t="str">
        <f>HYPERLINK("https://scholar.google.com/scholar?hl=en&amp;as_q=&amp;as_oq=&amp;as_eq=&amp;as_sauthors=&amp;as_publication=&amp;as_ylo=&amp;as_yhi=&amp;as_occt=title&amp;as_sdt=0%2C5&amp;as_epq=%22Use+of+Oxygen+Consumption+and+Ammonium+Excretion+to+Evaluate+the+Sublethal+Toxicity+of+Cadmium+and+Zinc+on+Litop", "Google Scholar")</f>
        <v>Google Scholar</v>
      </c>
    </row>
    <row r="27" spans="1:8" x14ac:dyDescent="0.45">
      <c r="A27">
        <v>62291</v>
      </c>
      <c r="B27" t="s">
        <v>2504</v>
      </c>
      <c r="C27" t="s">
        <v>2505</v>
      </c>
      <c r="D27" t="s">
        <v>2506</v>
      </c>
      <c r="E27">
        <v>2001</v>
      </c>
      <c r="G27" t="s">
        <v>2507</v>
      </c>
      <c r="H27" s="26" t="str">
        <f>HYPERLINK("https://scholar.google.com/scholar?hl=en&amp;as_q=&amp;as_oq=&amp;as_eq=&amp;as_sauthors=&amp;as_publication=&amp;as_ylo=&amp;as_yhi=&amp;as_occt=title&amp;as_sdt=0%2C5&amp;as_epq=%22Influence+of+Different+Essential+and+Non-Essential+Metals+on+MTLP+Levels+in+the+Copepod+Tigriopus+brevicornis", "Google Scholar")</f>
        <v>Google Scholar</v>
      </c>
    </row>
    <row r="28" spans="1:8" x14ac:dyDescent="0.45">
      <c r="A28">
        <v>82993</v>
      </c>
      <c r="B28" t="s">
        <v>1907</v>
      </c>
      <c r="C28" t="s">
        <v>1908</v>
      </c>
      <c r="D28" t="s">
        <v>1909</v>
      </c>
      <c r="E28">
        <v>1999</v>
      </c>
      <c r="G28" t="s">
        <v>1910</v>
      </c>
      <c r="H28" s="27" t="str">
        <f>HYPERLINK("https://scholar.google.com/scholar?hl=en&amp;as_q=&amp;as_oq=&amp;as_eq=&amp;as_sauthors=&amp;as_publication=&amp;as_ylo=&amp;as_yhi=&amp;as_occt=title&amp;as_sdt=0%2C5&amp;as_epq=%22Acute+Toxicity+of+Zinc%2C+Copper+and+Lead+to+Three+Species+of+Marine+Organisms+from+the+Sinop+Peninsula%2C+Black", "Google Scholar")</f>
        <v>Google Scholar</v>
      </c>
    </row>
    <row r="29" spans="1:8" x14ac:dyDescent="0.45">
      <c r="A29">
        <v>47359</v>
      </c>
      <c r="B29" t="s">
        <v>2480</v>
      </c>
      <c r="C29" t="s">
        <v>2481</v>
      </c>
      <c r="D29" t="s">
        <v>2482</v>
      </c>
      <c r="E29">
        <v>1998</v>
      </c>
      <c r="G29" t="s">
        <v>2483</v>
      </c>
      <c r="H29" s="28" t="str">
        <f>HYPERLINK("https://scholar.google.com/scholar?hl=en&amp;as_q=&amp;as_oq=&amp;as_eq=&amp;as_sauthors=&amp;as_publication=&amp;as_ylo=&amp;as_yhi=&amp;as_occt=title&amp;as_sdt=0%2C5&amp;as_epq=%22The+Accumulation+of+Copper%2C+Zinc+and+Cadmium+by+the+Amphipod+Corophium+volutator+%28Pallas%29", "Google Scholar")</f>
        <v>Google Scholar</v>
      </c>
    </row>
    <row r="30" spans="1:8" x14ac:dyDescent="0.45">
      <c r="A30">
        <v>47360</v>
      </c>
      <c r="B30" t="s">
        <v>1989</v>
      </c>
      <c r="C30" t="s">
        <v>1990</v>
      </c>
      <c r="D30" t="s">
        <v>1991</v>
      </c>
      <c r="E30">
        <v>1998</v>
      </c>
      <c r="G30" t="s">
        <v>1992</v>
      </c>
      <c r="H30" s="29" t="str">
        <f>HYPERLINK("https://scholar.google.com/scholar?hl=en&amp;as_q=&amp;as_oq=&amp;as_eq=&amp;as_sauthors=&amp;as_publication=&amp;as_ylo=&amp;as_yhi=&amp;as_occt=title&amp;as_sdt=0%2C5&amp;as_epq=%22Toxicity+of+Zinc+and+Copper+to+the+Hermit+Crab+Diogenes+pugilator+%28Roux%29", "Google Scholar")</f>
        <v>Google Scholar</v>
      </c>
    </row>
    <row r="31" spans="1:8" x14ac:dyDescent="0.45">
      <c r="A31">
        <v>77749</v>
      </c>
      <c r="B31" t="s">
        <v>2569</v>
      </c>
      <c r="C31" t="s">
        <v>2570</v>
      </c>
      <c r="D31" t="s">
        <v>2571</v>
      </c>
      <c r="E31">
        <v>2001</v>
      </c>
      <c r="G31" t="s">
        <v>2572</v>
      </c>
      <c r="H31" s="30" t="str">
        <f>HYPERLINK("https://scholar.google.com/scholar?hl=en&amp;as_q=&amp;as_oq=&amp;as_eq=&amp;as_sauthors=&amp;as_publication=&amp;as_ylo=&amp;as_yhi=&amp;as_occt=title&amp;as_sdt=0%2C5&amp;as_epq=%22Individual+and+Combined+Effects+of+Copper+and+Lead+on+the+Marine+Shrimp%2C+Palaemon+adspersus+Rathke%2C+1837+%28", "Google Scholar")</f>
        <v>Google Scholar</v>
      </c>
    </row>
    <row r="32" spans="1:8" x14ac:dyDescent="0.45">
      <c r="A32">
        <v>13507</v>
      </c>
      <c r="B32" t="s">
        <v>2649</v>
      </c>
      <c r="C32" t="s">
        <v>2650</v>
      </c>
      <c r="D32" t="s">
        <v>2651</v>
      </c>
      <c r="E32">
        <v>1994</v>
      </c>
      <c r="G32" t="s">
        <v>2652</v>
      </c>
      <c r="H32" s="31" t="str">
        <f>HYPERLINK("https://scholar.google.com/scholar?hl=en&amp;as_q=&amp;as_oq=&amp;as_eq=&amp;as_sauthors=&amp;as_publication=&amp;as_ylo=&amp;as_yhi=&amp;as_occt=title&amp;as_sdt=0%2C5&amp;as_epq=%22Use+of+Life+Tables+and+LC50+Tests+to+Evaluate+Chronic+and+Acute+Toxicity+Effects+of+Copper+on+the+Marine+Copepod", "Google Scholar")</f>
        <v>Google Scholar</v>
      </c>
    </row>
    <row r="33" spans="1:8" x14ac:dyDescent="0.45">
      <c r="A33">
        <v>15300</v>
      </c>
      <c r="B33" t="s">
        <v>3527</v>
      </c>
      <c r="C33" t="s">
        <v>3528</v>
      </c>
      <c r="D33" t="s">
        <v>3529</v>
      </c>
      <c r="E33">
        <v>1979</v>
      </c>
      <c r="F33" t="s">
        <v>4084</v>
      </c>
      <c r="G33" t="s">
        <v>3530</v>
      </c>
      <c r="H33" s="32" t="str">
        <f>HYPERLINK("https://scholar.google.com/scholar?hl=en&amp;as_q=&amp;as_oq=&amp;as_eq=&amp;as_sauthors=&amp;as_publication=&amp;as_ylo=&amp;as_yhi=&amp;as_occt=title&amp;as_sdt=0%2C5&amp;as_epq=%22Variations+of+the+Effects+of+Toxicity+According+to+the+Day-Night+Cycle+of+Certain+Marine+Invertebrates", "Google Scholar")</f>
        <v>Google Scholar</v>
      </c>
    </row>
    <row r="34" spans="1:8" x14ac:dyDescent="0.45">
      <c r="A34">
        <v>2183</v>
      </c>
      <c r="B34" t="s">
        <v>573</v>
      </c>
      <c r="C34" t="s">
        <v>574</v>
      </c>
      <c r="D34" t="s">
        <v>575</v>
      </c>
      <c r="E34">
        <v>1978</v>
      </c>
      <c r="G34" t="s">
        <v>576</v>
      </c>
      <c r="H34" s="33" t="str">
        <f>HYPERLINK("https://scholar.google.com/scholar?hl=en&amp;as_q=&amp;as_oq=&amp;as_eq=&amp;as_sauthors=&amp;as_publication=&amp;as_ylo=&amp;as_yhi=&amp;as_occt=title&amp;as_sdt=0%2C5&amp;as_epq=%22Use+of+a+Harpacticoid+Copepod+in+Toxicity+Tests", "Google Scholar")</f>
        <v>Google Scholar</v>
      </c>
    </row>
    <row r="35" spans="1:8" x14ac:dyDescent="0.45">
      <c r="A35">
        <v>2332</v>
      </c>
      <c r="B35" t="s">
        <v>2124</v>
      </c>
      <c r="C35" t="s">
        <v>2125</v>
      </c>
      <c r="D35" t="s">
        <v>2126</v>
      </c>
      <c r="E35">
        <v>1987</v>
      </c>
      <c r="G35" t="s">
        <v>2127</v>
      </c>
      <c r="H35" s="34" t="str">
        <f>HYPERLINK("https://scholar.google.com/scholar?hl=en&amp;as_q=&amp;as_oq=&amp;as_eq=&amp;as_sauthors=&amp;as_publication=&amp;as_ylo=&amp;as_yhi=&amp;as_occt=title&amp;as_sdt=0%2C5&amp;as_epq=%22A+Flowthrough+Fecundity+Test+with+Nitocra+spinipes+%28Harpacticoidea+Crustacea%29+for+Aquatic+Toxicity", "Google Scholar")</f>
        <v>Google Scholar</v>
      </c>
    </row>
    <row r="36" spans="1:8" x14ac:dyDescent="0.45">
      <c r="A36">
        <v>3779</v>
      </c>
      <c r="B36" t="s">
        <v>2194</v>
      </c>
      <c r="C36" t="s">
        <v>2195</v>
      </c>
      <c r="D36" t="s">
        <v>2196</v>
      </c>
      <c r="E36">
        <v>1975</v>
      </c>
      <c r="G36" t="s">
        <v>2197</v>
      </c>
      <c r="H36" s="35" t="str">
        <f>HYPERLINK("https://scholar.google.com/scholar?hl=en&amp;as_q=&amp;as_oq=&amp;as_eq=&amp;as_sauthors=&amp;as_publication=&amp;as_ylo=&amp;as_yhi=&amp;as_occt=title&amp;as_sdt=0%2C5&amp;as_epq=%22Acute+Toxicity+of+Nickel+to+Bluegill+%28Lepomis+macrochirus%29%2C+Rainbow+Trout+%28Salmo+gairdneri%29%2C+and+Pin", "Google Scholar")</f>
        <v>Google Scholar</v>
      </c>
    </row>
    <row r="37" spans="1:8" x14ac:dyDescent="0.45">
      <c r="A37">
        <v>4336</v>
      </c>
      <c r="B37" t="s">
        <v>930</v>
      </c>
      <c r="C37" t="s">
        <v>931</v>
      </c>
      <c r="D37" t="s">
        <v>932</v>
      </c>
      <c r="E37">
        <v>1993</v>
      </c>
      <c r="G37" t="s">
        <v>933</v>
      </c>
      <c r="H37" s="36" t="str">
        <f>HYPERLINK("https://scholar.google.com/scholar?hl=en&amp;as_q=&amp;as_oq=&amp;as_eq=&amp;as_sauthors=&amp;as_publication=&amp;as_ylo=&amp;as_yhi=&amp;as_occt=title&amp;as_sdt=0%2C5&amp;as_epq=%22Toxicity+of+Heavy+Metals+Cu%2C+Cd+and+Hg+to+the+Gammarid+Amphipod+Parhalella+natalensis+%28Stebbing%29", "Google Scholar")</f>
        <v>Google Scholar</v>
      </c>
    </row>
    <row r="38" spans="1:8" x14ac:dyDescent="0.45">
      <c r="A38">
        <v>16897</v>
      </c>
      <c r="B38" t="s">
        <v>3685</v>
      </c>
      <c r="C38" t="s">
        <v>3686</v>
      </c>
      <c r="D38" t="s">
        <v>3687</v>
      </c>
      <c r="E38">
        <v>1995</v>
      </c>
      <c r="G38" t="s">
        <v>3688</v>
      </c>
      <c r="H38" s="37" t="str">
        <f>HYPERLINK("https://scholar.google.com/scholar?hl=en&amp;as_q=&amp;as_oq=&amp;as_eq=&amp;as_sauthors=&amp;as_publication=&amp;as_ylo=&amp;as_yhi=&amp;as_occt=title&amp;as_sdt=0%2C5&amp;as_epq=%22The+Mysid+Siriella+armata+as+a+Test+Organisms+in+Toxicology%3A+Effects+of+Cadmium", "Google Scholar")</f>
        <v>Google Scholar</v>
      </c>
    </row>
    <row r="39" spans="1:8" x14ac:dyDescent="0.45">
      <c r="A39">
        <v>18408</v>
      </c>
      <c r="B39" t="s">
        <v>3704</v>
      </c>
      <c r="C39" t="s">
        <v>3705</v>
      </c>
      <c r="D39" t="s">
        <v>3706</v>
      </c>
      <c r="E39">
        <v>1997</v>
      </c>
      <c r="G39" t="s">
        <v>3707</v>
      </c>
      <c r="H39" s="38" t="str">
        <f>HYPERLINK("https://scholar.google.com/scholar?hl=en&amp;as_q=&amp;as_oq=&amp;as_eq=&amp;as_sauthors=&amp;as_publication=&amp;as_ylo=&amp;as_yhi=&amp;as_occt=title&amp;as_sdt=0%2C5&amp;as_epq=%22Photoinduced+Toxicity+of+Fluoranthene+to+Seven+Marine+Benthic+Crustaceans", "Google Scholar")</f>
        <v>Google Scholar</v>
      </c>
    </row>
    <row r="40" spans="1:8" x14ac:dyDescent="0.45">
      <c r="A40">
        <v>7013</v>
      </c>
      <c r="B40" t="s">
        <v>3211</v>
      </c>
      <c r="C40" t="s">
        <v>3212</v>
      </c>
      <c r="D40" t="s">
        <v>3213</v>
      </c>
      <c r="E40">
        <v>1984</v>
      </c>
      <c r="G40" t="s">
        <v>3214</v>
      </c>
      <c r="H40" s="39" t="str">
        <f>HYPERLINK("https://scholar.google.com/scholar?hl=en&amp;as_q=&amp;as_oq=&amp;as_eq=&amp;as_sauthors=&amp;as_publication=&amp;as_ylo=&amp;as_yhi=&amp;as_occt=title&amp;as_sdt=0%2C5&amp;as_epq=%22Effects+of+Hexavalent+Chromium+on+Development+of+Crabs%2C+Rhithropanopeus+harrisii+and+Callinectes+sapidus", "Google Scholar")</f>
        <v>Google Scholar</v>
      </c>
    </row>
    <row r="41" spans="1:8" x14ac:dyDescent="0.45">
      <c r="A41">
        <v>11937</v>
      </c>
      <c r="B41" t="s">
        <v>3590</v>
      </c>
      <c r="C41" t="s">
        <v>3591</v>
      </c>
      <c r="D41" t="s">
        <v>3592</v>
      </c>
      <c r="E41">
        <v>1985</v>
      </c>
      <c r="G41" t="s">
        <v>3593</v>
      </c>
      <c r="H41" s="40" t="str">
        <f>HYPERLINK("https://scholar.google.com/scholar?hl=en&amp;as_q=&amp;as_oq=&amp;as_eq=&amp;as_sauthors=&amp;as_publication=&amp;as_ylo=&amp;as_yhi=&amp;as_occt=title&amp;as_sdt=0%2C5&amp;as_epq=%22Size+Related+Toxicity+of+Cadmium+on+Ilyoplax+gangetica+and+Antagonistic+Activity+of+NH4OH+and+Sewage", "Google Scholar")</f>
        <v>Google Scholar</v>
      </c>
    </row>
    <row r="42" spans="1:8" x14ac:dyDescent="0.45">
      <c r="A42">
        <v>167231</v>
      </c>
      <c r="B42" t="s">
        <v>3602</v>
      </c>
      <c r="C42" t="s">
        <v>3603</v>
      </c>
      <c r="D42" t="s">
        <v>3604</v>
      </c>
      <c r="E42">
        <v>1992</v>
      </c>
      <c r="G42" t="s">
        <v>3605</v>
      </c>
      <c r="H42" s="41" t="str">
        <f>HYPERLINK("https://scholar.google.com/scholar?hl=en&amp;as_q=&amp;as_oq=&amp;as_eq=&amp;as_sauthors=&amp;as_publication=&amp;as_ylo=&amp;as_yhi=&amp;as_occt=title&amp;as_sdt=0%2C5&amp;as_epq=%22Evidence+for+Calcium+Channels+in+Brine+Shrimp%3A+Diltiazem+Protects+Shrimp+Against+Cadmium", "Google Scholar")</f>
        <v>Google Scholar</v>
      </c>
    </row>
    <row r="43" spans="1:8" x14ac:dyDescent="0.45">
      <c r="A43">
        <v>191258</v>
      </c>
      <c r="B43" t="s">
        <v>2415</v>
      </c>
      <c r="C43" t="s">
        <v>2416</v>
      </c>
      <c r="D43" t="s">
        <v>2417</v>
      </c>
      <c r="E43">
        <v>2023</v>
      </c>
      <c r="G43" t="s">
        <v>2418</v>
      </c>
      <c r="H43" s="42" t="str">
        <f>HYPERLINK("https://scholar.google.com/scholar?hl=en&amp;as_q=&amp;as_oq=&amp;as_eq=&amp;as_sauthors=&amp;as_publication=&amp;as_ylo=&amp;as_yhi=&amp;as_occt=title&amp;as_sdt=0%2C5&amp;as_epq=%22Toxicity+and+Mutagenicity+Studies+of+6PPD-Quinone+in+a+Marine+Invertebrate+Species+and+Bacteria", "Google Scholar")</f>
        <v>Google Scholar</v>
      </c>
    </row>
    <row r="44" spans="1:8" x14ac:dyDescent="0.45">
      <c r="A44">
        <v>11869</v>
      </c>
      <c r="B44" t="s">
        <v>1397</v>
      </c>
      <c r="C44" t="s">
        <v>1398</v>
      </c>
      <c r="D44" t="s">
        <v>1399</v>
      </c>
      <c r="E44">
        <v>1986</v>
      </c>
      <c r="G44" t="s">
        <v>1400</v>
      </c>
      <c r="H44" s="43" t="str">
        <f>HYPERLINK("https://scholar.google.com/scholar?hl=en&amp;as_q=&amp;as_oq=&amp;as_eq=&amp;as_sauthors=&amp;as_publication=&amp;as_ylo=&amp;as_yhi=&amp;as_occt=title&amp;as_sdt=0%2C5&amp;as_epq=%22The+Use+of+Marine+Benthic+%27Key%27+Species+in+Ecotoxicological+Testing%3A++Amphiura+filiformis+%28O.F.Muller%29", "Google Scholar")</f>
        <v>Google Scholar</v>
      </c>
    </row>
    <row r="45" spans="1:8" x14ac:dyDescent="0.45">
      <c r="A45">
        <v>9936</v>
      </c>
      <c r="B45" t="s">
        <v>2697</v>
      </c>
      <c r="C45" t="s">
        <v>2698</v>
      </c>
      <c r="D45" t="s">
        <v>2699</v>
      </c>
      <c r="E45">
        <v>1993</v>
      </c>
      <c r="G45" t="s">
        <v>2700</v>
      </c>
      <c r="H45" s="44" t="str">
        <f>HYPERLINK("https://scholar.google.com/scholar?hl=en&amp;as_q=&amp;as_oq=&amp;as_eq=&amp;as_sauthors=&amp;as_publication=&amp;as_ylo=&amp;as_yhi=&amp;as_occt=title&amp;as_sdt=0%2C5&amp;as_epq=%22Use+of+Neomysis+mercedis+%28Crustacea%3A+Mysidacea%29+for+Estuarine+Toxicity+Tests", "Google Scholar")</f>
        <v>Google Scholar</v>
      </c>
    </row>
    <row r="46" spans="1:8" x14ac:dyDescent="0.45">
      <c r="A46">
        <v>11875</v>
      </c>
      <c r="B46" t="s">
        <v>2187</v>
      </c>
      <c r="C46" t="s">
        <v>2188</v>
      </c>
      <c r="D46" t="s">
        <v>2189</v>
      </c>
      <c r="E46">
        <v>1985</v>
      </c>
      <c r="G46" t="s">
        <v>2190</v>
      </c>
      <c r="H46" s="45" t="str">
        <f>HYPERLINK("https://scholar.google.com/scholar?hl=en&amp;as_q=&amp;as_oq=&amp;as_eq=&amp;as_sauthors=&amp;as_publication=&amp;as_ylo=&amp;as_yhi=&amp;as_occt=title&amp;as_sdt=0%2C5&amp;as_epq=%22Effect+of+Temperature+and+Salinity+on+the+Toxicity+of+Nickel+and+Zinc+to+Two+Estuarine+Invertebrates+%28Corophiu", "Google Scholar")</f>
        <v>Google Scholar</v>
      </c>
    </row>
    <row r="47" spans="1:8" x14ac:dyDescent="0.45">
      <c r="A47">
        <v>11873</v>
      </c>
      <c r="B47" t="s">
        <v>3395</v>
      </c>
      <c r="C47" t="s">
        <v>3396</v>
      </c>
      <c r="D47" t="s">
        <v>3397</v>
      </c>
      <c r="E47">
        <v>1984</v>
      </c>
      <c r="G47" t="s">
        <v>3398</v>
      </c>
      <c r="H47" s="46" t="str">
        <f>HYPERLINK("https://scholar.google.com/scholar?hl=en&amp;as_q=&amp;as_oq=&amp;as_eq=&amp;as_sauthors=&amp;as_publication=&amp;as_ylo=&amp;as_yhi=&amp;as_occt=title&amp;as_sdt=0%2C5&amp;as_epq=%22Effect+of+Temperature+and+Salinity+on+the+Toxicity+of+Chromium+to+Three+Estuarine+Invertebrates+%28Corophium+vol", "Google Scholar")</f>
        <v>Google Scholar</v>
      </c>
    </row>
    <row r="48" spans="1:8" x14ac:dyDescent="0.45">
      <c r="A48">
        <v>14256</v>
      </c>
      <c r="B48" t="s">
        <v>3477</v>
      </c>
      <c r="C48" t="s">
        <v>3478</v>
      </c>
      <c r="D48" t="s">
        <v>3479</v>
      </c>
      <c r="E48">
        <v>1981</v>
      </c>
      <c r="G48" t="s">
        <v>3480</v>
      </c>
      <c r="H48" s="47" t="str">
        <f>HYPERLINK("https://scholar.google.com/scholar?hl=en&amp;as_q=&amp;as_oq=&amp;as_eq=&amp;as_sauthors=&amp;as_publication=&amp;as_ylo=&amp;as_yhi=&amp;as_occt=title&amp;as_sdt=0%2C5&amp;as_epq=%22The+Effects+of+a+Simulated+Refinery+Effluent+and+Its+Components+on+the+Estuarine+Crustacean%2C+Mysidopsis+bahia", "Google Scholar")</f>
        <v>Google Scholar</v>
      </c>
    </row>
    <row r="49" spans="1:8" x14ac:dyDescent="0.45">
      <c r="A49">
        <v>3163</v>
      </c>
      <c r="B49" t="s">
        <v>2096</v>
      </c>
      <c r="C49" t="s">
        <v>2097</v>
      </c>
      <c r="D49" t="s">
        <v>2098</v>
      </c>
      <c r="E49">
        <v>1990</v>
      </c>
      <c r="G49" t="s">
        <v>2099</v>
      </c>
      <c r="H49" s="48" t="str">
        <f>HYPERLINK("https://scholar.google.com/scholar?hl=en&amp;as_q=&amp;as_oq=&amp;as_eq=&amp;as_sauthors=&amp;as_publication=&amp;as_ylo=&amp;as_yhi=&amp;as_occt=title&amp;as_sdt=0%2C5&amp;as_epq=%22Acute+Toxicity+of+Cadmium%2C+Copper%2C+Zinc%2C+Ammonia%2C+3%2C3%27-Dichlorobenzidine%2C+2%2C6-Dichloro-4-Nitroan", "Google Scholar")</f>
        <v>Google Scholar</v>
      </c>
    </row>
    <row r="50" spans="1:8" x14ac:dyDescent="0.45">
      <c r="A50">
        <v>13669</v>
      </c>
      <c r="B50" t="s">
        <v>1668</v>
      </c>
      <c r="C50" t="s">
        <v>1669</v>
      </c>
      <c r="D50" t="s">
        <v>1670</v>
      </c>
      <c r="E50">
        <v>1994</v>
      </c>
      <c r="G50" t="s">
        <v>1671</v>
      </c>
      <c r="H50" s="49" t="str">
        <f>HYPERLINK("https://scholar.google.com/scholar?hl=en&amp;as_q=&amp;as_oq=&amp;as_eq=&amp;as_sauthors=&amp;as_publication=&amp;as_ylo=&amp;as_yhi=&amp;as_occt=title&amp;as_sdt=0%2C5&amp;as_epq=%22Comparative+Acute+Toxicity+of+the+First+50+Multicentre+Evaluation+of+In+Vitro+Cytotoxicity+Chemicals+to+Aquatic+", "Google Scholar")</f>
        <v>Google Scholar</v>
      </c>
    </row>
    <row r="51" spans="1:8" x14ac:dyDescent="0.45">
      <c r="A51">
        <v>166161</v>
      </c>
      <c r="B51" t="s">
        <v>1170</v>
      </c>
      <c r="C51" t="s">
        <v>1171</v>
      </c>
      <c r="D51" t="s">
        <v>1172</v>
      </c>
      <c r="E51">
        <v>2012</v>
      </c>
      <c r="G51" t="s">
        <v>1173</v>
      </c>
      <c r="H51" s="50" t="str">
        <f>HYPERLINK("https://scholar.google.com/scholar?hl=en&amp;as_q=&amp;as_oq=&amp;as_eq=&amp;as_sauthors=&amp;as_publication=&amp;as_ylo=&amp;as_yhi=&amp;as_occt=title&amp;as_sdt=0%2C5&amp;as_epq=%22Dietary+Carotenoids+Regulate+Astaxanthin+Content+of+Copepods+and+Modulate+Their+Susceptibility+to+UV+Light+and+C", "Google Scholar")</f>
        <v>Google Scholar</v>
      </c>
    </row>
    <row r="52" spans="1:8" x14ac:dyDescent="0.45">
      <c r="A52">
        <v>3751</v>
      </c>
      <c r="B52" t="s">
        <v>740</v>
      </c>
      <c r="C52" t="s">
        <v>741</v>
      </c>
      <c r="D52" t="s">
        <v>742</v>
      </c>
      <c r="E52">
        <v>1980</v>
      </c>
      <c r="G52" t="s">
        <v>743</v>
      </c>
      <c r="H52" s="51" t="str">
        <f>HYPERLINK("https://scholar.google.com/scholar?hl=en&amp;as_q=&amp;as_oq=&amp;as_eq=&amp;as_sauthors=&amp;as_publication=&amp;as_ylo=&amp;as_yhi=&amp;as_occt=title&amp;as_sdt=0%2C5&amp;as_epq=%22Unpublished+Laboratory+Data", "Google Scholar")</f>
        <v>Google Scholar</v>
      </c>
    </row>
    <row r="53" spans="1:8" x14ac:dyDescent="0.45">
      <c r="A53">
        <v>6081</v>
      </c>
      <c r="B53" t="s">
        <v>4031</v>
      </c>
      <c r="C53" t="s">
        <v>4032</v>
      </c>
      <c r="D53" t="s">
        <v>4033</v>
      </c>
      <c r="E53">
        <v>1976</v>
      </c>
      <c r="G53" t="s">
        <v>4034</v>
      </c>
      <c r="H53" s="52" t="str">
        <f>HYPERLINK("https://scholar.google.com/scholar?hl=en&amp;as_q=&amp;as_oq=&amp;as_eq=&amp;as_sauthors=&amp;as_publication=&amp;as_ylo=&amp;as_yhi=&amp;as_occt=title&amp;as_sdt=0%2C5&amp;as_epq=%22Relative+Acute+Toxicity+of+a+Pesticide%2C+Heavy+Metal+and+Anionic+Surfactants+to+Marine+Organisms", "Google Scholar")</f>
        <v>Google Scholar</v>
      </c>
    </row>
    <row r="54" spans="1:8" x14ac:dyDescent="0.45">
      <c r="A54">
        <v>116636</v>
      </c>
      <c r="B54" t="s">
        <v>3752</v>
      </c>
      <c r="C54" t="s">
        <v>3753</v>
      </c>
      <c r="D54" t="s">
        <v>3754</v>
      </c>
      <c r="E54">
        <v>2009</v>
      </c>
      <c r="G54" t="s">
        <v>3755</v>
      </c>
      <c r="H54" s="53" t="str">
        <f>HYPERLINK("https://scholar.google.com/scholar?hl=en&amp;as_q=&amp;as_oq=&amp;as_eq=&amp;as_sauthors=&amp;as_publication=&amp;as_ylo=&amp;as_yhi=&amp;as_occt=title&amp;as_sdt=0%2C5&amp;as_epq=%22Effects+of+Cadmium+on+Respiratory+Burst%2C+Intracellular+Ca2%2B+and+DNA+Damage+in+the+White+Shrimp+Litopenaeus+v", "Google Scholar")</f>
        <v>Google Scholar</v>
      </c>
    </row>
    <row r="55" spans="1:8" x14ac:dyDescent="0.45">
      <c r="A55">
        <v>4092</v>
      </c>
      <c r="B55" t="s">
        <v>735</v>
      </c>
      <c r="C55" t="s">
        <v>736</v>
      </c>
      <c r="D55" t="s">
        <v>737</v>
      </c>
      <c r="E55">
        <v>1993</v>
      </c>
      <c r="G55" t="s">
        <v>738</v>
      </c>
      <c r="H55" s="54" t="str">
        <f>HYPERLINK("https://scholar.google.com/scholar?hl=en&amp;as_q=&amp;as_oq=&amp;as_eq=&amp;as_sauthors=&amp;as_publication=&amp;as_ylo=&amp;as_yhi=&amp;as_occt=title&amp;as_sdt=0%2C5&amp;as_epq=%22Comparative+Zinc+and+Lead+Toxicity+Tests+with+Arctic+Marine+Invertebrates+and+Implications+for+Toxicant+Discharg", "Google Scholar")</f>
        <v>Google Scholar</v>
      </c>
    </row>
    <row r="56" spans="1:8" x14ac:dyDescent="0.45">
      <c r="A56">
        <v>3702</v>
      </c>
      <c r="B56" t="s">
        <v>1862</v>
      </c>
      <c r="C56" t="s">
        <v>1863</v>
      </c>
      <c r="D56" t="s">
        <v>1864</v>
      </c>
      <c r="E56">
        <v>1990</v>
      </c>
      <c r="G56" t="s">
        <v>1865</v>
      </c>
      <c r="H56" s="55" t="str">
        <f>HYPERLINK("https://scholar.google.com/scholar?hl=en&amp;as_q=&amp;as_oq=&amp;as_eq=&amp;as_sauthors=&amp;as_publication=&amp;as_ylo=&amp;as_yhi=&amp;as_occt=title&amp;as_sdt=0%2C5&amp;as_epq=%22Acute+Toxicity+of+Arsenic%2C+Phenol%2C+Mercury+and+Chromium+to+the+Larvae+of+Penaeus+orientali", "Google Scholar")</f>
        <v>Google Scholar</v>
      </c>
    </row>
    <row r="57" spans="1:8" x14ac:dyDescent="0.45">
      <c r="A57">
        <v>80017</v>
      </c>
      <c r="B57" t="s">
        <v>2592</v>
      </c>
      <c r="C57" t="s">
        <v>2593</v>
      </c>
      <c r="D57" t="s">
        <v>2594</v>
      </c>
      <c r="E57">
        <v>2001</v>
      </c>
      <c r="G57" t="s">
        <v>2595</v>
      </c>
      <c r="H57" s="56" t="str">
        <f>HYPERLINK("https://scholar.google.com/scholar?hl=en&amp;as_q=&amp;as_oq=&amp;as_eq=&amp;as_sauthors=&amp;as_publication=&amp;as_ylo=&amp;as_yhi=&amp;as_occt=title&amp;as_sdt=0%2C5&amp;as_epq=%22Toxicity+of+Copper+Sulfate+for+Survival%2C+Growth%2C+Molting+and+Feeding+of+Juveniles+of+the+Tiger+Shrimp%2C+Pen", "Google Scholar")</f>
        <v>Google Scholar</v>
      </c>
    </row>
    <row r="58" spans="1:8" x14ac:dyDescent="0.45">
      <c r="A58">
        <v>82291</v>
      </c>
      <c r="B58" t="s">
        <v>427</v>
      </c>
      <c r="C58" t="s">
        <v>428</v>
      </c>
      <c r="D58" t="s">
        <v>429</v>
      </c>
      <c r="E58">
        <v>2000</v>
      </c>
      <c r="G58" t="s">
        <v>430</v>
      </c>
      <c r="H58" s="57" t="str">
        <f>HYPERLINK("https://scholar.google.com/scholar?hl=en&amp;as_q=&amp;as_oq=&amp;as_eq=&amp;as_sauthors=&amp;as_publication=&amp;as_ylo=&amp;as_yhi=&amp;as_occt=title&amp;as_sdt=0%2C5&amp;as_epq=%22Effect+of+Water+Variables+on+Lead+Tolerance+in+Postlarvae+of+Penaeus+indicus+%28H.+Milne+Edwards%29", "Google Scholar")</f>
        <v>Google Scholar</v>
      </c>
    </row>
    <row r="59" spans="1:8" x14ac:dyDescent="0.45">
      <c r="A59">
        <v>65824</v>
      </c>
      <c r="B59" t="s">
        <v>444</v>
      </c>
      <c r="C59" t="s">
        <v>445</v>
      </c>
      <c r="D59" t="s">
        <v>446</v>
      </c>
      <c r="E59">
        <v>2002</v>
      </c>
      <c r="G59" t="s">
        <v>447</v>
      </c>
      <c r="H59" s="58" t="str">
        <f>HYPERLINK("https://scholar.google.com/scholar?hl=en&amp;as_q=&amp;as_oq=&amp;as_eq=&amp;as_sauthors=&amp;as_publication=&amp;as_ylo=&amp;as_yhi=&amp;as_occt=title&amp;as_sdt=0%2C5&amp;as_epq=%22Acute+Toxicity+of+Lead+on+Tolerance%2C+Oxygen+Consumption%2C+Ammonia-N+Excretion%2C+and+Metal+Accumulation+in+Pe", "Google Scholar")</f>
        <v>Google Scholar</v>
      </c>
    </row>
    <row r="60" spans="1:8" x14ac:dyDescent="0.45">
      <c r="A60">
        <v>59783</v>
      </c>
      <c r="B60" t="s">
        <v>435</v>
      </c>
      <c r="C60" t="s">
        <v>436</v>
      </c>
      <c r="D60" t="s">
        <v>437</v>
      </c>
      <c r="E60">
        <v>2000</v>
      </c>
      <c r="G60" t="s">
        <v>438</v>
      </c>
      <c r="H60" s="59" t="str">
        <f>HYPERLINK("https://scholar.google.com/scholar?hl=en&amp;as_q=&amp;as_oq=&amp;as_eq=&amp;as_sauthors=&amp;as_publication=&amp;as_ylo=&amp;as_yhi=&amp;as_occt=title&amp;as_sdt=0%2C5&amp;as_epq=%22Toxicity+of+Copper%2C+Cadmium%2C+Zinc+and+Lead+to+Penaeus+indicus+Postlarvae%3A++Effects+of+Individual+Metals", "Google Scholar")</f>
        <v>Google Scholar</v>
      </c>
    </row>
    <row r="61" spans="1:8" x14ac:dyDescent="0.45">
      <c r="A61">
        <v>48249</v>
      </c>
      <c r="B61" t="s">
        <v>542</v>
      </c>
      <c r="C61" t="s">
        <v>543</v>
      </c>
      <c r="D61" t="s">
        <v>544</v>
      </c>
      <c r="E61">
        <v>1980</v>
      </c>
      <c r="G61" t="s">
        <v>545</v>
      </c>
      <c r="H61" s="60" t="str">
        <f>HYPERLINK("https://scholar.google.com/scholar?hl=en&amp;as_q=&amp;as_oq=&amp;as_eq=&amp;as_sauthors=&amp;as_publication=&amp;as_ylo=&amp;as_yhi=&amp;as_occt=title&amp;as_sdt=0%2C5&amp;as_epq=%22Effects+of+Selected+Heavy+Metals+on+the+Survival+of+Tropical+Grass+Shrimp+%28Palaemon+northropi%29", "Google Scholar")</f>
        <v>Google Scholar</v>
      </c>
    </row>
    <row r="62" spans="1:8" x14ac:dyDescent="0.45">
      <c r="A62">
        <v>8800</v>
      </c>
      <c r="B62" t="s">
        <v>3774</v>
      </c>
      <c r="C62" t="s">
        <v>3775</v>
      </c>
      <c r="D62" t="s">
        <v>3776</v>
      </c>
      <c r="E62">
        <v>1973</v>
      </c>
      <c r="G62" t="s">
        <v>3777</v>
      </c>
      <c r="H62" s="61" t="str">
        <f>HYPERLINK("https://scholar.google.com/scholar?hl=en&amp;as_q=&amp;as_oq=&amp;as_eq=&amp;as_sauthors=&amp;as_publication=&amp;as_ylo=&amp;as_yhi=&amp;as_occt=title&amp;as_sdt=0%2C5&amp;as_epq=%22Physiological+Response+of+the+Mud+Crab%2C+Eurypanopeus+depressus+to+Cadmium", "Google Scholar")</f>
        <v>Google Scholar</v>
      </c>
    </row>
    <row r="63" spans="1:8" x14ac:dyDescent="0.45">
      <c r="A63">
        <v>48336</v>
      </c>
      <c r="B63" t="s">
        <v>4043</v>
      </c>
      <c r="C63" t="s">
        <v>4044</v>
      </c>
      <c r="D63" t="s">
        <v>4045</v>
      </c>
      <c r="E63">
        <v>1983</v>
      </c>
      <c r="G63" t="s">
        <v>4046</v>
      </c>
      <c r="H63" s="62" t="str">
        <f>HYPERLINK("https://scholar.google.com/scholar?hl=en&amp;as_q=&amp;as_oq=&amp;as_eq=&amp;as_sauthors=&amp;as_publication=&amp;as_ylo=&amp;as_yhi=&amp;as_occt=title&amp;as_sdt=0%2C5&amp;as_epq=%22Comparative+Toxicity+of+Drilling+Muds%3A++Role+of+Chromium+and+Petroleum+Hydrocarbons", "Google Scholar")</f>
        <v>Google Scholar</v>
      </c>
    </row>
    <row r="64" spans="1:8" x14ac:dyDescent="0.45">
      <c r="A64">
        <v>5732</v>
      </c>
      <c r="B64" t="s">
        <v>1659</v>
      </c>
      <c r="C64" t="s">
        <v>1660</v>
      </c>
      <c r="D64" t="s">
        <v>1661</v>
      </c>
      <c r="E64">
        <v>1972</v>
      </c>
      <c r="G64" t="s">
        <v>1662</v>
      </c>
      <c r="H64" s="63" t="str">
        <f>HYPERLINK("https://scholar.google.com/scholar?hl=en&amp;as_q=&amp;as_oq=&amp;as_eq=&amp;as_sauthors=&amp;as_publication=&amp;as_ylo=&amp;as_yhi=&amp;as_occt=title&amp;as_sdt=0%2C5&amp;as_epq=%22Acute+Toxicity+of+Heavy+Metals+to+Some+Marine+Larvae", "Google Scholar")</f>
        <v>Google Scholar</v>
      </c>
    </row>
    <row r="65" spans="1:8" x14ac:dyDescent="0.45">
      <c r="A65">
        <v>19838</v>
      </c>
      <c r="B65" t="s">
        <v>3735</v>
      </c>
      <c r="C65" t="s">
        <v>3736</v>
      </c>
      <c r="D65" t="s">
        <v>3737</v>
      </c>
      <c r="E65">
        <v>1996</v>
      </c>
      <c r="G65" t="s">
        <v>3738</v>
      </c>
      <c r="H65" s="64" t="str">
        <f>HYPERLINK("https://scholar.google.com/scholar?hl=en&amp;as_q=&amp;as_oq=&amp;as_eq=&amp;as_sauthors=&amp;as_publication=&amp;as_ylo=&amp;as_yhi=&amp;as_occt=title&amp;as_sdt=0%2C5&amp;as_epq=%22Sensitivity+of+a+Marine+Amphipod+to+Non-Contaminant+Variables+and+to+Copper+in+the+Sediment", "Google Scholar")</f>
        <v>Google Scholar</v>
      </c>
    </row>
    <row r="66" spans="1:8" x14ac:dyDescent="0.45">
      <c r="A66">
        <v>13513</v>
      </c>
      <c r="B66" t="s">
        <v>1590</v>
      </c>
      <c r="C66" t="s">
        <v>1591</v>
      </c>
      <c r="D66" t="s">
        <v>1592</v>
      </c>
      <c r="E66">
        <v>1994</v>
      </c>
      <c r="G66" t="s">
        <v>1593</v>
      </c>
      <c r="H66" s="65" t="str">
        <f>HYPERLINK("https://scholar.google.com/scholar?hl=en&amp;as_q=&amp;as_oq=&amp;as_eq=&amp;as_sauthors=&amp;as_publication=&amp;as_ylo=&amp;as_yhi=&amp;as_occt=title&amp;as_sdt=0%2C5&amp;as_epq=%22Comparative+Acute+Toxicities+of+Several+Pesticides+and+Metals+to+Mysidopsis+bahia+and+Postlarval+Penaeus+duoraru", "Google Scholar")</f>
        <v>Google Scholar</v>
      </c>
    </row>
    <row r="67" spans="1:8" x14ac:dyDescent="0.45">
      <c r="A67">
        <v>17289</v>
      </c>
      <c r="B67" t="s">
        <v>2451</v>
      </c>
      <c r="C67" t="s">
        <v>2452</v>
      </c>
      <c r="D67" t="s">
        <v>2453</v>
      </c>
      <c r="E67">
        <v>1994</v>
      </c>
      <c r="G67" t="s">
        <v>2454</v>
      </c>
      <c r="H67" s="66" t="str">
        <f>HYPERLINK("https://scholar.google.com/scholar?hl=en&amp;as_q=&amp;as_oq=&amp;as_eq=&amp;as_sauthors=&amp;as_publication=&amp;as_ylo=&amp;as_yhi=&amp;as_occt=title&amp;as_sdt=0%2C5&amp;as_epq=%22Cyst-Based+Ecotoxicological+Tests+Using+Anostracans%3A++Comparison+of+Two+Species+of+Streptocephalus", "Google Scholar")</f>
        <v>Google Scholar</v>
      </c>
    </row>
    <row r="68" spans="1:8" x14ac:dyDescent="0.45">
      <c r="A68">
        <v>875</v>
      </c>
      <c r="B68" t="s">
        <v>410</v>
      </c>
      <c r="C68" t="s">
        <v>411</v>
      </c>
      <c r="D68" t="s">
        <v>412</v>
      </c>
      <c r="E68">
        <v>1979</v>
      </c>
      <c r="G68" t="s">
        <v>413</v>
      </c>
      <c r="H68" s="67" t="str">
        <f>HYPERLINK("https://scholar.google.com/scholar?hl=en&amp;as_q=&amp;as_oq=&amp;as_eq=&amp;as_sauthors=&amp;as_publication=&amp;as_ylo=&amp;as_yhi=&amp;as_occt=title&amp;as_sdt=0%2C5&amp;as_epq=%22Acute+Toxicity+of+12+Industrial+Chemicals+to+Freshwater+and+Saltwater+Organisms", "Google Scholar")</f>
        <v>Google Scholar</v>
      </c>
    </row>
    <row r="69" spans="1:8" x14ac:dyDescent="0.45">
      <c r="A69">
        <v>172254</v>
      </c>
      <c r="B69" t="s">
        <v>1624</v>
      </c>
      <c r="C69" t="s">
        <v>1625</v>
      </c>
      <c r="D69" t="s">
        <v>1626</v>
      </c>
      <c r="E69">
        <v>2002</v>
      </c>
      <c r="G69" t="s">
        <v>1627</v>
      </c>
      <c r="H69" s="68" t="str">
        <f>HYPERLINK("https://scholar.google.com/scholar?hl=en&amp;as_q=&amp;as_oq=&amp;as_eq=&amp;as_sauthors=&amp;as_publication=&amp;as_ylo=&amp;as_yhi=&amp;as_occt=title&amp;as_sdt=0%2C5&amp;as_epq=%22Toxicity+of+Hg+%28II%29+to+Prawns+Penaeus+monodon+and+Penaeus+indicus+%28Crustacea%3A+Penaeidae%29+from+Rushikul", "Google Scholar")</f>
        <v>Google Scholar</v>
      </c>
    </row>
    <row r="70" spans="1:8" x14ac:dyDescent="0.45">
      <c r="A70">
        <v>18307</v>
      </c>
      <c r="B70" t="s">
        <v>3400</v>
      </c>
      <c r="C70" t="s">
        <v>3401</v>
      </c>
      <c r="D70" t="s">
        <v>3402</v>
      </c>
      <c r="E70">
        <v>1993</v>
      </c>
      <c r="G70" t="s">
        <v>3403</v>
      </c>
      <c r="H70" s="69" t="str">
        <f>HYPERLINK("https://scholar.google.com/scholar?hl=en&amp;as_q=&amp;as_oq=&amp;as_eq=&amp;as_sauthors=&amp;as_publication=&amp;as_ylo=&amp;as_yhi=&amp;as_occt=title&amp;as_sdt=0%2C5&amp;as_epq=%22Precision+of+the+Nitocra+spinipes+Acute+Toxicity+Test+and+the+Effect+of+Salinity+on+Toxicity+of+the+Reference+To", "Google Scholar")</f>
        <v>Google Scholar</v>
      </c>
    </row>
    <row r="71" spans="1:8" x14ac:dyDescent="0.45">
      <c r="A71">
        <v>157913</v>
      </c>
      <c r="B71" t="s">
        <v>3448</v>
      </c>
      <c r="C71" t="s">
        <v>3449</v>
      </c>
      <c r="D71" t="s">
        <v>3450</v>
      </c>
      <c r="E71">
        <v>2000</v>
      </c>
      <c r="G71" t="s">
        <v>3451</v>
      </c>
      <c r="H71" s="70" t="str">
        <f>HYPERLINK("https://scholar.google.com/scholar?hl=en&amp;as_q=&amp;as_oq=&amp;as_eq=&amp;as_sauthors=&amp;as_publication=&amp;as_ylo=&amp;as_yhi=&amp;as_occt=title&amp;as_sdt=0%2C5&amp;as_epq=%22Sediment+and+Water+Phase+Toxicity+and+UV-Activation+of+Six+Chemicals+Used+in+Military+Explosives", "Google Scholar")</f>
        <v>Google Scholar</v>
      </c>
    </row>
    <row r="72" spans="1:8" x14ac:dyDescent="0.45">
      <c r="A72">
        <v>17362</v>
      </c>
      <c r="B72" t="s">
        <v>3744</v>
      </c>
      <c r="C72" t="s">
        <v>3745</v>
      </c>
      <c r="D72" t="s">
        <v>3746</v>
      </c>
      <c r="E72">
        <v>1992</v>
      </c>
      <c r="G72" t="s">
        <v>3747</v>
      </c>
      <c r="H72" s="71" t="str">
        <f>HYPERLINK("https://scholar.google.com/scholar?hl=en&amp;as_q=&amp;as_oq=&amp;as_eq=&amp;as_sauthors=&amp;as_publication=&amp;as_ylo=&amp;as_yhi=&amp;as_occt=title&amp;as_sdt=0%2C5&amp;as_epq=%22Development+of+a+Chronic+Sediment+Toxicity+Test+for+Marine+Benthic+Amphipods", "Google Scholar")</f>
        <v>Google Scholar</v>
      </c>
    </row>
    <row r="73" spans="1:8" x14ac:dyDescent="0.45">
      <c r="A73">
        <v>16911</v>
      </c>
      <c r="B73" t="s">
        <v>3826</v>
      </c>
      <c r="C73" t="s">
        <v>3827</v>
      </c>
      <c r="D73" t="s">
        <v>3828</v>
      </c>
      <c r="E73">
        <v>1995</v>
      </c>
      <c r="G73" t="s">
        <v>3829</v>
      </c>
      <c r="H73" s="72" t="str">
        <f>HYPERLINK("https://scholar.google.com/scholar?hl=en&amp;as_q=&amp;as_oq=&amp;as_eq=&amp;as_sauthors=&amp;as_publication=&amp;as_ylo=&amp;as_yhi=&amp;as_occt=title&amp;as_sdt=0%2C5&amp;as_epq=%22Quantification+of+Cadmium-Induced+Metallothionein+in+Crustaceans+by+the+Silver-Saturation+Method", "Google Scholar")</f>
        <v>Google Scholar</v>
      </c>
    </row>
    <row r="74" spans="1:8" x14ac:dyDescent="0.45">
      <c r="A74">
        <v>4973</v>
      </c>
      <c r="B74" t="s">
        <v>1179</v>
      </c>
      <c r="C74" t="s">
        <v>1180</v>
      </c>
      <c r="D74" t="s">
        <v>1181</v>
      </c>
      <c r="E74">
        <v>1982</v>
      </c>
      <c r="G74" t="s">
        <v>1182</v>
      </c>
      <c r="H74" s="73" t="str">
        <f>HYPERLINK("https://scholar.google.com/scholar?hl=en&amp;as_q=&amp;as_oq=&amp;as_eq=&amp;as_sauthors=&amp;as_publication=&amp;as_ylo=&amp;as_yhi=&amp;as_occt=title&amp;as_sdt=0%2C5&amp;as_epq=%22The+Influence+of+Temperature+and+Salinity+upon+the+Acute+Toxicity+of+Heavy+Metals+to+the+Banana+Prawn+%28Penaeus", "Google Scholar")</f>
        <v>Google Scholar</v>
      </c>
    </row>
    <row r="75" spans="1:8" x14ac:dyDescent="0.45">
      <c r="A75">
        <v>2602</v>
      </c>
      <c r="B75" t="s">
        <v>1788</v>
      </c>
      <c r="C75" t="s">
        <v>1789</v>
      </c>
      <c r="D75" t="s">
        <v>1790</v>
      </c>
      <c r="E75">
        <v>1987</v>
      </c>
      <c r="G75" t="s">
        <v>1791</v>
      </c>
      <c r="H75" s="74" t="str">
        <f>HYPERLINK("https://scholar.google.com/scholar?hl=en&amp;as_q=&amp;as_oq=&amp;as_eq=&amp;as_sauthors=&amp;as_publication=&amp;as_ylo=&amp;as_yhi=&amp;as_occt=title&amp;as_sdt=0%2C5&amp;as_epq=%22Heavy+Metal+Toxicity+to+Fiddler+Crabs%2C+Uca+annulipes+latreille+and+Uca+triangularis+%28Milne+Edwards%29%3A++To", "Google Scholar")</f>
        <v>Google Scholar</v>
      </c>
    </row>
    <row r="76" spans="1:8" x14ac:dyDescent="0.45">
      <c r="A76">
        <v>2264</v>
      </c>
      <c r="B76" t="s">
        <v>1368</v>
      </c>
      <c r="C76" t="s">
        <v>1369</v>
      </c>
      <c r="D76" t="s">
        <v>1370</v>
      </c>
      <c r="E76">
        <v>1989</v>
      </c>
      <c r="G76" t="s">
        <v>1371</v>
      </c>
      <c r="H76" s="75" t="str">
        <f>HYPERLINK("https://scholar.google.com/scholar?hl=en&amp;as_q=&amp;as_oq=&amp;as_eq=&amp;as_sauthors=&amp;as_publication=&amp;as_ylo=&amp;as_yhi=&amp;as_occt=title&amp;as_sdt=0%2C5&amp;as_epq=%22Comparative+Sensitivity+of+Sea+Urchin+Sperm+Bioassays+to+Metals+and+Pesticides", "Google Scholar")</f>
        <v>Google Scholar</v>
      </c>
    </row>
    <row r="77" spans="1:8" x14ac:dyDescent="0.45">
      <c r="A77">
        <v>3752</v>
      </c>
      <c r="B77" t="s">
        <v>1472</v>
      </c>
      <c r="C77" t="s">
        <v>1473</v>
      </c>
      <c r="D77" t="s">
        <v>1474</v>
      </c>
      <c r="E77">
        <v>1983</v>
      </c>
      <c r="G77" t="s">
        <v>1475</v>
      </c>
      <c r="H77" s="76" t="str">
        <f>HYPERLINK("https://scholar.google.com/scholar?hl=en&amp;as_q=&amp;as_oq=&amp;as_eq=&amp;as_sauthors=&amp;as_publication=&amp;as_ylo=&amp;as_yhi=&amp;as_occt=title&amp;as_sdt=0%2C5&amp;as_epq=%22Methodology+and+Validation+of+a+Sperm+Cell+Toxicity+Test+for+Testing+Toxic+Substances+in+Marine+Waters", "Google Scholar")</f>
        <v>Google Scholar</v>
      </c>
    </row>
    <row r="78" spans="1:8" x14ac:dyDescent="0.45">
      <c r="A78">
        <v>119554</v>
      </c>
      <c r="B78" t="s">
        <v>3039</v>
      </c>
      <c r="C78" t="s">
        <v>3040</v>
      </c>
      <c r="D78" t="s">
        <v>3041</v>
      </c>
      <c r="E78">
        <v>2009</v>
      </c>
      <c r="G78" t="s">
        <v>3042</v>
      </c>
      <c r="H78" s="77" t="str">
        <f>HYPERLINK("https://scholar.google.com/scholar?hl=en&amp;as_q=&amp;as_oq=&amp;as_eq=&amp;as_sauthors=&amp;as_publication=&amp;as_ylo=&amp;as_yhi=&amp;as_occt=title&amp;as_sdt=0%2C5&amp;as_epq=%22Short-Term+Toxicity+Tests+on+the+Harpacticoid+Copepod+Tisbe+battagliai%3A++Lethal+and+Reproductive+Endpoints", "Google Scholar")</f>
        <v>Google Scholar</v>
      </c>
    </row>
    <row r="79" spans="1:8" x14ac:dyDescent="0.45">
      <c r="A79">
        <v>12660</v>
      </c>
      <c r="B79" t="s">
        <v>3405</v>
      </c>
      <c r="C79" t="s">
        <v>3406</v>
      </c>
      <c r="D79" t="s">
        <v>3407</v>
      </c>
      <c r="E79">
        <v>1987</v>
      </c>
      <c r="G79" t="s">
        <v>3408</v>
      </c>
      <c r="H79" s="78" t="str">
        <f>HYPERLINK("https://scholar.google.com/scholar?hl=en&amp;as_q=&amp;as_oq=&amp;as_eq=&amp;as_sauthors=&amp;as_publication=&amp;as_ylo=&amp;as_yhi=&amp;as_occt=title&amp;as_sdt=0%2C5&amp;as_epq=%22Hexavalent+Chromium+as+a+Reference+Toxicant+in+Effluent+Toxicity+Tests", "Google Scholar")</f>
        <v>Google Scholar</v>
      </c>
    </row>
    <row r="80" spans="1:8" x14ac:dyDescent="0.45">
      <c r="A80">
        <v>9316</v>
      </c>
      <c r="B80" t="s">
        <v>3535</v>
      </c>
      <c r="C80" t="s">
        <v>3536</v>
      </c>
      <c r="D80" t="s">
        <v>3537</v>
      </c>
      <c r="E80">
        <v>1971</v>
      </c>
      <c r="G80" t="s">
        <v>3538</v>
      </c>
      <c r="H80" s="79" t="str">
        <f>HYPERLINK("https://scholar.google.com/scholar?hl=en&amp;as_q=&amp;as_oq=&amp;as_eq=&amp;as_sauthors=&amp;as_publication=&amp;as_ylo=&amp;as_yhi=&amp;as_occt=title&amp;as_sdt=0%2C5&amp;as_epq=%22Cadmium+Poisoning+in+Fundulus+heteroclitus+%28Pisces%3A++Cyprinodontidae%29+and+Other+Marine+Organisms", "Google Scholar")</f>
        <v>Google Scholar</v>
      </c>
    </row>
    <row r="81" spans="1:8" x14ac:dyDescent="0.45">
      <c r="A81">
        <v>2253</v>
      </c>
      <c r="B81" t="s">
        <v>1730</v>
      </c>
      <c r="C81" t="s">
        <v>1731</v>
      </c>
      <c r="D81" t="s">
        <v>1732</v>
      </c>
      <c r="E81">
        <v>1977</v>
      </c>
      <c r="G81" t="s">
        <v>1733</v>
      </c>
      <c r="H81" s="80" t="str">
        <f>HYPERLINK("https://scholar.google.com/scholar?hl=en&amp;as_q=&amp;as_oq=&amp;as_eq=&amp;as_sauthors=&amp;as_publication=&amp;as_ylo=&amp;as_yhi=&amp;as_occt=title&amp;as_sdt=0%2C5&amp;as_epq=%22Acute+Toxicities+of+Cd2%2B%2C+Cr%2B6%2C+Hg2%2B%2C+Ni2%2B+and+Zn2%2B+to+Estuarine+Macrofauna", "Google Scholar")</f>
        <v>Google Scholar</v>
      </c>
    </row>
    <row r="82" spans="1:8" x14ac:dyDescent="0.45">
      <c r="A82">
        <v>97664</v>
      </c>
      <c r="B82" t="s">
        <v>3436</v>
      </c>
      <c r="C82" t="s">
        <v>3437</v>
      </c>
      <c r="D82" t="s">
        <v>3438</v>
      </c>
      <c r="E82">
        <v>2007</v>
      </c>
      <c r="G82" t="s">
        <v>3439</v>
      </c>
      <c r="H82" s="81" t="str">
        <f>HYPERLINK("https://scholar.google.com/scholar?hl=en&amp;as_q=&amp;as_oq=&amp;as_eq=&amp;as_sauthors=&amp;as_publication=&amp;as_ylo=&amp;as_yhi=&amp;as_occt=title&amp;as_sdt=0%2C5&amp;as_epq=%22TNT+Leakage+Through+Sediment+to+Water+and+Toxicity+to+Nitocra+spinipes", "Google Scholar")</f>
        <v>Google Scholar</v>
      </c>
    </row>
    <row r="83" spans="1:8" x14ac:dyDescent="0.45">
      <c r="A83">
        <v>14467</v>
      </c>
      <c r="B83" t="s">
        <v>2255</v>
      </c>
      <c r="C83" t="s">
        <v>2256</v>
      </c>
      <c r="D83" t="s">
        <v>2257</v>
      </c>
      <c r="E83">
        <v>1986</v>
      </c>
      <c r="G83" t="s">
        <v>2258</v>
      </c>
      <c r="H83" s="82" t="str">
        <f>HYPERLINK("https://scholar.google.com/scholar?hl=en&amp;as_q=&amp;as_oq=&amp;as_eq=&amp;as_sauthors=&amp;as_publication=&amp;as_ylo=&amp;as_yhi=&amp;as_occt=title&amp;as_sdt=0%2C5&amp;as_epq=%22Bioaccumulation+of+Some+Heavy+Metals+in+Coastal+Marine+Animals+in+the+Vicinity+of+Alexandria+I.+Bioassay", "Google Scholar")</f>
        <v>Google Scholar</v>
      </c>
    </row>
    <row r="84" spans="1:8" x14ac:dyDescent="0.45">
      <c r="A84">
        <v>101776</v>
      </c>
      <c r="B84" t="s">
        <v>2512</v>
      </c>
      <c r="C84" t="s">
        <v>2513</v>
      </c>
      <c r="D84" t="s">
        <v>2514</v>
      </c>
      <c r="E84">
        <v>2007</v>
      </c>
      <c r="G84" t="s">
        <v>2515</v>
      </c>
      <c r="H84" s="83" t="str">
        <f>HYPERLINK("https://scholar.google.com/scholar?hl=en&amp;as_q=&amp;as_oq=&amp;as_eq=&amp;as_sauthors=&amp;as_publication=&amp;as_ylo=&amp;as_yhi=&amp;as_occt=title&amp;as_sdt=0%2C5&amp;as_epq=%22Enzymatic+Biomarkers+in+the+Crab+Carcinus+maenas+from+the+Minho+River+Estuary+%28NW+Portugal%29+Exposed+to+Zinc+", "Google Scholar")</f>
        <v>Google Scholar</v>
      </c>
    </row>
    <row r="85" spans="1:8" x14ac:dyDescent="0.45">
      <c r="A85">
        <v>18159</v>
      </c>
      <c r="B85" t="s">
        <v>3877</v>
      </c>
      <c r="C85" t="s">
        <v>3878</v>
      </c>
      <c r="D85" t="s">
        <v>3879</v>
      </c>
      <c r="E85">
        <v>1997</v>
      </c>
      <c r="G85" t="s">
        <v>3880</v>
      </c>
      <c r="H85" s="84" t="str">
        <f>HYPERLINK("https://scholar.google.com/scholar?hl=en&amp;as_q=&amp;as_oq=&amp;as_eq=&amp;as_sauthors=&amp;as_publication=&amp;as_ylo=&amp;as_yhi=&amp;as_occt=title&amp;as_sdt=0%2C5&amp;as_epq=%22Development+of+a+Chronic+Sublethal+Sediment+Bioassay+Using+the+Estuarine+Amphipod+Leptocheirus+plumulosus+%28Sho", "Google Scholar")</f>
        <v>Google Scholar</v>
      </c>
    </row>
    <row r="86" spans="1:8" x14ac:dyDescent="0.45">
      <c r="A86">
        <v>4439</v>
      </c>
      <c r="B86" t="s">
        <v>3675</v>
      </c>
      <c r="C86" t="s">
        <v>3676</v>
      </c>
      <c r="D86" t="s">
        <v>3677</v>
      </c>
      <c r="E86">
        <v>1994</v>
      </c>
      <c r="G86" t="s">
        <v>3678</v>
      </c>
      <c r="H86" s="85" t="str">
        <f>HYPERLINK("https://scholar.google.com/scholar?hl=en&amp;as_q=&amp;as_oq=&amp;as_eq=&amp;as_sauthors=&amp;as_publication=&amp;as_ylo=&amp;as_yhi=&amp;as_occt=title&amp;as_sdt=0%2C5&amp;as_epq=%22A+Comparison+of+the+Toxicity+of+Cadmium+to+the+Mysid+Shrimps+Neomysis+integer+%28Leach%29+and+Mysidopsis+bahia+%", "Google Scholar")</f>
        <v>Google Scholar</v>
      </c>
    </row>
    <row r="87" spans="1:8" x14ac:dyDescent="0.45">
      <c r="A87">
        <v>16031</v>
      </c>
      <c r="B87" t="s">
        <v>2667</v>
      </c>
      <c r="C87" t="s">
        <v>2668</v>
      </c>
      <c r="D87" t="s">
        <v>2669</v>
      </c>
      <c r="E87">
        <v>1995</v>
      </c>
      <c r="G87" t="s">
        <v>2670</v>
      </c>
      <c r="H87" s="86" t="str">
        <f>HYPERLINK("https://scholar.google.com/scholar?hl=en&amp;as_q=&amp;as_oq=&amp;as_eq=&amp;as_sauthors=&amp;as_publication=&amp;as_ylo=&amp;as_yhi=&amp;as_occt=title&amp;as_sdt=0%2C5&amp;as_epq=%22Cyst-Based+Toxicity+Tests.++VII.++Evaluation+of+the+1-h+Enzymatic+Inhibition+Test+%28Fluotox%29+with+Artemia+nau", "Google Scholar")</f>
        <v>Google Scholar</v>
      </c>
    </row>
    <row r="88" spans="1:8" x14ac:dyDescent="0.45">
      <c r="A88">
        <v>6082</v>
      </c>
      <c r="B88" t="s">
        <v>3468</v>
      </c>
      <c r="C88" t="s">
        <v>3469</v>
      </c>
      <c r="D88" t="s">
        <v>3470</v>
      </c>
      <c r="E88">
        <v>1978</v>
      </c>
      <c r="G88" t="s">
        <v>3471</v>
      </c>
      <c r="H88" s="87" t="str">
        <f>HYPERLINK("https://scholar.google.com/scholar?hl=en&amp;as_q=&amp;as_oq=&amp;as_eq=&amp;as_sauthors=&amp;as_publication=&amp;as_ylo=&amp;as_yhi=&amp;as_occt=title&amp;as_sdt=0%2C5&amp;as_epq=%22The+Influence+of+Temperature+and+Salinity+on+the+Toxicity+of+Hexavalent+Chromium+to+the+Grass+Shrimp+Palaemonete", "Google Scholar")</f>
        <v>Google Scholar</v>
      </c>
    </row>
    <row r="89" spans="1:8" x14ac:dyDescent="0.45">
      <c r="A89">
        <v>117566</v>
      </c>
      <c r="B89" t="s">
        <v>2855</v>
      </c>
      <c r="C89" t="s">
        <v>2856</v>
      </c>
      <c r="D89" t="s">
        <v>2857</v>
      </c>
      <c r="E89">
        <v>1996</v>
      </c>
      <c r="G89" t="s">
        <v>2858</v>
      </c>
      <c r="H89" s="88" t="str">
        <f>HYPERLINK("https://scholar.google.com/scholar?hl=en&amp;as_q=&amp;as_oq=&amp;as_eq=&amp;as_sauthors=&amp;as_publication=&amp;as_ylo=&amp;as_yhi=&amp;as_occt=title&amp;as_sdt=0%2C5&amp;as_epq=%22Toxicity+of+Certain+Pollutants+to+Aquatic+Organisms", "Google Scholar")</f>
        <v>Google Scholar</v>
      </c>
    </row>
    <row r="90" spans="1:8" x14ac:dyDescent="0.45">
      <c r="A90">
        <v>97270</v>
      </c>
      <c r="B90" t="s">
        <v>1238</v>
      </c>
      <c r="C90" t="s">
        <v>1239</v>
      </c>
      <c r="D90" t="s">
        <v>1240</v>
      </c>
      <c r="E90">
        <v>2006</v>
      </c>
      <c r="G90" t="s">
        <v>1241</v>
      </c>
      <c r="H90" s="89" t="str">
        <f>HYPERLINK("https://scholar.google.com/scholar?hl=en&amp;as_q=&amp;as_oq=&amp;as_eq=&amp;as_sauthors=&amp;as_publication=&amp;as_ylo=&amp;as_yhi=&amp;as_occt=title&amp;as_sdt=0%2C5&amp;as_epq=%22Acute+Toxicities+of+Four+Metals+on+the+Early+Life+Stages+of+the+Crab+Chasmagnathus+granulata+from+Baha+Blanca+Es", "Google Scholar")</f>
        <v>Google Scholar</v>
      </c>
    </row>
    <row r="91" spans="1:8" x14ac:dyDescent="0.45">
      <c r="A91">
        <v>73547</v>
      </c>
      <c r="B91" t="s">
        <v>1262</v>
      </c>
      <c r="C91" t="s">
        <v>1263</v>
      </c>
      <c r="D91" t="s">
        <v>1264</v>
      </c>
      <c r="E91">
        <v>2003</v>
      </c>
      <c r="G91" t="s">
        <v>1265</v>
      </c>
      <c r="H91" s="90" t="str">
        <f>HYPERLINK("https://scholar.google.com/scholar?hl=en&amp;as_q=&amp;as_oq=&amp;as_eq=&amp;as_sauthors=&amp;as_publication=&amp;as_ylo=&amp;as_yhi=&amp;as_occt=title&amp;as_sdt=0%2C5&amp;as_epq=%22Copper+and+Zinc+Concentrations+in+Bahia+Blanca+Estuary+%28Argentina%29%2C+and+Their+Acute+Lethal+Effects+on+Larv", "Google Scholar")</f>
        <v>Google Scholar</v>
      </c>
    </row>
    <row r="92" spans="1:8" x14ac:dyDescent="0.45">
      <c r="A92">
        <v>19281</v>
      </c>
      <c r="B92" t="s">
        <v>3918</v>
      </c>
      <c r="C92" t="s">
        <v>3919</v>
      </c>
      <c r="D92" t="s">
        <v>3920</v>
      </c>
      <c r="E92">
        <v>1998</v>
      </c>
      <c r="G92" t="s">
        <v>3921</v>
      </c>
      <c r="H92" s="91" t="str">
        <f>HYPERLINK("https://scholar.google.com/scholar?hl=en&amp;as_q=&amp;as_oq=&amp;as_eq=&amp;as_sauthors=&amp;as_publication=&amp;as_ylo=&amp;as_yhi=&amp;as_occt=title&amp;as_sdt=0%2C5&amp;as_epq=%22Mortality+and+LC50+Values+for+Several+Stages+of+the+Marine+Copepod+Tigriopus+brevicornis+%28Muller%29+Exposed+to", "Google Scholar")</f>
        <v>Google Scholar</v>
      </c>
    </row>
    <row r="93" spans="1:8" x14ac:dyDescent="0.45">
      <c r="A93">
        <v>19538</v>
      </c>
      <c r="B93" t="s">
        <v>3180</v>
      </c>
      <c r="C93" t="s">
        <v>3181</v>
      </c>
      <c r="D93" t="s">
        <v>3182</v>
      </c>
      <c r="E93">
        <v>1995</v>
      </c>
      <c r="G93" t="s">
        <v>3183</v>
      </c>
      <c r="H93" s="92" t="str">
        <f>HYPERLINK("https://scholar.google.com/scholar?hl=en&amp;as_q=&amp;as_oq=&amp;as_eq=&amp;as_sauthors=&amp;as_publication=&amp;as_ylo=&amp;as_yhi=&amp;as_occt=title&amp;as_sdt=0%2C5&amp;as_epq=%22Influence+de+la+Teneur+en+Matiere+Organique+de+l%27Eau+de+mer+sur+la+Toxicite+de+l%27Argent+vis-a-vis+du+Copepod", "Google Scholar")</f>
        <v>Google Scholar</v>
      </c>
    </row>
    <row r="94" spans="1:8" x14ac:dyDescent="0.45">
      <c r="A94">
        <v>8836</v>
      </c>
      <c r="B94" t="s">
        <v>1937</v>
      </c>
      <c r="C94" t="s">
        <v>1938</v>
      </c>
      <c r="D94" t="s">
        <v>1939</v>
      </c>
      <c r="E94">
        <v>1973</v>
      </c>
      <c r="G94" t="s">
        <v>1940</v>
      </c>
      <c r="H94" s="93" t="str">
        <f>HYPERLINK("https://scholar.google.com/scholar?hl=en&amp;as_q=&amp;as_oq=&amp;as_eq=&amp;as_sauthors=&amp;as_publication=&amp;as_ylo=&amp;as_yhi=&amp;as_occt=title&amp;as_sdt=0%2C5&amp;as_epq=%22Study+of+Zinc+Toxicity+to+the+Rose+Prawn+Palaemon+serratus+Pennant+%28Etude+de+la+Toxicite+du+Zinc+Pour+la+Creve", "Google Scholar")</f>
        <v>Google Scholar</v>
      </c>
    </row>
    <row r="95" spans="1:8" x14ac:dyDescent="0.45">
      <c r="A95">
        <v>5384</v>
      </c>
      <c r="B95" t="s">
        <v>3411</v>
      </c>
      <c r="C95" t="s">
        <v>3412</v>
      </c>
      <c r="D95" t="s">
        <v>3413</v>
      </c>
      <c r="E95">
        <v>1979</v>
      </c>
      <c r="G95" t="s">
        <v>3414</v>
      </c>
      <c r="H95" s="94" t="str">
        <f>HYPERLINK("https://scholar.google.com/scholar?hl=en&amp;as_q=&amp;as_oq=&amp;as_eq=&amp;as_sauthors=&amp;as_publication=&amp;as_ylo=&amp;as_yhi=&amp;as_occt=title&amp;as_sdt=0%2C5&amp;as_epq=%22The+Influence+of+Salinity+on+Toxicity+of+Cadmium+and+Chromium+to+the+Blue+Crab%2C+Callinectes+sapidus", "Google Scholar")</f>
        <v>Google Scholar</v>
      </c>
    </row>
    <row r="96" spans="1:8" x14ac:dyDescent="0.45">
      <c r="A96">
        <v>118989</v>
      </c>
      <c r="B96" t="s">
        <v>1830</v>
      </c>
      <c r="C96" t="s">
        <v>1831</v>
      </c>
      <c r="D96" t="s">
        <v>1832</v>
      </c>
      <c r="E96">
        <v>2008</v>
      </c>
      <c r="G96" t="s">
        <v>1833</v>
      </c>
      <c r="H96" s="95" t="str">
        <f>HYPERLINK("https://scholar.google.com/scholar?hl=en&amp;as_q=&amp;as_oq=&amp;as_eq=&amp;as_sauthors=&amp;as_publication=&amp;as_ylo=&amp;as_yhi=&amp;as_occt=title&amp;as_sdt=0%2C5&amp;as_epq=%22Does+Mercury+Interact+with+the+Inhibitory+Effect+of+Dichlorvos+on+Palaemon+serratus+%28Crustacea%3A++Decapoda%29", "Google Scholar")</f>
        <v>Google Scholar</v>
      </c>
    </row>
    <row r="97" spans="1:8" x14ac:dyDescent="0.45">
      <c r="A97">
        <v>71692</v>
      </c>
      <c r="B97" t="s">
        <v>1420</v>
      </c>
      <c r="C97" t="s">
        <v>1421</v>
      </c>
      <c r="D97" t="s">
        <v>1422</v>
      </c>
      <c r="E97">
        <v>2003</v>
      </c>
      <c r="G97" t="s">
        <v>1423</v>
      </c>
      <c r="H97" s="96" t="str">
        <f>HYPERLINK("https://scholar.google.com/scholar?hl=en&amp;as_q=&amp;as_oq=&amp;as_eq=&amp;as_sauthors=&amp;as_publication=&amp;as_ylo=&amp;as_yhi=&amp;as_occt=title&amp;as_sdt=0%2C5&amp;as_epq=%22Acute+Toxicity+of+Copper%2C+Zinc%2C+Iron%2C+and+Manganese+and+of+the+Mixtures+Copper-Zinc+and+Iron-Manganese+to+", "Google Scholar")</f>
        <v>Google Scholar</v>
      </c>
    </row>
    <row r="98" spans="1:8" x14ac:dyDescent="0.45">
      <c r="A98">
        <v>117086</v>
      </c>
      <c r="B98" t="s">
        <v>2714</v>
      </c>
      <c r="C98" t="s">
        <v>2715</v>
      </c>
      <c r="D98" t="s">
        <v>2716</v>
      </c>
      <c r="E98">
        <v>2008</v>
      </c>
      <c r="G98" t="s">
        <v>2717</v>
      </c>
      <c r="H98" s="97" t="str">
        <f>HYPERLINK("https://scholar.google.com/scholar?hl=en&amp;as_q=&amp;as_oq=&amp;as_eq=&amp;as_sauthors=&amp;as_publication=&amp;as_ylo=&amp;as_yhi=&amp;as_occt=title&amp;as_sdt=0%2C5&amp;as_epq=%22Histological+Changes+and+Survival+of+Litopenaeus+vannamei+Juveniles+with+Different+Copper+Concentrations", "Google Scholar")</f>
        <v>Google Scholar</v>
      </c>
    </row>
    <row r="99" spans="1:8" x14ac:dyDescent="0.45">
      <c r="A99">
        <v>12327</v>
      </c>
      <c r="B99" t="s">
        <v>2583</v>
      </c>
      <c r="C99" t="s">
        <v>2584</v>
      </c>
      <c r="D99" t="s">
        <v>2585</v>
      </c>
      <c r="E99">
        <v>1985</v>
      </c>
      <c r="G99" t="s">
        <v>2586</v>
      </c>
      <c r="H99" s="98" t="str">
        <f>HYPERLINK("https://scholar.google.com/scholar?hl=en&amp;as_q=&amp;as_oq=&amp;as_eq=&amp;as_sauthors=&amp;as_publication=&amp;as_ylo=&amp;as_yhi=&amp;as_occt=title&amp;as_sdt=0%2C5&amp;as_epq=%22Concentration+and+Toxicity+of+Some+Metals+in+Zooplankton+from+Nearshore+Waters+of+Bombay", "Google Scholar")</f>
        <v>Google Scholar</v>
      </c>
    </row>
    <row r="100" spans="1:8" x14ac:dyDescent="0.45">
      <c r="A100">
        <v>17792</v>
      </c>
      <c r="B100" t="s">
        <v>1267</v>
      </c>
      <c r="C100" t="s">
        <v>1268</v>
      </c>
      <c r="D100" t="s">
        <v>1269</v>
      </c>
      <c r="E100">
        <v>1990</v>
      </c>
      <c r="G100" t="s">
        <v>1270</v>
      </c>
      <c r="H100" s="99" t="str">
        <f>HYPERLINK("https://scholar.google.com/scholar?hl=en&amp;as_q=&amp;as_oq=&amp;as_eq=&amp;as_sauthors=&amp;as_publication=&amp;as_ylo=&amp;as_yhi=&amp;as_occt=title&amp;as_sdt=0%2C5&amp;as_epq=%22Toxicity+of+Heavy+Metals+to+Brine+Shrimp+Artemia", "Google Scholar")</f>
        <v>Google Scholar</v>
      </c>
    </row>
    <row r="101" spans="1:8" x14ac:dyDescent="0.45">
      <c r="A101">
        <v>16613</v>
      </c>
      <c r="B101" t="s">
        <v>1652</v>
      </c>
      <c r="C101" t="s">
        <v>1653</v>
      </c>
      <c r="D101" t="s">
        <v>1654</v>
      </c>
      <c r="E101">
        <v>1994</v>
      </c>
      <c r="G101" t="s">
        <v>1655</v>
      </c>
      <c r="H101" s="100" t="str">
        <f>HYPERLINK("https://scholar.google.com/scholar?hl=en&amp;as_q=&amp;as_oq=&amp;as_eq=&amp;as_sauthors=&amp;as_publication=&amp;as_ylo=&amp;as_yhi=&amp;as_occt=title&amp;as_sdt=0%2C5&amp;as_epq=%22Acute+Toxicity+of+Copper%2C+Mercury+and+Chromium+to+Larvae+of+Penaeus+penicillatus+Alcock", "Google Scholar")</f>
        <v>Google Scholar</v>
      </c>
    </row>
    <row r="102" spans="1:8" x14ac:dyDescent="0.45">
      <c r="A102">
        <v>117932</v>
      </c>
      <c r="B102" t="s">
        <v>1306</v>
      </c>
      <c r="C102" t="s">
        <v>1307</v>
      </c>
      <c r="D102" t="s">
        <v>1308</v>
      </c>
      <c r="E102">
        <v>2008</v>
      </c>
      <c r="G102" t="s">
        <v>1309</v>
      </c>
      <c r="H102" s="101" t="str">
        <f>HYPERLINK("https://scholar.google.com/scholar?hl=en&amp;as_q=&amp;as_oq=&amp;as_eq=&amp;as_sauthors=&amp;as_publication=&amp;as_ylo=&amp;as_yhi=&amp;as_occt=title&amp;as_sdt=0%2C5&amp;as_epq=%22Comparative+Sensitivity+of+a+Tropical+Mysid+Metamysidopsis+insularis+and+the+Temperate+Species+Americamysis+bahi", "Google Scholar")</f>
        <v>Google Scholar</v>
      </c>
    </row>
    <row r="103" spans="1:8" x14ac:dyDescent="0.45">
      <c r="A103">
        <v>3802</v>
      </c>
      <c r="B103" t="s">
        <v>3728</v>
      </c>
      <c r="C103" t="s">
        <v>3729</v>
      </c>
      <c r="D103" t="s">
        <v>3730</v>
      </c>
      <c r="E103">
        <v>1991</v>
      </c>
      <c r="G103" t="s">
        <v>3731</v>
      </c>
      <c r="H103" s="102" t="str">
        <f>HYPERLINK("https://scholar.google.com/scholar?hl=en&amp;as_q=&amp;as_oq=&amp;as_eq=&amp;as_sauthors=&amp;as_publication=&amp;as_ylo=&amp;as_yhi=&amp;as_occt=title&amp;as_sdt=0%2C5&amp;as_epq=%22Sublethal+Effects+of+Cadmium+on+Respiratory+Metabolism%2C+Nutrition%2C+Excretion+and+Hydrolase+Activity+in+Lepto", "Google Scholar")</f>
        <v>Google Scholar</v>
      </c>
    </row>
    <row r="104" spans="1:8" x14ac:dyDescent="0.45">
      <c r="A104">
        <v>10609</v>
      </c>
      <c r="B104" t="s">
        <v>1891</v>
      </c>
      <c r="C104" t="s">
        <v>1892</v>
      </c>
      <c r="D104" t="s">
        <v>1893</v>
      </c>
      <c r="E104">
        <v>1983</v>
      </c>
      <c r="G104" t="s">
        <v>1894</v>
      </c>
      <c r="H104" s="103" t="str">
        <f>HYPERLINK("https://scholar.google.com/scholar?hl=en&amp;as_q=&amp;as_oq=&amp;as_eq=&amp;as_sauthors=&amp;as_publication=&amp;as_ylo=&amp;as_yhi=&amp;as_occt=title&amp;as_sdt=0%2C5&amp;as_epq=%22The+Effects+of+a+Chronic+Mercury+Exposure+on+Survival%2C+Reproduction+and+Population+Dynamics+of+Mysidopsis+bahi", "Google Scholar")</f>
        <v>Google Scholar</v>
      </c>
    </row>
    <row r="105" spans="1:8" x14ac:dyDescent="0.45">
      <c r="A105">
        <v>3734</v>
      </c>
      <c r="B105" t="s">
        <v>804</v>
      </c>
      <c r="C105" t="s">
        <v>741</v>
      </c>
      <c r="D105" t="s">
        <v>805</v>
      </c>
      <c r="E105">
        <v>1982</v>
      </c>
      <c r="G105" t="s">
        <v>806</v>
      </c>
      <c r="H105" s="104" t="str">
        <f>HYPERLINK("https://scholar.google.com/scholar?hl=en&amp;as_q=&amp;as_oq=&amp;as_eq=&amp;as_sauthors=&amp;as_publication=&amp;as_ylo=&amp;as_yhi=&amp;as_occt=title&amp;as_sdt=0%2C5&amp;as_epq=%22Unpublished+Laboratory+Data", "Google Scholar")</f>
        <v>Google Scholar</v>
      </c>
    </row>
    <row r="106" spans="1:8" x14ac:dyDescent="0.45">
      <c r="A106">
        <v>15744</v>
      </c>
      <c r="B106" t="s">
        <v>3886</v>
      </c>
      <c r="C106" t="s">
        <v>3887</v>
      </c>
      <c r="D106" t="s">
        <v>3888</v>
      </c>
      <c r="E106">
        <v>1982</v>
      </c>
      <c r="G106" t="s">
        <v>3889</v>
      </c>
      <c r="H106" s="105" t="str">
        <f>HYPERLINK("https://scholar.google.com/scholar?hl=en&amp;as_q=&amp;as_oq=&amp;as_eq=&amp;as_sauthors=&amp;as_publication=&amp;as_ylo=&amp;as_yhi=&amp;as_occt=title&amp;as_sdt=0%2C5&amp;as_epq=%22Chronic+Effects+of+Cadmium+on+Two+Species+of+Mysid+Shrimp%3A+Mysidopsis+bahia+and+Mysidopsis+bigelowi", "Google Scholar")</f>
        <v>Google Scholar</v>
      </c>
    </row>
    <row r="107" spans="1:8" x14ac:dyDescent="0.45">
      <c r="A107">
        <v>7396</v>
      </c>
      <c r="B107" t="s">
        <v>3062</v>
      </c>
      <c r="C107" t="s">
        <v>3063</v>
      </c>
      <c r="D107" t="s">
        <v>3064</v>
      </c>
      <c r="E107">
        <v>1976</v>
      </c>
      <c r="G107" t="s">
        <v>3065</v>
      </c>
      <c r="H107" s="106" t="str">
        <f>HYPERLINK("https://scholar.google.com/scholar?hl=en&amp;as_q=&amp;as_oq=&amp;as_eq=&amp;as_sauthors=&amp;as_publication=&amp;as_ylo=&amp;as_yhi=&amp;as_occt=title&amp;as_sdt=0%2C5&amp;as_epq=%22Some+Effects+of+Temperature%2C+Chlorine%2C+and+Copper+on+the+Survival+and+Growth+of+the+Coon+Stripe+Shrimp", "Google Scholar")</f>
        <v>Google Scholar</v>
      </c>
    </row>
    <row r="108" spans="1:8" x14ac:dyDescent="0.45">
      <c r="A108">
        <v>5603</v>
      </c>
      <c r="B108" t="s">
        <v>1630</v>
      </c>
      <c r="C108" t="s">
        <v>1631</v>
      </c>
      <c r="D108" t="s">
        <v>1632</v>
      </c>
      <c r="E108">
        <v>1978</v>
      </c>
      <c r="G108" t="s">
        <v>1633</v>
      </c>
      <c r="H108" s="107" t="str">
        <f>HYPERLINK("https://scholar.google.com/scholar?hl=en&amp;as_q=&amp;as_oq=&amp;as_eq=&amp;as_sauthors=&amp;as_publication=&amp;as_ylo=&amp;as_yhi=&amp;as_occt=title&amp;as_sdt=0%2C5&amp;as_epq=%22Acute+Toxicity+of+Mercury+and+Selenium+to+Crassostrea+gigas+Embryos+and+Cancer+magister+Larvae", "Google Scholar")</f>
        <v>Google Scholar</v>
      </c>
    </row>
    <row r="109" spans="1:8" x14ac:dyDescent="0.45">
      <c r="A109">
        <v>14577</v>
      </c>
      <c r="B109" t="s">
        <v>686</v>
      </c>
      <c r="C109" t="s">
        <v>687</v>
      </c>
      <c r="D109" t="s">
        <v>688</v>
      </c>
      <c r="E109">
        <v>1993</v>
      </c>
      <c r="G109" t="s">
        <v>689</v>
      </c>
      <c r="H109" s="108" t="str">
        <f>HYPERLINK("https://scholar.google.com/scholar?hl=en&amp;as_q=&amp;as_oq=&amp;as_eq=&amp;as_sauthors=&amp;as_publication=&amp;as_ylo=&amp;as_yhi=&amp;as_occt=title&amp;as_sdt=0%2C5&amp;as_epq=%22Toxicity+of+Heavy+Metals+in+Aquaculture+Organisms%3A++Penaeus+indicus%2C+Perna+viridis%2C+Artemia+salina+and+Ske", "Google Scholar")</f>
        <v>Google Scholar</v>
      </c>
    </row>
    <row r="110" spans="1:8" x14ac:dyDescent="0.45">
      <c r="A110">
        <v>9365</v>
      </c>
      <c r="B110" t="s">
        <v>1016</v>
      </c>
      <c r="C110" t="s">
        <v>1017</v>
      </c>
      <c r="D110" t="s">
        <v>1018</v>
      </c>
      <c r="E110">
        <v>1993</v>
      </c>
      <c r="G110" t="s">
        <v>1019</v>
      </c>
      <c r="H110" s="109" t="str">
        <f>HYPERLINK("https://scholar.google.com/scholar?hl=en&amp;as_q=&amp;as_oq=&amp;as_eq=&amp;as_sauthors=&amp;as_publication=&amp;as_ylo=&amp;as_yhi=&amp;as_occt=title&amp;as_sdt=0%2C5&amp;as_epq=%22Aqueous-%2C+Pore-Water-%2C+and+Sediment-Phase+Cadmium%3A+Toxicity+Relationships+for+a+Meiobenthic+Copepod", "Google Scholar")</f>
        <v>Google Scholar</v>
      </c>
    </row>
    <row r="111" spans="1:8" x14ac:dyDescent="0.45">
      <c r="A111">
        <v>10063</v>
      </c>
      <c r="B111" t="s">
        <v>1921</v>
      </c>
      <c r="C111" t="s">
        <v>1922</v>
      </c>
      <c r="D111" t="s">
        <v>1923</v>
      </c>
      <c r="E111">
        <v>1983</v>
      </c>
      <c r="G111" t="s">
        <v>1924</v>
      </c>
      <c r="H111" s="110" t="str">
        <f>HYPERLINK("https://scholar.google.com/scholar?hl=en&amp;as_q=&amp;as_oq=&amp;as_eq=&amp;as_sauthors=&amp;as_publication=&amp;as_ylo=&amp;as_yhi=&amp;as_occt=title&amp;as_sdt=0%2C5&amp;as_epq=%22Acute+Toxicity+of+Zinc+and+Cadmium+to+Zoeae+of+Three+Species+of+Portunid+Crabs+%28Crustacea%3A+Brachyura%29", "Google Scholar")</f>
        <v>Google Scholar</v>
      </c>
    </row>
    <row r="112" spans="1:8" x14ac:dyDescent="0.45">
      <c r="A112">
        <v>49789</v>
      </c>
      <c r="B112" t="s">
        <v>3987</v>
      </c>
      <c r="C112" t="s">
        <v>3988</v>
      </c>
      <c r="D112" t="s">
        <v>3989</v>
      </c>
      <c r="E112">
        <v>1995</v>
      </c>
      <c r="G112" t="s">
        <v>3990</v>
      </c>
      <c r="H112" s="111" t="str">
        <f>HYPERLINK("https://scholar.google.com/scholar?hl=en&amp;as_q=&amp;as_oq=&amp;as_eq=&amp;as_sauthors=&amp;as_publication=&amp;as_ylo=&amp;as_yhi=&amp;as_occt=title&amp;as_sdt=0%2C5&amp;as_epq=%22Effects+of+Cadmium+on+Survival%2C+Osmoregulatory+Ability+and+Bioenergetics+of+Juvenile+Blue+Crabs+Callinectes+sa", "Google Scholar")</f>
        <v>Google Scholar</v>
      </c>
    </row>
    <row r="113" spans="1:8" x14ac:dyDescent="0.45">
      <c r="A113">
        <v>84649</v>
      </c>
      <c r="B113" t="s">
        <v>2466</v>
      </c>
      <c r="C113" t="s">
        <v>2467</v>
      </c>
      <c r="D113" t="s">
        <v>2468</v>
      </c>
      <c r="E113">
        <v>1997</v>
      </c>
      <c r="G113" t="s">
        <v>2469</v>
      </c>
      <c r="H113" s="112" t="str">
        <f>HYPERLINK("https://scholar.google.com/scholar?hl=en&amp;as_q=&amp;as_oq=&amp;as_eq=&amp;as_sauthors=&amp;as_publication=&amp;as_ylo=&amp;as_yhi=&amp;as_occt=title&amp;as_sdt=0%2C5&amp;as_epq=%22Oil+and+Dispersed+Oil+Toxicity+to+Amphipods+and+Snails", "Google Scholar")</f>
        <v>Google Scholar</v>
      </c>
    </row>
    <row r="114" spans="1:8" x14ac:dyDescent="0.45">
      <c r="A114">
        <v>111830</v>
      </c>
      <c r="B114" t="s">
        <v>2338</v>
      </c>
      <c r="C114" t="s">
        <v>2339</v>
      </c>
      <c r="D114" t="s">
        <v>2340</v>
      </c>
      <c r="E114">
        <v>2008</v>
      </c>
      <c r="G114" t="s">
        <v>2341</v>
      </c>
      <c r="H114" s="113" t="str">
        <f>HYPERLINK("https://scholar.google.com/scholar?hl=en&amp;as_q=&amp;as_oq=&amp;as_eq=&amp;as_sauthors=&amp;as_publication=&amp;as_ylo=&amp;as_yhi=&amp;as_occt=title&amp;as_sdt=0%2C5&amp;as_epq=%22Zinc+Sulfate+and+Atrazine+Toxicity+to+the+Marine+Harpacticoid+Copepod+Robertsonia+propinqua", "Google Scholar")</f>
        <v>Google Scholar</v>
      </c>
    </row>
    <row r="115" spans="1:8" x14ac:dyDescent="0.45">
      <c r="A115">
        <v>59877</v>
      </c>
      <c r="B115" t="s">
        <v>1117</v>
      </c>
      <c r="C115" t="s">
        <v>1118</v>
      </c>
      <c r="D115" t="s">
        <v>1119</v>
      </c>
      <c r="E115">
        <v>2001</v>
      </c>
      <c r="G115" t="s">
        <v>1120</v>
      </c>
      <c r="H115" s="114" t="str">
        <f>HYPERLINK("https://scholar.google.com/scholar?hl=en&amp;as_q=&amp;as_oq=&amp;as_eq=&amp;as_sauthors=&amp;as_publication=&amp;as_ylo=&amp;as_yhi=&amp;as_occt=title&amp;as_sdt=0%2C5&amp;as_epq=%22Acute+Toxicity+of+Five+Sediment-Associated+Metals%2C+Individually+and+in+a+Mixture%2C+to+the+Estuarine+Meiobenth", "Google Scholar")</f>
        <v>Google Scholar</v>
      </c>
    </row>
    <row r="116" spans="1:8" x14ac:dyDescent="0.45">
      <c r="A116">
        <v>17219</v>
      </c>
      <c r="B116" t="s">
        <v>3869</v>
      </c>
      <c r="C116" t="s">
        <v>3954</v>
      </c>
      <c r="D116" t="s">
        <v>3955</v>
      </c>
      <c r="E116">
        <v>1994</v>
      </c>
      <c r="G116" t="s">
        <v>3956</v>
      </c>
      <c r="H116" s="115" t="str">
        <f>HYPERLINK("https://scholar.google.com/scholar?hl=en&amp;as_q=&amp;as_oq=&amp;as_eq=&amp;as_sauthors=&amp;as_publication=&amp;as_ylo=&amp;as_yhi=&amp;as_occt=title&amp;as_sdt=0%2C5&amp;as_epq=%22The+Effect+of+Salinity+on+the+Acute+Toxicity+of+Total+Dissolved+and+Free+Cadmium+to+the+Copepod+Eurytemora+affin", "Google Scholar")</f>
        <v>Google Scholar</v>
      </c>
    </row>
    <row r="117" spans="1:8" x14ac:dyDescent="0.45">
      <c r="A117">
        <v>18671</v>
      </c>
      <c r="B117" t="s">
        <v>3869</v>
      </c>
      <c r="C117" t="s">
        <v>3870</v>
      </c>
      <c r="D117" t="s">
        <v>3871</v>
      </c>
      <c r="E117">
        <v>1995</v>
      </c>
      <c r="G117" t="s">
        <v>3872</v>
      </c>
      <c r="H117" s="116" t="str">
        <f>HYPERLINK("https://scholar.google.com/scholar?hl=en&amp;as_q=&amp;as_oq=&amp;as_eq=&amp;as_sauthors=&amp;as_publication=&amp;as_ylo=&amp;as_yhi=&amp;as_occt=title&amp;as_sdt=0%2C5&amp;as_epq=%22The+Effect+of+Salinity+on+the+Acute+Toxicity+of+Total+and+Free+Cadmium+to+a+Chesapeake+Bay+Copepod+and+Fish", "Google Scholar")</f>
        <v>Google Scholar</v>
      </c>
    </row>
    <row r="118" spans="1:8" x14ac:dyDescent="0.45">
      <c r="A118">
        <v>107036</v>
      </c>
      <c r="B118" t="s">
        <v>1505</v>
      </c>
      <c r="C118" t="s">
        <v>1506</v>
      </c>
      <c r="D118" t="s">
        <v>1507</v>
      </c>
      <c r="E118">
        <v>2008</v>
      </c>
      <c r="G118" t="s">
        <v>1508</v>
      </c>
      <c r="H118" s="117" t="str">
        <f>HYPERLINK("https://scholar.google.com/scholar?hl=en&amp;as_q=&amp;as_oq=&amp;as_eq=&amp;as_sauthors=&amp;as_publication=&amp;as_ylo=&amp;as_yhi=&amp;as_occt=title&amp;as_sdt=0%2C5&amp;as_epq=%22The+Influence+of+Salinity+and+Dissolved+Organic+Carbon+on+the+Toxicity+of+Copper+to+the+Estuarine+Copepod%2C+Eur", "Google Scholar")</f>
        <v>Google Scholar</v>
      </c>
    </row>
    <row r="119" spans="1:8" x14ac:dyDescent="0.45">
      <c r="A119">
        <v>18395</v>
      </c>
      <c r="B119" t="s">
        <v>1531</v>
      </c>
      <c r="C119" t="s">
        <v>1532</v>
      </c>
      <c r="D119" t="s">
        <v>1533</v>
      </c>
      <c r="E119">
        <v>1997</v>
      </c>
      <c r="G119" t="s">
        <v>1534</v>
      </c>
      <c r="H119" s="118" t="str">
        <f>HYPERLINK("https://scholar.google.com/scholar?hl=en&amp;as_q=&amp;as_oq=&amp;as_eq=&amp;as_sauthors=&amp;as_publication=&amp;as_ylo=&amp;as_yhi=&amp;as_occt=title&amp;as_sdt=0%2C5&amp;as_epq=%22Acute+and+Chronic+Toxicity+of+Copper+to+the+Estuarine+Copepod+Eurytemora+affinis%3A+Influence+of+Organic+Complex", "Google Scholar")</f>
        <v>Google Scholar</v>
      </c>
    </row>
    <row r="120" spans="1:8" x14ac:dyDescent="0.45">
      <c r="A120">
        <v>11326</v>
      </c>
      <c r="B120" t="s">
        <v>1701</v>
      </c>
      <c r="C120" t="s">
        <v>1702</v>
      </c>
      <c r="D120" t="s">
        <v>1703</v>
      </c>
      <c r="E120">
        <v>1981</v>
      </c>
      <c r="G120" t="s">
        <v>1704</v>
      </c>
      <c r="H120" s="119" t="str">
        <f>HYPERLINK("https://scholar.google.com/scholar?hl=en&amp;as_q=&amp;as_oq=&amp;as_eq=&amp;as_sauthors=&amp;as_publication=&amp;as_ylo=&amp;as_yhi=&amp;as_occt=title&amp;as_sdt=0%2C5&amp;as_epq=%22A+Comparative+Study+of+Mercury+Poisoning+on+Aphanius+dispar+%28Teleostei%29%2C+Sergestes+lucens+%28Crustacea%29+", "Google Scholar")</f>
        <v>Google Scholar</v>
      </c>
    </row>
    <row r="121" spans="1:8" x14ac:dyDescent="0.45">
      <c r="A121">
        <v>17415</v>
      </c>
      <c r="B121" t="s">
        <v>2267</v>
      </c>
      <c r="C121" t="s">
        <v>2268</v>
      </c>
      <c r="D121" t="s">
        <v>2269</v>
      </c>
      <c r="E121">
        <v>1985</v>
      </c>
      <c r="G121" t="s">
        <v>2270</v>
      </c>
      <c r="H121" s="120" t="str">
        <f>HYPERLINK("https://scholar.google.com/scholar?hl=en&amp;as_q=&amp;as_oq=&amp;as_eq=&amp;as_sauthors=&amp;as_publication=&amp;as_ylo=&amp;as_yhi=&amp;as_occt=title&amp;as_sdt=0%2C5&amp;as_epq=%22Toxic+Effects+of+Both+Zinc+and+Copper+on+Size+and+Sex+of+Portunus+pelagicus+%28L%29+%28Crustacea%3A++Decapoda%29", "Google Scholar")</f>
        <v>Google Scholar</v>
      </c>
    </row>
    <row r="122" spans="1:8" x14ac:dyDescent="0.45">
      <c r="A122">
        <v>2621</v>
      </c>
      <c r="B122" t="s">
        <v>3561</v>
      </c>
      <c r="C122" t="s">
        <v>3562</v>
      </c>
      <c r="D122" t="s">
        <v>3563</v>
      </c>
      <c r="E122">
        <v>1987</v>
      </c>
      <c r="G122" t="s">
        <v>3564</v>
      </c>
      <c r="H122" s="121" t="str">
        <f>HYPERLINK("https://scholar.google.com/scholar?hl=en&amp;as_q=&amp;as_oq=&amp;as_eq=&amp;as_sauthors=&amp;as_publication=&amp;as_ylo=&amp;as_yhi=&amp;as_occt=title&amp;as_sdt=0%2C5&amp;as_epq=%22Acute+Toxicity+of+Cadmium+to+Eight+Species+of+Marine+Amphipod+and+Isopod+Crustaceans+from+Southern+California", "Google Scholar")</f>
        <v>Google Scholar</v>
      </c>
    </row>
    <row r="123" spans="1:8" x14ac:dyDescent="0.45">
      <c r="A123">
        <v>59900</v>
      </c>
      <c r="B123" t="s">
        <v>885</v>
      </c>
      <c r="C123" t="s">
        <v>886</v>
      </c>
      <c r="D123" t="s">
        <v>887</v>
      </c>
      <c r="E123">
        <v>2001</v>
      </c>
      <c r="G123" t="s">
        <v>888</v>
      </c>
      <c r="H123" s="122" t="str">
        <f>HYPERLINK("https://scholar.google.com/scholar?hl=en&amp;as_q=&amp;as_oq=&amp;as_eq=&amp;as_sauthors=&amp;as_publication=&amp;as_ylo=&amp;as_yhi=&amp;as_occt=title&amp;as_sdt=0%2C5&amp;as_epq=%22Sublethal+Effects+of+Silver+in+Zooplankton%3A++Importance+of+Exposure+Pathways+and+Implications+for+Toxicity+Tes", "Google Scholar")</f>
        <v>Google Scholar</v>
      </c>
    </row>
    <row r="124" spans="1:8" x14ac:dyDescent="0.45">
      <c r="A124">
        <v>3170</v>
      </c>
      <c r="B124" t="s">
        <v>3976</v>
      </c>
      <c r="C124" t="s">
        <v>3977</v>
      </c>
      <c r="D124" t="s">
        <v>3978</v>
      </c>
      <c r="E124">
        <v>1990</v>
      </c>
      <c r="G124" t="s">
        <v>3979</v>
      </c>
      <c r="H124" s="123" t="str">
        <f>HYPERLINK("https://scholar.google.com/scholar?hl=en&amp;as_q=&amp;as_oq=&amp;as_eq=&amp;as_sauthors=&amp;as_publication=&amp;as_ylo=&amp;as_yhi=&amp;as_occt=title&amp;as_sdt=0%2C5&amp;as_epq=%22Effects+of+Salinity%2C+Temperature%2C+and+Cadmium+on+Cadmium-Binding+Protein+in+the+Grass+Shrimp%2C+Palaemonetes", "Google Scholar")</f>
        <v>Google Scholar</v>
      </c>
    </row>
    <row r="125" spans="1:8" x14ac:dyDescent="0.45">
      <c r="A125">
        <v>19130</v>
      </c>
      <c r="B125" t="s">
        <v>1497</v>
      </c>
      <c r="C125" t="s">
        <v>1498</v>
      </c>
      <c r="D125" t="s">
        <v>1499</v>
      </c>
      <c r="E125">
        <v>1989</v>
      </c>
      <c r="G125" t="s">
        <v>1500</v>
      </c>
      <c r="H125" s="124" t="str">
        <f>HYPERLINK("https://scholar.google.com/scholar?hl=en&amp;as_q=&amp;as_oq=&amp;as_eq=&amp;as_sauthors=&amp;as_publication=&amp;as_ylo=&amp;as_yhi=&amp;as_occt=title&amp;as_sdt=0%2C5&amp;as_epq=%22Marine+Bioassay+Project.++4th+Report.++Experimental+Evaluation+of+Effluent+Toxicity+Testing+Protocols+with+Giant", "Google Scholar")</f>
        <v>Google Scholar</v>
      </c>
    </row>
    <row r="126" spans="1:8" x14ac:dyDescent="0.45">
      <c r="A126">
        <v>14137</v>
      </c>
      <c r="B126" t="s">
        <v>626</v>
      </c>
      <c r="C126" t="s">
        <v>627</v>
      </c>
      <c r="D126" t="s">
        <v>628</v>
      </c>
      <c r="E126">
        <v>1994</v>
      </c>
      <c r="G126" t="s">
        <v>629</v>
      </c>
      <c r="H126" s="125" t="str">
        <f>HYPERLINK("https://scholar.google.com/scholar?hl=en&amp;as_q=&amp;as_oq=&amp;as_eq=&amp;as_sauthors=&amp;as_publication=&amp;as_ylo=&amp;as_yhi=&amp;as_occt=title&amp;as_sdt=0%2C5&amp;as_epq=%22Toxicity+of+Cadmium%2C+Hexavalent+Chromium+and+Copper+to+Marine+Fish+Larvae+%28Cypinodon+variegatus%29+and+Copep", "Google Scholar")</f>
        <v>Google Scholar</v>
      </c>
    </row>
    <row r="127" spans="1:8" x14ac:dyDescent="0.45">
      <c r="A127">
        <v>153073</v>
      </c>
      <c r="B127" t="s">
        <v>2827</v>
      </c>
      <c r="C127" t="s">
        <v>2828</v>
      </c>
      <c r="D127" t="s">
        <v>2829</v>
      </c>
      <c r="E127">
        <v>2010</v>
      </c>
      <c r="G127" t="s">
        <v>2830</v>
      </c>
      <c r="H127" s="126" t="str">
        <f>HYPERLINK("https://scholar.google.com/scholar?hl=en&amp;as_q=&amp;as_oq=&amp;as_eq=&amp;as_sauthors=&amp;as_publication=&amp;as_ylo=&amp;as_yhi=&amp;as_occt=title&amp;as_sdt=0%2C5&amp;as_epq=%22Molecular+Characterization+and+Expression+of+Vitellogenin+%28Vg%29+Genes+from+the+Cyclopoid+Copepod%2C+Paracyclo", "Google Scholar")</f>
        <v>Google Scholar</v>
      </c>
    </row>
    <row r="128" spans="1:8" x14ac:dyDescent="0.45">
      <c r="A128">
        <v>19001</v>
      </c>
      <c r="B128" t="s">
        <v>1525</v>
      </c>
      <c r="C128" t="s">
        <v>1526</v>
      </c>
      <c r="D128" t="s">
        <v>1527</v>
      </c>
      <c r="E128">
        <v>1998</v>
      </c>
      <c r="G128" t="s">
        <v>1528</v>
      </c>
      <c r="H128" s="127" t="str">
        <f>HYPERLINK("https://scholar.google.com/scholar?hl=en&amp;as_q=&amp;as_oq=&amp;as_eq=&amp;as_sauthors=&amp;as_publication=&amp;as_ylo=&amp;as_yhi=&amp;as_occt=title&amp;as_sdt=0%2C5&amp;as_epq=%22Application+of+a+Benthic+Euryhaline+Amphipod%2C+Corophium+sp.%2C+as+a+Sediment+Toxicity+Testing+Organism+for+Bot", "Google Scholar")</f>
        <v>Google Scholar</v>
      </c>
    </row>
    <row r="129" spans="1:8" x14ac:dyDescent="0.45">
      <c r="A129">
        <v>4043</v>
      </c>
      <c r="B129" t="s">
        <v>1070</v>
      </c>
      <c r="C129" t="s">
        <v>1071</v>
      </c>
      <c r="D129" t="s">
        <v>1072</v>
      </c>
      <c r="E129">
        <v>1990</v>
      </c>
      <c r="G129" t="s">
        <v>1073</v>
      </c>
      <c r="H129" s="128" t="str">
        <f>HYPERLINK("https://scholar.google.com/scholar?hl=en&amp;as_q=&amp;as_oq=&amp;as_eq=&amp;as_sauthors=&amp;as_publication=&amp;as_ylo=&amp;as_yhi=&amp;as_occt=title&amp;as_sdt=0%2C5&amp;as_epq=%22Toxicity+of+Copper+to+Larval+and+Postlarval+Stages+of+Macrobrachium+rosenbergii+%28De+Man%29", "Google Scholar")</f>
        <v>Google Scholar</v>
      </c>
    </row>
    <row r="130" spans="1:8" x14ac:dyDescent="0.45">
      <c r="A130">
        <v>84127</v>
      </c>
      <c r="B130" t="s">
        <v>680</v>
      </c>
      <c r="C130" t="s">
        <v>681</v>
      </c>
      <c r="D130" t="s">
        <v>682</v>
      </c>
      <c r="E130">
        <v>2005</v>
      </c>
      <c r="G130" t="s">
        <v>683</v>
      </c>
      <c r="H130" s="129" t="str">
        <f>HYPERLINK("https://scholar.google.com/scholar?hl=en&amp;as_q=&amp;as_oq=&amp;as_eq=&amp;as_sauthors=&amp;as_publication=&amp;as_ylo=&amp;as_yhi=&amp;as_occt=title&amp;as_sdt=0%2C5&amp;as_epq=%22The+Effect+of+the+Heavy+Metals+Lead+%28Pb2%2B%29+and+Zinc+%28Zn2%2B%29+on+the+Brood+and+Larval+Development+of+th", "Google Scholar")</f>
        <v>Google Scholar</v>
      </c>
    </row>
    <row r="131" spans="1:8" x14ac:dyDescent="0.45">
      <c r="A131">
        <v>3764</v>
      </c>
      <c r="B131" t="s">
        <v>3624</v>
      </c>
      <c r="C131" t="s">
        <v>3625</v>
      </c>
      <c r="D131" t="s">
        <v>3626</v>
      </c>
      <c r="E131">
        <v>1982</v>
      </c>
      <c r="G131" t="s">
        <v>3627</v>
      </c>
      <c r="H131" s="130" t="str">
        <f>HYPERLINK("https://scholar.google.com/scholar?hl=en&amp;as_q=&amp;as_oq=&amp;as_eq=&amp;as_sauthors=&amp;as_publication=&amp;as_ylo=&amp;as_yhi=&amp;as_occt=title&amp;as_sdt=0%2C5&amp;as_epq=%22The+Use+of+Bioenergetics+to+Investigate+the+Mechanisms+of+Pollutant+Toxicity+in+Crustacean+Larvae", "Google Scholar")</f>
        <v>Google Scholar</v>
      </c>
    </row>
    <row r="132" spans="1:8" x14ac:dyDescent="0.45">
      <c r="A132">
        <v>3733</v>
      </c>
      <c r="B132" t="s">
        <v>2015</v>
      </c>
      <c r="C132" t="s">
        <v>1994</v>
      </c>
      <c r="D132" t="s">
        <v>2016</v>
      </c>
      <c r="E132">
        <v>1985</v>
      </c>
      <c r="G132" t="s">
        <v>2017</v>
      </c>
      <c r="H132" s="131" t="str">
        <f>HYPERLINK("https://scholar.google.com/scholar?hl=en&amp;as_q=&amp;as_oq=&amp;as_eq=&amp;as_sauthors=&amp;as_publication=&amp;as_ylo=&amp;as_yhi=&amp;as_occt=title&amp;as_sdt=0%2C5&amp;as_epq=%22Results+of+Acute+Toxicity+Tests+Conducted+with+Zinc+at+ERL%2C+Narragansett", "Google Scholar")</f>
        <v>Google Scholar</v>
      </c>
    </row>
    <row r="133" spans="1:8" x14ac:dyDescent="0.45">
      <c r="A133">
        <v>5391</v>
      </c>
      <c r="B133" t="s">
        <v>616</v>
      </c>
      <c r="C133" t="s">
        <v>617</v>
      </c>
      <c r="D133" t="s">
        <v>618</v>
      </c>
      <c r="E133">
        <v>1979</v>
      </c>
      <c r="G133" t="s">
        <v>619</v>
      </c>
      <c r="H133" s="132" t="str">
        <f>HYPERLINK("https://scholar.google.com/scholar?hl=en&amp;as_q=&amp;as_oq=&amp;as_eq=&amp;as_sauthors=&amp;as_publication=&amp;as_ylo=&amp;as_yhi=&amp;as_occt=title&amp;as_sdt=0%2C5&amp;as_epq=%22Acute+Toxicity+of+Cadmium%2C+Copper%2C+and+Mercury+to+Larval+American+Lobster+Homarus+americanus", "Google Scholar")</f>
        <v>Google Scholar</v>
      </c>
    </row>
    <row r="134" spans="1:8" x14ac:dyDescent="0.45">
      <c r="A134">
        <v>198</v>
      </c>
      <c r="B134" t="s">
        <v>3472</v>
      </c>
      <c r="C134" t="s">
        <v>3473</v>
      </c>
      <c r="D134" t="s">
        <v>3474</v>
      </c>
      <c r="E134">
        <v>1989</v>
      </c>
      <c r="G134" t="s">
        <v>3475</v>
      </c>
      <c r="H134" s="133" t="str">
        <f>HYPERLINK("https://scholar.google.com/scholar?hl=en&amp;as_q=&amp;as_oq=&amp;as_eq=&amp;as_sauthors=&amp;as_publication=&amp;as_ylo=&amp;as_yhi=&amp;as_occt=title&amp;as_sdt=0%2C5&amp;as_epq=%22Acute+and+Rapid-Chronic+Toxicity+of+Hexavalent+Chromium+to+Five+Marine+Species", "Google Scholar")</f>
        <v>Google Scholar</v>
      </c>
    </row>
    <row r="135" spans="1:8" x14ac:dyDescent="0.45">
      <c r="A135">
        <v>175889</v>
      </c>
      <c r="B135" t="s">
        <v>364</v>
      </c>
      <c r="C135" t="s">
        <v>365</v>
      </c>
      <c r="D135" t="s">
        <v>366</v>
      </c>
      <c r="E135">
        <v>2016</v>
      </c>
      <c r="G135" t="s">
        <v>367</v>
      </c>
      <c r="H135" s="134" t="str">
        <f>HYPERLINK("https://scholar.google.com/scholar?hl=en&amp;as_q=&amp;as_oq=&amp;as_eq=&amp;as_sauthors=&amp;as_publication=&amp;as_ylo=&amp;as_yhi=&amp;as_occt=title&amp;as_sdt=0%2C5&amp;as_epq=%22Acute+Toxicity+of+Organic+Antifouling+Biocides+to+Phytoplankton+Nitzschia+pungens+and+Zooplankton+Artemia+Larvae", "Google Scholar")</f>
        <v>Google Scholar</v>
      </c>
    </row>
    <row r="136" spans="1:8" x14ac:dyDescent="0.45">
      <c r="A136">
        <v>69820</v>
      </c>
      <c r="B136" t="s">
        <v>2280</v>
      </c>
      <c r="C136" t="s">
        <v>2281</v>
      </c>
      <c r="D136" t="s">
        <v>2282</v>
      </c>
      <c r="E136">
        <v>2000</v>
      </c>
      <c r="G136" t="s">
        <v>2283</v>
      </c>
      <c r="H136" s="135" t="str">
        <f>HYPERLINK("https://scholar.google.com/scholar?hl=en&amp;as_q=&amp;as_oq=&amp;as_eq=&amp;as_sauthors=&amp;as_publication=&amp;as_ylo=&amp;as_yhi=&amp;as_occt=title&amp;as_sdt=0%2C5&amp;as_epq=%22Acute+Toxicity+Bioassay+of+Endosulfan%2C+HCH%2C+Copper+and+Zinc+on+Larva+of+Mangrove+Crab+Macrophthalmus+erato+%", "Google Scholar")</f>
        <v>Google Scholar</v>
      </c>
    </row>
    <row r="137" spans="1:8" x14ac:dyDescent="0.45">
      <c r="A137">
        <v>192310</v>
      </c>
      <c r="B137" t="s">
        <v>2528</v>
      </c>
      <c r="C137" t="s">
        <v>2529</v>
      </c>
      <c r="D137" t="s">
        <v>2530</v>
      </c>
      <c r="E137">
        <v>2021</v>
      </c>
      <c r="G137" t="s">
        <v>2531</v>
      </c>
      <c r="H137" s="136" t="str">
        <f>HYPERLINK("https://scholar.google.com/scholar?hl=en&amp;as_q=&amp;as_oq=&amp;as_eq=&amp;as_sauthors=&amp;as_publication=&amp;as_ylo=&amp;as_yhi=&amp;as_occt=title&amp;as_sdt=0%2C5&amp;as_epq=%22Prescribing+Sea+Water+Quality+Criteria+for+Arsenic%2C+Cadmium+and+Lead+Through+Species+Sensitivity+Distribution", "Google Scholar")</f>
        <v>Google Scholar</v>
      </c>
    </row>
    <row r="138" spans="1:8" x14ac:dyDescent="0.45">
      <c r="A138">
        <v>16323</v>
      </c>
      <c r="B138" t="s">
        <v>2771</v>
      </c>
      <c r="C138" t="s">
        <v>2772</v>
      </c>
      <c r="D138" t="s">
        <v>2773</v>
      </c>
      <c r="E138">
        <v>1994</v>
      </c>
      <c r="G138" t="s">
        <v>2774</v>
      </c>
      <c r="H138" s="137" t="str">
        <f>HYPERLINK("https://scholar.google.com/scholar?hl=en&amp;as_q=&amp;as_oq=&amp;as_eq=&amp;as_sauthors=&amp;as_publication=&amp;as_ylo=&amp;as_yhi=&amp;as_occt=title&amp;as_sdt=0%2C5&amp;as_epq=%22Trigonelline%2C+an+Antifouling+Substance+Isolated+from+an+Octocoral+dendronephthya+sp", "Google Scholar")</f>
        <v>Google Scholar</v>
      </c>
    </row>
    <row r="139" spans="1:8" x14ac:dyDescent="0.45">
      <c r="A139">
        <v>2196</v>
      </c>
      <c r="B139" t="s">
        <v>3940</v>
      </c>
      <c r="C139" t="s">
        <v>3941</v>
      </c>
      <c r="D139" t="s">
        <v>3942</v>
      </c>
      <c r="E139">
        <v>1988</v>
      </c>
      <c r="G139" t="s">
        <v>3943</v>
      </c>
      <c r="H139" s="138" t="str">
        <f>HYPERLINK("https://scholar.google.com/scholar?hl=en&amp;as_q=&amp;as_oq=&amp;as_eq=&amp;as_sauthors=&amp;as_publication=&amp;as_ylo=&amp;as_yhi=&amp;as_occt=title&amp;as_sdt=0%2C5&amp;as_epq=%22Studies+of+Cadmium+Tolerance+in+Two+Populations+of+Grass+Shrimp%2C+Palaemonetes+pugio", "Google Scholar")</f>
        <v>Google Scholar</v>
      </c>
    </row>
    <row r="140" spans="1:8" x14ac:dyDescent="0.45">
      <c r="A140">
        <v>62226</v>
      </c>
      <c r="B140" t="s">
        <v>2372</v>
      </c>
      <c r="C140" t="s">
        <v>2373</v>
      </c>
      <c r="D140" t="s">
        <v>2374</v>
      </c>
      <c r="E140">
        <v>1999</v>
      </c>
      <c r="G140" t="s">
        <v>2375</v>
      </c>
      <c r="H140" s="139" t="str">
        <f>HYPERLINK("https://scholar.google.com/scholar?hl=en&amp;as_q=&amp;as_oq=&amp;as_eq=&amp;as_sauthors=&amp;as_publication=&amp;as_ylo=&amp;as_yhi=&amp;as_occt=title&amp;as_sdt=0%2C5&amp;as_epq=%22Heavy+Metal+Bioassays+on+Selected+Fauna+from+the+Karachi+Coast+%28Northwest+Arabian+Sea%29", "Google Scholar")</f>
        <v>Google Scholar</v>
      </c>
    </row>
    <row r="141" spans="1:8" x14ac:dyDescent="0.45">
      <c r="A141">
        <v>101781</v>
      </c>
      <c r="B141" t="s">
        <v>1226</v>
      </c>
      <c r="C141" t="s">
        <v>1227</v>
      </c>
      <c r="D141" t="s">
        <v>1228</v>
      </c>
      <c r="E141">
        <v>2006</v>
      </c>
      <c r="G141" t="s">
        <v>1229</v>
      </c>
      <c r="H141" s="140" t="str">
        <f>HYPERLINK("https://scholar.google.com/scholar?hl=en&amp;as_q=&amp;as_oq=&amp;as_eq=&amp;as_sauthors=&amp;as_publication=&amp;as_ylo=&amp;as_yhi=&amp;as_occt=title&amp;as_sdt=0%2C5&amp;as_epq=%22Sensitivities+of+Australian+and+New+Zealand+Amphipods+to+Copper+and+Zinc+in+Waters+and+Metal-Spiked+Sediments", "Google Scholar")</f>
        <v>Google Scholar</v>
      </c>
    </row>
    <row r="142" spans="1:8" x14ac:dyDescent="0.45">
      <c r="A142">
        <v>100591</v>
      </c>
      <c r="B142" t="s">
        <v>2164</v>
      </c>
      <c r="C142" t="s">
        <v>2165</v>
      </c>
      <c r="D142" t="s">
        <v>2166</v>
      </c>
      <c r="E142">
        <v>2006</v>
      </c>
      <c r="G142" t="s">
        <v>2167</v>
      </c>
      <c r="H142" s="141" t="str">
        <f>HYPERLINK("https://scholar.google.com/scholar?hl=en&amp;as_q=&amp;as_oq=&amp;as_eq=&amp;as_sauthors=&amp;as_publication=&amp;as_ylo=&amp;as_yhi=&amp;as_occt=title&amp;as_sdt=0%2C5&amp;as_epq=%22Acute+Toxicity+and+Bioaccumulation+of+Aqueous+and+Sediment-Bound+Metals+in+the+Estuarine+Amphipod+Melita+plumulo", "Google Scholar")</f>
        <v>Google Scholar</v>
      </c>
    </row>
    <row r="143" spans="1:8" x14ac:dyDescent="0.45">
      <c r="A143">
        <v>11259</v>
      </c>
      <c r="B143" t="s">
        <v>3245</v>
      </c>
      <c r="C143" t="s">
        <v>3246</v>
      </c>
      <c r="D143" t="s">
        <v>3247</v>
      </c>
      <c r="E143">
        <v>1984</v>
      </c>
      <c r="G143" t="s">
        <v>3248</v>
      </c>
      <c r="H143" s="142" t="str">
        <f>HYPERLINK("https://scholar.google.com/scholar?hl=en&amp;as_q=&amp;as_oq=&amp;as_eq=&amp;as_sauthors=&amp;as_publication=&amp;as_ylo=&amp;as_yhi=&amp;as_occt=title&amp;as_sdt=0%2C5&amp;as_epq=%22Effects+of+Four+Heavy+Metals+on+Survival+and+Hatching+Rate+of+Artemia+salina+%28L.%29", "Google Scholar")</f>
        <v>Google Scholar</v>
      </c>
    </row>
    <row r="144" spans="1:8" x14ac:dyDescent="0.45">
      <c r="A144">
        <v>17293</v>
      </c>
      <c r="B144" t="s">
        <v>996</v>
      </c>
      <c r="C144" t="s">
        <v>997</v>
      </c>
      <c r="D144" t="s">
        <v>998</v>
      </c>
      <c r="E144">
        <v>1994</v>
      </c>
      <c r="G144" t="s">
        <v>999</v>
      </c>
      <c r="H144" s="143" t="str">
        <f>HYPERLINK("https://scholar.google.com/scholar?hl=en&amp;as_q=&amp;as_oq=&amp;as_eq=&amp;as_sauthors=&amp;as_publication=&amp;as_ylo=&amp;as_yhi=&amp;as_occt=title&amp;as_sdt=0%2C5&amp;as_epq=%22Acute+Toxicity+of+Ammonia+to+Four+Species+of+Marine+Amphipod", "Google Scholar")</f>
        <v>Google Scholar</v>
      </c>
    </row>
    <row r="145" spans="1:8" x14ac:dyDescent="0.45">
      <c r="A145">
        <v>16408</v>
      </c>
      <c r="B145" t="s">
        <v>530</v>
      </c>
      <c r="C145" t="s">
        <v>531</v>
      </c>
      <c r="D145" t="s">
        <v>532</v>
      </c>
      <c r="E145">
        <v>1993</v>
      </c>
      <c r="G145" t="s">
        <v>533</v>
      </c>
      <c r="H145" s="144" t="str">
        <f>HYPERLINK("https://scholar.google.com/scholar?hl=en&amp;as_q=&amp;as_oq=&amp;as_eq=&amp;as_sauthors=&amp;as_publication=&amp;as_ylo=&amp;as_yhi=&amp;as_occt=title&amp;as_sdt=0%2C5&amp;as_epq=%22Using+Barnacle+Larvae+for+Evaluation+of+the+Toxicity+of+Antifouling+Paint+Compounds", "Google Scholar")</f>
        <v>Google Scholar</v>
      </c>
    </row>
    <row r="146" spans="1:8" x14ac:dyDescent="0.45">
      <c r="A146">
        <v>101947</v>
      </c>
      <c r="B146" t="s">
        <v>4061</v>
      </c>
      <c r="C146" t="s">
        <v>4062</v>
      </c>
      <c r="D146" t="s">
        <v>4063</v>
      </c>
      <c r="E146">
        <v>2007</v>
      </c>
      <c r="G146" t="s">
        <v>4064</v>
      </c>
      <c r="H146" s="145" t="str">
        <f>HYPERLINK("https://scholar.google.com/scholar?hl=en&amp;as_q=&amp;as_oq=&amp;as_eq=&amp;as_sauthors=&amp;as_publication=&amp;as_ylo=&amp;as_yhi=&amp;as_occt=title&amp;as_sdt=0%2C5&amp;as_epq=%22Toxicity+of+Four+Antifouling+Biocides+and+Their+Mixtures+on+the+Brine+Shrimp+Artemia+salina", "Google Scholar")</f>
        <v>Google Scholar</v>
      </c>
    </row>
    <row r="147" spans="1:8" x14ac:dyDescent="0.45">
      <c r="A147">
        <v>12227</v>
      </c>
      <c r="B147" t="s">
        <v>323</v>
      </c>
      <c r="C147" t="s">
        <v>324</v>
      </c>
      <c r="D147" t="s">
        <v>325</v>
      </c>
      <c r="E147">
        <v>1986</v>
      </c>
      <c r="G147" t="s">
        <v>326</v>
      </c>
      <c r="H147" s="146" t="str">
        <f>HYPERLINK("https://scholar.google.com/scholar?hl=en&amp;as_q=&amp;as_oq=&amp;as_eq=&amp;as_sauthors=&amp;as_publication=&amp;as_ylo=&amp;as_yhi=&amp;as_occt=title&amp;as_sdt=0%2C5&amp;as_epq=%22Differences+in+the+Effects+of+Mercury+on+Predator+Avoidance+in+Two+Populations+of+the+Grass+Shrimp+Palaemonetes+", "Google Scholar")</f>
        <v>Google Scholar</v>
      </c>
    </row>
    <row r="148" spans="1:8" x14ac:dyDescent="0.45">
      <c r="A148">
        <v>12413</v>
      </c>
      <c r="B148" t="s">
        <v>273</v>
      </c>
      <c r="C148" t="s">
        <v>274</v>
      </c>
      <c r="D148" t="s">
        <v>275</v>
      </c>
      <c r="E148">
        <v>1987</v>
      </c>
      <c r="G148" t="s">
        <v>276</v>
      </c>
      <c r="H148" s="147" t="str">
        <f>HYPERLINK("https://scholar.google.com/scholar?hl=en&amp;as_q=&amp;as_oq=&amp;as_eq=&amp;as_sauthors=&amp;as_publication=&amp;as_ylo=&amp;as_yhi=&amp;as_occt=title&amp;as_sdt=0%2C5&amp;as_epq=%22Toxic+Effects+of+Certain+Heavy+Metals+%28Hg%2C+Cd%2C+Pb%2C+As+and+Se%29+on+the+Intertidal+Crab+Scylla+serrata", "Google Scholar")</f>
        <v>Google Scholar</v>
      </c>
    </row>
    <row r="149" spans="1:8" x14ac:dyDescent="0.45">
      <c r="A149">
        <v>11524</v>
      </c>
      <c r="B149" t="s">
        <v>3546</v>
      </c>
      <c r="C149" t="s">
        <v>3547</v>
      </c>
      <c r="D149" t="s">
        <v>3548</v>
      </c>
      <c r="E149">
        <v>1983</v>
      </c>
      <c r="G149" t="s">
        <v>3549</v>
      </c>
      <c r="H149" s="148" t="str">
        <f>HYPERLINK("https://scholar.google.com/scholar?hl=en&amp;as_q=&amp;as_oq=&amp;as_eq=&amp;as_sauthors=&amp;as_publication=&amp;as_ylo=&amp;as_yhi=&amp;as_occt=title&amp;as_sdt=0%2C5&amp;as_epq=%22Influence+of+Temperature+and+Salinity+on+the+Toxicity+of+Cadmium+to+the+Estuarine+Crab+Varuna+littorata", "Google Scholar")</f>
        <v>Google Scholar</v>
      </c>
    </row>
    <row r="150" spans="1:8" x14ac:dyDescent="0.45">
      <c r="A150">
        <v>68179</v>
      </c>
      <c r="B150" t="s">
        <v>3387</v>
      </c>
      <c r="C150" t="s">
        <v>3388</v>
      </c>
      <c r="D150" t="s">
        <v>3389</v>
      </c>
      <c r="E150">
        <v>2001</v>
      </c>
      <c r="G150" t="s">
        <v>3390</v>
      </c>
      <c r="H150" s="149" t="str">
        <f>HYPERLINK("https://scholar.google.com/scholar?hl=en&amp;as_q=&amp;as_oq=&amp;as_eq=&amp;as_sauthors=&amp;as_publication=&amp;as_ylo=&amp;as_yhi=&amp;as_occt=title&amp;as_sdt=0%2C5&amp;as_epq=%22Assessment+of+Toxicity+and+Bioaccumulation+of+Organotin+Compounds", "Google Scholar")</f>
        <v>Google Scholar</v>
      </c>
    </row>
    <row r="151" spans="1:8" x14ac:dyDescent="0.45">
      <c r="A151">
        <v>4076</v>
      </c>
      <c r="B151" t="s">
        <v>2861</v>
      </c>
      <c r="C151" t="s">
        <v>2862</v>
      </c>
      <c r="D151" t="s">
        <v>2863</v>
      </c>
      <c r="E151">
        <v>1992</v>
      </c>
      <c r="G151" t="s">
        <v>2864</v>
      </c>
      <c r="H151" s="150" t="str">
        <f>HYPERLINK("https://scholar.google.com/scholar?hl=en&amp;as_q=&amp;as_oq=&amp;as_eq=&amp;as_sauthors=&amp;as_publication=&amp;as_ylo=&amp;as_yhi=&amp;as_occt=title&amp;as_sdt=0%2C5&amp;as_epq=%22Effects+of+Copper+Sulfate+on+Kuruma+Prawn+%28Penaeus+japonica%29+and+Culture+Environments", "Google Scholar")</f>
        <v>Google Scholar</v>
      </c>
    </row>
    <row r="152" spans="1:8" x14ac:dyDescent="0.45">
      <c r="A152">
        <v>52818</v>
      </c>
      <c r="B152" t="s">
        <v>3419</v>
      </c>
      <c r="C152" t="s">
        <v>3420</v>
      </c>
      <c r="D152" t="s">
        <v>3421</v>
      </c>
      <c r="E152">
        <v>1999</v>
      </c>
      <c r="G152" t="s">
        <v>3422</v>
      </c>
      <c r="H152" s="151" t="str">
        <f>HYPERLINK("https://scholar.google.com/scholar?hl=en&amp;as_q=&amp;as_oq=&amp;as_eq=&amp;as_sauthors=&amp;as_publication=&amp;as_ylo=&amp;as_yhi=&amp;as_occt=title&amp;as_sdt=0%2C5&amp;as_epq=%22Fully+Defined+Saltwater+Medium+for+Cultivation+of+and+Toxicity+Testing+with+Marine+Copepod+Acartia+tonsa", "Google Scholar")</f>
        <v>Google Scholar</v>
      </c>
    </row>
    <row r="153" spans="1:8" x14ac:dyDescent="0.45">
      <c r="A153">
        <v>115854</v>
      </c>
      <c r="B153" t="s">
        <v>400</v>
      </c>
      <c r="C153" t="s">
        <v>401</v>
      </c>
      <c r="D153" t="s">
        <v>402</v>
      </c>
      <c r="E153">
        <v>2008</v>
      </c>
      <c r="G153" t="s">
        <v>403</v>
      </c>
      <c r="H153" s="152" t="str">
        <f>HYPERLINK("https://scholar.google.com/scholar?hl=en&amp;as_q=&amp;as_oq=&amp;as_eq=&amp;as_sauthors=&amp;as_publication=&amp;as_ylo=&amp;as_yhi=&amp;as_occt=title&amp;as_sdt=0%2C5&amp;as_epq=%22Copper+Toxicity+in+the+Marine+Copepod+Tigropus+japonicus%3A++Low+Variability+and+High+Reproducibility+of+Repeate", "Google Scholar")</f>
        <v>Google Scholar</v>
      </c>
    </row>
    <row r="154" spans="1:8" x14ac:dyDescent="0.45">
      <c r="A154">
        <v>111599</v>
      </c>
      <c r="B154" t="s">
        <v>3089</v>
      </c>
      <c r="C154" t="s">
        <v>3090</v>
      </c>
      <c r="D154" t="s">
        <v>3091</v>
      </c>
      <c r="E154">
        <v>2005</v>
      </c>
      <c r="G154" t="s">
        <v>3092</v>
      </c>
      <c r="H154" s="153" t="str">
        <f>HYPERLINK("https://scholar.google.com/scholar?hl=en&amp;as_q=&amp;as_oq=&amp;as_eq=&amp;as_sauthors=&amp;as_publication=&amp;as_ylo=&amp;as_yhi=&amp;as_occt=title&amp;as_sdt=0%2C5&amp;as_epq=%22Toxicity+of+Antifouling+Biocides+to+the+Intertidal+Harpacticoid+Copepod+Tigriopus+japonicus+%28Crustacea%2C+Cope", "Google Scholar")</f>
        <v>Google Scholar</v>
      </c>
    </row>
    <row r="155" spans="1:8" x14ac:dyDescent="0.45">
      <c r="A155">
        <v>2579</v>
      </c>
      <c r="B155" t="s">
        <v>3791</v>
      </c>
      <c r="C155" t="s">
        <v>3792</v>
      </c>
      <c r="D155" t="s">
        <v>3793</v>
      </c>
      <c r="E155">
        <v>1981</v>
      </c>
      <c r="G155" t="s">
        <v>3794</v>
      </c>
      <c r="H155" s="154" t="str">
        <f>HYPERLINK("https://scholar.google.com/scholar?hl=en&amp;as_q=&amp;as_oq=&amp;as_eq=&amp;as_sauthors=&amp;as_publication=&amp;as_ylo=&amp;as_yhi=&amp;as_occt=title&amp;as_sdt=0%2C5&amp;as_epq=%22The+Effects+of+Copper+and+Cadmium+on+the+Behavior+and+Development+of+Barnacle+Larvae", "Google Scholar")</f>
        <v>Google Scholar</v>
      </c>
    </row>
    <row r="156" spans="1:8" x14ac:dyDescent="0.45">
      <c r="A156">
        <v>5258</v>
      </c>
      <c r="B156" t="s">
        <v>602</v>
      </c>
      <c r="C156" t="s">
        <v>603</v>
      </c>
      <c r="D156" t="s">
        <v>604</v>
      </c>
      <c r="E156">
        <v>1980</v>
      </c>
      <c r="G156" t="s">
        <v>605</v>
      </c>
      <c r="H156" s="155" t="str">
        <f>HYPERLINK("https://scholar.google.com/scholar?hl=en&amp;as_q=&amp;as_oq=&amp;as_eq=&amp;as_sauthors=&amp;as_publication=&amp;as_ylo=&amp;as_yhi=&amp;as_occt=title&amp;as_sdt=0%2C5&amp;as_epq=%22Acute+Toxicity+and+Sublethal+Behavioral+Effects+of+Copper+on+Barnacle+Nauplii+%28Balanus+improvisus%29", "Google Scholar")</f>
        <v>Google Scholar</v>
      </c>
    </row>
    <row r="157" spans="1:8" x14ac:dyDescent="0.45">
      <c r="A157">
        <v>19811</v>
      </c>
      <c r="B157" t="s">
        <v>3306</v>
      </c>
      <c r="C157" t="s">
        <v>3307</v>
      </c>
      <c r="D157" t="s">
        <v>3308</v>
      </c>
      <c r="E157">
        <v>1998</v>
      </c>
      <c r="G157" t="s">
        <v>3309</v>
      </c>
      <c r="H157" s="156" t="str">
        <f>HYPERLINK("https://scholar.google.com/scholar?hl=en&amp;as_q=&amp;as_oq=&amp;as_eq=&amp;as_sauthors=&amp;as_publication=&amp;as_ylo=&amp;as_yhi=&amp;as_occt=title&amp;as_sdt=0%2C5&amp;as_epq=%22Sensitivity+of+the+Meiofaunal+Copepod+Tisbe+longicornis+to+K2Cr2O7+Under+Varying+Temperature+Regimes", "Google Scholar")</f>
        <v>Google Scholar</v>
      </c>
    </row>
    <row r="158" spans="1:8" x14ac:dyDescent="0.45">
      <c r="A158">
        <v>77803</v>
      </c>
      <c r="B158" t="s">
        <v>2659</v>
      </c>
      <c r="C158" t="s">
        <v>2660</v>
      </c>
      <c r="D158" t="s">
        <v>2661</v>
      </c>
      <c r="E158">
        <v>1996</v>
      </c>
      <c r="G158" t="s">
        <v>2662</v>
      </c>
      <c r="H158" s="157" t="str">
        <f>HYPERLINK("https://scholar.google.com/scholar?hl=en&amp;as_q=&amp;as_oq=&amp;as_eq=&amp;as_sauthors=&amp;as_publication=&amp;as_ylo=&amp;as_yhi=&amp;as_occt=title&amp;as_sdt=0%2C5&amp;as_epq=%22The+Potential+Role+of+the+Estuarine+Amphipod+Gammarus+duebeni+in+Sub-Lethal+Ecotoxicology+Testing", "Google Scholar")</f>
        <v>Google Scholar</v>
      </c>
    </row>
    <row r="159" spans="1:8" x14ac:dyDescent="0.45">
      <c r="A159">
        <v>73403</v>
      </c>
      <c r="B159" t="s">
        <v>2112</v>
      </c>
      <c r="C159" t="s">
        <v>2113</v>
      </c>
      <c r="D159" t="s">
        <v>2114</v>
      </c>
      <c r="E159">
        <v>2004</v>
      </c>
      <c r="G159" t="s">
        <v>2115</v>
      </c>
      <c r="H159" s="158" t="str">
        <f>HYPERLINK("https://scholar.google.com/scholar?hl=en&amp;as_q=&amp;as_oq=&amp;as_eq=&amp;as_sauthors=&amp;as_publication=&amp;as_ylo=&amp;as_yhi=&amp;as_occt=title&amp;as_sdt=0%2C5&amp;as_epq=%22Importance+of+Equilibration+Time+in+the+Partitioning+and+Toxicity+of+Zinc+in+Spiked+Sediment+Bioassays", "Google Scholar")</f>
        <v>Google Scholar</v>
      </c>
    </row>
    <row r="160" spans="1:8" x14ac:dyDescent="0.45">
      <c r="A160">
        <v>111315</v>
      </c>
      <c r="B160" t="s">
        <v>2104</v>
      </c>
      <c r="C160" t="s">
        <v>2105</v>
      </c>
      <c r="D160" t="s">
        <v>2106</v>
      </c>
      <c r="E160">
        <v>2007</v>
      </c>
      <c r="G160" t="s">
        <v>2107</v>
      </c>
      <c r="H160" s="159" t="str">
        <f>HYPERLINK("https://scholar.google.com/scholar?hl=en&amp;as_q=&amp;as_oq=&amp;as_eq=&amp;as_sauthors=&amp;as_publication=&amp;as_ylo=&amp;as_yhi=&amp;as_occt=title&amp;as_sdt=0%2C5&amp;as_epq=%22Acute+Toxicities+of+Trace+Metals+and+Common+Xenobiotics+to+the+Marine+Copepod+Tigriopus+japonicus%3A++Evaluation", "Google Scholar")</f>
        <v>Google Scholar</v>
      </c>
    </row>
    <row r="161" spans="1:8" x14ac:dyDescent="0.45">
      <c r="A161">
        <v>107127</v>
      </c>
      <c r="B161" t="s">
        <v>3199</v>
      </c>
      <c r="C161" t="s">
        <v>3200</v>
      </c>
      <c r="D161" t="s">
        <v>3201</v>
      </c>
      <c r="E161">
        <v>2008</v>
      </c>
      <c r="G161" t="s">
        <v>3202</v>
      </c>
      <c r="H161" s="160" t="str">
        <f>HYPERLINK("https://scholar.google.com/scholar?hl=en&amp;as_q=&amp;as_oq=&amp;as_eq=&amp;as_sauthors=&amp;as_publication=&amp;as_ylo=&amp;as_yhi=&amp;as_occt=title&amp;as_sdt=0%2C5&amp;as_epq=%22Expression+of+Glutathione+S-Transferase+%28GST%29+Genes+in+the+Marine+Copepod+Tigriopus+japonicus+Exposed+to+Tra", "Google Scholar")</f>
        <v>Google Scholar</v>
      </c>
    </row>
    <row r="162" spans="1:8" x14ac:dyDescent="0.45">
      <c r="A162">
        <v>17681</v>
      </c>
      <c r="B162" t="s">
        <v>2550</v>
      </c>
      <c r="C162" t="s">
        <v>2551</v>
      </c>
      <c r="D162" t="s">
        <v>2552</v>
      </c>
      <c r="E162">
        <v>1990</v>
      </c>
      <c r="G162" t="s">
        <v>2553</v>
      </c>
      <c r="H162" s="161" t="str">
        <f>HYPERLINK("https://scholar.google.com/scholar?hl=en&amp;as_q=&amp;as_oq=&amp;as_eq=&amp;as_sauthors=&amp;as_publication=&amp;as_ylo=&amp;as_yhi=&amp;as_occt=title&amp;as_sdt=0%2C5&amp;as_epq=%22Studies+on+the+Tolerance+of+Postlarvae+of+Penaeus+monodon%2C+P.+japonicus%2C+P.+semisulcatus%2C+P.+penicillatus%", "Google Scholar")</f>
        <v>Google Scholar</v>
      </c>
    </row>
    <row r="163" spans="1:8" x14ac:dyDescent="0.45">
      <c r="A163">
        <v>14402</v>
      </c>
      <c r="B163" t="s">
        <v>2216</v>
      </c>
      <c r="C163" t="s">
        <v>2217</v>
      </c>
      <c r="D163" t="s">
        <v>2218</v>
      </c>
      <c r="E163">
        <v>1993</v>
      </c>
      <c r="G163" t="s">
        <v>2219</v>
      </c>
      <c r="H163" s="162" t="str">
        <f>HYPERLINK("https://scholar.google.com/scholar?hl=en&amp;as_q=&amp;as_oq=&amp;as_eq=&amp;as_sauthors=&amp;as_publication=&amp;as_ylo=&amp;as_yhi=&amp;as_occt=title&amp;as_sdt=0%2C5&amp;as_epq=%22The+Toxicity+of+Heavy+Metals+to+Juvenile+Penaeus+penicillatus+in+Each+Stage", "Google Scholar")</f>
        <v>Google Scholar</v>
      </c>
    </row>
    <row r="164" spans="1:8" x14ac:dyDescent="0.45">
      <c r="A164">
        <v>5185</v>
      </c>
      <c r="B164" t="s">
        <v>2491</v>
      </c>
      <c r="C164" t="s">
        <v>2492</v>
      </c>
      <c r="D164" t="s">
        <v>2493</v>
      </c>
      <c r="E164">
        <v>1979</v>
      </c>
      <c r="F164" t="s">
        <v>4085</v>
      </c>
      <c r="G164" t="s">
        <v>2494</v>
      </c>
      <c r="H164" s="163" t="str">
        <f>HYPERLINK("https://scholar.google.com/scholar?hl=en&amp;as_q=&amp;as_oq=&amp;as_eq=&amp;as_sauthors=&amp;as_publication=&amp;as_ylo=&amp;as_yhi=&amp;as_occt=title&amp;as_sdt=0%2C5&amp;as_epq=%22The+Acute+Toxicity+of+78+Chemicals+and+Pesticide+Formulations+Against+Two+Brackish+Water+Organisms%2C+the+Bleak+", "Google Scholar")</f>
        <v>Google Scholar</v>
      </c>
    </row>
    <row r="165" spans="1:8" x14ac:dyDescent="0.45">
      <c r="A165">
        <v>18730</v>
      </c>
      <c r="B165" t="s">
        <v>693</v>
      </c>
      <c r="C165" t="s">
        <v>694</v>
      </c>
      <c r="D165" t="s">
        <v>695</v>
      </c>
      <c r="E165">
        <v>1995</v>
      </c>
      <c r="G165" t="s">
        <v>696</v>
      </c>
      <c r="H165" s="164" t="str">
        <f>HYPERLINK("https://scholar.google.com/scholar?hl=en&amp;as_q=&amp;as_oq=&amp;as_eq=&amp;as_sauthors=&amp;as_publication=&amp;as_ylo=&amp;as_yhi=&amp;as_occt=title&amp;as_sdt=0%2C5&amp;as_epq=%22Influence+of+Toxicity+of+Metal+Ions+on+Survival+of+Larval+of+Penaeus+orientalis", "Google Scholar")</f>
        <v>Google Scholar</v>
      </c>
    </row>
    <row r="166" spans="1:8" x14ac:dyDescent="0.45">
      <c r="A166">
        <v>51641</v>
      </c>
      <c r="B166" t="s">
        <v>1212</v>
      </c>
      <c r="C166" t="s">
        <v>1213</v>
      </c>
      <c r="D166" t="s">
        <v>1214</v>
      </c>
      <c r="E166">
        <v>2000</v>
      </c>
      <c r="G166" t="s">
        <v>1215</v>
      </c>
      <c r="H166" s="165" t="str">
        <f>HYPERLINK("https://scholar.google.com/scholar?hl=en&amp;as_q=&amp;as_oq=&amp;as_eq=&amp;as_sauthors=&amp;as_publication=&amp;as_ylo=&amp;as_yhi=&amp;as_occt=title&amp;as_sdt=0%2C5&amp;as_epq=%22Heavy+Metal+Toxicity+and+Differential+Effects+on+the+Hyperglycemic+Stress+Response+in+the+Shrimp+Palaemon+elegan", "Google Scholar")</f>
        <v>Google Scholar</v>
      </c>
    </row>
    <row r="167" spans="1:8" x14ac:dyDescent="0.45">
      <c r="A167">
        <v>14770</v>
      </c>
      <c r="B167" t="s">
        <v>308</v>
      </c>
      <c r="C167" t="s">
        <v>309</v>
      </c>
      <c r="D167" t="s">
        <v>310</v>
      </c>
      <c r="E167">
        <v>1991</v>
      </c>
      <c r="G167" t="s">
        <v>311</v>
      </c>
      <c r="H167" s="166" t="str">
        <f>HYPERLINK("https://scholar.google.com/scholar?hl=en&amp;as_q=&amp;as_oq=&amp;as_eq=&amp;as_sauthors=&amp;as_publication=&amp;as_ylo=&amp;as_yhi=&amp;as_occt=title&amp;as_sdt=0%2C5&amp;as_epq=%22Transport+and+Toxicity+of+Metal+Pollutants+to+Marine+Organisms", "Google Scholar")</f>
        <v>Google Scholar</v>
      </c>
    </row>
    <row r="168" spans="1:8" x14ac:dyDescent="0.45">
      <c r="A168">
        <v>3744</v>
      </c>
      <c r="B168" t="s">
        <v>1993</v>
      </c>
      <c r="C168" t="s">
        <v>1994</v>
      </c>
      <c r="D168" t="s">
        <v>1995</v>
      </c>
      <c r="E168">
        <v>1985</v>
      </c>
      <c r="G168" t="s">
        <v>1996</v>
      </c>
      <c r="H168" s="167" t="str">
        <f>HYPERLINK("https://scholar.google.com/scholar?hl=en&amp;as_q=&amp;as_oq=&amp;as_eq=&amp;as_sauthors=&amp;as_publication=&amp;as_ylo=&amp;as_yhi=&amp;as_occt=title&amp;as_sdt=0%2C5&amp;as_epq=%22Results+of+Acute+Toxicity+Tests+Conducted+with+Zinc+at+ERL%2C+Narragansett", "Google Scholar")</f>
        <v>Google Scholar</v>
      </c>
    </row>
    <row r="169" spans="1:8" x14ac:dyDescent="0.45">
      <c r="A169">
        <v>3743</v>
      </c>
      <c r="B169" t="s">
        <v>2066</v>
      </c>
      <c r="C169" t="s">
        <v>1994</v>
      </c>
      <c r="D169" t="s">
        <v>2067</v>
      </c>
      <c r="E169">
        <v>1985</v>
      </c>
      <c r="G169" t="s">
        <v>2068</v>
      </c>
      <c r="H169" s="168" t="str">
        <f>HYPERLINK("https://scholar.google.com/scholar?hl=en&amp;as_q=&amp;as_oq=&amp;as_eq=&amp;as_sauthors=&amp;as_publication=&amp;as_ylo=&amp;as_yhi=&amp;as_occt=title&amp;as_sdt=0%2C5&amp;as_epq=%22Results+of+Acute+Toxicity+Tests+Conducted+with+Zinc+at+ERL%2C+Narragansett", "Google Scholar")</f>
        <v>Google Scholar</v>
      </c>
    </row>
    <row r="170" spans="1:8" x14ac:dyDescent="0.45">
      <c r="A170">
        <v>76240</v>
      </c>
      <c r="B170" t="s">
        <v>650</v>
      </c>
      <c r="C170" t="s">
        <v>651</v>
      </c>
      <c r="D170" t="s">
        <v>652</v>
      </c>
      <c r="E170">
        <v>1985</v>
      </c>
      <c r="G170" t="s">
        <v>653</v>
      </c>
      <c r="H170" s="169" t="str">
        <f>HYPERLINK("https://scholar.google.com/scholar?hl=en&amp;as_q=&amp;as_oq=&amp;as_eq=&amp;as_sauthors=&amp;as_publication=&amp;as_ylo=&amp;as_yhi=&amp;as_occt=title&amp;as_sdt=0%2C5&amp;as_epq=%22Results+of+Acute+Toxicity+Tests+Conducted+with+Copper+at+ERL%2C+Narragansett", "Google Scholar")</f>
        <v>Google Scholar</v>
      </c>
    </row>
    <row r="171" spans="1:8" x14ac:dyDescent="0.45">
      <c r="A171">
        <v>11331</v>
      </c>
      <c r="B171" t="s">
        <v>1554</v>
      </c>
      <c r="C171" t="s">
        <v>1555</v>
      </c>
      <c r="D171" t="s">
        <v>1556</v>
      </c>
      <c r="E171">
        <v>1985</v>
      </c>
      <c r="G171" t="s">
        <v>1557</v>
      </c>
      <c r="H171" s="170" t="str">
        <f>HYPERLINK("https://scholar.google.com/scholar?hl=en&amp;as_q=&amp;as_oq=&amp;as_eq=&amp;as_sauthors=&amp;as_publication=&amp;as_ylo=&amp;as_yhi=&amp;as_occt=title&amp;as_sdt=0%2C5&amp;as_epq=%22Acute+and+Chronic+Effects+of+Heavy+Metals+and+Cyanide+on+Mysidopsis+bahia+%28Crustacea%3A++Mysidacea%29", "Google Scholar")</f>
        <v>Google Scholar</v>
      </c>
    </row>
    <row r="172" spans="1:8" x14ac:dyDescent="0.45">
      <c r="A172">
        <v>3828</v>
      </c>
      <c r="B172" t="s">
        <v>2150</v>
      </c>
      <c r="C172" t="s">
        <v>2151</v>
      </c>
      <c r="D172" t="s">
        <v>2067</v>
      </c>
      <c r="E172">
        <v>1985</v>
      </c>
      <c r="G172" t="s">
        <v>2152</v>
      </c>
      <c r="H172" s="171" t="str">
        <f>HYPERLINK("https://scholar.google.com/scholar?hl=en&amp;as_q=&amp;as_oq=&amp;as_eq=&amp;as_sauthors=&amp;as_publication=&amp;as_ylo=&amp;as_yhi=&amp;as_occt=title&amp;as_sdt=0%2C5&amp;as_epq=%22Results+of+Acute+Toxicity+Tests+Conducted+with+Nickel+at+ERL%2C+Narragansett", "Google Scholar")</f>
        <v>Google Scholar</v>
      </c>
    </row>
    <row r="173" spans="1:8" x14ac:dyDescent="0.45">
      <c r="A173">
        <v>3735</v>
      </c>
      <c r="B173" t="s">
        <v>725</v>
      </c>
      <c r="C173" t="s">
        <v>651</v>
      </c>
      <c r="D173" t="s">
        <v>2518</v>
      </c>
      <c r="E173">
        <v>1985</v>
      </c>
      <c r="G173" t="s">
        <v>2519</v>
      </c>
      <c r="H173" s="172" t="str">
        <f>HYPERLINK("https://scholar.google.com/scholar?hl=en&amp;as_q=&amp;as_oq=&amp;as_eq=&amp;as_sauthors=&amp;as_publication=&amp;as_ylo=&amp;as_yhi=&amp;as_occt=title&amp;as_sdt=0%2C5&amp;as_epq=%22Results+of+Acute+Toxicity+Tests+Conducted+with+Copper+at+ERL%2C+Narragansett", "Google Scholar")</f>
        <v>Google Scholar</v>
      </c>
    </row>
    <row r="174" spans="1:8" x14ac:dyDescent="0.45">
      <c r="A174">
        <v>3825</v>
      </c>
      <c r="B174" t="s">
        <v>725</v>
      </c>
      <c r="C174" t="s">
        <v>726</v>
      </c>
      <c r="D174" t="s">
        <v>727</v>
      </c>
      <c r="E174">
        <v>1985</v>
      </c>
      <c r="G174" t="s">
        <v>728</v>
      </c>
      <c r="H174" s="173" t="str">
        <f>HYPERLINK("https://scholar.google.com/scholar?hl=en&amp;as_q=&amp;as_oq=&amp;as_eq=&amp;as_sauthors=&amp;as_publication=&amp;as_ylo=&amp;as_yhi=&amp;as_occt=title&amp;as_sdt=0%2C5&amp;as_epq=%22Results+of+Acute+Toxicity+Tests+Conducted+with+Silver+at+ERL%2C+Narragansett", "Google Scholar")</f>
        <v>Google Scholar</v>
      </c>
    </row>
    <row r="175" spans="1:8" x14ac:dyDescent="0.45">
      <c r="A175">
        <v>3826</v>
      </c>
      <c r="B175" t="s">
        <v>725</v>
      </c>
      <c r="C175" t="s">
        <v>2151</v>
      </c>
      <c r="D175" t="s">
        <v>2170</v>
      </c>
      <c r="E175">
        <v>1985</v>
      </c>
      <c r="G175" t="s">
        <v>2171</v>
      </c>
      <c r="H175" s="174" t="str">
        <f>HYPERLINK("https://scholar.google.com/scholar?hl=en&amp;as_q=&amp;as_oq=&amp;as_eq=&amp;as_sauthors=&amp;as_publication=&amp;as_ylo=&amp;as_yhi=&amp;as_occt=title&amp;as_sdt=0%2C5&amp;as_epq=%22Results+of+Acute+Toxicity+Tests+Conducted+with+Nickel+at+ERL%2C+Narragansett", "Google Scholar")</f>
        <v>Google Scholar</v>
      </c>
    </row>
    <row r="176" spans="1:8" x14ac:dyDescent="0.45">
      <c r="A176">
        <v>14601</v>
      </c>
      <c r="B176" t="s">
        <v>725</v>
      </c>
      <c r="C176" t="s">
        <v>3763</v>
      </c>
      <c r="D176" t="s">
        <v>805</v>
      </c>
      <c r="E176">
        <v>1985</v>
      </c>
      <c r="G176" t="s">
        <v>3764</v>
      </c>
      <c r="H176" s="175" t="str">
        <f>HYPERLINK("https://scholar.google.com/scholar?hl=en&amp;as_q=&amp;as_oq=&amp;as_eq=&amp;as_sauthors=&amp;as_publication=&amp;as_ylo=&amp;as_yhi=&amp;as_occt=title&amp;as_sdt=0%2C5&amp;as_epq=%22Results+of+Acute+Toxicity+Tests+Conducted+with+Cadmium+at+ERL%2C+Narragansett", "Google Scholar")</f>
        <v>Google Scholar</v>
      </c>
    </row>
    <row r="177" spans="1:8" x14ac:dyDescent="0.45">
      <c r="A177">
        <v>154096</v>
      </c>
      <c r="B177" t="s">
        <v>2308</v>
      </c>
      <c r="C177" t="s">
        <v>2309</v>
      </c>
      <c r="D177" t="s">
        <v>2310</v>
      </c>
      <c r="E177">
        <v>2011</v>
      </c>
      <c r="G177" t="s">
        <v>2311</v>
      </c>
      <c r="H177" s="176" t="str">
        <f>HYPERLINK("https://scholar.google.com/scholar?hl=en&amp;as_q=&amp;as_oq=&amp;as_eq=&amp;as_sauthors=&amp;as_publication=&amp;as_ylo=&amp;as_yhi=&amp;as_occt=title&amp;as_sdt=0%2C5&amp;as_epq=%22Pattern+of+Accumulation+of+Heavy+Metals+%28Copper+and+Zinc%29+in+the+Estuarine+Hermit+Crab+Clibanarius+longitars", "Google Scholar")</f>
        <v>Google Scholar</v>
      </c>
    </row>
    <row r="178" spans="1:8" x14ac:dyDescent="0.45">
      <c r="A178">
        <v>7069</v>
      </c>
      <c r="B178" t="s">
        <v>3284</v>
      </c>
      <c r="C178" t="s">
        <v>3285</v>
      </c>
      <c r="D178" t="s">
        <v>3286</v>
      </c>
      <c r="E178">
        <v>1989</v>
      </c>
      <c r="G178" t="s">
        <v>3287</v>
      </c>
      <c r="H178" s="177" t="str">
        <f>HYPERLINK("https://scholar.google.com/scholar?hl=en&amp;as_q=&amp;as_oq=&amp;as_eq=&amp;as_sauthors=&amp;as_publication=&amp;as_ylo=&amp;as_yhi=&amp;as_occt=title&amp;as_sdt=0%2C5&amp;as_epq=%22The+Comparative+Toxicity+of+Crude+and+Refined+Oils+to+Daphnia+magna+and+Artemia", "Google Scholar")</f>
        <v>Google Scholar</v>
      </c>
    </row>
    <row r="179" spans="1:8" x14ac:dyDescent="0.45">
      <c r="A179">
        <v>4</v>
      </c>
      <c r="B179" t="s">
        <v>2230</v>
      </c>
      <c r="C179" t="s">
        <v>2231</v>
      </c>
      <c r="D179" t="s">
        <v>2232</v>
      </c>
      <c r="E179">
        <v>1991</v>
      </c>
      <c r="G179" t="s">
        <v>2233</v>
      </c>
      <c r="H179" s="178" t="str">
        <f>HYPERLINK("https://scholar.google.com/scholar?hl=en&amp;as_q=&amp;as_oq=&amp;as_eq=&amp;as_sauthors=&amp;as_publication=&amp;as_ylo=&amp;as_yhi=&amp;as_occt=title&amp;as_sdt=0%2C5&amp;as_epq=%22Effects+of+Metals+on+Early+Life+Stages+of+the+Brine+Shrimp%2C+Artemia%3A++A+Developmental+Toxicity+Assay", "Google Scholar")</f>
        <v>Google Scholar</v>
      </c>
    </row>
    <row r="180" spans="1:8" x14ac:dyDescent="0.45">
      <c r="A180">
        <v>166071</v>
      </c>
      <c r="B180" t="s">
        <v>2986</v>
      </c>
      <c r="C180" t="s">
        <v>2987</v>
      </c>
      <c r="D180" t="s">
        <v>2988</v>
      </c>
      <c r="E180">
        <v>2012</v>
      </c>
      <c r="G180" t="s">
        <v>2989</v>
      </c>
      <c r="H180" s="179" t="str">
        <f>HYPERLINK("https://scholar.google.com/scholar?hl=en&amp;as_q=&amp;as_oq=&amp;as_eq=&amp;as_sauthors=&amp;as_publication=&amp;as_ylo=&amp;as_yhi=&amp;as_occt=title&amp;as_sdt=0%2C5&amp;as_epq=%22Effect+of+Copper+in+Protein%2C+Carbohydrate+and+Lipid+Contents+of+the+Juvenile+Lobster%2C+Panulirus+homarus+homa", "Google Scholar")</f>
        <v>Google Scholar</v>
      </c>
    </row>
    <row r="181" spans="1:8" x14ac:dyDescent="0.45">
      <c r="A181">
        <v>78850</v>
      </c>
      <c r="B181" t="s">
        <v>2618</v>
      </c>
      <c r="C181" t="s">
        <v>2619</v>
      </c>
      <c r="D181" t="s">
        <v>2620</v>
      </c>
      <c r="E181">
        <v>2004</v>
      </c>
      <c r="G181" t="s">
        <v>2621</v>
      </c>
      <c r="H181" s="180" t="str">
        <f>HYPERLINK("https://scholar.google.com/scholar?hl=en&amp;as_q=&amp;as_oq=&amp;as_eq=&amp;as_sauthors=&amp;as_publication=&amp;as_ylo=&amp;as_yhi=&amp;as_occt=title&amp;as_sdt=0%2C5&amp;as_epq=%22Copper+Toxicity+in+the+Spiny+Lobster%2C+Panulirus+homarus+%28Linnaeus%29", "Google Scholar")</f>
        <v>Google Scholar</v>
      </c>
    </row>
    <row r="182" spans="1:8" x14ac:dyDescent="0.45">
      <c r="A182">
        <v>56995</v>
      </c>
      <c r="B182" t="s">
        <v>1053</v>
      </c>
      <c r="C182" t="s">
        <v>1054</v>
      </c>
      <c r="D182" t="s">
        <v>1055</v>
      </c>
      <c r="E182">
        <v>2000</v>
      </c>
      <c r="G182" t="s">
        <v>1056</v>
      </c>
      <c r="H182" s="181" t="str">
        <f>HYPERLINK("https://scholar.google.com/scholar?hl=en&amp;as_q=&amp;as_oq=&amp;as_eq=&amp;as_sauthors=&amp;as_publication=&amp;as_ylo=&amp;as_yhi=&amp;as_occt=title&amp;as_sdt=0%2C5&amp;as_epq=%22Comparative+Toxicity+of+Dissolved+Metals+to+Early+Larval+Stages+of+Palaemon+serratus%2C+Maja+squinado%2C+and+Hom", "Google Scholar")</f>
        <v>Google Scholar</v>
      </c>
    </row>
    <row r="183" spans="1:8" x14ac:dyDescent="0.45">
      <c r="A183">
        <v>6821</v>
      </c>
      <c r="B183" t="s">
        <v>2235</v>
      </c>
      <c r="C183" t="s">
        <v>2236</v>
      </c>
      <c r="D183" t="s">
        <v>2237</v>
      </c>
      <c r="E183">
        <v>1989</v>
      </c>
      <c r="G183" t="s">
        <v>2238</v>
      </c>
      <c r="H183" s="182" t="str">
        <f>HYPERLINK("https://scholar.google.com/scholar?hl=en&amp;as_q=&amp;as_oq=&amp;as_eq=&amp;as_sauthors=&amp;as_publication=&amp;as_ylo=&amp;as_yhi=&amp;as_occt=title&amp;as_sdt=0%2C5&amp;as_epq=%22Experimental+Evaluation+of+the+Mysid+Holmesimysis+costata+as+a+Test+Organism+for+Effluent+Toxicity+Testing", "Google Scholar")</f>
        <v>Google Scholar</v>
      </c>
    </row>
    <row r="184" spans="1:8" x14ac:dyDescent="0.45">
      <c r="A184">
        <v>15497</v>
      </c>
      <c r="B184" t="s">
        <v>1773</v>
      </c>
      <c r="C184" t="s">
        <v>1774</v>
      </c>
      <c r="D184" t="s">
        <v>1775</v>
      </c>
      <c r="E184">
        <v>1981</v>
      </c>
      <c r="G184" t="s">
        <v>1776</v>
      </c>
      <c r="H184" s="183" t="str">
        <f>HYPERLINK("https://scholar.google.com/scholar?hl=en&amp;as_q=&amp;as_oq=&amp;as_eq=&amp;as_sauthors=&amp;as_publication=&amp;as_ylo=&amp;as_yhi=&amp;as_occt=title&amp;as_sdt=0%2C5&amp;as_epq=%22Toxicities+of+Ten+Metals+to+Crassostrea+gigas+and+Mytilus+edulis+Embryos+and+Cancer+magister+Larvae", "Google Scholar")</f>
        <v>Google Scholar</v>
      </c>
    </row>
    <row r="185" spans="1:8" x14ac:dyDescent="0.45">
      <c r="A185">
        <v>156036</v>
      </c>
      <c r="B185" t="s">
        <v>1573</v>
      </c>
      <c r="C185" t="s">
        <v>1574</v>
      </c>
      <c r="D185" t="s">
        <v>1575</v>
      </c>
      <c r="E185">
        <v>2011</v>
      </c>
      <c r="G185" t="s">
        <v>1576</v>
      </c>
      <c r="H185" s="184" t="str">
        <f>HYPERLINK("https://scholar.google.com/scholar?hl=en&amp;as_q=&amp;as_oq=&amp;as_eq=&amp;as_sauthors=&amp;as_publication=&amp;as_ylo=&amp;as_yhi=&amp;as_occt=title&amp;as_sdt=0%2C5&amp;as_epq=%22Acute+Toxicity%2C+Accumulation+and+Tissue+Distribution+of+Copper+in+the+Blue+Crab+Callinectes+sapidus+Acclimated", "Google Scholar")</f>
        <v>Google Scholar</v>
      </c>
    </row>
    <row r="186" spans="1:8" x14ac:dyDescent="0.45">
      <c r="A186">
        <v>11646</v>
      </c>
      <c r="B186" t="s">
        <v>1747</v>
      </c>
      <c r="C186" t="s">
        <v>1748</v>
      </c>
      <c r="D186" t="s">
        <v>1749</v>
      </c>
      <c r="E186">
        <v>1984</v>
      </c>
      <c r="G186" t="s">
        <v>1750</v>
      </c>
      <c r="H186" s="185" t="str">
        <f>HYPERLINK("https://scholar.google.com/scholar?hl=en&amp;as_q=&amp;as_oq=&amp;as_eq=&amp;as_sauthors=&amp;as_publication=&amp;as_ylo=&amp;as_yhi=&amp;as_occt=title&amp;as_sdt=0%2C5&amp;as_epq=%22Effects+of+Fluoride%2C+Cadmium+and+Mercury+on+the+Estuarine+Prawn+Penaeus+indicus", "Google Scholar")</f>
        <v>Google Scholar</v>
      </c>
    </row>
    <row r="187" spans="1:8" x14ac:dyDescent="0.45">
      <c r="A187">
        <v>119424</v>
      </c>
      <c r="B187" t="s">
        <v>1029</v>
      </c>
      <c r="C187" t="s">
        <v>1030</v>
      </c>
      <c r="D187" t="s">
        <v>1031</v>
      </c>
      <c r="E187">
        <v>2010</v>
      </c>
      <c r="G187" t="s">
        <v>1032</v>
      </c>
      <c r="H187" s="186" t="str">
        <f>HYPERLINK("https://scholar.google.com/scholar?hl=en&amp;as_q=&amp;as_oq=&amp;as_eq=&amp;as_sauthors=&amp;as_publication=&amp;as_ylo=&amp;as_yhi=&amp;as_occt=title&amp;as_sdt=0%2C5&amp;as_epq=%22Incorporation+of+28-D+Leptocheirus+plumulosus+Toxicity+Data+in+a+Sediment+Weight-of-Evidence+Framework", "Google Scholar")</f>
        <v>Google Scholar</v>
      </c>
    </row>
    <row r="188" spans="1:8" x14ac:dyDescent="0.45">
      <c r="A188">
        <v>19002</v>
      </c>
      <c r="B188" t="s">
        <v>3862</v>
      </c>
      <c r="C188" t="s">
        <v>3863</v>
      </c>
      <c r="D188" t="s">
        <v>3864</v>
      </c>
      <c r="E188">
        <v>1998</v>
      </c>
      <c r="G188" t="s">
        <v>3865</v>
      </c>
      <c r="H188" s="187" t="str">
        <f>HYPERLINK("https://scholar.google.com/scholar?hl=en&amp;as_q=&amp;as_oq=&amp;as_eq=&amp;as_sauthors=&amp;as_publication=&amp;as_ylo=&amp;as_yhi=&amp;as_occt=title&amp;as_sdt=0%2C5&amp;as_epq=%22Biotic+Factors+Modifying+Acute+Toxicity+of+Aqueous+Cadmium+to+Estuarine+Amphipod+Leptocheirus+plumulosus", "Google Scholar")</f>
        <v>Google Scholar</v>
      </c>
    </row>
    <row r="189" spans="1:8" x14ac:dyDescent="0.45">
      <c r="A189">
        <v>3736</v>
      </c>
      <c r="B189" t="s">
        <v>3172</v>
      </c>
      <c r="C189" t="s">
        <v>3173</v>
      </c>
      <c r="D189" t="s">
        <v>3174</v>
      </c>
      <c r="E189">
        <v>1982</v>
      </c>
      <c r="G189" t="s">
        <v>3175</v>
      </c>
      <c r="H189" s="188" t="str">
        <f>HYPERLINK("https://scholar.google.com/scholar?hl=en&amp;as_q=&amp;as_oq=&amp;as_eq=&amp;as_sauthors=&amp;as_publication=&amp;as_ylo=&amp;as_yhi=&amp;as_occt=title&amp;as_sdt=0%2C5&amp;as_epq=%22Interlaboratory+Comparison+of+Chronic+Toxicity+Testing+Using+the+Estuarine+Mysid+%28Mysidopsis+bahia%29%3A+A+Fin", "Google Scholar")</f>
        <v>Google Scholar</v>
      </c>
    </row>
    <row r="190" spans="1:8" x14ac:dyDescent="0.45">
      <c r="A190">
        <v>8399</v>
      </c>
      <c r="B190" t="s">
        <v>911</v>
      </c>
      <c r="C190" t="s">
        <v>2575</v>
      </c>
      <c r="D190" t="s">
        <v>2576</v>
      </c>
      <c r="E190">
        <v>1974</v>
      </c>
      <c r="G190" t="s">
        <v>2577</v>
      </c>
      <c r="H190" s="189" t="str">
        <f>HYPERLINK("https://scholar.google.com/scholar?hl=en&amp;as_q=&amp;as_oq=&amp;as_eq=&amp;as_sauthors=&amp;as_publication=&amp;as_ylo=&amp;as_yhi=&amp;as_occt=title&amp;as_sdt=0%2C5&amp;as_epq=%22Toxicity+of+Copper+at+Two+Temperatures+and+Three+Salinities+to+the+American+Lobster+%28Homarus+americanus%29", "Google Scholar")</f>
        <v>Google Scholar</v>
      </c>
    </row>
    <row r="191" spans="1:8" x14ac:dyDescent="0.45">
      <c r="A191">
        <v>82412</v>
      </c>
      <c r="B191" t="s">
        <v>911</v>
      </c>
      <c r="C191" t="s">
        <v>912</v>
      </c>
      <c r="D191" t="s">
        <v>913</v>
      </c>
      <c r="E191">
        <v>1976</v>
      </c>
      <c r="G191" t="s">
        <v>914</v>
      </c>
      <c r="H191" s="190" t="str">
        <f>HYPERLINK("https://scholar.google.com/scholar?hl=en&amp;as_q=&amp;as_oq=&amp;as_eq=&amp;as_sauthors=&amp;as_publication=&amp;as_ylo=&amp;as_yhi=&amp;as_occt=title&amp;as_sdt=0%2C5&amp;as_epq=%22Toxicity+Studies+with+Lobster+Larvae+and+Adults+and+a+Freshwater+Crayfish+in+1975", "Google Scholar")</f>
        <v>Google Scholar</v>
      </c>
    </row>
    <row r="192" spans="1:8" x14ac:dyDescent="0.45">
      <c r="A192">
        <v>6039</v>
      </c>
      <c r="B192" t="s">
        <v>3289</v>
      </c>
      <c r="C192" t="s">
        <v>3290</v>
      </c>
      <c r="D192" t="s">
        <v>3291</v>
      </c>
      <c r="E192">
        <v>1987</v>
      </c>
      <c r="G192" t="s">
        <v>3292</v>
      </c>
      <c r="H192" s="191" t="str">
        <f>HYPERLINK("https://scholar.google.com/scholar?hl=en&amp;as_q=&amp;as_oq=&amp;as_eq=&amp;as_sauthors=&amp;as_publication=&amp;as_ylo=&amp;as_yhi=&amp;as_occt=title&amp;as_sdt=0%2C5&amp;as_epq=%22The+Toxicity+of+Chromium%2C+Nickel+and+Zinc%3A+Effects+of+Salinity+and+Temperature%2C+and+the+Osmoregulatory+Con", "Google Scholar")</f>
        <v>Google Scholar</v>
      </c>
    </row>
    <row r="193" spans="1:8" x14ac:dyDescent="0.45">
      <c r="A193">
        <v>52126</v>
      </c>
      <c r="B193" t="s">
        <v>586</v>
      </c>
      <c r="C193" t="s">
        <v>587</v>
      </c>
      <c r="D193" t="s">
        <v>588</v>
      </c>
      <c r="E193">
        <v>2000</v>
      </c>
      <c r="G193" t="s">
        <v>589</v>
      </c>
      <c r="H193" s="192" t="str">
        <f>HYPERLINK("https://scholar.google.com/scholar?hl=en&amp;as_q=&amp;as_oq=&amp;as_eq=&amp;as_sauthors=&amp;as_publication=&amp;as_ylo=&amp;as_yhi=&amp;as_occt=title&amp;as_sdt=0%2C5&amp;as_epq=%22Copper+Effects+on+Potential+Sediment+Test+Organisms%3A++The+Importance+of+Appropriate+Sensitivity", "Google Scholar")</f>
        <v>Google Scholar</v>
      </c>
    </row>
    <row r="194" spans="1:8" x14ac:dyDescent="0.45">
      <c r="A194">
        <v>4114</v>
      </c>
      <c r="B194" t="s">
        <v>3904</v>
      </c>
      <c r="C194" t="s">
        <v>3905</v>
      </c>
      <c r="D194" t="s">
        <v>3906</v>
      </c>
      <c r="E194">
        <v>1993</v>
      </c>
      <c r="G194" t="s">
        <v>3907</v>
      </c>
      <c r="H194" s="193" t="str">
        <f>HYPERLINK("https://scholar.google.com/scholar?hl=en&amp;as_q=&amp;as_oq=&amp;as_eq=&amp;as_sauthors=&amp;as_publication=&amp;as_ylo=&amp;as_yhi=&amp;as_occt=title&amp;as_sdt=0%2C5&amp;as_epq=%22The+Effect+of+Laboratory+Holding+on+the+Toxicity+Response+of+Marine+Infaunal+Amphipods+to+Cadmium+and+Tributylti", "Google Scholar")</f>
        <v>Google Scholar</v>
      </c>
    </row>
    <row r="195" spans="1:8" x14ac:dyDescent="0.45">
      <c r="A195">
        <v>102148</v>
      </c>
      <c r="B195" t="s">
        <v>2400</v>
      </c>
      <c r="C195" t="s">
        <v>2401</v>
      </c>
      <c r="D195" t="s">
        <v>2402</v>
      </c>
      <c r="E195">
        <v>2007</v>
      </c>
      <c r="G195" t="s">
        <v>2403</v>
      </c>
      <c r="H195" s="194" t="str">
        <f>HYPERLINK("https://scholar.google.com/scholar?hl=en&amp;as_q=&amp;as_oq=&amp;as_eq=&amp;as_sauthors=&amp;as_publication=&amp;as_ylo=&amp;as_yhi=&amp;as_occt=title&amp;as_sdt=0%2C5&amp;as_epq=%22Sediment+Toxicity+Tests+Using+the+Burrowing+Amphipod+Tiburonella+viscana+%28Amphipoda%3A++Platyischnopidae%29", "Google Scholar")</f>
        <v>Google Scholar</v>
      </c>
    </row>
    <row r="196" spans="1:8" x14ac:dyDescent="0.45">
      <c r="A196">
        <v>18833</v>
      </c>
      <c r="B196" t="s">
        <v>3028</v>
      </c>
      <c r="C196" t="s">
        <v>3029</v>
      </c>
      <c r="D196" t="s">
        <v>3030</v>
      </c>
      <c r="E196">
        <v>1994</v>
      </c>
      <c r="G196" t="s">
        <v>3031</v>
      </c>
      <c r="H196" s="195" t="str">
        <f>HYPERLINK("https://scholar.google.com/scholar?hl=en&amp;as_q=&amp;as_oq=&amp;as_eq=&amp;as_sauthors=&amp;as_publication=&amp;as_ylo=&amp;as_yhi=&amp;as_occt=title&amp;as_sdt=0%2C5&amp;as_epq=%22Toxic+Effects+of+Two+Trace+Metals%2C+Copper+and+Silver%2C+on+a+Crustacean+Harpacticoid+Copepod+Tigriopus+brevico", "Google Scholar")</f>
        <v>Google Scholar</v>
      </c>
    </row>
    <row r="197" spans="1:8" x14ac:dyDescent="0.45">
      <c r="A197">
        <v>52250</v>
      </c>
      <c r="B197" t="s">
        <v>3221</v>
      </c>
      <c r="C197" t="s">
        <v>3222</v>
      </c>
      <c r="D197" t="s">
        <v>3223</v>
      </c>
      <c r="E197">
        <v>2000</v>
      </c>
      <c r="G197" t="s">
        <v>3224</v>
      </c>
      <c r="H197" s="196" t="str">
        <f>HYPERLINK("https://scholar.google.com/scholar?hl=en&amp;as_q=&amp;as_oq=&amp;as_eq=&amp;as_sauthors=&amp;as_publication=&amp;as_ylo=&amp;as_yhi=&amp;as_occt=title&amp;as_sdt=0%2C5&amp;as_epq=%22Influence+of+Life-History+Adaptations+on+the+Fidelity+of+Laboratory+Bioassays+for+the+Impact+of+Heavy+Metals+%28", "Google Scholar")</f>
        <v>Google Scholar</v>
      </c>
    </row>
    <row r="198" spans="1:8" x14ac:dyDescent="0.45">
      <c r="A198">
        <v>97380</v>
      </c>
      <c r="B198" t="s">
        <v>2785</v>
      </c>
      <c r="C198" t="s">
        <v>2786</v>
      </c>
      <c r="D198" t="s">
        <v>2787</v>
      </c>
      <c r="E198">
        <v>2006</v>
      </c>
      <c r="G198" t="s">
        <v>2788</v>
      </c>
      <c r="H198" s="197" t="str">
        <f>HYPERLINK("https://scholar.google.com/scholar?hl=en&amp;as_q=&amp;as_oq=&amp;as_eq=&amp;as_sauthors=&amp;as_publication=&amp;as_ylo=&amp;as_yhi=&amp;as_occt=title&amp;as_sdt=0%2C5&amp;as_epq=%22Acute+Toxicity+of+Pyrithione+Antifouling+Biocides+and+Joint+Toxicity+with+Copper+to+Red+Sea+Bream+%28Pagrus+majo", "Google Scholar")</f>
        <v>Google Scholar</v>
      </c>
    </row>
    <row r="199" spans="1:8" x14ac:dyDescent="0.45">
      <c r="A199">
        <v>166133</v>
      </c>
      <c r="B199" t="s">
        <v>1517</v>
      </c>
      <c r="C199" t="s">
        <v>1518</v>
      </c>
      <c r="D199" t="s">
        <v>1519</v>
      </c>
      <c r="E199">
        <v>2013</v>
      </c>
      <c r="G199" t="s">
        <v>1520</v>
      </c>
      <c r="H199" s="198" t="str">
        <f>HYPERLINK("https://scholar.google.com/scholar?hl=en&amp;as_q=&amp;as_oq=&amp;as_eq=&amp;as_sauthors=&amp;as_publication=&amp;as_ylo=&amp;as_yhi=&amp;as_occt=title&amp;as_sdt=0%2C5&amp;as_epq=%22Acute+Waterborne+Copper+Toxicity+to+the+Euryhaline+Copepod+Acartia+tonsa+at+Different+Salinities%3A++Influence+o", "Google Scholar")</f>
        <v>Google Scholar</v>
      </c>
    </row>
    <row r="200" spans="1:8" x14ac:dyDescent="0.45">
      <c r="A200">
        <v>15500</v>
      </c>
      <c r="B200" t="s">
        <v>2994</v>
      </c>
      <c r="C200" t="s">
        <v>2995</v>
      </c>
      <c r="D200" t="s">
        <v>2996</v>
      </c>
      <c r="E200">
        <v>1983</v>
      </c>
      <c r="G200" t="s">
        <v>2997</v>
      </c>
      <c r="H200" s="199" t="str">
        <f>HYPERLINK("https://scholar.google.com/scholar?hl=en&amp;as_q=&amp;as_oq=&amp;as_eq=&amp;as_sauthors=&amp;as_publication=&amp;as_ylo=&amp;as_yhi=&amp;as_occt=title&amp;as_sdt=0%2C5&amp;as_epq=%22Effects+of+Copper+Sulphate+on+Tisbe+holothuriae+Humes+%28Copepoda%29+and+Development+of+Tolerance+to+Copper", "Google Scholar")</f>
        <v>Google Scholar</v>
      </c>
    </row>
    <row r="201" spans="1:8" x14ac:dyDescent="0.45">
      <c r="A201">
        <v>11673</v>
      </c>
      <c r="B201" t="s">
        <v>2685</v>
      </c>
      <c r="C201" t="s">
        <v>3270</v>
      </c>
      <c r="D201" t="s">
        <v>3271</v>
      </c>
      <c r="E201">
        <v>1982</v>
      </c>
      <c r="G201" t="s">
        <v>3272</v>
      </c>
      <c r="H201" s="200" t="str">
        <f>HYPERLINK("https://scholar.google.com/scholar?hl=en&amp;as_q=&amp;as_oq=&amp;as_eq=&amp;as_sauthors=&amp;as_publication=&amp;as_ylo=&amp;as_yhi=&amp;as_occt=title&amp;as_sdt=0%2C5&amp;as_epq=%22Toxicity+of+Chromium+to+the+Marine+Planktonic+Copepod+Acartia+clausi%2C+Giesbrecht", "Google Scholar")</f>
        <v>Google Scholar</v>
      </c>
    </row>
    <row r="202" spans="1:8" x14ac:dyDescent="0.45">
      <c r="A202">
        <v>14474</v>
      </c>
      <c r="B202" t="s">
        <v>2685</v>
      </c>
      <c r="C202" t="s">
        <v>2686</v>
      </c>
      <c r="D202" t="s">
        <v>2687</v>
      </c>
      <c r="E202">
        <v>1986</v>
      </c>
      <c r="G202" t="s">
        <v>2688</v>
      </c>
      <c r="H202" s="201" t="str">
        <f>HYPERLINK("https://scholar.google.com/scholar?hl=en&amp;as_q=&amp;as_oq=&amp;as_eq=&amp;as_sauthors=&amp;as_publication=&amp;as_ylo=&amp;as_yhi=&amp;as_occt=title&amp;as_sdt=0%2C5&amp;as_epq=%22Lethal+and+Sublethal+Effects+of+Some+Contaminants+%28Heavy+Metals%2C+Oil%2C+Dispersants%29+to+Marine+Planktonic+", "Google Scholar")</f>
        <v>Google Scholar</v>
      </c>
    </row>
    <row r="203" spans="1:8" x14ac:dyDescent="0.45">
      <c r="A203">
        <v>15726</v>
      </c>
      <c r="B203" t="s">
        <v>2685</v>
      </c>
      <c r="C203" t="s">
        <v>2905</v>
      </c>
      <c r="D203" t="s">
        <v>2906</v>
      </c>
      <c r="E203">
        <v>1982</v>
      </c>
      <c r="G203" t="s">
        <v>2907</v>
      </c>
      <c r="H203" s="202" t="str">
        <f>HYPERLINK("https://scholar.google.com/scholar?hl=en&amp;as_q=&amp;as_oq=&amp;as_eq=&amp;as_sauthors=&amp;as_publication=&amp;as_ylo=&amp;as_yhi=&amp;as_occt=title&amp;as_sdt=0%2C5&amp;as_epq=%22Individual+and+Combined+Toxicity+of+Three+Heavy+Metals%2C+Cu%2C+Cd+and+Cr+for+the+Marine+Copepod+Tisbe+holothuri", "Google Scholar")</f>
        <v>Google Scholar</v>
      </c>
    </row>
    <row r="204" spans="1:8" x14ac:dyDescent="0.45">
      <c r="A204">
        <v>16331</v>
      </c>
      <c r="B204" t="s">
        <v>2137</v>
      </c>
      <c r="C204" t="s">
        <v>2138</v>
      </c>
      <c r="D204" t="s">
        <v>2139</v>
      </c>
      <c r="E204">
        <v>1994</v>
      </c>
      <c r="G204" t="s">
        <v>2140</v>
      </c>
      <c r="H204" s="203" t="str">
        <f>HYPERLINK("https://scholar.google.com/scholar?hl=en&amp;as_q=&amp;as_oq=&amp;as_eq=&amp;as_sauthors=&amp;as_publication=&amp;as_ylo=&amp;as_yhi=&amp;as_occt=title&amp;as_sdt=0%2C5&amp;as_epq=%22Susceptibility+of+Larval+and+Juvenile+Instars+of+the+Sand+Crab%2C+Portunus+pelagicus+%28L.%29%2C+to+Sea+Water+Co", "Google Scholar")</f>
        <v>Google Scholar</v>
      </c>
    </row>
    <row r="205" spans="1:8" x14ac:dyDescent="0.45">
      <c r="A205">
        <v>60029</v>
      </c>
      <c r="B205" t="s">
        <v>2892</v>
      </c>
      <c r="C205" t="s">
        <v>2893</v>
      </c>
      <c r="D205" t="s">
        <v>2894</v>
      </c>
      <c r="E205">
        <v>1996</v>
      </c>
      <c r="G205" t="s">
        <v>2895</v>
      </c>
      <c r="H205" s="204" t="str">
        <f>HYPERLINK("https://scholar.google.com/scholar?hl=en&amp;as_q=&amp;as_oq=&amp;as_eq=&amp;as_sauthors=&amp;as_publication=&amp;as_ylo=&amp;as_yhi=&amp;as_occt=title&amp;as_sdt=0%2C5&amp;as_epq=%22Acute+Toxicities+of+Copper%2C+Cadmium+and+Cu%3A++Cd+Mixture+to+Larvae+of+the+Shrimp+Penaeus+penicillatus", "Google Scholar")</f>
        <v>Google Scholar</v>
      </c>
    </row>
    <row r="206" spans="1:8" x14ac:dyDescent="0.45">
      <c r="A206">
        <v>12895</v>
      </c>
      <c r="B206" t="s">
        <v>1778</v>
      </c>
      <c r="C206" t="s">
        <v>1779</v>
      </c>
      <c r="D206" t="s">
        <v>1780</v>
      </c>
      <c r="E206">
        <v>1986</v>
      </c>
      <c r="G206" t="s">
        <v>1781</v>
      </c>
      <c r="H206" s="205" t="str">
        <f>HYPERLINK("https://scholar.google.com/scholar?hl=en&amp;as_q=&amp;as_oq=&amp;as_eq=&amp;as_sauthors=&amp;as_publication=&amp;as_ylo=&amp;as_yhi=&amp;as_occt=title&amp;as_sdt=0%2C5&amp;as_epq=%22Acute+Toxicity+of+Three+Heavy+Metals+to+Marine+Edible+Crab%2C+Scylla+serrata", "Google Scholar")</f>
        <v>Google Scholar</v>
      </c>
    </row>
    <row r="207" spans="1:8" x14ac:dyDescent="0.45">
      <c r="A207">
        <v>52573</v>
      </c>
      <c r="B207" t="s">
        <v>782</v>
      </c>
      <c r="C207" t="s">
        <v>1767</v>
      </c>
      <c r="D207" t="s">
        <v>1768</v>
      </c>
      <c r="E207">
        <v>1999</v>
      </c>
      <c r="G207" t="s">
        <v>1769</v>
      </c>
      <c r="H207" s="206" t="str">
        <f>HYPERLINK("https://scholar.google.com/scholar?hl=en&amp;as_q=&amp;as_oq=&amp;as_eq=&amp;as_sauthors=&amp;as_publication=&amp;as_ylo=&amp;as_yhi=&amp;as_occt=title&amp;as_sdt=0%2C5&amp;as_epq=%22Pattern+of+Depuration+of+Accumulated+Heavy+Metals+in+the+Mud+Crab%2C+Scylla+serrata+%28Forskal%29", "Google Scholar")</f>
        <v>Google Scholar</v>
      </c>
    </row>
    <row r="208" spans="1:8" x14ac:dyDescent="0.45">
      <c r="A208">
        <v>60036</v>
      </c>
      <c r="B208" t="s">
        <v>782</v>
      </c>
      <c r="C208" t="s">
        <v>783</v>
      </c>
      <c r="D208" t="s">
        <v>784</v>
      </c>
      <c r="E208">
        <v>1997</v>
      </c>
      <c r="G208" t="s">
        <v>785</v>
      </c>
      <c r="H208" s="207" t="str">
        <f>HYPERLINK("https://scholar.google.com/scholar?hl=en&amp;as_q=&amp;as_oq=&amp;as_eq=&amp;as_sauthors=&amp;as_publication=&amp;as_ylo=&amp;as_yhi=&amp;as_occt=title&amp;as_sdt=0%2C5&amp;as_epq=%22Pattern+of+Accumulation+of+Heavy+Metals+%28Mercury%2C+Cadmium+and+Zinc%29+in+the+Mud+Crab+Scylla+serrata", "Google Scholar")</f>
        <v>Google Scholar</v>
      </c>
    </row>
    <row r="209" spans="1:8" x14ac:dyDescent="0.45">
      <c r="A209">
        <v>6036</v>
      </c>
      <c r="B209" t="s">
        <v>3998</v>
      </c>
      <c r="C209" t="s">
        <v>3999</v>
      </c>
      <c r="D209" t="s">
        <v>4000</v>
      </c>
      <c r="E209">
        <v>1977</v>
      </c>
      <c r="G209" t="s">
        <v>4001</v>
      </c>
      <c r="H209" s="208" t="str">
        <f>HYPERLINK("https://scholar.google.com/scholar?hl=en&amp;as_q=&amp;as_oq=&amp;as_eq=&amp;as_sauthors=&amp;as_publication=&amp;as_ylo=&amp;as_yhi=&amp;as_occt=title&amp;as_sdt=0%2C5&amp;as_epq=%22Mysidopsis+bahia%3A+An+Estuarine+Species+Suitable+for+Life-Cycle+Toxicity+Tests+to+Determine+the+Effects+of+a+Po", "Google Scholar")</f>
        <v>Google Scholar</v>
      </c>
    </row>
    <row r="210" spans="1:8" x14ac:dyDescent="0.45">
      <c r="A210">
        <v>2982</v>
      </c>
      <c r="B210" t="s">
        <v>4019</v>
      </c>
      <c r="C210" t="s">
        <v>4020</v>
      </c>
      <c r="D210" t="s">
        <v>4021</v>
      </c>
      <c r="E210">
        <v>1977</v>
      </c>
      <c r="G210" t="s">
        <v>4022</v>
      </c>
      <c r="H210" s="209" t="str">
        <f>HYPERLINK("https://scholar.google.com/scholar?hl=en&amp;as_q=&amp;as_oq=&amp;as_eq=&amp;as_sauthors=&amp;as_publication=&amp;as_ylo=&amp;as_yhi=&amp;as_occt=title&amp;as_sdt=0%2C5&amp;as_epq=%22Effects+of+Cadmium+on+the+Shrimps%2C+Penaeus+duorarum%2C+Palaemonetes+pugio%2C+and+Palaemonetes+vulgaris", "Google Scholar")</f>
        <v>Google Scholar</v>
      </c>
    </row>
    <row r="211" spans="1:8" x14ac:dyDescent="0.45">
      <c r="A211">
        <v>6825</v>
      </c>
      <c r="B211" t="s">
        <v>2225</v>
      </c>
      <c r="C211" t="s">
        <v>2226</v>
      </c>
      <c r="D211" t="s">
        <v>2227</v>
      </c>
      <c r="E211">
        <v>1993</v>
      </c>
      <c r="G211" t="s">
        <v>2228</v>
      </c>
      <c r="H211" s="210" t="str">
        <f>HYPERLINK("https://scholar.google.com/scholar?hl=en&amp;as_q=&amp;as_oq=&amp;as_eq=&amp;as_sauthors=&amp;as_publication=&amp;as_ylo=&amp;as_yhi=&amp;as_occt=title&amp;as_sdt=0%2C5&amp;as_epq=%22Toxicity+Testing+with+Coastal+Species+of+Southeastern+Brazil.+Mysids+and+Copepods", "Google Scholar")</f>
        <v>Google Scholar</v>
      </c>
    </row>
    <row r="212" spans="1:8" x14ac:dyDescent="0.45">
      <c r="A212">
        <v>84096</v>
      </c>
      <c r="B212" t="s">
        <v>2292</v>
      </c>
      <c r="C212" t="s">
        <v>2293</v>
      </c>
      <c r="D212" t="s">
        <v>2294</v>
      </c>
      <c r="E212">
        <v>1997</v>
      </c>
      <c r="G212" t="s">
        <v>2295</v>
      </c>
      <c r="H212" s="211" t="str">
        <f>HYPERLINK("https://scholar.google.com/scholar?hl=en&amp;as_q=&amp;as_oq=&amp;as_eq=&amp;as_sauthors=&amp;as_publication=&amp;as_ylo=&amp;as_yhi=&amp;as_occt=title&amp;as_sdt=0%2C5&amp;as_epq=%22Culturing+and+Toxicity+Testing+with+the+New+Zealand+Mysid+Tenagomysis+novae-zealandiae%2C+with+a+Summary+of+Toxi", "Google Scholar")</f>
        <v>Google Scholar</v>
      </c>
    </row>
    <row r="213" spans="1:8" x14ac:dyDescent="0.45">
      <c r="A213">
        <v>2977</v>
      </c>
      <c r="B213" t="s">
        <v>1109</v>
      </c>
      <c r="C213" t="s">
        <v>1110</v>
      </c>
      <c r="D213" t="s">
        <v>1111</v>
      </c>
      <c r="E213">
        <v>1988</v>
      </c>
      <c r="G213" t="s">
        <v>1112</v>
      </c>
      <c r="H213" s="212" t="str">
        <f>HYPERLINK("https://scholar.google.com/scholar?hl=en&amp;as_q=&amp;as_oq=&amp;as_eq=&amp;as_sauthors=&amp;as_publication=&amp;as_ylo=&amp;as_yhi=&amp;as_occt=title&amp;as_sdt=0%2C5&amp;as_epq=%22Copper+Tolerance+of+the+Life+History+Stages+of+the+Splashpool+Copepod+Tigriopus+californicus+%28Copepoda%2C+Harp", "Google Scholar")</f>
        <v>Google Scholar</v>
      </c>
    </row>
    <row r="214" spans="1:8" x14ac:dyDescent="0.45">
      <c r="A214">
        <v>8412</v>
      </c>
      <c r="B214" t="s">
        <v>3567</v>
      </c>
      <c r="C214" t="s">
        <v>3568</v>
      </c>
      <c r="D214" t="s">
        <v>3569</v>
      </c>
      <c r="E214">
        <v>1973</v>
      </c>
      <c r="G214" t="s">
        <v>3570</v>
      </c>
      <c r="H214" s="213" t="str">
        <f>HYPERLINK("https://scholar.google.com/scholar?hl=en&amp;as_q=&amp;as_oq=&amp;as_eq=&amp;as_sauthors=&amp;as_publication=&amp;as_ylo=&amp;as_yhi=&amp;as_occt=title&amp;as_sdt=0%2C5&amp;as_epq=%22The+Influence+of+Temperature+and+Salinity+on+the+Toxicity+of+Cadmium+to+the+Fiddler+Crab%2C+Uca+pugilator", "Google Scholar")</f>
        <v>Google Scholar</v>
      </c>
    </row>
    <row r="215" spans="1:8" x14ac:dyDescent="0.45">
      <c r="A215">
        <v>8415</v>
      </c>
      <c r="B215" t="s">
        <v>3359</v>
      </c>
      <c r="C215" t="s">
        <v>3360</v>
      </c>
      <c r="D215" t="s">
        <v>3361</v>
      </c>
      <c r="E215">
        <v>1977</v>
      </c>
      <c r="G215" t="s">
        <v>3362</v>
      </c>
      <c r="H215" s="214" t="str">
        <f>HYPERLINK("https://scholar.google.com/scholar?hl=en&amp;as_q=&amp;as_oq=&amp;as_eq=&amp;as_sauthors=&amp;as_publication=&amp;as_ylo=&amp;as_yhi=&amp;as_occt=title&amp;as_sdt=0%2C5&amp;as_epq=%22Acute+Responses+of+Marine+Invertebrates+to+Chromium", "Google Scholar")</f>
        <v>Google Scholar</v>
      </c>
    </row>
    <row r="216" spans="1:8" x14ac:dyDescent="0.45">
      <c r="A216">
        <v>100798</v>
      </c>
      <c r="B216" t="s">
        <v>666</v>
      </c>
      <c r="C216" t="s">
        <v>667</v>
      </c>
      <c r="D216" t="s">
        <v>668</v>
      </c>
      <c r="E216">
        <v>2006</v>
      </c>
      <c r="G216" t="s">
        <v>669</v>
      </c>
      <c r="H216" s="215" t="str">
        <f>HYPERLINK("https://scholar.google.com/scholar?hl=en&amp;as_q=&amp;as_oq=&amp;as_eq=&amp;as_sauthors=&amp;as_publication=&amp;as_ylo=&amp;as_yhi=&amp;as_occt=title&amp;as_sdt=0%2C5&amp;as_epq=%22Determination+of+Types+of+Interactions+Exhibited+by+Binary+Mixtures+of+Heavy+Metals+Tested+Against+the+Hermit+Cr", "Google Scholar")</f>
        <v>Google Scholar</v>
      </c>
    </row>
    <row r="217" spans="1:8" x14ac:dyDescent="0.45">
      <c r="A217">
        <v>117013</v>
      </c>
      <c r="B217" t="s">
        <v>1796</v>
      </c>
      <c r="C217" t="s">
        <v>1797</v>
      </c>
      <c r="D217" t="s">
        <v>1798</v>
      </c>
      <c r="E217">
        <v>2003</v>
      </c>
      <c r="G217" t="s">
        <v>1799</v>
      </c>
      <c r="H217" s="216" t="str">
        <f>HYPERLINK("https://scholar.google.com/scholar?hl=en&amp;as_q=&amp;as_oq=&amp;as_eq=&amp;as_sauthors=&amp;as_publication=&amp;as_ylo=&amp;as_yhi=&amp;as_occt=title&amp;as_sdt=0%2C5&amp;as_epq=%22Acute+Toxicity+and+Bio-Accumulation+of+Mercury+and+Copper+in+Clibanarius+africanus+%28Aurivillius%29+and+Tympano", "Google Scholar")</f>
        <v>Google Scholar</v>
      </c>
    </row>
    <row r="218" spans="1:8" x14ac:dyDescent="0.45">
      <c r="A218">
        <v>76253</v>
      </c>
      <c r="B218" t="s">
        <v>2059</v>
      </c>
      <c r="C218" t="s">
        <v>2060</v>
      </c>
      <c r="D218" t="s">
        <v>2061</v>
      </c>
      <c r="E218">
        <v>1999</v>
      </c>
      <c r="G218" t="s">
        <v>2062</v>
      </c>
      <c r="H218" s="217" t="str">
        <f>HYPERLINK("https://scholar.google.com/scholar?hl=en&amp;as_q=&amp;as_oq=&amp;as_eq=&amp;as_sauthors=&amp;as_publication=&amp;as_ylo=&amp;as_yhi=&amp;as_occt=title&amp;as_sdt=0%2C5&amp;as_epq=%22Copper+and+Zinc+Water-Effect+Ratio+Determinations+with+Simulated+Downstream+%28Outfall+001+in+Receiving+Water%29", "Google Scholar")</f>
        <v>Google Scholar</v>
      </c>
    </row>
    <row r="219" spans="1:8" x14ac:dyDescent="0.45">
      <c r="A219">
        <v>157878</v>
      </c>
      <c r="B219" t="s">
        <v>2934</v>
      </c>
      <c r="C219" t="s">
        <v>2935</v>
      </c>
      <c r="D219" t="s">
        <v>2936</v>
      </c>
      <c r="E219">
        <v>2010</v>
      </c>
      <c r="G219" t="s">
        <v>2937</v>
      </c>
      <c r="H219" s="218" t="str">
        <f>HYPERLINK("https://scholar.google.com/scholar?hl=en&amp;as_q=&amp;as_oq=&amp;as_eq=&amp;as_sauthors=&amp;as_publication=&amp;as_ylo=&amp;as_yhi=&amp;as_occt=title&amp;as_sdt=0%2C5&amp;as_epq=%22Bioaccumulation+and+Toxic+Effects+of+Copper+on+Growth+and+Oxygen+Consumption+by+the+Postlarvae+of+Penaeus+indicu", "Google Scholar")</f>
        <v>Google Scholar</v>
      </c>
    </row>
    <row r="220" spans="1:8" x14ac:dyDescent="0.45">
      <c r="A220">
        <v>167149</v>
      </c>
      <c r="B220" t="s">
        <v>3427</v>
      </c>
      <c r="C220" t="s">
        <v>3428</v>
      </c>
      <c r="D220" t="s">
        <v>3429</v>
      </c>
      <c r="E220">
        <v>2006</v>
      </c>
      <c r="G220" t="s">
        <v>3430</v>
      </c>
      <c r="H220" s="219" t="str">
        <f>HYPERLINK("https://scholar.google.com/scholar?hl=en&amp;as_q=&amp;as_oq=&amp;as_eq=&amp;as_sauthors=&amp;as_publication=&amp;as_ylo=&amp;as_yhi=&amp;as_occt=title&amp;as_sdt=0%2C5&amp;as_epq=%22Acute+Toxicity+of+Sodium+Cyanide+to+Marine+Copepods+%28Acartia+tonsa%29", "Google Scholar")</f>
        <v>Google Scholar</v>
      </c>
    </row>
    <row r="221" spans="1:8" x14ac:dyDescent="0.45">
      <c r="A221">
        <v>169694</v>
      </c>
      <c r="B221" t="s">
        <v>521</v>
      </c>
      <c r="C221" t="s">
        <v>522</v>
      </c>
      <c r="D221" t="s">
        <v>523</v>
      </c>
      <c r="E221">
        <v>2014</v>
      </c>
      <c r="G221" t="s">
        <v>524</v>
      </c>
      <c r="H221" s="220" t="str">
        <f>HYPERLINK("https://scholar.google.com/scholar?hl=en&amp;as_q=&amp;as_oq=&amp;as_eq=&amp;as_sauthors=&amp;as_publication=&amp;as_ylo=&amp;as_yhi=&amp;as_occt=title&amp;as_sdt=0%2C5&amp;as_epq=%22Effect+of+Salinity+on+Acute+Copper+and+Zinc+Toxicity+to+Tigriopus+japonicus%3A+The+Difference+Between+Metal+Ions", "Google Scholar")</f>
        <v>Google Scholar</v>
      </c>
    </row>
    <row r="222" spans="1:8" x14ac:dyDescent="0.45">
      <c r="A222">
        <v>76315</v>
      </c>
      <c r="B222" t="s">
        <v>3191</v>
      </c>
      <c r="C222" t="s">
        <v>3192</v>
      </c>
      <c r="D222" t="s">
        <v>3193</v>
      </c>
      <c r="E222">
        <v>2002</v>
      </c>
      <c r="G222" t="s">
        <v>3194</v>
      </c>
      <c r="H222" s="221" t="str">
        <f>HYPERLINK("https://scholar.google.com/scholar?hl=en&amp;as_q=&amp;as_oq=&amp;as_eq=&amp;as_sauthors=&amp;as_publication=&amp;as_ylo=&amp;as_yhi=&amp;as_occt=title&amp;as_sdt=0%2C5&amp;as_epq=%22Impact+of+Dissolved+and+Particulate+Organic+Carbon+on+the+Bioavailability+of+the+Trace+Metals+Silver+and+Mercury", "Google Scholar")</f>
        <v>Google Scholar</v>
      </c>
    </row>
    <row r="223" spans="1:8" x14ac:dyDescent="0.45">
      <c r="A223">
        <v>2151</v>
      </c>
      <c r="B223" t="s">
        <v>3318</v>
      </c>
      <c r="C223" t="s">
        <v>3319</v>
      </c>
      <c r="D223" t="s">
        <v>3320</v>
      </c>
      <c r="E223">
        <v>1989</v>
      </c>
      <c r="G223" t="s">
        <v>3321</v>
      </c>
      <c r="H223" s="222" t="str">
        <f>HYPERLINK("https://scholar.google.com/scholar?hl=en&amp;as_q=&amp;as_oq=&amp;as_eq=&amp;as_sauthors=&amp;as_publication=&amp;as_ylo=&amp;as_yhi=&amp;as_occt=title&amp;as_sdt=0%2C5&amp;as_epq=%22Predictive+Value+of+Laboratory+Tests+With+Aquatic+Invertebrates%3A+Influence+of+Experimental+Conditions", "Google Scholar")</f>
        <v>Google Scholar</v>
      </c>
    </row>
    <row r="224" spans="1:8" x14ac:dyDescent="0.45">
      <c r="A224">
        <v>14874</v>
      </c>
      <c r="B224" t="s">
        <v>2635</v>
      </c>
      <c r="C224" t="s">
        <v>2636</v>
      </c>
      <c r="D224" t="s">
        <v>2637</v>
      </c>
      <c r="E224">
        <v>1993</v>
      </c>
      <c r="G224" t="s">
        <v>2638</v>
      </c>
      <c r="H224" s="223" t="str">
        <f>HYPERLINK("https://scholar.google.com/scholar?hl=en&amp;as_q=&amp;as_oq=&amp;as_eq=&amp;as_sauthors=&amp;as_publication=&amp;as_ylo=&amp;as_yhi=&amp;as_occt=title&amp;as_sdt=0%2C5&amp;as_epq=%22Cyst-Based+Toxicity+Tests%3A++II.++Report+on+an+International+Intercalibration+Exercise+with+Three+Cost-Effectiv", "Google Scholar")</f>
        <v>Google Scholar</v>
      </c>
    </row>
    <row r="225" spans="1:8" x14ac:dyDescent="0.45">
      <c r="A225">
        <v>13265</v>
      </c>
      <c r="B225" t="s">
        <v>2946</v>
      </c>
      <c r="C225" t="s">
        <v>2947</v>
      </c>
      <c r="D225" t="s">
        <v>2948</v>
      </c>
      <c r="E225">
        <v>1985</v>
      </c>
      <c r="G225" t="s">
        <v>2949</v>
      </c>
      <c r="H225" s="224" t="str">
        <f>HYPERLINK("https://scholar.google.com/scholar?hl=en&amp;as_q=&amp;as_oq=&amp;as_eq=&amp;as_sauthors=&amp;as_publication=&amp;as_ylo=&amp;as_yhi=&amp;as_occt=title&amp;as_sdt=0%2C5&amp;as_epq=%22Effects+of+Salinity+and+Copper+on+Larval+Development+in+Pistol+Prawn%2C+Alpheus+malabaricus+malabaricus+Fabriciu", "Google Scholar")</f>
        <v>Google Scholar</v>
      </c>
    </row>
    <row r="226" spans="1:8" x14ac:dyDescent="0.45">
      <c r="A226">
        <v>12953</v>
      </c>
      <c r="B226" t="s">
        <v>1605</v>
      </c>
      <c r="C226" t="s">
        <v>1606</v>
      </c>
      <c r="D226" t="s">
        <v>1607</v>
      </c>
      <c r="E226">
        <v>1985</v>
      </c>
      <c r="G226" t="s">
        <v>1608</v>
      </c>
      <c r="H226" s="225" t="str">
        <f>HYPERLINK("https://scholar.google.com/scholar?hl=en&amp;as_q=&amp;as_oq=&amp;as_eq=&amp;as_sauthors=&amp;as_publication=&amp;as_ylo=&amp;as_yhi=&amp;as_occt=title&amp;as_sdt=0%2C5&amp;as_epq=%22Toxic+Levels+of+Mercury+for+Sequential+Larval+Stages+of+Macrobrachium+rosenbergii+%28De+Man%29", "Google Scholar")</f>
        <v>Google Scholar</v>
      </c>
    </row>
    <row r="227" spans="1:8" x14ac:dyDescent="0.45">
      <c r="A227">
        <v>9258</v>
      </c>
      <c r="B227" t="s">
        <v>774</v>
      </c>
      <c r="C227" t="s">
        <v>786</v>
      </c>
      <c r="D227" t="s">
        <v>787</v>
      </c>
      <c r="E227">
        <v>1972</v>
      </c>
      <c r="G227" t="s">
        <v>788</v>
      </c>
      <c r="H227" s="226" t="str">
        <f>HYPERLINK("https://scholar.google.com/scholar?hl=en&amp;as_q=&amp;as_oq=&amp;as_eq=&amp;as_sauthors=&amp;as_publication=&amp;as_ylo=&amp;as_yhi=&amp;as_occt=title&amp;as_sdt=0%2C5&amp;as_epq=%22Results+of+Acute+Toxicity+Tests+with+Marine+Organisms%2C+Using+a+Standard+Method", "Google Scholar")</f>
        <v>Google Scholar</v>
      </c>
    </row>
    <row r="228" spans="1:8" x14ac:dyDescent="0.45">
      <c r="A228">
        <v>15071</v>
      </c>
      <c r="B228" t="s">
        <v>774</v>
      </c>
      <c r="C228" t="s">
        <v>775</v>
      </c>
      <c r="D228" t="s">
        <v>776</v>
      </c>
      <c r="E228">
        <v>1968</v>
      </c>
      <c r="G228" t="s">
        <v>777</v>
      </c>
      <c r="H228" s="227" t="str">
        <f>HYPERLINK("https://scholar.google.com/scholar?hl=en&amp;as_q=&amp;as_oq=&amp;as_eq=&amp;as_sauthors=&amp;as_publication=&amp;as_ylo=&amp;as_yhi=&amp;as_occt=title&amp;as_sdt=0%2C5&amp;as_epq=%22Progress+Report+on+a+Programme+of+Insecticide+Analysis+and+Toxicity-Testing+in+Relation+to+the+Marine+Environmen", "Google Scholar")</f>
        <v>Google Scholar</v>
      </c>
    </row>
    <row r="229" spans="1:8" x14ac:dyDescent="0.45">
      <c r="A229">
        <v>906</v>
      </c>
      <c r="B229" t="s">
        <v>552</v>
      </c>
      <c r="C229" t="s">
        <v>553</v>
      </c>
      <c r="D229" t="s">
        <v>554</v>
      </c>
      <c r="E229">
        <v>1971</v>
      </c>
      <c r="G229" t="s">
        <v>555</v>
      </c>
      <c r="H229" s="228" t="str">
        <f>HYPERLINK("https://scholar.google.com/scholar?hl=en&amp;as_q=&amp;as_oq=&amp;as_eq=&amp;as_sauthors=&amp;as_publication=&amp;as_ylo=&amp;as_yhi=&amp;as_occt=title&amp;as_sdt=0%2C5&amp;as_epq=%22The+Toxicity+of+140+Substances+to+the+Brown+Shrimp+and+Other+Marine+Animals", "Google Scholar")</f>
        <v>Google Scholar</v>
      </c>
    </row>
    <row r="230" spans="1:8" x14ac:dyDescent="0.45">
      <c r="A230">
        <v>169914</v>
      </c>
      <c r="B230" t="s">
        <v>1286</v>
      </c>
      <c r="C230" t="s">
        <v>1287</v>
      </c>
      <c r="D230" t="s">
        <v>1288</v>
      </c>
      <c r="E230">
        <v>2011</v>
      </c>
      <c r="G230" t="s">
        <v>1289</v>
      </c>
      <c r="H230" s="229" t="str">
        <f>HYPERLINK("https://scholar.google.com/scholar?hl=en&amp;as_q=&amp;as_oq=&amp;as_eq=&amp;as_sauthors=&amp;as_publication=&amp;as_ylo=&amp;as_yhi=&amp;as_occt=title&amp;as_sdt=0%2C5&amp;as_epq=%22Preliminary+Assessment+of+Ostreopsis+cfr.+ovata+Acute+Toxicity+by+Using+a+Battery+Bioassay", "Google Scholar")</f>
        <v>Google Scholar</v>
      </c>
    </row>
    <row r="231" spans="1:8" x14ac:dyDescent="0.45">
      <c r="A231">
        <v>118441</v>
      </c>
      <c r="B231" t="s">
        <v>902</v>
      </c>
      <c r="C231" t="s">
        <v>903</v>
      </c>
      <c r="D231" t="s">
        <v>904</v>
      </c>
      <c r="E231">
        <v>2009</v>
      </c>
      <c r="G231" t="s">
        <v>905</v>
      </c>
      <c r="H231" s="230" t="str">
        <f>HYPERLINK("https://scholar.google.com/scholar?hl=en&amp;as_q=&amp;as_oq=&amp;as_eq=&amp;as_sauthors=&amp;as_publication=&amp;as_ylo=&amp;as_yhi=&amp;as_occt=title&amp;as_sdt=0%2C5&amp;as_epq=%22Effects+of+Temperature+on+the+Sensitivity+of+Gammarus+aequicauda+%28Martynov%2C+1931%29+to+Cadmium", "Google Scholar")</f>
        <v>Google Scholar</v>
      </c>
    </row>
    <row r="232" spans="1:8" x14ac:dyDescent="0.45">
      <c r="A232">
        <v>166028</v>
      </c>
      <c r="B232" t="s">
        <v>2625</v>
      </c>
      <c r="C232" t="s">
        <v>2626</v>
      </c>
      <c r="D232" t="s">
        <v>2627</v>
      </c>
      <c r="E232">
        <v>2013</v>
      </c>
      <c r="G232" t="s">
        <v>2628</v>
      </c>
      <c r="H232" s="231" t="str">
        <f>HYPERLINK("https://scholar.google.com/scholar?hl=en&amp;as_q=&amp;as_oq=&amp;as_eq=&amp;as_sauthors=&amp;as_publication=&amp;as_ylo=&amp;as_yhi=&amp;as_occt=title&amp;as_sdt=0%2C5&amp;as_epq=%22Assessment+of+Individual+and+Combined+Toxicities+of+Three+Heavy+Metals+%28Cu%2C+Cd+and+Hg%29+by+Using+Tigriopus+", "Google Scholar")</f>
        <v>Google Scholar</v>
      </c>
    </row>
    <row r="233" spans="1:8" x14ac:dyDescent="0.45">
      <c r="A233">
        <v>116169</v>
      </c>
      <c r="B233" t="s">
        <v>1330</v>
      </c>
      <c r="C233" t="s">
        <v>1331</v>
      </c>
      <c r="D233" t="s">
        <v>1332</v>
      </c>
      <c r="E233">
        <v>2005</v>
      </c>
      <c r="G233" t="s">
        <v>1333</v>
      </c>
      <c r="H233" s="232" t="str">
        <f>HYPERLINK("https://scholar.google.com/scholar?hl=en&amp;as_q=&amp;as_oq=&amp;as_eq=&amp;as_sauthors=&amp;as_publication=&amp;as_ylo=&amp;as_yhi=&amp;as_occt=title&amp;as_sdt=0%2C5&amp;as_epq=%22Gammarus+aequicauda+%28Crustacea%3A+Amphipoda%29%3A++a+Potential+Test+Species+in+Marine+Sediment+Toxicity+Assess", "Google Scholar")</f>
        <v>Google Scholar</v>
      </c>
    </row>
    <row r="234" spans="1:8" x14ac:dyDescent="0.45">
      <c r="A234">
        <v>105012</v>
      </c>
      <c r="B234" t="s">
        <v>2603</v>
      </c>
      <c r="C234" t="s">
        <v>2604</v>
      </c>
      <c r="D234" t="s">
        <v>2605</v>
      </c>
      <c r="E234">
        <v>2005</v>
      </c>
      <c r="G234" t="s">
        <v>2606</v>
      </c>
      <c r="H234" s="233" t="str">
        <f>HYPERLINK("https://scholar.google.com/scholar?hl=en&amp;as_q=&amp;as_oq=&amp;as_eq=&amp;as_sauthors=&amp;as_publication=&amp;as_ylo=&amp;as_yhi=&amp;as_occt=title&amp;as_sdt=0%2C5&amp;as_epq=%22Toxic+Effects+of+Copper+on+Larval+Development+of+the+Barnacle+Balanus+amphitrite", "Google Scholar")</f>
        <v>Google Scholar</v>
      </c>
    </row>
    <row r="235" spans="1:8" x14ac:dyDescent="0.45">
      <c r="A235">
        <v>169572</v>
      </c>
      <c r="B235" t="s">
        <v>1382</v>
      </c>
      <c r="C235" t="s">
        <v>1383</v>
      </c>
      <c r="D235" t="s">
        <v>1384</v>
      </c>
      <c r="E235">
        <v>2012</v>
      </c>
      <c r="G235" t="s">
        <v>1385</v>
      </c>
      <c r="H235" s="234" t="str">
        <f>HYPERLINK("https://scholar.google.com/scholar?hl=en&amp;as_q=&amp;as_oq=&amp;as_eq=&amp;as_sauthors=&amp;as_publication=&amp;as_ylo=&amp;as_yhi=&amp;as_occt=title&amp;as_sdt=0%2C5&amp;as_epq=%22Marine+Organisms+in+Toxicological+Approach+for+the+Assessment+of+Environmental+Risk+Associated+with+Cd%2C+Cu%2C+", "Google Scholar")</f>
        <v>Google Scholar</v>
      </c>
    </row>
    <row r="236" spans="1:8" x14ac:dyDescent="0.45">
      <c r="A236">
        <v>17977</v>
      </c>
      <c r="B236" t="s">
        <v>3020</v>
      </c>
      <c r="C236" t="s">
        <v>3021</v>
      </c>
      <c r="D236" t="s">
        <v>3022</v>
      </c>
      <c r="E236">
        <v>1997</v>
      </c>
      <c r="G236" t="s">
        <v>3023</v>
      </c>
      <c r="H236" s="235" t="str">
        <f>HYPERLINK("https://scholar.google.com/scholar?hl=en&amp;as_q=&amp;as_oq=&amp;as_eq=&amp;as_sauthors=&amp;as_publication=&amp;as_ylo=&amp;as_yhi=&amp;as_occt=title&amp;as_sdt=0%2C5&amp;as_epq=%22Effect+of+Copper+and+Cadmium+on+Three+Malaysian+Tropical+Estuarine+Invertebrate+Larvae", "Google Scholar")</f>
        <v>Google Scholar</v>
      </c>
    </row>
    <row r="237" spans="1:8" x14ac:dyDescent="0.45">
      <c r="A237">
        <v>84114</v>
      </c>
      <c r="B237" t="s">
        <v>2328</v>
      </c>
      <c r="C237" t="s">
        <v>2329</v>
      </c>
      <c r="D237" t="s">
        <v>2330</v>
      </c>
      <c r="E237">
        <v>1997</v>
      </c>
      <c r="G237" t="s">
        <v>2331</v>
      </c>
      <c r="H237" s="236" t="str">
        <f>HYPERLINK("https://scholar.google.com/scholar?hl=en&amp;as_q=&amp;as_oq=&amp;as_eq=&amp;as_sauthors=&amp;as_publication=&amp;as_ylo=&amp;as_yhi=&amp;as_occt=title&amp;as_sdt=0%2C5&amp;as_epq=%22Toxicity+and+Bioaccumulation+of+Cu2%2B+and+Zn2%2B+in+Two+Isopod+Species+%28Crustacea%29", "Google Scholar")</f>
        <v>Google Scholar</v>
      </c>
    </row>
    <row r="238" spans="1:8" x14ac:dyDescent="0.45">
      <c r="A238">
        <v>2549</v>
      </c>
      <c r="B238" t="s">
        <v>3328</v>
      </c>
      <c r="C238" t="s">
        <v>3329</v>
      </c>
      <c r="D238" t="s">
        <v>3330</v>
      </c>
      <c r="E238">
        <v>1989</v>
      </c>
      <c r="G238" t="s">
        <v>3331</v>
      </c>
      <c r="H238" s="237" t="str">
        <f>HYPERLINK("https://scholar.google.com/scholar?hl=en&amp;as_q=&amp;as_oq=&amp;as_eq=&amp;as_sauthors=&amp;as_publication=&amp;as_ylo=&amp;as_yhi=&amp;as_occt=title&amp;as_sdt=0%2C5&amp;as_epq=%22Effects+of+Chromium+and+Cadmium+upon+Respiration+and+Survival+of+Callinectes+similis", "Google Scholar")</f>
        <v>Google Scholar</v>
      </c>
    </row>
    <row r="239" spans="1:8" x14ac:dyDescent="0.45">
      <c r="A239">
        <v>13291</v>
      </c>
      <c r="B239" t="s">
        <v>3255</v>
      </c>
      <c r="C239" t="s">
        <v>3256</v>
      </c>
      <c r="D239" t="s">
        <v>3257</v>
      </c>
      <c r="E239">
        <v>1984</v>
      </c>
      <c r="G239" t="s">
        <v>3258</v>
      </c>
      <c r="H239" s="238" t="str">
        <f>HYPERLINK("https://scholar.google.com/scholar?hl=en&amp;as_q=&amp;as_oq=&amp;as_eq=&amp;as_sauthors=&amp;as_publication=&amp;as_ylo=&amp;as_yhi=&amp;as_occt=title&amp;as_sdt=0%2C5&amp;as_epq=%22Histopathological+Changes+in+Grass+Shrimp+Exposed+to+Chromium%2C+Pentachlorophenol+and+Dithiocarbamates", "Google Scholar")</f>
        <v>Google Scholar</v>
      </c>
    </row>
    <row r="240" spans="1:8" x14ac:dyDescent="0.45">
      <c r="A240">
        <v>14267</v>
      </c>
      <c r="B240" t="s">
        <v>3263</v>
      </c>
      <c r="C240" t="s">
        <v>3264</v>
      </c>
      <c r="D240" t="s">
        <v>3265</v>
      </c>
      <c r="E240">
        <v>1986</v>
      </c>
      <c r="G240" t="s">
        <v>3266</v>
      </c>
      <c r="H240" s="239" t="str">
        <f>HYPERLINK("https://scholar.google.com/scholar?hl=en&amp;as_q=&amp;as_oq=&amp;as_eq=&amp;as_sauthors=&amp;as_publication=&amp;as_ylo=&amp;as_yhi=&amp;as_occt=title&amp;as_sdt=0%2C5&amp;as_epq=%22Molt-Related+Susceptibility+and+Regenerative+Limb+Growth+as+Sensitive+Indicators+of+Aquatic+Pollutant+Toxicity+t", "Google Scholar")</f>
        <v>Google Scholar</v>
      </c>
    </row>
    <row r="241" spans="1:8" x14ac:dyDescent="0.45">
      <c r="A241">
        <v>13233</v>
      </c>
      <c r="B241" t="s">
        <v>1681</v>
      </c>
      <c r="C241" t="s">
        <v>1682</v>
      </c>
      <c r="D241" t="s">
        <v>1683</v>
      </c>
      <c r="E241">
        <v>1988</v>
      </c>
      <c r="G241" t="s">
        <v>1684</v>
      </c>
      <c r="H241" s="240" t="str">
        <f>HYPERLINK("https://scholar.google.com/scholar?hl=en&amp;as_q=&amp;as_oq=&amp;as_eq=&amp;as_sauthors=&amp;as_publication=&amp;as_ylo=&amp;as_yhi=&amp;as_occt=title&amp;as_sdt=0%2C5&amp;as_epq=%22Heavy+Metal+Toxicity+to+the+Marine+Crab+Ozius+rugulosus", "Google Scholar")</f>
        <v>Google Scholar</v>
      </c>
    </row>
    <row r="242" spans="1:8" x14ac:dyDescent="0.45">
      <c r="A242">
        <v>8425</v>
      </c>
      <c r="B242" t="s">
        <v>336</v>
      </c>
      <c r="C242" t="s">
        <v>337</v>
      </c>
      <c r="D242" t="s">
        <v>338</v>
      </c>
      <c r="E242">
        <v>1976</v>
      </c>
      <c r="G242" t="s">
        <v>339</v>
      </c>
      <c r="H242" s="241" t="str">
        <f>HYPERLINK("https://scholar.google.com/scholar?hl=en&amp;as_q=&amp;as_oq=&amp;as_eq=&amp;as_sauthors=&amp;as_publication=&amp;as_ylo=&amp;as_yhi=&amp;as_occt=title&amp;as_sdt=0%2C5&amp;as_epq=%22The+Uptake+of+Mercury+From+Water+by+the+Grass+Shrimp%2C+Palaemonetes+vulgaris+%28Say%29", "Google Scholar")</f>
        <v>Google Scholar</v>
      </c>
    </row>
    <row r="243" spans="1:8" x14ac:dyDescent="0.45">
      <c r="A243">
        <v>53460</v>
      </c>
      <c r="B243" t="s">
        <v>562</v>
      </c>
      <c r="C243" t="s">
        <v>563</v>
      </c>
      <c r="D243" t="s">
        <v>564</v>
      </c>
      <c r="E243">
        <v>1999</v>
      </c>
      <c r="G243" t="s">
        <v>565</v>
      </c>
      <c r="H243" s="242" t="str">
        <f>HYPERLINK("https://scholar.google.com/scholar?hl=en&amp;as_q=&amp;as_oq=&amp;as_eq=&amp;as_sauthors=&amp;as_publication=&amp;as_ylo=&amp;as_yhi=&amp;as_occt=title&amp;as_sdt=0%2C5&amp;as_epq=%22Developmental+Toxicity+of+Copper+Chloride%2C+Methylene+Chloride%2C+and+6-Aminonicotinamide+to+Embryos+of+the+Gra", "Google Scholar")</f>
        <v>Google Scholar</v>
      </c>
    </row>
    <row r="244" spans="1:8" x14ac:dyDescent="0.45">
      <c r="A244">
        <v>4443</v>
      </c>
      <c r="B244" t="s">
        <v>3948</v>
      </c>
      <c r="C244" t="s">
        <v>3949</v>
      </c>
      <c r="D244" t="s">
        <v>3950</v>
      </c>
      <c r="E244">
        <v>1994</v>
      </c>
      <c r="G244" t="s">
        <v>3951</v>
      </c>
      <c r="H244" s="243" t="str">
        <f>HYPERLINK("https://scholar.google.com/scholar?hl=en&amp;as_q=&amp;as_oq=&amp;as_eq=&amp;as_sauthors=&amp;as_publication=&amp;as_ylo=&amp;as_yhi=&amp;as_occt=title&amp;as_sdt=0%2C5&amp;as_epq=%22Preliminary+Culture+and+Life-Cycle+Experiments+with+the+Benthic+Amphipod+Ampelisca+abdita", "Google Scholar")</f>
        <v>Google Scholar</v>
      </c>
    </row>
    <row r="245" spans="1:8" x14ac:dyDescent="0.45">
      <c r="A245">
        <v>6045</v>
      </c>
      <c r="B245" t="s">
        <v>1648</v>
      </c>
      <c r="C245" t="s">
        <v>1649</v>
      </c>
      <c r="D245" t="s">
        <v>1650</v>
      </c>
      <c r="E245">
        <v>1976</v>
      </c>
      <c r="G245" t="s">
        <v>1651</v>
      </c>
      <c r="H245" s="244" t="str">
        <f>HYPERLINK("https://scholar.google.com/scholar?hl=en&amp;as_q=&amp;as_oq=&amp;as_eq=&amp;as_sauthors=&amp;as_publication=&amp;as_ylo=&amp;as_yhi=&amp;as_occt=title&amp;as_sdt=0%2C5&amp;as_epq=%22A+Controlled+Environmental+Pollution+Experiment+%28CEPEX%29+and+Its+Usefulness+in+the+Study+of+Larger+Marine+Zoo", "Google Scholar")</f>
        <v>Google Scholar</v>
      </c>
    </row>
    <row r="246" spans="1:8" x14ac:dyDescent="0.45">
      <c r="A246">
        <v>6079</v>
      </c>
      <c r="B246" t="s">
        <v>749</v>
      </c>
      <c r="C246" t="s">
        <v>750</v>
      </c>
      <c r="D246" t="s">
        <v>751</v>
      </c>
      <c r="E246">
        <v>1977</v>
      </c>
      <c r="G246" t="s">
        <v>752</v>
      </c>
      <c r="H246" s="245" t="str">
        <f>HYPERLINK("https://scholar.google.com/scholar?hl=en&amp;as_q=&amp;as_oq=&amp;as_eq=&amp;as_sauthors=&amp;as_publication=&amp;as_ylo=&amp;as_yhi=&amp;as_occt=title&amp;as_sdt=0%2C5&amp;as_epq=%22Evaluation+of+Potential+Indicators+of+Sub-Lethal+Toxic+Stress+on+Marine+Zooplankton+%28Feeding%2C+Fecundity%2C+R", "Google Scholar")</f>
        <v>Google Scholar</v>
      </c>
    </row>
    <row r="247" spans="1:8" x14ac:dyDescent="0.45">
      <c r="A247">
        <v>9755</v>
      </c>
      <c r="B247" t="s">
        <v>1206</v>
      </c>
      <c r="C247" t="s">
        <v>1207</v>
      </c>
      <c r="D247" t="s">
        <v>1208</v>
      </c>
      <c r="E247">
        <v>1993</v>
      </c>
      <c r="G247" t="s">
        <v>1209</v>
      </c>
      <c r="H247" s="246" t="str">
        <f>HYPERLINK("https://scholar.google.com/scholar?hl=en&amp;as_q=&amp;as_oq=&amp;as_eq=&amp;as_sauthors=&amp;as_publication=&amp;as_ylo=&amp;as_yhi=&amp;as_occt=title&amp;as_sdt=0%2C5&amp;as_epq=%22Effects+of+Metals+and+Organic+Compounds+on+Survival+and+Bioaccumulation+in+Two+Species+of+Marine+Gammaridean+Amp", "Google Scholar")</f>
        <v>Google Scholar</v>
      </c>
    </row>
    <row r="248" spans="1:8" x14ac:dyDescent="0.45">
      <c r="A248">
        <v>166814</v>
      </c>
      <c r="B248" t="s">
        <v>1198</v>
      </c>
      <c r="C248" t="s">
        <v>1199</v>
      </c>
      <c r="D248" t="s">
        <v>1200</v>
      </c>
      <c r="E248">
        <v>2011</v>
      </c>
      <c r="G248" t="s">
        <v>1201</v>
      </c>
      <c r="H248" s="247" t="str">
        <f>HYPERLINK("https://scholar.google.com/scholar?hl=en&amp;as_q=&amp;as_oq=&amp;as_eq=&amp;as_sauthors=&amp;as_publication=&amp;as_ylo=&amp;as_yhi=&amp;as_occt=title&amp;as_sdt=0%2C5&amp;as_epq=%22Toxicity+Assessment+of+Copper%2C+Pentachlorophenol+and+Phenanthrene+by+Lethal+and+Sublethal+Endpoints+on+Nauplii", "Google Scholar")</f>
        <v>Google Scholar</v>
      </c>
    </row>
    <row r="249" spans="1:8" x14ac:dyDescent="0.45">
      <c r="A249">
        <v>10443</v>
      </c>
      <c r="B249" t="s">
        <v>3759</v>
      </c>
      <c r="C249" t="s">
        <v>3760</v>
      </c>
      <c r="D249" t="s">
        <v>3761</v>
      </c>
      <c r="E249">
        <v>1982</v>
      </c>
      <c r="G249" t="s">
        <v>3762</v>
      </c>
      <c r="H249" s="248" t="str">
        <f>HYPERLINK("https://scholar.google.com/scholar?hl=en&amp;as_q=&amp;as_oq=&amp;as_eq=&amp;as_sauthors=&amp;as_publication=&amp;as_ylo=&amp;as_yhi=&amp;as_occt=title&amp;as_sdt=0%2C5&amp;as_epq=%22Comparison+of+Estuarine+Species+Sensitivities+to+Three+Toxicants", "Google Scholar")</f>
        <v>Google Scholar</v>
      </c>
    </row>
    <row r="250" spans="1:8" x14ac:dyDescent="0.45">
      <c r="A250">
        <v>8436</v>
      </c>
      <c r="B250" t="s">
        <v>1618</v>
      </c>
      <c r="C250" t="s">
        <v>1619</v>
      </c>
      <c r="D250" t="s">
        <v>1620</v>
      </c>
      <c r="E250">
        <v>1974</v>
      </c>
      <c r="G250" t="s">
        <v>1621</v>
      </c>
      <c r="H250" s="249" t="str">
        <f>HYPERLINK("https://scholar.google.com/scholar?hl=en&amp;as_q=&amp;as_oq=&amp;as_eq=&amp;as_sauthors=&amp;as_publication=&amp;as_ylo=&amp;as_yhi=&amp;as_occt=title&amp;as_sdt=0%2C5&amp;as_epq=%22Survival+and+Chloride+Ion+Regulation+of+the+Porcelain+Crab+Petrolisthes+armatus+Exposed+to+Mercury", "Google Scholar")</f>
        <v>Google Scholar</v>
      </c>
    </row>
    <row r="251" spans="1:8" x14ac:dyDescent="0.45">
      <c r="A251">
        <v>17398</v>
      </c>
      <c r="B251" t="s">
        <v>1391</v>
      </c>
      <c r="C251" t="s">
        <v>1392</v>
      </c>
      <c r="D251" t="s">
        <v>1393</v>
      </c>
      <c r="E251">
        <v>1989</v>
      </c>
      <c r="G251" t="s">
        <v>1394</v>
      </c>
      <c r="H251" s="250" t="str">
        <f>HYPERLINK("https://scholar.google.com/scholar?hl=en&amp;as_q=&amp;as_oq=&amp;as_eq=&amp;as_sauthors=&amp;as_publication=&amp;as_ylo=&amp;as_yhi=&amp;as_occt=title&amp;as_sdt=0%2C5&amp;as_epq=%22Acute+Effects+of+%28bis%29Tributyltin+Oxide+on+Marine+Organisms", "Google Scholar")</f>
        <v>Google Scholar</v>
      </c>
    </row>
    <row r="252" spans="1:8" x14ac:dyDescent="0.45">
      <c r="A252">
        <v>60111</v>
      </c>
      <c r="B252" t="s">
        <v>2349</v>
      </c>
      <c r="C252" t="s">
        <v>2350</v>
      </c>
      <c r="D252" t="s">
        <v>2351</v>
      </c>
      <c r="E252">
        <v>2000</v>
      </c>
      <c r="G252" t="s">
        <v>2352</v>
      </c>
      <c r="H252" s="251" t="str">
        <f>HYPERLINK("https://scholar.google.com/scholar?hl=en&amp;as_q=&amp;as_oq=&amp;as_eq=&amp;as_sauthors=&amp;as_publication=&amp;as_ylo=&amp;as_yhi=&amp;as_occt=title&amp;as_sdt=0%2C5&amp;as_epq=%22Effects+of+Copper+and+Zinc+on+Growth%2C+Feeding+and+Oxygen+Consumption+of+Farfantepenaeus+paulensis+Postlarvae+%", "Google Scholar")</f>
        <v>Google Scholar</v>
      </c>
    </row>
    <row r="253" spans="1:8" x14ac:dyDescent="0.45">
      <c r="A253">
        <v>53890</v>
      </c>
      <c r="B253" t="s">
        <v>1294</v>
      </c>
      <c r="C253" t="s">
        <v>1295</v>
      </c>
      <c r="D253" t="s">
        <v>1296</v>
      </c>
      <c r="E253">
        <v>1995</v>
      </c>
      <c r="G253" t="s">
        <v>1297</v>
      </c>
      <c r="H253" s="252" t="str">
        <f>HYPERLINK("https://scholar.google.com/scholar?hl=en&amp;as_q=&amp;as_oq=&amp;as_eq=&amp;as_sauthors=&amp;as_publication=&amp;as_ylo=&amp;as_yhi=&amp;as_occt=title&amp;as_sdt=0%2C5&amp;as_epq=%22Comparative+Toxicities+of+Selected+Compounds+to+Nauplii+of+Balanus+amphitrite+amphitrite+Darwin+and+Artemia+sp.", "Google Scholar")</f>
        <v>Google Scholar</v>
      </c>
    </row>
    <row r="254" spans="1:8" x14ac:dyDescent="0.45">
      <c r="A254">
        <v>17564</v>
      </c>
      <c r="B254" t="s">
        <v>1738</v>
      </c>
      <c r="C254" t="s">
        <v>1739</v>
      </c>
      <c r="D254" t="s">
        <v>1740</v>
      </c>
      <c r="E254">
        <v>1992</v>
      </c>
      <c r="G254" t="s">
        <v>1741</v>
      </c>
      <c r="H254" s="253" t="str">
        <f>HYPERLINK("https://scholar.google.com/scholar?hl=en&amp;as_q=&amp;as_oq=&amp;as_eq=&amp;as_sauthors=&amp;as_publication=&amp;as_ylo=&amp;as_yhi=&amp;as_occt=title&amp;as_sdt=0%2C5&amp;as_epq=%22Respiratory+Response+of+Estuarine+Crab+Ilyoplax+gangetica+Exposed+to+Three+Metallic+Chemicals", "Google Scholar")</f>
        <v>Google Scholar</v>
      </c>
    </row>
    <row r="255" spans="1:8" x14ac:dyDescent="0.45">
      <c r="A255">
        <v>81814</v>
      </c>
      <c r="B255" t="s">
        <v>1059</v>
      </c>
      <c r="C255" t="s">
        <v>1060</v>
      </c>
      <c r="D255" t="s">
        <v>1061</v>
      </c>
      <c r="E255">
        <v>1991</v>
      </c>
      <c r="G255" t="s">
        <v>1062</v>
      </c>
      <c r="H255" s="254" t="str">
        <f>HYPERLINK("https://scholar.google.com/scholar?hl=en&amp;as_q=&amp;as_oq=&amp;as_eq=&amp;as_sauthors=&amp;as_publication=&amp;as_ylo=&amp;as_yhi=&amp;as_occt=title&amp;as_sdt=0%2C5&amp;as_epq=%22On+Comparative+Studies+of+Acute+Toxicity+of+Hexavalent+Chromium+and+Selenium+to+Scylla+serrata+%28Forskal%29", "Google Scholar")</f>
        <v>Google Scholar</v>
      </c>
    </row>
    <row r="256" spans="1:8" x14ac:dyDescent="0.45">
      <c r="A256">
        <v>3740</v>
      </c>
      <c r="B256" t="s">
        <v>3159</v>
      </c>
      <c r="C256" t="s">
        <v>3160</v>
      </c>
      <c r="D256" t="s">
        <v>3161</v>
      </c>
      <c r="E256">
        <v>1981</v>
      </c>
      <c r="G256" t="s">
        <v>3162</v>
      </c>
      <c r="H256" s="255" t="str">
        <f>HYPERLINK("https://scholar.google.com/scholar?hl=en&amp;as_q=&amp;as_oq=&amp;as_eq=&amp;as_sauthors=&amp;as_publication=&amp;as_ylo=&amp;as_yhi=&amp;as_occt=title&amp;as_sdt=0%2C5&amp;as_epq=%22Results%3A+Interlaboratory+Comparison+-+Acute+Toxicity+Tests+Using+Estuarine+Animals", "Google Scholar")</f>
        <v>Google Scholar</v>
      </c>
    </row>
    <row r="257" spans="1:8" x14ac:dyDescent="0.45">
      <c r="A257">
        <v>3911</v>
      </c>
      <c r="B257" t="s">
        <v>3967</v>
      </c>
      <c r="C257" t="s">
        <v>3968</v>
      </c>
      <c r="D257" t="s">
        <v>3969</v>
      </c>
      <c r="E257">
        <v>1992</v>
      </c>
      <c r="G257" t="s">
        <v>3970</v>
      </c>
      <c r="H257" s="256" t="str">
        <f>HYPERLINK("https://scholar.google.com/scholar?hl=en&amp;as_q=&amp;as_oq=&amp;as_eq=&amp;as_sauthors=&amp;as_publication=&amp;as_ylo=&amp;as_yhi=&amp;as_occt=title&amp;as_sdt=0%2C5&amp;as_epq=%22Testing+Sediment+Toxicity+in+Chesapeake+Bay+with+the+Amphipod+Leptocheirus+plumulosus%3A+An+Evaluation", "Google Scholar")</f>
        <v>Google Scholar</v>
      </c>
    </row>
    <row r="258" spans="1:8" x14ac:dyDescent="0.45">
      <c r="A258">
        <v>76254</v>
      </c>
      <c r="B258" t="s">
        <v>3053</v>
      </c>
      <c r="C258" t="s">
        <v>3054</v>
      </c>
      <c r="D258" t="s">
        <v>3055</v>
      </c>
      <c r="E258">
        <v>1993</v>
      </c>
      <c r="G258" t="s">
        <v>3056</v>
      </c>
      <c r="H258" s="257" t="str">
        <f>HYPERLINK("https://scholar.google.com/scholar?hl=en&amp;as_q=&amp;as_oq=&amp;as_eq=&amp;as_sauthors=&amp;as_publication=&amp;as_ylo=&amp;as_yhi=&amp;as_occt=title&amp;as_sdt=0%2C5&amp;as_epq=%22Toxicity+Testing+to+Support+the+New+York%2FNew+Jersey+Harbor+Site-Specific+Copper+Criteria+Study", "Google Scholar")</f>
        <v>Google Scholar</v>
      </c>
    </row>
    <row r="259" spans="1:8" x14ac:dyDescent="0.45">
      <c r="A259">
        <v>3741</v>
      </c>
      <c r="B259" t="s">
        <v>3518</v>
      </c>
      <c r="C259" t="s">
        <v>3519</v>
      </c>
      <c r="D259" t="s">
        <v>3520</v>
      </c>
      <c r="E259">
        <v>1982</v>
      </c>
      <c r="G259" t="s">
        <v>3521</v>
      </c>
      <c r="H259" s="258" t="str">
        <f>HYPERLINK("https://scholar.google.com/scholar?hl=en&amp;as_q=&amp;as_oq=&amp;as_eq=&amp;as_sauthors=&amp;as_publication=&amp;as_ylo=&amp;as_yhi=&amp;as_occt=title&amp;as_sdt=0%2C5&amp;as_epq=%22Toxicological+Methods+Using+the+Benthic+Amphipod+Ampelisca+abdita+Mills", "Google Scholar")</f>
        <v>Google Scholar</v>
      </c>
    </row>
    <row r="260" spans="1:8" x14ac:dyDescent="0.45">
      <c r="A260">
        <v>18580</v>
      </c>
      <c r="B260" t="s">
        <v>1820</v>
      </c>
      <c r="C260" t="s">
        <v>1821</v>
      </c>
      <c r="D260" t="s">
        <v>1822</v>
      </c>
      <c r="E260">
        <v>1996</v>
      </c>
      <c r="G260" t="s">
        <v>1823</v>
      </c>
      <c r="H260" s="259" t="str">
        <f>HYPERLINK("https://scholar.google.com/scholar?hl=en&amp;as_q=&amp;as_oq=&amp;as_eq=&amp;as_sauthors=&amp;as_publication=&amp;as_ylo=&amp;as_yhi=&amp;as_occt=title&amp;as_sdt=0%2C5&amp;as_epq=%22Acute+Toxicity+of+Some+Heavy+Metals%2C+Pesticides+and+Water+Soluble+Fractions+of+Diesel+Oil+to+the+Larvae+of+Som", "Google Scholar")</f>
        <v>Google Scholar</v>
      </c>
    </row>
    <row r="261" spans="1:8" x14ac:dyDescent="0.45">
      <c r="A261">
        <v>15540</v>
      </c>
      <c r="B261" t="s">
        <v>1875</v>
      </c>
      <c r="C261" t="s">
        <v>1876</v>
      </c>
      <c r="D261" t="s">
        <v>1877</v>
      </c>
      <c r="E261">
        <v>1975</v>
      </c>
      <c r="G261" t="s">
        <v>1878</v>
      </c>
      <c r="H261" s="260" t="str">
        <f>HYPERLINK("https://scholar.google.com/scholar?hl=en&amp;as_q=&amp;as_oq=&amp;as_eq=&amp;as_sauthors=&amp;as_publication=&amp;as_ylo=&amp;as_yhi=&amp;as_occt=title&amp;as_sdt=0%2C5&amp;as_epq=%22Effects+of+Mercury+on+Survival+and+Development+of+the+Larval+Grass+Shrimp+Palaemonete+vulgaris", "Google Scholar")</f>
        <v>Google Scholar</v>
      </c>
    </row>
    <row r="262" spans="1:8" x14ac:dyDescent="0.45">
      <c r="A262">
        <v>2275</v>
      </c>
      <c r="B262" t="s">
        <v>979</v>
      </c>
      <c r="C262" t="s">
        <v>980</v>
      </c>
      <c r="D262" t="s">
        <v>981</v>
      </c>
      <c r="E262">
        <v>1989</v>
      </c>
      <c r="G262" t="s">
        <v>982</v>
      </c>
      <c r="H262" s="261" t="str">
        <f>HYPERLINK("https://scholar.google.com/scholar?hl=en&amp;as_q=&amp;as_oq=&amp;as_eq=&amp;as_sauthors=&amp;as_publication=&amp;as_ylo=&amp;as_yhi=&amp;as_occt=title&amp;as_sdt=0%2C5&amp;as_epq=%22Effect+of+Speciation+on+Uptake+and+Toxicity+of+Cadmium+to+Shrimp+Crangon+crangon+%28L.%29", "Google Scholar")</f>
        <v>Google Scholar</v>
      </c>
    </row>
    <row r="263" spans="1:8" x14ac:dyDescent="0.45">
      <c r="A263">
        <v>11853</v>
      </c>
      <c r="B263" t="s">
        <v>1805</v>
      </c>
      <c r="C263" t="s">
        <v>1806</v>
      </c>
      <c r="D263" t="s">
        <v>1807</v>
      </c>
      <c r="E263">
        <v>1986</v>
      </c>
      <c r="G263" t="s">
        <v>1808</v>
      </c>
      <c r="H263" s="262" t="str">
        <f>HYPERLINK("https://scholar.google.com/scholar?hl=en&amp;as_q=&amp;as_oq=&amp;as_eq=&amp;as_sauthors=&amp;as_publication=&amp;as_ylo=&amp;as_yhi=&amp;as_occt=title&amp;as_sdt=0%2C5&amp;as_epq=%22Toxicity+of+Mercury%2C+Copper+and+Zinc+to+the+Prawn+Metapenaeus+dobsoni+%28Mier%29", "Google Scholar")</f>
        <v>Google Scholar</v>
      </c>
    </row>
    <row r="264" spans="1:8" x14ac:dyDescent="0.45">
      <c r="A264">
        <v>8446</v>
      </c>
      <c r="B264" t="s">
        <v>641</v>
      </c>
      <c r="C264" t="s">
        <v>642</v>
      </c>
      <c r="D264" t="s">
        <v>643</v>
      </c>
      <c r="E264">
        <v>1979</v>
      </c>
      <c r="G264" t="s">
        <v>644</v>
      </c>
      <c r="H264" s="263" t="str">
        <f>HYPERLINK("https://scholar.google.com/scholar?hl=en&amp;as_q=&amp;as_oq=&amp;as_eq=&amp;as_sauthors=&amp;as_publication=&amp;as_ylo=&amp;as_yhi=&amp;as_occt=title&amp;as_sdt=0%2C5&amp;as_epq=%22The+Effect+of+Nutrition+on+the+Response+of+Field+Populations+of+the+Calanoid+Copepod+Acartia+tonsa+to+Copper", "Google Scholar")</f>
        <v>Google Scholar</v>
      </c>
    </row>
    <row r="265" spans="1:8" x14ac:dyDescent="0.45">
      <c r="A265">
        <v>8445</v>
      </c>
      <c r="B265" t="s">
        <v>816</v>
      </c>
      <c r="C265" t="s">
        <v>817</v>
      </c>
      <c r="D265" t="s">
        <v>818</v>
      </c>
      <c r="E265">
        <v>1978</v>
      </c>
      <c r="G265" t="s">
        <v>819</v>
      </c>
      <c r="H265" s="264" t="str">
        <f>HYPERLINK("https://scholar.google.com/scholar?hl=en&amp;as_q=&amp;as_oq=&amp;as_eq=&amp;as_sauthors=&amp;as_publication=&amp;as_ylo=&amp;as_yhi=&amp;as_occt=title&amp;as_sdt=0%2C5&amp;as_epq=%22Toxicological+Comparison+of+Natural+and+Cultured+Populations+of+Acartia+tonsa+to+Cadmium%2C+Copper%2C+and+Mercur", "Google Scholar")</f>
        <v>Google Scholar</v>
      </c>
    </row>
    <row r="266" spans="1:8" x14ac:dyDescent="0.45">
      <c r="A266">
        <v>54390</v>
      </c>
      <c r="B266" t="s">
        <v>2721</v>
      </c>
      <c r="C266" t="s">
        <v>2722</v>
      </c>
      <c r="D266" t="s">
        <v>2723</v>
      </c>
      <c r="E266">
        <v>2000</v>
      </c>
      <c r="G266" t="s">
        <v>2724</v>
      </c>
      <c r="H266" s="265" t="str">
        <f>HYPERLINK("https://scholar.google.com/scholar?hl=en&amp;as_q=&amp;as_oq=&amp;as_eq=&amp;as_sauthors=&amp;as_publication=&amp;as_ylo=&amp;as_yhi=&amp;as_occt=title&amp;as_sdt=0%2C5&amp;as_epq=%22Sensitivity+of+Ampelisca+araucana+Juveniles+%28Crustacea%3A++Amphipoda%29+to+Organic+and+Inorganic+Toxicants+in+", "Google Scholar")</f>
        <v>Google Scholar</v>
      </c>
    </row>
    <row r="267" spans="1:8" x14ac:dyDescent="0.45">
      <c r="A267">
        <v>112230</v>
      </c>
      <c r="B267" t="s">
        <v>2559</v>
      </c>
      <c r="C267" t="s">
        <v>2560</v>
      </c>
      <c r="D267" t="s">
        <v>2561</v>
      </c>
      <c r="E267">
        <v>2008</v>
      </c>
      <c r="G267" t="s">
        <v>2562</v>
      </c>
      <c r="H267" s="266" t="str">
        <f>HYPERLINK("https://scholar.google.com/scholar?hl=en&amp;as_q=&amp;as_oq=&amp;as_eq=&amp;as_sauthors=&amp;as_publication=&amp;as_ylo=&amp;as_yhi=&amp;as_occt=title&amp;as_sdt=0%2C5&amp;as_epq=%22Effect+of+Nutrition+on+Toxicity+of+Contaminants+to+the+Epibenthic+Amphipod+Melita+plumulosa", "Google Scholar")</f>
        <v>Google Scholar</v>
      </c>
    </row>
    <row r="268" spans="1:8" x14ac:dyDescent="0.45">
      <c r="A268">
        <v>13749</v>
      </c>
      <c r="B268" t="s">
        <v>3693</v>
      </c>
      <c r="C268" t="s">
        <v>3694</v>
      </c>
      <c r="D268" t="s">
        <v>3695</v>
      </c>
      <c r="E268">
        <v>1994</v>
      </c>
      <c r="G268" t="s">
        <v>3696</v>
      </c>
      <c r="H268" s="267" t="str">
        <f>HYPERLINK("https://scholar.google.com/scholar?hl=en&amp;as_q=&amp;as_oq=&amp;as_eq=&amp;as_sauthors=&amp;as_publication=&amp;as_ylo=&amp;as_yhi=&amp;as_occt=title&amp;as_sdt=0%2C5&amp;as_epq=%22Changes+in+Oxidative+Metabolism+in+Selected+Tissues+of+the+Crab+%28Scylla+serrata%29+in+Response+to+Cadmium+Toxi", "Google Scholar")</f>
        <v>Google Scholar</v>
      </c>
    </row>
    <row r="269" spans="1:8" x14ac:dyDescent="0.45">
      <c r="A269">
        <v>161986</v>
      </c>
      <c r="B269" t="s">
        <v>2381</v>
      </c>
      <c r="C269" t="s">
        <v>2382</v>
      </c>
      <c r="D269" t="s">
        <v>2383</v>
      </c>
      <c r="E269">
        <v>2012</v>
      </c>
      <c r="G269" t="s">
        <v>2384</v>
      </c>
      <c r="H269" s="268" t="str">
        <f>HYPERLINK("https://scholar.google.com/scholar?hl=en&amp;as_q=&amp;as_oq=&amp;as_eq=&amp;as_sauthors=&amp;as_publication=&amp;as_ylo=&amp;as_yhi=&amp;as_occt=title&amp;as_sdt=0%2C5&amp;as_epq=%22Development+of+a+Harpacticoid+Copepod+Bioassay%3A++Selection+of+Species+and+Relative+Sensitivity+to+Zinc%2C+Atra", "Google Scholar")</f>
        <v>Google Scholar</v>
      </c>
    </row>
    <row r="270" spans="1:8" x14ac:dyDescent="0.45">
      <c r="A270">
        <v>115825</v>
      </c>
      <c r="B270" t="s">
        <v>964</v>
      </c>
      <c r="C270" t="s">
        <v>965</v>
      </c>
      <c r="D270" t="s">
        <v>966</v>
      </c>
      <c r="E270">
        <v>1996</v>
      </c>
      <c r="G270" t="s">
        <v>967</v>
      </c>
      <c r="H270" s="269" t="str">
        <f>HYPERLINK("https://scholar.google.com/scholar?hl=en&amp;as_q=&amp;as_oq=&amp;as_eq=&amp;as_sauthors=&amp;as_publication=&amp;as_ylo=&amp;as_yhi=&amp;as_occt=title&amp;as_sdt=0%2C5&amp;as_epq=%22Acute+Toxicity+Testings+of+Copper%2C+Cadmium+and+Ammonia+to+Penaeus+monodon+and+Lates+calcarifer", "Google Scholar")</f>
        <v>Google Scholar</v>
      </c>
    </row>
    <row r="271" spans="1:8" x14ac:dyDescent="0.45">
      <c r="A271">
        <v>10900</v>
      </c>
      <c r="B271" t="s">
        <v>1038</v>
      </c>
      <c r="C271" t="s">
        <v>1039</v>
      </c>
      <c r="D271" t="s">
        <v>1040</v>
      </c>
      <c r="E271">
        <v>1983</v>
      </c>
      <c r="G271" t="s">
        <v>1041</v>
      </c>
      <c r="H271" s="270" t="str">
        <f>HYPERLINK("https://scholar.google.com/scholar?hl=en&amp;as_q=&amp;as_oq=&amp;as_eq=&amp;as_sauthors=&amp;as_publication=&amp;as_ylo=&amp;as_yhi=&amp;as_occt=title&amp;as_sdt=0%2C5&amp;as_epq=%22Effects+of+Copper+and+Cadmium+on+Growth%2C+Swimming+and+Predator+Avoidance+in+Eurytemora+affinis+%28Copepoda%29", "Google Scholar")</f>
        <v>Google Scholar</v>
      </c>
    </row>
    <row r="272" spans="1:8" x14ac:dyDescent="0.45">
      <c r="A272">
        <v>9001</v>
      </c>
      <c r="B272" t="s">
        <v>454</v>
      </c>
      <c r="C272" t="s">
        <v>455</v>
      </c>
      <c r="D272" t="s">
        <v>456</v>
      </c>
      <c r="E272">
        <v>1973</v>
      </c>
      <c r="G272" t="s">
        <v>457</v>
      </c>
      <c r="H272" s="271" t="str">
        <f>HYPERLINK("https://scholar.google.com/scholar?hl=en&amp;as_q=&amp;as_oq=&amp;as_eq=&amp;as_sauthors=&amp;as_publication=&amp;as_ylo=&amp;as_yhi=&amp;as_occt=title&amp;as_sdt=0%2C5&amp;as_epq=%22Toxicity+of+Some+Heavy+Metals+for+Hydrobionts", "Google Scholar")</f>
        <v>Google Scholar</v>
      </c>
    </row>
    <row r="273" spans="1:8" x14ac:dyDescent="0.45">
      <c r="A273">
        <v>16857</v>
      </c>
      <c r="B273" t="s">
        <v>921</v>
      </c>
      <c r="C273" t="s">
        <v>922</v>
      </c>
      <c r="D273" t="s">
        <v>923</v>
      </c>
      <c r="E273">
        <v>1996</v>
      </c>
      <c r="G273" t="s">
        <v>924</v>
      </c>
      <c r="H273" s="272" t="str">
        <f>HYPERLINK("https://scholar.google.com/scholar?hl=en&amp;as_q=&amp;as_oq=&amp;as_eq=&amp;as_sauthors=&amp;as_publication=&amp;as_ylo=&amp;as_yhi=&amp;as_occt=title&amp;as_sdt=0%2C5&amp;as_epq=%22Short+Term+Cadmium+intoxication+of+the+Shrimp+Palaemon+serratus%3A+Effect+on+Adenylate+Metabolism", "Google Scholar")</f>
        <v>Google Scholar</v>
      </c>
    </row>
    <row r="274" spans="1:8" x14ac:dyDescent="0.45">
      <c r="A274">
        <v>3035</v>
      </c>
      <c r="B274" t="s">
        <v>940</v>
      </c>
      <c r="C274" t="s">
        <v>941</v>
      </c>
      <c r="D274" t="s">
        <v>942</v>
      </c>
      <c r="E274">
        <v>1988</v>
      </c>
      <c r="G274" t="s">
        <v>943</v>
      </c>
      <c r="H274" s="273" t="str">
        <f>HYPERLINK("https://scholar.google.com/scholar?hl=en&amp;as_q=&amp;as_oq=&amp;as_eq=&amp;as_sauthors=&amp;as_publication=&amp;as_ylo=&amp;as_yhi=&amp;as_occt=title&amp;as_sdt=0%2C5&amp;as_epq=%22A+Toxicological+Assessment+of+Cadmium+Toxicity+to+the+Larvae+of+Two+Estuarine+Crustaceans%2C+Rhithropanopeus+har", "Google Scholar")</f>
        <v>Google Scholar</v>
      </c>
    </row>
    <row r="275" spans="1:8" x14ac:dyDescent="0.45">
      <c r="A275">
        <v>9029</v>
      </c>
      <c r="B275" t="s">
        <v>3891</v>
      </c>
      <c r="C275" t="s">
        <v>3892</v>
      </c>
      <c r="D275" t="s">
        <v>3893</v>
      </c>
      <c r="E275">
        <v>1987</v>
      </c>
      <c r="G275" t="s">
        <v>3894</v>
      </c>
      <c r="H275" s="274" t="str">
        <f>HYPERLINK("https://scholar.google.com/scholar?hl=en&amp;as_q=&amp;as_oq=&amp;as_eq=&amp;as_sauthors=&amp;as_publication=&amp;as_ylo=&amp;as_yhi=&amp;as_occt=title&amp;as_sdt=0%2C5&amp;as_epq=%22Acute+and+Sublethal+Effects+of+Cadmium+on+Ingestion%2C+Egg+Production+and+Life-Cycle+Development+in+the+Copepod+", "Google Scholar")</f>
        <v>Google Scholar</v>
      </c>
    </row>
    <row r="276" spans="1:8" x14ac:dyDescent="0.45">
      <c r="A276">
        <v>76025</v>
      </c>
      <c r="B276" t="s">
        <v>865</v>
      </c>
      <c r="C276" t="s">
        <v>866</v>
      </c>
      <c r="D276" t="s">
        <v>867</v>
      </c>
      <c r="E276">
        <v>1991</v>
      </c>
      <c r="G276" t="s">
        <v>868</v>
      </c>
      <c r="H276" s="275" t="str">
        <f>HYPERLINK("https://scholar.google.com/scholar?hl=en&amp;as_q=&amp;as_oq=&amp;as_eq=&amp;as_sauthors=&amp;as_publication=&amp;as_ylo=&amp;as_yhi=&amp;as_occt=title&amp;as_sdt=0%2C5&amp;as_epq=%22Results+of+Provision+E5F+Spiked+Metals+Toxicity+Testing+2+to+9+April+1991", "Google Scholar")</f>
        <v>Google Scholar</v>
      </c>
    </row>
    <row r="277" spans="1:8" x14ac:dyDescent="0.45">
      <c r="A277">
        <v>9006</v>
      </c>
      <c r="B277" t="s">
        <v>298</v>
      </c>
      <c r="C277" t="s">
        <v>299</v>
      </c>
      <c r="D277" t="s">
        <v>300</v>
      </c>
      <c r="E277">
        <v>1973</v>
      </c>
      <c r="G277" t="s">
        <v>301</v>
      </c>
      <c r="H277" s="276" t="str">
        <f>HYPERLINK("https://scholar.google.com/scholar?hl=en&amp;as_q=&amp;as_oq=&amp;as_eq=&amp;as_sauthors=&amp;as_publication=&amp;as_ylo=&amp;as_yhi=&amp;as_occt=title&amp;as_sdt=0%2C5&amp;as_epq=%22The+Effect+of+Methylmercuric+Chloride+on+the+Larval+Development+of+Cancer+anthonyi+Ranthbun+%28Decapoda%2C+Brach", "Google Scholar")</f>
        <v>Google Scholar</v>
      </c>
    </row>
    <row r="278" spans="1:8" x14ac:dyDescent="0.45">
      <c r="A278">
        <v>344</v>
      </c>
      <c r="B278" t="s">
        <v>381</v>
      </c>
      <c r="C278" t="s">
        <v>382</v>
      </c>
      <c r="D278" t="s">
        <v>383</v>
      </c>
      <c r="E278">
        <v>1992</v>
      </c>
      <c r="F278" t="s">
        <v>4086</v>
      </c>
      <c r="G278" t="s">
        <v>384</v>
      </c>
      <c r="H278" s="277" t="str">
        <f>HYPERLINK("https://scholar.google.com/scholar?hl=en&amp;as_q=&amp;as_oq=&amp;as_eq=&amp;as_sauthors=&amp;as_publication=&amp;as_ylo=&amp;as_yhi=&amp;as_occt=title&amp;as_sdt=0%2C5&amp;as_epq=%22Pesticide+Ecotoxicity+Database+%28Formerly%3A+Environmental+Effects+Database+%28EEDB%29%29", "Google Scholar")</f>
        <v>Google Scholar</v>
      </c>
    </row>
    <row r="279" spans="1:8" x14ac:dyDescent="0.45">
      <c r="A279">
        <v>165375</v>
      </c>
      <c r="B279" t="s">
        <v>758</v>
      </c>
      <c r="C279" t="s">
        <v>759</v>
      </c>
      <c r="D279" t="s">
        <v>760</v>
      </c>
      <c r="E279">
        <v>2012</v>
      </c>
      <c r="G279" t="s">
        <v>761</v>
      </c>
      <c r="H279" s="278" t="str">
        <f>HYPERLINK("https://scholar.google.com/scholar?hl=en&amp;as_q=&amp;as_oq=&amp;as_eq=&amp;as_sauthors=&amp;as_publication=&amp;as_ylo=&amp;as_yhi=&amp;as_occt=title&amp;as_sdt=0%2C5&amp;as_epq=%22Investigation+of+Acute+Toxicity+of+Heavy+Metals+in+Artemia+salina+Acclimated+to+Different+Salinity", "Google Scholar")</f>
        <v>Google Scholar</v>
      </c>
    </row>
    <row r="280" spans="1:8" x14ac:dyDescent="0.45">
      <c r="A280">
        <v>115864</v>
      </c>
      <c r="B280" t="s">
        <v>1349</v>
      </c>
      <c r="C280" t="s">
        <v>1350</v>
      </c>
      <c r="D280" t="s">
        <v>1351</v>
      </c>
      <c r="E280">
        <v>2009</v>
      </c>
      <c r="G280" t="s">
        <v>1352</v>
      </c>
      <c r="H280" s="279" t="str">
        <f>HYPERLINK("https://scholar.google.com/scholar?hl=en&amp;as_q=&amp;as_oq=&amp;as_eq=&amp;as_sauthors=&amp;as_publication=&amp;as_ylo=&amp;as_yhi=&amp;as_occt=title&amp;as_sdt=0%2C5&amp;as_epq=%22Sandhopper+Solar+Orientation+as+a+Behavioural+Biomarker+of+Trace+Metals+Contamination", "Google Scholar")</f>
        <v>Google Scholar</v>
      </c>
    </row>
    <row r="281" spans="1:8" x14ac:dyDescent="0.45">
      <c r="A281">
        <v>177340</v>
      </c>
      <c r="B281" t="s">
        <v>3852</v>
      </c>
      <c r="C281" t="s">
        <v>3853</v>
      </c>
      <c r="D281" t="s">
        <v>3854</v>
      </c>
      <c r="E281">
        <v>1989</v>
      </c>
      <c r="G281" t="s">
        <v>3855</v>
      </c>
      <c r="H281" s="280" t="str">
        <f>HYPERLINK("https://scholar.google.com/scholar?hl=en&amp;as_q=&amp;as_oq=&amp;as_eq=&amp;as_sauthors=&amp;as_publication=&amp;as_ylo=&amp;as_yhi=&amp;as_occt=title&amp;as_sdt=0%2C5&amp;as_epq=%22Acute+Toxicity+of+Selected+Compounds+in+the+Upjohn+Company%27s+North+Haven+Facility+NPDES+Discharge+Serial+%2300", "Google Scholar")</f>
        <v>Google Scholar</v>
      </c>
    </row>
    <row r="282" spans="1:8" x14ac:dyDescent="0.45">
      <c r="A282">
        <v>77856</v>
      </c>
      <c r="B282" t="s">
        <v>1461</v>
      </c>
      <c r="C282" t="s">
        <v>1462</v>
      </c>
      <c r="D282" t="s">
        <v>1463</v>
      </c>
      <c r="E282">
        <v>2002</v>
      </c>
      <c r="G282" t="s">
        <v>1464</v>
      </c>
      <c r="H282" s="281" t="str">
        <f>HYPERLINK("https://scholar.google.com/scholar?hl=en&amp;as_q=&amp;as_oq=&amp;as_eq=&amp;as_sauthors=&amp;as_publication=&amp;as_ylo=&amp;as_yhi=&amp;as_occt=title&amp;as_sdt=0%2C5&amp;as_epq=%22Copper+Acute+Toxicity+Tests+with+the+Sand+Crab+Emerita+analoga+%28Decapoda%3A+Hippidae%29%3A++A+Biomonitor+of+He", "Google Scholar")</f>
        <v>Google Scholar</v>
      </c>
    </row>
    <row r="283" spans="1:8" x14ac:dyDescent="0.45">
      <c r="A283">
        <v>2419</v>
      </c>
      <c r="B283" t="s">
        <v>3233</v>
      </c>
      <c r="C283" t="s">
        <v>3234</v>
      </c>
      <c r="D283" t="s">
        <v>3235</v>
      </c>
      <c r="E283">
        <v>1988</v>
      </c>
      <c r="F283" t="s">
        <v>4085</v>
      </c>
      <c r="G283" t="s">
        <v>3236</v>
      </c>
      <c r="H283" s="282" t="str">
        <f>HYPERLINK("https://scholar.google.com/scholar?hl=en&amp;as_q=&amp;as_oq=&amp;as_eq=&amp;as_sauthors=&amp;as_publication=&amp;as_ylo=&amp;as_yhi=&amp;as_occt=title&amp;as_sdt=0%2C5&amp;as_epq=%22Toxicity+of+Sodium+Chromate+and+3%2C4-Dichloroaniline+to+Crustaceans", "Google Scholar")</f>
        <v>Google Scholar</v>
      </c>
    </row>
    <row r="284" spans="1:8" x14ac:dyDescent="0.45">
      <c r="A284">
        <v>17481</v>
      </c>
      <c r="B284" t="s">
        <v>2080</v>
      </c>
      <c r="C284" t="s">
        <v>2081</v>
      </c>
      <c r="D284" t="s">
        <v>2082</v>
      </c>
      <c r="E284">
        <v>1997</v>
      </c>
      <c r="G284" t="s">
        <v>2083</v>
      </c>
      <c r="H284" s="283" t="str">
        <f>HYPERLINK("https://scholar.google.com/scholar?hl=en&amp;as_q=&amp;as_oq=&amp;as_eq=&amp;as_sauthors=&amp;as_publication=&amp;as_ylo=&amp;as_yhi=&amp;as_occt=title&amp;as_sdt=0%2C5&amp;as_epq=%22Acute+Toxicity+and+Synergism+of+Cadmium+and+Zinc+in+White+Shrimp%2C+Penaeus+setiferus%2C+Juveniles", "Google Scholar")</f>
        <v>Google Scholar</v>
      </c>
    </row>
    <row r="285" spans="1:8" x14ac:dyDescent="0.45">
      <c r="A285">
        <v>15178</v>
      </c>
      <c r="B285" t="s">
        <v>3298</v>
      </c>
      <c r="C285" t="s">
        <v>3299</v>
      </c>
      <c r="D285" t="s">
        <v>3300</v>
      </c>
      <c r="E285">
        <v>1980</v>
      </c>
      <c r="G285" t="s">
        <v>3301</v>
      </c>
      <c r="H285" s="284" t="str">
        <f>HYPERLINK("https://scholar.google.com/scholar?hl=en&amp;as_q=&amp;as_oq=&amp;as_eq=&amp;as_sauthors=&amp;as_publication=&amp;as_ylo=&amp;as_yhi=&amp;as_occt=title&amp;as_sdt=0%2C5&amp;as_epq=%22Research+on+the+Development+of+a+Short+Term+Standard+Toxicity+Test+with+Artemia+Nauplii", "Google Scholar")</f>
        <v>Google Scholar</v>
      </c>
    </row>
    <row r="286" spans="1:8" x14ac:dyDescent="0.45">
      <c r="A286">
        <v>9336</v>
      </c>
      <c r="B286" t="s">
        <v>2793</v>
      </c>
      <c r="C286" t="s">
        <v>2794</v>
      </c>
      <c r="D286" t="s">
        <v>2795</v>
      </c>
      <c r="E286">
        <v>1987</v>
      </c>
      <c r="G286" t="s">
        <v>2796</v>
      </c>
      <c r="H286" s="285" t="str">
        <f>HYPERLINK("https://scholar.google.com/scholar?hl=en&amp;as_q=&amp;as_oq=&amp;as_eq=&amp;as_sauthors=&amp;as_publication=&amp;as_ylo=&amp;as_yhi=&amp;as_occt=title&amp;as_sdt=0%2C5&amp;as_epq=%22Combined+Toxicity+of+Four+Toxicants+%28Cu%2C+Cr%2C+Oil%2C+Oil+Dispersant%29+to+Artemia+salina", "Google Scholar")</f>
        <v>Google Scholar</v>
      </c>
    </row>
    <row r="287" spans="1:8" x14ac:dyDescent="0.45">
      <c r="A287">
        <v>2084</v>
      </c>
      <c r="B287" t="s">
        <v>2299</v>
      </c>
      <c r="C287" t="s">
        <v>2300</v>
      </c>
      <c r="D287" t="s">
        <v>2301</v>
      </c>
      <c r="E287">
        <v>1989</v>
      </c>
      <c r="G287" t="s">
        <v>2302</v>
      </c>
      <c r="H287" s="286" t="str">
        <f>HYPERLINK("https://scholar.google.com/scholar?hl=en&amp;as_q=&amp;as_oq=&amp;as_eq=&amp;as_sauthors=&amp;as_publication=&amp;as_ylo=&amp;as_yhi=&amp;as_occt=title&amp;as_sdt=0%2C5&amp;as_epq=%22Toxicity+of+Zinc+to+the+Marine+Copepod+Tisbe+holothuriae%3B+the+Importance+of+the+Food+Factor", "Google Scholar")</f>
        <v>Google Scholar</v>
      </c>
    </row>
    <row r="288" spans="1:8" x14ac:dyDescent="0.45">
      <c r="A288">
        <v>11097</v>
      </c>
      <c r="B288" t="s">
        <v>2299</v>
      </c>
      <c r="C288" t="s">
        <v>2673</v>
      </c>
      <c r="D288" t="s">
        <v>2674</v>
      </c>
      <c r="E288">
        <v>1982</v>
      </c>
      <c r="G288" t="s">
        <v>2675</v>
      </c>
      <c r="H288" s="287" t="str">
        <f>HYPERLINK("https://scholar.google.com/scholar?hl=en&amp;as_q=&amp;as_oq=&amp;as_eq=&amp;as_sauthors=&amp;as_publication=&amp;as_ylo=&amp;as_yhi=&amp;as_occt=title&amp;as_sdt=0%2C5&amp;as_epq=%22Differentiation+of+the+Sensitivity+to+Copper+and+Cadmium+in+Different+Life+Stages+of+a+Copepod", "Google Scholar")</f>
        <v>Google Scholar</v>
      </c>
    </row>
    <row r="289" spans="1:8" x14ac:dyDescent="0.45">
      <c r="A289">
        <v>13179</v>
      </c>
      <c r="B289" t="s">
        <v>480</v>
      </c>
      <c r="C289" t="s">
        <v>481</v>
      </c>
      <c r="D289" t="s">
        <v>482</v>
      </c>
      <c r="E289">
        <v>1988</v>
      </c>
      <c r="G289" t="s">
        <v>483</v>
      </c>
      <c r="H289" s="288" t="str">
        <f>HYPERLINK("https://scholar.google.com/scholar?hl=en&amp;as_q=&amp;as_oq=&amp;as_eq=&amp;as_sauthors=&amp;as_publication=&amp;as_ylo=&amp;as_yhi=&amp;as_occt=title&amp;as_sdt=0%2C5&amp;as_epq=%22Combined+Toxicity+of+Copper%2C+Cadmium%2C+Zinc%2C+Lead%2C+Nickel%2C+and+Chrome+to+the+Copepod+Tisbe+holothuriae", "Google Scholar")</f>
        <v>Google Scholar</v>
      </c>
    </row>
    <row r="290" spans="1:8" x14ac:dyDescent="0.45">
      <c r="A290">
        <v>75445</v>
      </c>
      <c r="B290" t="s">
        <v>1433</v>
      </c>
      <c r="C290" t="s">
        <v>1434</v>
      </c>
      <c r="D290" t="s">
        <v>1435</v>
      </c>
      <c r="E290">
        <v>2003</v>
      </c>
      <c r="G290" t="s">
        <v>1436</v>
      </c>
      <c r="H290" s="289" t="str">
        <f>HYPERLINK("https://scholar.google.com/scholar?hl=en&amp;as_q=&amp;as_oq=&amp;as_eq=&amp;as_sauthors=&amp;as_publication=&amp;as_ylo=&amp;as_yhi=&amp;as_occt=title&amp;as_sdt=0%2C5&amp;as_epq=%22The+Toxicity+of+Metal+Mixtures+to+the+Estuarine+Mysid+Neomysis+integer+%28Crustacea%3A++Mysidacea%29+Under+Chang", "Google Scholar")</f>
        <v>Google Scholar</v>
      </c>
    </row>
    <row r="291" spans="1:8" x14ac:dyDescent="0.45">
      <c r="A291">
        <v>19405</v>
      </c>
      <c r="B291" t="s">
        <v>2358</v>
      </c>
      <c r="C291" t="s">
        <v>2359</v>
      </c>
      <c r="D291" t="s">
        <v>2360</v>
      </c>
      <c r="E291">
        <v>1995</v>
      </c>
      <c r="G291" t="s">
        <v>2361</v>
      </c>
      <c r="H291" s="290" t="str">
        <f>HYPERLINK("https://scholar.google.com/scholar?hl=en&amp;as_q=&amp;as_oq=&amp;as_eq=&amp;as_sauthors=&amp;as_publication=&amp;as_ylo=&amp;as_yhi=&amp;as_occt=title&amp;as_sdt=0%2C5&amp;as_epq=%22Histopathological+Studies+on+Zinc+Toxicity+in+Penaeus+indicus+H.+Milne+Edwards", "Google Scholar")</f>
        <v>Google Scholar</v>
      </c>
    </row>
    <row r="292" spans="1:8" x14ac:dyDescent="0.45">
      <c r="A292">
        <v>19662</v>
      </c>
      <c r="B292" t="s">
        <v>3669</v>
      </c>
      <c r="C292" t="s">
        <v>3670</v>
      </c>
      <c r="D292" t="s">
        <v>3671</v>
      </c>
      <c r="E292">
        <v>1999</v>
      </c>
      <c r="G292" t="s">
        <v>3672</v>
      </c>
      <c r="H292" s="291" t="str">
        <f>HYPERLINK("https://scholar.google.com/scholar?hl=en&amp;as_q=&amp;as_oq=&amp;as_eq=&amp;as_sauthors=&amp;as_publication=&amp;as_ylo=&amp;as_yhi=&amp;as_occt=title&amp;as_sdt=0%2C5&amp;as_epq=%22Inhibitory+Effects+of+Cadmium+on+Carbonic+Anhydrase+Activity+and+Ionic+Regulation+of+the+Estuarine+Crab+Chasmagn", "Google Scholar")</f>
        <v>Google Scholar</v>
      </c>
    </row>
    <row r="293" spans="1:8" x14ac:dyDescent="0.45">
      <c r="A293">
        <v>3008</v>
      </c>
      <c r="B293" t="s">
        <v>1005</v>
      </c>
      <c r="C293" t="s">
        <v>1006</v>
      </c>
      <c r="D293" t="s">
        <v>1007</v>
      </c>
      <c r="E293">
        <v>1990</v>
      </c>
      <c r="G293" t="s">
        <v>1008</v>
      </c>
      <c r="H293" s="292" t="str">
        <f>HYPERLINK("https://scholar.google.com/scholar?hl=en&amp;as_q=&amp;as_oq=&amp;as_eq=&amp;as_sauthors=&amp;as_publication=&amp;as_ylo=&amp;as_yhi=&amp;as_occt=title&amp;as_sdt=0%2C5&amp;as_epq=%22Influence+of+Salinity+and+Temperature+on+Acute+Toxicity+of+Cadmium+to+Mysidopsis+bahia+Molenock", "Google Scholar")</f>
        <v>Google Scholar</v>
      </c>
    </row>
    <row r="294" spans="1:8" x14ac:dyDescent="0.45">
      <c r="A294">
        <v>118182</v>
      </c>
      <c r="B294" t="s">
        <v>3579</v>
      </c>
      <c r="C294" t="s">
        <v>3580</v>
      </c>
      <c r="D294" t="s">
        <v>3581</v>
      </c>
      <c r="E294">
        <v>2009</v>
      </c>
      <c r="G294" t="s">
        <v>3582</v>
      </c>
      <c r="H294" s="293" t="str">
        <f>HYPERLINK("https://scholar.google.com/scholar?hl=en&amp;as_q=&amp;as_oq=&amp;as_eq=&amp;as_sauthors=&amp;as_publication=&amp;as_ylo=&amp;as_yhi=&amp;as_occt=title&amp;as_sdt=0%2C5&amp;as_epq=%22Acute+and+Chronic+Cadmium+Toxicity+to+a+Saltwater+Cladoceran+Moina+monogolica+Daday+and+Its+Relative+Importance", "Google Scholar")</f>
        <v>Google Scholar</v>
      </c>
    </row>
    <row r="295" spans="1:8" x14ac:dyDescent="0.45">
      <c r="A295">
        <v>100633</v>
      </c>
      <c r="B295" t="s">
        <v>2741</v>
      </c>
      <c r="C295" t="s">
        <v>2742</v>
      </c>
      <c r="D295" t="s">
        <v>2743</v>
      </c>
      <c r="E295">
        <v>2007</v>
      </c>
      <c r="G295" t="s">
        <v>2744</v>
      </c>
      <c r="H295" s="294" t="str">
        <f>HYPERLINK("https://scholar.google.com/scholar?hl=en&amp;as_q=&amp;as_oq=&amp;as_eq=&amp;as_sauthors=&amp;as_publication=&amp;as_ylo=&amp;as_yhi=&amp;as_occt=title&amp;as_sdt=0%2C5&amp;as_epq=%22Acute+and+Chronic+Copper+Toxicity+to+a+Saltwater+Cladoceran+Moina+monogolica+Daday", "Google Scholar")</f>
        <v>Google Scholar</v>
      </c>
    </row>
    <row r="296" spans="1:8" x14ac:dyDescent="0.45">
      <c r="A296">
        <v>193873</v>
      </c>
      <c r="B296" t="s">
        <v>2207</v>
      </c>
      <c r="C296" t="s">
        <v>2208</v>
      </c>
      <c r="D296" t="s">
        <v>2209</v>
      </c>
      <c r="E296">
        <v>2020</v>
      </c>
      <c r="G296" t="s">
        <v>2210</v>
      </c>
      <c r="H296" s="295" t="str">
        <f>HYPERLINK("https://scholar.google.com/scholar?hl=en&amp;as_q=&amp;as_oq=&amp;as_eq=&amp;as_sauthors=&amp;as_publication=&amp;as_ylo=&amp;as_yhi=&amp;as_occt=title&amp;as_sdt=0%2C5&amp;as_epq=%22Acute+and+Chronic+Toxicity+of+Nickel+on+Freshwater+and+Marine+Tropical+Aquatic+Organisms", "Google Scholar")</f>
        <v>Google Scholar</v>
      </c>
    </row>
    <row r="297" spans="1:8" x14ac:dyDescent="0.45">
      <c r="A297">
        <v>156333</v>
      </c>
      <c r="B297" t="s">
        <v>2803</v>
      </c>
      <c r="C297" t="s">
        <v>2804</v>
      </c>
      <c r="D297" t="s">
        <v>2805</v>
      </c>
      <c r="E297">
        <v>2011</v>
      </c>
      <c r="G297" t="s">
        <v>2806</v>
      </c>
      <c r="H297" s="296" t="str">
        <f>HYPERLINK("https://scholar.google.com/scholar?hl=en&amp;as_q=&amp;as_oq=&amp;as_eq=&amp;as_sauthors=&amp;as_publication=&amp;as_ylo=&amp;as_yhi=&amp;as_occt=title&amp;as_sdt=0%2C5&amp;as_epq=%22An+Assessment+of+Three+Harpacticoid+Copepod+Species+for+Use+in+Ecotoxicological+Testing", "Google Scholar")</f>
        <v>Google Scholar</v>
      </c>
    </row>
    <row r="298" spans="1:8" x14ac:dyDescent="0.45">
      <c r="A298">
        <v>13866</v>
      </c>
      <c r="B298" t="s">
        <v>987</v>
      </c>
      <c r="C298" t="s">
        <v>988</v>
      </c>
      <c r="D298" t="s">
        <v>989</v>
      </c>
      <c r="E298">
        <v>1989</v>
      </c>
      <c r="G298" t="s">
        <v>990</v>
      </c>
      <c r="H298" s="297" t="str">
        <f>HYPERLINK("https://scholar.google.com/scholar?hl=en&amp;as_q=&amp;as_oq=&amp;as_eq=&amp;as_sauthors=&amp;as_publication=&amp;as_ylo=&amp;as_yhi=&amp;as_occt=title&amp;as_sdt=0%2C5&amp;as_epq=%22The+Requirements+for+a+Balanced+Medium+in+Toxicological+Experiments+Using+Mysidopsis+bahia+with+Special+Referenc", "Google Scholar")</f>
        <v>Google Scholar</v>
      </c>
    </row>
    <row r="299" spans="1:8" x14ac:dyDescent="0.45">
      <c r="A299">
        <v>65743</v>
      </c>
      <c r="B299" t="s">
        <v>3167</v>
      </c>
      <c r="C299" t="s">
        <v>3168</v>
      </c>
      <c r="D299" t="s">
        <v>3169</v>
      </c>
      <c r="E299">
        <v>2002</v>
      </c>
      <c r="G299" t="s">
        <v>3170</v>
      </c>
      <c r="H299" s="298" t="str">
        <f>HYPERLINK("https://scholar.google.com/scholar?hl=en&amp;as_q=&amp;as_oq=&amp;as_eq=&amp;as_sauthors=&amp;as_publication=&amp;as_ylo=&amp;as_yhi=&amp;as_occt=title&amp;as_sdt=0%2C5&amp;as_epq=%22Silver+Speciation+During+Chronic+Toxicity+Tests+with+the+Mysid%2C+Americamysis+bahia", "Google Scholar")</f>
        <v>Google Scholar</v>
      </c>
    </row>
    <row r="300" spans="1:8" x14ac:dyDescent="0.45">
      <c r="A300">
        <v>18129</v>
      </c>
      <c r="B300" t="s">
        <v>3958</v>
      </c>
      <c r="C300" t="s">
        <v>3959</v>
      </c>
      <c r="D300" t="s">
        <v>3960</v>
      </c>
      <c r="E300">
        <v>1997</v>
      </c>
      <c r="G300" t="s">
        <v>3961</v>
      </c>
      <c r="H300" s="299" t="str">
        <f>HYPERLINK("https://scholar.google.com/scholar?hl=en&amp;as_q=&amp;as_oq=&amp;as_eq=&amp;as_sauthors=&amp;as_publication=&amp;as_ylo=&amp;as_yhi=&amp;as_occt=title&amp;as_sdt=0%2C5&amp;as_epq=%22Stress+Proteins+HSP60+and+HSP70+in+Three+Species+of+Amphipods+Exposed+to+Cadmium%2C+Diazinon%2C+Dieldrin+and+Flu", "Google Scholar")</f>
        <v>Google Scholar</v>
      </c>
    </row>
    <row r="301" spans="1:8" x14ac:dyDescent="0.45">
      <c r="A301">
        <v>4037</v>
      </c>
      <c r="B301" t="s">
        <v>3709</v>
      </c>
      <c r="C301" t="s">
        <v>3710</v>
      </c>
      <c r="D301" t="s">
        <v>3711</v>
      </c>
      <c r="E301">
        <v>1998</v>
      </c>
      <c r="G301" t="s">
        <v>3712</v>
      </c>
      <c r="H301" s="300" t="str">
        <f>HYPERLINK("https://scholar.google.com/scholar?hl=en&amp;as_q=&amp;as_oq=&amp;as_eq=&amp;as_sauthors=&amp;as_publication=&amp;as_ylo=&amp;as_yhi=&amp;as_occt=title&amp;as_sdt=0%2C5&amp;as_epq=%22Salinity+Change+and+the+Toxicity+of+the+Free+Cadmium+Ion+%5BCd2%2B%28aq%29%5D+to+Neomysis+integer+%28Crustacea%3", "Google Scholar")</f>
        <v>Google Scholar</v>
      </c>
    </row>
    <row r="302" spans="1:8" x14ac:dyDescent="0.45">
      <c r="A302">
        <v>4127</v>
      </c>
      <c r="B302" t="s">
        <v>853</v>
      </c>
      <c r="C302" t="s">
        <v>854</v>
      </c>
      <c r="D302" t="s">
        <v>855</v>
      </c>
      <c r="E302">
        <v>1993</v>
      </c>
      <c r="G302" t="s">
        <v>856</v>
      </c>
      <c r="H302" s="301" t="str">
        <f>HYPERLINK("https://scholar.google.com/scholar?hl=en&amp;as_q=&amp;as_oq=&amp;as_eq=&amp;as_sauthors=&amp;as_publication=&amp;as_ylo=&amp;as_yhi=&amp;as_occt=title&amp;as_sdt=0%2C5&amp;as_epq=%22Effects+of+Chromium%2C+Copper+and+Nickel+on+Survival+and+Feeding+Behaviour+of+Metapenaeus+ensis+Larvae+and+Postl", "Google Scholar")</f>
        <v>Google Scholar</v>
      </c>
    </row>
    <row r="303" spans="1:8" x14ac:dyDescent="0.45">
      <c r="A303">
        <v>150008</v>
      </c>
      <c r="B303" t="s">
        <v>508</v>
      </c>
      <c r="C303" t="s">
        <v>509</v>
      </c>
      <c r="D303" t="s">
        <v>510</v>
      </c>
      <c r="E303">
        <v>2010</v>
      </c>
      <c r="G303" t="s">
        <v>511</v>
      </c>
      <c r="H303" s="302" t="str">
        <f>HYPERLINK("https://scholar.google.com/scholar?hl=en&amp;as_q=&amp;as_oq=&amp;as_eq=&amp;as_sauthors=&amp;as_publication=&amp;as_ylo=&amp;as_yhi=&amp;as_occt=title&amp;as_sdt=0%2C5&amp;as_epq=%22Toxicities+of+Nano+Zinc+Oxide+to+Five+Marine+Organisms%3A+Influences+of+Aggregate+Size+and+Ion+Solubility", "Google Scholar")</f>
        <v>Google Scholar</v>
      </c>
    </row>
    <row r="304" spans="1:8" x14ac:dyDescent="0.45">
      <c r="A304">
        <v>9508</v>
      </c>
      <c r="B304" t="s">
        <v>3804</v>
      </c>
      <c r="C304" t="s">
        <v>3805</v>
      </c>
      <c r="D304" t="s">
        <v>3806</v>
      </c>
      <c r="E304">
        <v>1981</v>
      </c>
      <c r="G304" t="s">
        <v>3807</v>
      </c>
      <c r="H304" s="303" t="str">
        <f>HYPERLINK("https://scholar.google.com/scholar?hl=en&amp;as_q=&amp;as_oq=&amp;as_eq=&amp;as_sauthors=&amp;as_publication=&amp;as_ylo=&amp;as_yhi=&amp;as_occt=title&amp;as_sdt=0%2C5&amp;as_epq=%22Cadmium+Toxicity+in+Marinogammarus+obtusatus%3A++Effect+of+External+Calcium", "Google Scholar")</f>
        <v>Google Scholar</v>
      </c>
    </row>
    <row r="305" spans="1:8" x14ac:dyDescent="0.45">
      <c r="A305">
        <v>76280</v>
      </c>
      <c r="B305" t="s">
        <v>954</v>
      </c>
      <c r="C305" t="s">
        <v>955</v>
      </c>
      <c r="D305" t="s">
        <v>956</v>
      </c>
      <c r="E305">
        <v>2004</v>
      </c>
      <c r="G305" t="s">
        <v>957</v>
      </c>
      <c r="H305" s="304" t="str">
        <f>HYPERLINK("https://scholar.google.com/scholar?hl=en&amp;as_q=&amp;as_oq=&amp;as_eq=&amp;as_sauthors=&amp;as_publication=&amp;as_ylo=&amp;as_yhi=&amp;as_occt=title&amp;as_sdt=0%2C5&amp;as_epq=%22Effects+of+Cadmium+and+Zinc+on+Oxygen+Consumption%2C+Ammonium+Excretion%2C+and+Osmoregulation+of+White+Shrimp+%2", "Google Scholar")</f>
        <v>Google Scholar</v>
      </c>
    </row>
    <row r="306" spans="1:8" x14ac:dyDescent="0.45">
      <c r="A306">
        <v>3232</v>
      </c>
      <c r="B306" t="s">
        <v>1743</v>
      </c>
      <c r="C306" t="s">
        <v>1744</v>
      </c>
      <c r="D306" t="s">
        <v>1745</v>
      </c>
      <c r="E306">
        <v>1988</v>
      </c>
      <c r="G306" t="s">
        <v>1746</v>
      </c>
      <c r="H306" s="305" t="str">
        <f>HYPERLINK("https://scholar.google.com/scholar?hl=en&amp;as_q=&amp;as_oq=&amp;as_eq=&amp;as_sauthors=&amp;as_publication=&amp;as_ylo=&amp;as_yhi=&amp;as_occt=title&amp;as_sdt=0%2C5&amp;as_epq=%22Studies+of+Acute+intoxication+by+Some+Harmful+Substances+on+Penaeus+orientalis+K.", "Google Scholar")</f>
        <v>Google Scholar</v>
      </c>
    </row>
    <row r="307" spans="1:8" x14ac:dyDescent="0.45">
      <c r="A307">
        <v>19318</v>
      </c>
      <c r="B307" t="s">
        <v>763</v>
      </c>
      <c r="C307" t="s">
        <v>764</v>
      </c>
      <c r="D307" t="s">
        <v>765</v>
      </c>
      <c r="E307">
        <v>1994</v>
      </c>
      <c r="G307" t="s">
        <v>766</v>
      </c>
      <c r="H307" s="306" t="str">
        <f>HYPERLINK("https://scholar.google.com/scholar?hl=en&amp;as_q=&amp;as_oq=&amp;as_eq=&amp;as_sauthors=&amp;as_publication=&amp;as_ylo=&amp;as_yhi=&amp;as_occt=title&amp;as_sdt=0%2C5&amp;as_epq=%22Toxic+Effects+of+Heavy+Metals+on+Several+Marine+Bivalve+and+Crustacean", "Google Scholar")</f>
        <v>Google Scholar</v>
      </c>
    </row>
    <row r="308" spans="1:8" x14ac:dyDescent="0.45">
      <c r="A308">
        <v>79987</v>
      </c>
      <c r="B308" t="s">
        <v>2706</v>
      </c>
      <c r="C308" t="s">
        <v>2707</v>
      </c>
      <c r="D308" t="s">
        <v>2708</v>
      </c>
      <c r="E308">
        <v>2004</v>
      </c>
      <c r="G308" t="s">
        <v>2709</v>
      </c>
      <c r="H308" s="307" t="str">
        <f>HYPERLINK("https://scholar.google.com/scholar?hl=en&amp;as_q=&amp;as_oq=&amp;as_eq=&amp;as_sauthors=&amp;as_publication=&amp;as_ylo=&amp;as_yhi=&amp;as_occt=title&amp;as_sdt=0%2C5&amp;as_epq=%22Effect+of+Copper+Sulfate+on+the+Immune+Response+and+Susceptibility+to+Vibrio+alginolyticus+in+the+White+Shrimp+L", "Google Scholar")</f>
        <v>Google Scholar</v>
      </c>
    </row>
    <row r="309" spans="1:8" x14ac:dyDescent="0.45">
      <c r="A309">
        <v>169337</v>
      </c>
      <c r="B309" t="s">
        <v>1543</v>
      </c>
      <c r="C309" t="s">
        <v>1544</v>
      </c>
      <c r="D309" t="s">
        <v>1545</v>
      </c>
      <c r="E309">
        <v>2010</v>
      </c>
      <c r="G309" t="s">
        <v>1546</v>
      </c>
      <c r="H309" s="308" t="str">
        <f>HYPERLINK("https://scholar.google.com/scholar?hl=en&amp;as_q=&amp;as_oq=&amp;as_eq=&amp;as_sauthors=&amp;as_publication=&amp;as_ylo=&amp;as_yhi=&amp;as_occt=title&amp;as_sdt=0%2C5&amp;as_epq=%22Comparison+of+Toxicity+and+Release+Rates+of+Cu+and+Zn+from+Anti-Fouling+Paints+Leached+in+Natural+and+Artificial", "Google Scholar")</f>
        <v>Google Scholar</v>
      </c>
    </row>
    <row r="310" spans="1:8" x14ac:dyDescent="0.45">
      <c r="A310">
        <v>6416</v>
      </c>
      <c r="B310" t="s">
        <v>3556</v>
      </c>
      <c r="C310" t="s">
        <v>3557</v>
      </c>
      <c r="D310" t="s">
        <v>3558</v>
      </c>
      <c r="E310">
        <v>1992</v>
      </c>
      <c r="G310" t="s">
        <v>3559</v>
      </c>
      <c r="H310" s="309" t="str">
        <f>HYPERLINK("https://scholar.google.com/scholar?hl=en&amp;as_q=&amp;as_oq=&amp;as_eq=&amp;as_sauthors=&amp;as_publication=&amp;as_ylo=&amp;as_yhi=&amp;as_occt=title&amp;as_sdt=0%2C5&amp;as_epq=%22Cadmium+Accumulation%2C+LC50+and+Oxygen+Consumption+in+the+Tropical+Marine+Amphipod+Elasmopus+rapax", "Google Scholar")</f>
        <v>Google Scholar</v>
      </c>
    </row>
    <row r="311" spans="1:8" x14ac:dyDescent="0.45">
      <c r="A311">
        <v>18382</v>
      </c>
      <c r="B311" t="s">
        <v>3556</v>
      </c>
      <c r="C311" t="s">
        <v>3811</v>
      </c>
      <c r="D311" t="s">
        <v>3812</v>
      </c>
      <c r="E311">
        <v>1996</v>
      </c>
      <c r="G311" t="s">
        <v>3813</v>
      </c>
      <c r="H311" s="310" t="str">
        <f>HYPERLINK("https://scholar.google.com/scholar?hl=en&amp;as_q=&amp;as_oq=&amp;as_eq=&amp;as_sauthors=&amp;as_publication=&amp;as_ylo=&amp;as_yhi=&amp;as_occt=title&amp;as_sdt=0%2C5&amp;as_epq=%22Salinity+Effects+on+Cadmium+Accumulation+in+Various+Tissues+of+the+Tropical+Fiddler+Crab+Uca+rapax", "Google Scholar")</f>
        <v>Google Scholar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workbookViewId="0">
      <pane xSplit="1" ySplit="1" topLeftCell="B2" activePane="bottomRight" state="frozen"/>
      <selection pane="topRight"/>
      <selection pane="bottomLeft"/>
      <selection pane="bottomRight"/>
    </sheetView>
  </sheetViews>
  <sheetFormatPr defaultRowHeight="14.25" x14ac:dyDescent="0.45"/>
  <sheetData>
    <row r="1" spans="1:7" x14ac:dyDescent="0.45">
      <c r="A1" t="s">
        <v>4087</v>
      </c>
      <c r="B1" t="s">
        <v>4088</v>
      </c>
      <c r="C1" t="s">
        <v>4089</v>
      </c>
      <c r="D1" t="s">
        <v>4090</v>
      </c>
      <c r="E1" t="s">
        <v>4091</v>
      </c>
      <c r="G1" t="s">
        <v>4092</v>
      </c>
    </row>
    <row r="2" spans="1:7" x14ac:dyDescent="0.45">
      <c r="G2" s="311">
        <v>46242.943391203706</v>
      </c>
    </row>
    <row r="4" spans="1:7" x14ac:dyDescent="0.45">
      <c r="A4" t="s">
        <v>4093</v>
      </c>
    </row>
    <row r="5" spans="1:7" x14ac:dyDescent="0.45">
      <c r="C5" t="s">
        <v>4094</v>
      </c>
      <c r="D5" t="s">
        <v>4094</v>
      </c>
    </row>
    <row r="7" spans="1:7" x14ac:dyDescent="0.45">
      <c r="A7" t="s">
        <v>4095</v>
      </c>
    </row>
    <row r="8" spans="1:7" x14ac:dyDescent="0.45">
      <c r="B8" t="s">
        <v>4096</v>
      </c>
      <c r="C8" t="s">
        <v>744</v>
      </c>
      <c r="D8" t="s">
        <v>4097</v>
      </c>
    </row>
    <row r="9" spans="1:7" x14ac:dyDescent="0.45">
      <c r="B9" t="s">
        <v>4096</v>
      </c>
      <c r="C9" t="s">
        <v>889</v>
      </c>
      <c r="D9" t="s">
        <v>4097</v>
      </c>
    </row>
    <row r="10" spans="1:7" x14ac:dyDescent="0.45">
      <c r="B10" t="s">
        <v>4096</v>
      </c>
      <c r="C10" t="s">
        <v>836</v>
      </c>
      <c r="D10" t="s">
        <v>4097</v>
      </c>
    </row>
    <row r="11" spans="1:7" x14ac:dyDescent="0.45">
      <c r="B11" t="s">
        <v>4096</v>
      </c>
      <c r="C11" t="s">
        <v>874</v>
      </c>
      <c r="D11" t="s">
        <v>4097</v>
      </c>
    </row>
    <row r="12" spans="1:7" x14ac:dyDescent="0.45">
      <c r="B12" t="s">
        <v>4096</v>
      </c>
      <c r="C12" t="s">
        <v>1063</v>
      </c>
      <c r="D12" t="s">
        <v>4097</v>
      </c>
    </row>
    <row r="13" spans="1:7" x14ac:dyDescent="0.45">
      <c r="B13" t="s">
        <v>4096</v>
      </c>
      <c r="C13" t="s">
        <v>1045</v>
      </c>
      <c r="D13" t="s">
        <v>4097</v>
      </c>
    </row>
    <row r="14" spans="1:7" x14ac:dyDescent="0.45">
      <c r="B14" t="s">
        <v>4096</v>
      </c>
      <c r="C14" t="s">
        <v>1124</v>
      </c>
      <c r="D14" t="s">
        <v>4097</v>
      </c>
    </row>
    <row r="15" spans="1:7" x14ac:dyDescent="0.45">
      <c r="B15" t="s">
        <v>4096</v>
      </c>
      <c r="C15" t="s">
        <v>670</v>
      </c>
      <c r="D15" t="s">
        <v>4097</v>
      </c>
    </row>
    <row r="17" spans="1:4" x14ac:dyDescent="0.45">
      <c r="A17" t="s">
        <v>4098</v>
      </c>
    </row>
    <row r="18" spans="1:4" x14ac:dyDescent="0.45">
      <c r="B18" t="s">
        <v>4099</v>
      </c>
      <c r="C18" t="s">
        <v>264</v>
      </c>
      <c r="D18" t="s">
        <v>4097</v>
      </c>
    </row>
    <row r="20" spans="1:4" x14ac:dyDescent="0.45">
      <c r="A20" t="s">
        <v>4100</v>
      </c>
    </row>
    <row r="21" spans="1:4" x14ac:dyDescent="0.45">
      <c r="B21" t="s">
        <v>4101</v>
      </c>
      <c r="C21" t="s">
        <v>265</v>
      </c>
      <c r="D21" t="s">
        <v>4097</v>
      </c>
    </row>
    <row r="23" spans="1:4" x14ac:dyDescent="0.45">
      <c r="A23" t="s">
        <v>23</v>
      </c>
    </row>
    <row r="24" spans="1:4" x14ac:dyDescent="0.45">
      <c r="B24" t="s">
        <v>4102</v>
      </c>
      <c r="C24" t="s">
        <v>4103</v>
      </c>
      <c r="D24" t="s">
        <v>4097</v>
      </c>
    </row>
    <row r="26" spans="1:4" x14ac:dyDescent="0.45">
      <c r="A26" t="s">
        <v>4104</v>
      </c>
    </row>
    <row r="27" spans="1:4" x14ac:dyDescent="0.45">
      <c r="C27" t="s">
        <v>4105</v>
      </c>
      <c r="D27">
        <v>1</v>
      </c>
    </row>
    <row r="28" spans="1:4" x14ac:dyDescent="0.45">
      <c r="C28" t="s">
        <v>4106</v>
      </c>
      <c r="D28">
        <v>4</v>
      </c>
    </row>
    <row r="29" spans="1:4" x14ac:dyDescent="0.45">
      <c r="B29" t="s">
        <v>4107</v>
      </c>
      <c r="C29" t="s">
        <v>4108</v>
      </c>
      <c r="D29" t="s">
        <v>4097</v>
      </c>
    </row>
    <row r="30" spans="1:4" x14ac:dyDescent="0.45">
      <c r="B30" t="s">
        <v>4109</v>
      </c>
      <c r="C30" t="s">
        <v>260</v>
      </c>
      <c r="D30" t="s">
        <v>4097</v>
      </c>
    </row>
    <row r="32" spans="1:4" x14ac:dyDescent="0.45">
      <c r="A32" t="s">
        <v>4110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Aquatic-Export</vt:lpstr>
      <vt:lpstr>References</vt:lpstr>
      <vt:lpstr>Search_Parameters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Öykü Tanrıverdi</cp:lastModifiedBy>
  <dcterms:created xsi:type="dcterms:W3CDTF">2026-08-09T02:38:17Z</dcterms:created>
  <dcterms:modified xsi:type="dcterms:W3CDTF">2026-08-19T09:04:48Z</dcterms:modified>
</cp:coreProperties>
</file>